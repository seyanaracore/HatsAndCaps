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6.15\"/>
    </mc:Choice>
  </mc:AlternateContent>
  <xr:revisionPtr revIDLastSave="0" documentId="13_ncr:1_{5B09EAB5-1E7B-425E-864E-0A9A53E06035}" xr6:coauthVersionLast="47" xr6:coauthVersionMax="47" xr10:uidLastSave="{00000000-0000-0000-0000-000000000000}"/>
  <bookViews>
    <workbookView xWindow="-120" yWindow="-120" windowWidth="29040" windowHeight="15840" activeTab="2" xr2:uid="{3A48B2BB-835E-4247-BB6E-D08F5B3ED053}"/>
  </bookViews>
  <sheets>
    <sheet name="Справочник" sheetId="2" r:id="rId1"/>
    <sheet name="Data" sheetId="3" r:id="rId2"/>
    <sheet name="КомандыИзНазвания" sheetId="4" r:id="rId3"/>
    <sheet name="Транспонирование" sheetId="6" r:id="rId4"/>
    <sheet name="Transposed" sheetId="5" r:id="rId5"/>
  </sheets>
  <functionGroups builtInGroupCount="19"/>
  <definedNames>
    <definedName name="_xlpm.sizeCol" hidden="1" xlm="1">#NAME?</definedName>
    <definedName name="_xlnm._FilterDatabase" localSheetId="1" hidden="1">Data!$A$1:$N$99</definedName>
    <definedName name="_xlnm._FilterDatabase" localSheetId="4" hidden="1">Transposed!$B$1:$Q$44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09" i="3" l="1"/>
  <c r="P117" i="3"/>
  <c r="P125" i="3"/>
  <c r="P133" i="3"/>
  <c r="Q100" i="3"/>
  <c r="R100" i="3"/>
  <c r="S100" i="3"/>
  <c r="Q101" i="3"/>
  <c r="R101" i="3"/>
  <c r="S101" i="3"/>
  <c r="Q102" i="3"/>
  <c r="R102" i="3"/>
  <c r="S102" i="3"/>
  <c r="P104" i="3" s="1"/>
  <c r="Q103" i="3"/>
  <c r="R103" i="3"/>
  <c r="S103" i="3"/>
  <c r="Q104" i="3"/>
  <c r="R104" i="3"/>
  <c r="S104" i="3"/>
  <c r="Q105" i="3"/>
  <c r="R105" i="3"/>
  <c r="S105" i="3"/>
  <c r="P105" i="3" s="1"/>
  <c r="Q106" i="3"/>
  <c r="R106" i="3"/>
  <c r="S106" i="3"/>
  <c r="P106" i="3" s="1"/>
  <c r="Q107" i="3"/>
  <c r="R107" i="3"/>
  <c r="S107" i="3"/>
  <c r="Q108" i="3"/>
  <c r="R108" i="3"/>
  <c r="S108" i="3"/>
  <c r="Q109" i="3"/>
  <c r="R109" i="3"/>
  <c r="S109" i="3"/>
  <c r="Q110" i="3"/>
  <c r="R110" i="3"/>
  <c r="S110" i="3"/>
  <c r="P112" i="3" s="1"/>
  <c r="Q111" i="3"/>
  <c r="R111" i="3"/>
  <c r="S111" i="3"/>
  <c r="Q112" i="3"/>
  <c r="R112" i="3"/>
  <c r="S112" i="3"/>
  <c r="Q113" i="3"/>
  <c r="R113" i="3"/>
  <c r="S113" i="3"/>
  <c r="P113" i="3" s="1"/>
  <c r="Q114" i="3"/>
  <c r="R114" i="3"/>
  <c r="S114" i="3"/>
  <c r="P114" i="3" s="1"/>
  <c r="Q115" i="3"/>
  <c r="R115" i="3"/>
  <c r="S115" i="3"/>
  <c r="Q116" i="3"/>
  <c r="R116" i="3"/>
  <c r="S116" i="3"/>
  <c r="Q117" i="3"/>
  <c r="R117" i="3"/>
  <c r="S117" i="3"/>
  <c r="Q118" i="3"/>
  <c r="R118" i="3"/>
  <c r="S118" i="3"/>
  <c r="Q119" i="3"/>
  <c r="R119" i="3"/>
  <c r="S119" i="3"/>
  <c r="P119" i="3" s="1"/>
  <c r="Q120" i="3"/>
  <c r="R120" i="3"/>
  <c r="S120" i="3"/>
  <c r="Q121" i="3"/>
  <c r="R121" i="3"/>
  <c r="S121" i="3"/>
  <c r="Q122" i="3"/>
  <c r="R122" i="3"/>
  <c r="S122" i="3"/>
  <c r="Q123" i="3"/>
  <c r="R123" i="3"/>
  <c r="S123" i="3"/>
  <c r="P123" i="3" s="1"/>
  <c r="Q124" i="3"/>
  <c r="R124" i="3"/>
  <c r="S124" i="3"/>
  <c r="P124" i="3" s="1"/>
  <c r="T124" i="3" s="1"/>
  <c r="Q125" i="3"/>
  <c r="R125" i="3"/>
  <c r="S125" i="3"/>
  <c r="Q126" i="3"/>
  <c r="R126" i="3"/>
  <c r="S126" i="3"/>
  <c r="P126" i="3" s="1"/>
  <c r="Q127" i="3"/>
  <c r="R127" i="3"/>
  <c r="S127" i="3"/>
  <c r="P127" i="3" s="1"/>
  <c r="Q128" i="3"/>
  <c r="R128" i="3"/>
  <c r="S128" i="3"/>
  <c r="Q129" i="3"/>
  <c r="R129" i="3"/>
  <c r="S129" i="3"/>
  <c r="Q130" i="3"/>
  <c r="R130" i="3"/>
  <c r="S130" i="3"/>
  <c r="P130" i="3" s="1"/>
  <c r="Q131" i="3"/>
  <c r="R131" i="3"/>
  <c r="S131" i="3"/>
  <c r="P131" i="3" s="1"/>
  <c r="Q132" i="3"/>
  <c r="R132" i="3"/>
  <c r="S132" i="3"/>
  <c r="P132" i="3" s="1"/>
  <c r="Q133" i="3"/>
  <c r="R133" i="3"/>
  <c r="S133" i="3"/>
  <c r="P134" i="3" s="1"/>
  <c r="Q134" i="3"/>
  <c r="R134" i="3"/>
  <c r="S134" i="3"/>
  <c r="AG1" i="6" a="1"/>
  <c r="AG1" i="6" s="1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Q1" i="6" a="1"/>
  <c r="Q1" i="6" s="1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S99" i="3"/>
  <c r="R99" i="3"/>
  <c r="Q99" i="3"/>
  <c r="S98" i="3"/>
  <c r="R98" i="3"/>
  <c r="Q98" i="3"/>
  <c r="S97" i="3"/>
  <c r="R97" i="3"/>
  <c r="Q97" i="3"/>
  <c r="S96" i="3"/>
  <c r="R96" i="3"/>
  <c r="Q96" i="3"/>
  <c r="S95" i="3"/>
  <c r="R95" i="3"/>
  <c r="Q95" i="3"/>
  <c r="S94" i="3"/>
  <c r="R94" i="3"/>
  <c r="Q94" i="3"/>
  <c r="S93" i="3"/>
  <c r="R93" i="3"/>
  <c r="Q93" i="3"/>
  <c r="S92" i="3"/>
  <c r="R92" i="3"/>
  <c r="Q92" i="3"/>
  <c r="S91" i="3"/>
  <c r="R91" i="3"/>
  <c r="Q91" i="3"/>
  <c r="S90" i="3"/>
  <c r="R90" i="3"/>
  <c r="Q90" i="3"/>
  <c r="S89" i="3"/>
  <c r="R89" i="3"/>
  <c r="Q89" i="3"/>
  <c r="S88" i="3"/>
  <c r="R88" i="3"/>
  <c r="Q88" i="3"/>
  <c r="S87" i="3"/>
  <c r="R87" i="3"/>
  <c r="Q87" i="3"/>
  <c r="S86" i="3"/>
  <c r="R86" i="3"/>
  <c r="Q86" i="3"/>
  <c r="S85" i="3"/>
  <c r="R85" i="3"/>
  <c r="Q85" i="3"/>
  <c r="S84" i="3"/>
  <c r="R84" i="3"/>
  <c r="Q84" i="3"/>
  <c r="S83" i="3"/>
  <c r="R83" i="3"/>
  <c r="Q83" i="3"/>
  <c r="S82" i="3"/>
  <c r="R82" i="3"/>
  <c r="Q82" i="3"/>
  <c r="S81" i="3"/>
  <c r="R81" i="3"/>
  <c r="Q81" i="3"/>
  <c r="S80" i="3"/>
  <c r="R80" i="3"/>
  <c r="Q80" i="3"/>
  <c r="S79" i="3"/>
  <c r="R79" i="3"/>
  <c r="Q79" i="3"/>
  <c r="S78" i="3"/>
  <c r="R78" i="3"/>
  <c r="Q78" i="3"/>
  <c r="S77" i="3"/>
  <c r="R77" i="3"/>
  <c r="Q77" i="3"/>
  <c r="S76" i="3"/>
  <c r="R76" i="3"/>
  <c r="Q76" i="3"/>
  <c r="S75" i="3"/>
  <c r="R75" i="3"/>
  <c r="Q75" i="3"/>
  <c r="S74" i="3"/>
  <c r="R74" i="3"/>
  <c r="Q74" i="3"/>
  <c r="S73" i="3"/>
  <c r="R73" i="3"/>
  <c r="Q73" i="3"/>
  <c r="S72" i="3"/>
  <c r="R72" i="3"/>
  <c r="Q72" i="3"/>
  <c r="S71" i="3"/>
  <c r="R71" i="3"/>
  <c r="Q71" i="3"/>
  <c r="S70" i="3"/>
  <c r="R70" i="3"/>
  <c r="Q70" i="3"/>
  <c r="S69" i="3"/>
  <c r="R69" i="3"/>
  <c r="Q69" i="3"/>
  <c r="S68" i="3"/>
  <c r="R68" i="3"/>
  <c r="Q68" i="3"/>
  <c r="S67" i="3"/>
  <c r="R67" i="3"/>
  <c r="Q67" i="3"/>
  <c r="S66" i="3"/>
  <c r="R66" i="3"/>
  <c r="Q66" i="3"/>
  <c r="S65" i="3"/>
  <c r="R65" i="3"/>
  <c r="Q65" i="3"/>
  <c r="S64" i="3"/>
  <c r="R64" i="3"/>
  <c r="Q64" i="3"/>
  <c r="S63" i="3"/>
  <c r="R63" i="3"/>
  <c r="Q63" i="3"/>
  <c r="S62" i="3"/>
  <c r="R62" i="3"/>
  <c r="Q62" i="3"/>
  <c r="S61" i="3"/>
  <c r="R61" i="3"/>
  <c r="Q61" i="3"/>
  <c r="S60" i="3"/>
  <c r="R60" i="3"/>
  <c r="Q60" i="3"/>
  <c r="S59" i="3"/>
  <c r="R59" i="3"/>
  <c r="Q59" i="3"/>
  <c r="S58" i="3"/>
  <c r="S57" i="3"/>
  <c r="S56" i="3"/>
  <c r="R56" i="3"/>
  <c r="Q56" i="3"/>
  <c r="S55" i="3"/>
  <c r="R55" i="3"/>
  <c r="Q55" i="3"/>
  <c r="S54" i="3"/>
  <c r="R54" i="3"/>
  <c r="Q54" i="3"/>
  <c r="S53" i="3"/>
  <c r="R53" i="3"/>
  <c r="Q53" i="3"/>
  <c r="S52" i="3"/>
  <c r="R52" i="3"/>
  <c r="Q52" i="3"/>
  <c r="S51" i="3"/>
  <c r="R51" i="3"/>
  <c r="Q51" i="3"/>
  <c r="S50" i="3"/>
  <c r="R50" i="3"/>
  <c r="Q50" i="3"/>
  <c r="S49" i="3"/>
  <c r="R49" i="3"/>
  <c r="Q49" i="3"/>
  <c r="S48" i="3"/>
  <c r="R48" i="3"/>
  <c r="Q48" i="3"/>
  <c r="S47" i="3"/>
  <c r="R47" i="3"/>
  <c r="Q47" i="3"/>
  <c r="S46" i="3"/>
  <c r="R46" i="3"/>
  <c r="Q46" i="3"/>
  <c r="S45" i="3"/>
  <c r="R45" i="3"/>
  <c r="Q45" i="3"/>
  <c r="S44" i="3"/>
  <c r="R44" i="3"/>
  <c r="Q44" i="3"/>
  <c r="S43" i="3"/>
  <c r="R43" i="3"/>
  <c r="Q43" i="3"/>
  <c r="S42" i="3"/>
  <c r="R42" i="3"/>
  <c r="Q42" i="3"/>
  <c r="S41" i="3"/>
  <c r="R41" i="3"/>
  <c r="Q41" i="3"/>
  <c r="S40" i="3"/>
  <c r="R40" i="3"/>
  <c r="Q40" i="3"/>
  <c r="S39" i="3"/>
  <c r="R39" i="3"/>
  <c r="Q39" i="3"/>
  <c r="S38" i="3"/>
  <c r="R38" i="3"/>
  <c r="Q38" i="3"/>
  <c r="S37" i="3"/>
  <c r="R37" i="3"/>
  <c r="Q37" i="3"/>
  <c r="S36" i="3"/>
  <c r="R36" i="3"/>
  <c r="Q36" i="3"/>
  <c r="S35" i="3"/>
  <c r="R35" i="3"/>
  <c r="Q35" i="3"/>
  <c r="S34" i="3"/>
  <c r="R34" i="3"/>
  <c r="Q34" i="3"/>
  <c r="S33" i="3"/>
  <c r="R33" i="3"/>
  <c r="Q33" i="3"/>
  <c r="S32" i="3"/>
  <c r="R32" i="3"/>
  <c r="Q32" i="3"/>
  <c r="S31" i="3"/>
  <c r="R31" i="3"/>
  <c r="Q31" i="3"/>
  <c r="S30" i="3"/>
  <c r="R30" i="3"/>
  <c r="Q30" i="3"/>
  <c r="S29" i="3"/>
  <c r="R29" i="3"/>
  <c r="Q29" i="3"/>
  <c r="S28" i="3"/>
  <c r="R28" i="3"/>
  <c r="Q28" i="3"/>
  <c r="S27" i="3"/>
  <c r="R27" i="3"/>
  <c r="Q27" i="3"/>
  <c r="S26" i="3"/>
  <c r="R26" i="3"/>
  <c r="Q26" i="3"/>
  <c r="S25" i="3"/>
  <c r="R25" i="3"/>
  <c r="Q25" i="3"/>
  <c r="S24" i="3"/>
  <c r="R24" i="3"/>
  <c r="Q24" i="3"/>
  <c r="S23" i="3"/>
  <c r="R23" i="3"/>
  <c r="Q23" i="3"/>
  <c r="S22" i="3"/>
  <c r="R22" i="3"/>
  <c r="Q22" i="3"/>
  <c r="S21" i="3"/>
  <c r="R21" i="3"/>
  <c r="Q21" i="3"/>
  <c r="S20" i="3"/>
  <c r="R20" i="3"/>
  <c r="Q20" i="3"/>
  <c r="S19" i="3"/>
  <c r="R19" i="3"/>
  <c r="Q19" i="3"/>
  <c r="S18" i="3"/>
  <c r="R18" i="3"/>
  <c r="Q18" i="3"/>
  <c r="S17" i="3"/>
  <c r="R17" i="3"/>
  <c r="Q17" i="3"/>
  <c r="S16" i="3"/>
  <c r="R16" i="3"/>
  <c r="Q16" i="3"/>
  <c r="S15" i="3"/>
  <c r="R15" i="3"/>
  <c r="Q15" i="3"/>
  <c r="S14" i="3"/>
  <c r="R14" i="3"/>
  <c r="Q14" i="3"/>
  <c r="S13" i="3"/>
  <c r="R13" i="3"/>
  <c r="Q13" i="3"/>
  <c r="S12" i="3"/>
  <c r="R12" i="3"/>
  <c r="Q12" i="3"/>
  <c r="S11" i="3"/>
  <c r="R11" i="3"/>
  <c r="Q11" i="3"/>
  <c r="S10" i="3"/>
  <c r="R10" i="3"/>
  <c r="Q10" i="3"/>
  <c r="S9" i="3"/>
  <c r="P9" i="3" s="1"/>
  <c r="T9" i="3" s="1"/>
  <c r="R9" i="3"/>
  <c r="Q9" i="3"/>
  <c r="S8" i="3"/>
  <c r="R8" i="3"/>
  <c r="Q8" i="3"/>
  <c r="S7" i="3"/>
  <c r="P7" i="3" s="1"/>
  <c r="T7" i="3" s="1"/>
  <c r="R7" i="3"/>
  <c r="Q7" i="3"/>
  <c r="S6" i="3"/>
  <c r="R6" i="3"/>
  <c r="Q6" i="3"/>
  <c r="S5" i="3"/>
  <c r="R5" i="3"/>
  <c r="Q5" i="3"/>
  <c r="S4" i="3"/>
  <c r="R4" i="3"/>
  <c r="Q4" i="3"/>
  <c r="S3" i="3"/>
  <c r="R3" i="3"/>
  <c r="Q3" i="3"/>
  <c r="P6" i="3"/>
  <c r="T6" i="3" s="1"/>
  <c r="S2" i="3"/>
  <c r="R2" i="3"/>
  <c r="Q2" i="3"/>
  <c r="P116" i="3" l="1"/>
  <c r="P108" i="3"/>
  <c r="P115" i="3"/>
  <c r="P107" i="3"/>
  <c r="P122" i="3"/>
  <c r="T129" i="3"/>
  <c r="P129" i="3"/>
  <c r="P121" i="3"/>
  <c r="T121" i="3" s="1"/>
  <c r="T113" i="3"/>
  <c r="T105" i="3"/>
  <c r="P128" i="3"/>
  <c r="T128" i="3" s="1"/>
  <c r="P120" i="3"/>
  <c r="T110" i="3"/>
  <c r="P111" i="3"/>
  <c r="T111" i="3" s="1"/>
  <c r="P103" i="3"/>
  <c r="T103" i="3" s="1"/>
  <c r="T123" i="3"/>
  <c r="P118" i="3"/>
  <c r="T118" i="3" s="1"/>
  <c r="P110" i="3"/>
  <c r="P102" i="3"/>
  <c r="T102" i="3" s="1"/>
  <c r="T117" i="3"/>
  <c r="T109" i="3"/>
  <c r="T132" i="3"/>
  <c r="T125" i="3"/>
  <c r="T130" i="3"/>
  <c r="P100" i="3"/>
  <c r="T100" i="3" s="1"/>
  <c r="T114" i="3"/>
  <c r="T126" i="3"/>
  <c r="T131" i="3"/>
  <c r="T115" i="3"/>
  <c r="T119" i="3"/>
  <c r="T107" i="3"/>
  <c r="T120" i="3"/>
  <c r="T116" i="3"/>
  <c r="T134" i="3"/>
  <c r="T127" i="3"/>
  <c r="T112" i="3"/>
  <c r="T108" i="3"/>
  <c r="T122" i="3"/>
  <c r="T106" i="3"/>
  <c r="T133" i="3"/>
  <c r="P101" i="3"/>
  <c r="T101" i="3" s="1"/>
  <c r="T104" i="3"/>
  <c r="P76" i="3"/>
  <c r="T76" i="3" s="1"/>
  <c r="P39" i="3"/>
  <c r="T39" i="3" s="1"/>
  <c r="P80" i="3"/>
  <c r="T80" i="3" s="1"/>
  <c r="P92" i="3"/>
  <c r="T92" i="3" s="1"/>
  <c r="P68" i="3"/>
  <c r="T68" i="3" s="1"/>
  <c r="P26" i="3"/>
  <c r="T26" i="3" s="1"/>
  <c r="P30" i="3"/>
  <c r="T30" i="3" s="1"/>
  <c r="P34" i="3"/>
  <c r="T34" i="3" s="1"/>
  <c r="P42" i="3"/>
  <c r="T42" i="3" s="1"/>
  <c r="P60" i="3"/>
  <c r="T60" i="3" s="1"/>
  <c r="P84" i="3"/>
  <c r="T84" i="3" s="1"/>
  <c r="P10" i="3"/>
  <c r="T10" i="3" s="1"/>
  <c r="P22" i="3"/>
  <c r="T22" i="3" s="1"/>
  <c r="P54" i="3"/>
  <c r="T54" i="3" s="1"/>
  <c r="P43" i="3"/>
  <c r="T43" i="3" s="1"/>
  <c r="P45" i="3"/>
  <c r="T45" i="3" s="1"/>
  <c r="P61" i="3"/>
  <c r="T61" i="3" s="1"/>
  <c r="P63" i="3"/>
  <c r="T63" i="3" s="1"/>
  <c r="P78" i="3"/>
  <c r="T78" i="3" s="1"/>
  <c r="P93" i="3"/>
  <c r="T93" i="3" s="1"/>
  <c r="P95" i="3"/>
  <c r="T95" i="3" s="1"/>
  <c r="P41" i="3"/>
  <c r="T41" i="3" s="1"/>
  <c r="P91" i="3"/>
  <c r="T91" i="3" s="1"/>
  <c r="P13" i="3"/>
  <c r="T13" i="3" s="1"/>
  <c r="P15" i="3"/>
  <c r="T15" i="3" s="1"/>
  <c r="P17" i="3"/>
  <c r="T17" i="3" s="1"/>
  <c r="P32" i="3"/>
  <c r="T32" i="3" s="1"/>
  <c r="P47" i="3"/>
  <c r="T47" i="3" s="1"/>
  <c r="P49" i="3"/>
  <c r="T49" i="3" s="1"/>
  <c r="P65" i="3"/>
  <c r="T65" i="3" s="1"/>
  <c r="P67" i="3"/>
  <c r="T67" i="3" s="1"/>
  <c r="P82" i="3"/>
  <c r="T82" i="3" s="1"/>
  <c r="P97" i="3"/>
  <c r="T97" i="3" s="1"/>
  <c r="P99" i="3"/>
  <c r="T99" i="3" s="1"/>
  <c r="P72" i="3"/>
  <c r="T72" i="3" s="1"/>
  <c r="P28" i="3"/>
  <c r="T28" i="3" s="1"/>
  <c r="P2" i="3"/>
  <c r="T2" i="3" s="1"/>
  <c r="P4" i="3"/>
  <c r="T4" i="3" s="1"/>
  <c r="P19" i="3"/>
  <c r="T19" i="3" s="1"/>
  <c r="P21" i="3"/>
  <c r="T21" i="3" s="1"/>
  <c r="P36" i="3"/>
  <c r="T36" i="3" s="1"/>
  <c r="P51" i="3"/>
  <c r="T51" i="3" s="1"/>
  <c r="P53" i="3"/>
  <c r="T53" i="3" s="1"/>
  <c r="P69" i="3"/>
  <c r="T69" i="3" s="1"/>
  <c r="P71" i="3"/>
  <c r="T71" i="3" s="1"/>
  <c r="P86" i="3"/>
  <c r="T86" i="3" s="1"/>
  <c r="P56" i="3"/>
  <c r="T56" i="3" s="1"/>
  <c r="P89" i="3"/>
  <c r="T89" i="3" s="1"/>
  <c r="P11" i="3"/>
  <c r="T11" i="3" s="1"/>
  <c r="P8" i="3"/>
  <c r="T8" i="3" s="1"/>
  <c r="P23" i="3"/>
  <c r="T23" i="3" s="1"/>
  <c r="P25" i="3"/>
  <c r="T25" i="3" s="1"/>
  <c r="P38" i="3"/>
  <c r="T38" i="3" s="1"/>
  <c r="P40" i="3"/>
  <c r="T40" i="3" s="1"/>
  <c r="P55" i="3"/>
  <c r="T55" i="3" s="1"/>
  <c r="P57" i="3"/>
  <c r="T57" i="3" s="1"/>
  <c r="P73" i="3"/>
  <c r="T73" i="3" s="1"/>
  <c r="P75" i="3"/>
  <c r="T75" i="3" s="1"/>
  <c r="P88" i="3"/>
  <c r="T88" i="3" s="1"/>
  <c r="P90" i="3"/>
  <c r="T90" i="3" s="1"/>
  <c r="P74" i="3"/>
  <c r="T74" i="3" s="1"/>
  <c r="P12" i="3"/>
  <c r="T12" i="3" s="1"/>
  <c r="P27" i="3"/>
  <c r="T27" i="3" s="1"/>
  <c r="P29" i="3"/>
  <c r="T29" i="3" s="1"/>
  <c r="P44" i="3"/>
  <c r="T44" i="3" s="1"/>
  <c r="P62" i="3"/>
  <c r="T62" i="3" s="1"/>
  <c r="P77" i="3"/>
  <c r="T77" i="3" s="1"/>
  <c r="P79" i="3"/>
  <c r="T79" i="3" s="1"/>
  <c r="P94" i="3"/>
  <c r="T94" i="3" s="1"/>
  <c r="P14" i="3"/>
  <c r="T14" i="3" s="1"/>
  <c r="P16" i="3"/>
  <c r="T16" i="3" s="1"/>
  <c r="P31" i="3"/>
  <c r="T31" i="3" s="1"/>
  <c r="P33" i="3"/>
  <c r="T33" i="3" s="1"/>
  <c r="P46" i="3"/>
  <c r="T46" i="3" s="1"/>
  <c r="P48" i="3"/>
  <c r="T48" i="3" s="1"/>
  <c r="P58" i="3"/>
  <c r="T58" i="3" s="1"/>
  <c r="P64" i="3"/>
  <c r="T64" i="3" s="1"/>
  <c r="P66" i="3"/>
  <c r="T66" i="3" s="1"/>
  <c r="P81" i="3"/>
  <c r="T81" i="3" s="1"/>
  <c r="P83" i="3"/>
  <c r="T83" i="3" s="1"/>
  <c r="P96" i="3"/>
  <c r="T96" i="3" s="1"/>
  <c r="P98" i="3"/>
  <c r="T98" i="3" s="1"/>
  <c r="P24" i="3"/>
  <c r="T24" i="3" s="1"/>
  <c r="P59" i="3"/>
  <c r="T59" i="3" s="1"/>
  <c r="P3" i="3"/>
  <c r="T3" i="3" s="1"/>
  <c r="P5" i="3"/>
  <c r="T5" i="3" s="1"/>
  <c r="P18" i="3"/>
  <c r="T18" i="3" s="1"/>
  <c r="P20" i="3"/>
  <c r="T20" i="3" s="1"/>
  <c r="P35" i="3"/>
  <c r="T35" i="3" s="1"/>
  <c r="P37" i="3"/>
  <c r="T37" i="3" s="1"/>
  <c r="P50" i="3"/>
  <c r="T50" i="3" s="1"/>
  <c r="P52" i="3"/>
  <c r="T52" i="3" s="1"/>
  <c r="P70" i="3"/>
  <c r="T70" i="3" s="1"/>
  <c r="P85" i="3"/>
  <c r="T85" i="3" s="1"/>
  <c r="P87" i="3"/>
  <c r="T87" i="3" s="1"/>
  <c r="J44" i="5"/>
  <c r="R44" i="5" s="1"/>
  <c r="J5" i="5"/>
  <c r="R5" i="5" s="1"/>
  <c r="J9" i="5"/>
  <c r="R9" i="5" s="1"/>
  <c r="J13" i="5"/>
  <c r="R13" i="5" s="1"/>
  <c r="J17" i="5"/>
  <c r="R17" i="5" s="1"/>
  <c r="J21" i="5"/>
  <c r="R21" i="5" s="1"/>
  <c r="J25" i="5"/>
  <c r="R25" i="5" s="1"/>
  <c r="J29" i="5"/>
  <c r="R29" i="5" s="1"/>
  <c r="J33" i="5"/>
  <c r="R33" i="5" s="1"/>
  <c r="J37" i="5"/>
  <c r="R37" i="5" s="1"/>
  <c r="J41" i="5"/>
  <c r="R41" i="5" s="1"/>
  <c r="J2" i="5"/>
  <c r="R2" i="5" s="1"/>
  <c r="J6" i="5"/>
  <c r="R6" i="5" s="1"/>
  <c r="J10" i="5"/>
  <c r="R10" i="5" s="1"/>
  <c r="J14" i="5"/>
  <c r="R14" i="5" s="1"/>
  <c r="J18" i="5"/>
  <c r="R18" i="5" s="1"/>
  <c r="J22" i="5"/>
  <c r="R22" i="5" s="1"/>
  <c r="J26" i="5"/>
  <c r="R26" i="5" s="1"/>
  <c r="J30" i="5"/>
  <c r="R30" i="5" s="1"/>
  <c r="J34" i="5"/>
  <c r="R34" i="5" s="1"/>
  <c r="J38" i="5"/>
  <c r="R38" i="5" s="1"/>
  <c r="J42" i="5"/>
  <c r="R42" i="5" s="1"/>
  <c r="J3" i="5"/>
  <c r="R3" i="5" s="1"/>
  <c r="J7" i="5"/>
  <c r="R7" i="5" s="1"/>
  <c r="J11" i="5"/>
  <c r="R11" i="5" s="1"/>
  <c r="J15" i="5"/>
  <c r="R15" i="5" s="1"/>
  <c r="J19" i="5"/>
  <c r="R19" i="5" s="1"/>
  <c r="J23" i="5"/>
  <c r="R23" i="5" s="1"/>
  <c r="J27" i="5"/>
  <c r="R27" i="5" s="1"/>
  <c r="J31" i="5"/>
  <c r="R31" i="5" s="1"/>
  <c r="J35" i="5"/>
  <c r="R35" i="5" s="1"/>
  <c r="J39" i="5"/>
  <c r="R39" i="5" s="1"/>
  <c r="J43" i="5"/>
  <c r="R43" i="5" s="1"/>
  <c r="J4" i="5"/>
  <c r="R4" i="5" s="1"/>
  <c r="J8" i="5"/>
  <c r="R8" i="5" s="1"/>
  <c r="J12" i="5"/>
  <c r="R12" i="5" s="1"/>
  <c r="J16" i="5"/>
  <c r="R16" i="5" s="1"/>
  <c r="J20" i="5"/>
  <c r="R20" i="5" s="1"/>
  <c r="J24" i="5"/>
  <c r="R24" i="5" s="1"/>
  <c r="J28" i="5"/>
  <c r="R28" i="5" s="1"/>
  <c r="J32" i="5"/>
  <c r="R32" i="5" s="1"/>
  <c r="J36" i="5"/>
  <c r="R36" i="5" s="1"/>
  <c r="J40" i="5"/>
  <c r="R40" i="5" s="1"/>
  <c r="U1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<sst xmlns="http://schemas.openxmlformats.org/spreadsheetml/2006/main" count="2325" uniqueCount="507">
  <si>
    <t>Style/Color</t>
  </si>
  <si>
    <t>Size</t>
  </si>
  <si>
    <t>Count</t>
  </si>
  <si>
    <t>Color</t>
  </si>
  <si>
    <t>Style</t>
  </si>
  <si>
    <t>Цена</t>
  </si>
  <si>
    <t>BLKBLK</t>
  </si>
  <si>
    <t>WHI</t>
  </si>
  <si>
    <t>O/S</t>
  </si>
  <si>
    <t>BLKWHI</t>
  </si>
  <si>
    <t>GRAWHI</t>
  </si>
  <si>
    <t>OTC</t>
  </si>
  <si>
    <t>BLK</t>
  </si>
  <si>
    <t>STN</t>
  </si>
  <si>
    <t>NAVY</t>
  </si>
  <si>
    <t>GM</t>
  </si>
  <si>
    <t>GRN</t>
  </si>
  <si>
    <t>NVYWHT</t>
  </si>
  <si>
    <t>BLAWHT</t>
  </si>
  <si>
    <t>NVYWHI</t>
  </si>
  <si>
    <t>TEAM</t>
  </si>
  <si>
    <t>LRYWHI</t>
  </si>
  <si>
    <t>SCAWHI</t>
  </si>
  <si>
    <t>BLKOTC</t>
  </si>
  <si>
    <t>MNCBLK</t>
  </si>
  <si>
    <t>STNWHI</t>
  </si>
  <si>
    <t>NOVWHI</t>
  </si>
  <si>
    <t>WHIWHI</t>
  </si>
  <si>
    <t>GRAPNK</t>
  </si>
  <si>
    <t>CARWHI</t>
  </si>
  <si>
    <t>Код команды</t>
  </si>
  <si>
    <t>Название</t>
  </si>
  <si>
    <t>Лига</t>
  </si>
  <si>
    <t>Команды</t>
  </si>
  <si>
    <t>Лиги</t>
  </si>
  <si>
    <t>Размер их</t>
  </si>
  <si>
    <t>Наш</t>
  </si>
  <si>
    <t>NEYYAN</t>
  </si>
  <si>
    <t>New York Yankees</t>
  </si>
  <si>
    <t>MLB</t>
  </si>
  <si>
    <t>Los Angeles Dodgers</t>
  </si>
  <si>
    <t>L/XL</t>
  </si>
  <si>
    <t>LOSDOD</t>
  </si>
  <si>
    <t>o/s</t>
  </si>
  <si>
    <t>CHIBUL</t>
  </si>
  <si>
    <t>Chicago Bulls</t>
  </si>
  <si>
    <t>NBA</t>
  </si>
  <si>
    <t>M/L</t>
  </si>
  <si>
    <t>LOSLAK</t>
  </si>
  <si>
    <t>Los Angeles Lakers</t>
  </si>
  <si>
    <t>S/M</t>
  </si>
  <si>
    <t>OAKATH</t>
  </si>
  <si>
    <t>Oakland Athletics</t>
  </si>
  <si>
    <t>Boston Red Sox</t>
  </si>
  <si>
    <t>7 1/2</t>
  </si>
  <si>
    <t>BOSRED</t>
  </si>
  <si>
    <t>Las Vegas Raiders</t>
  </si>
  <si>
    <t>NFL</t>
  </si>
  <si>
    <t>L</t>
  </si>
  <si>
    <t>LOSCLI</t>
  </si>
  <si>
    <t>Los Angeles Clippers</t>
  </si>
  <si>
    <t>M</t>
  </si>
  <si>
    <t>OTCBROOKLYN</t>
  </si>
  <si>
    <t>Brooklyn Nets</t>
  </si>
  <si>
    <t>S</t>
  </si>
  <si>
    <t>MIAHEA</t>
  </si>
  <si>
    <t>Miami Heat</t>
  </si>
  <si>
    <t>LASRAI</t>
  </si>
  <si>
    <t>CHELFC</t>
  </si>
  <si>
    <t>Chelsea</t>
  </si>
  <si>
    <t>EPL</t>
  </si>
  <si>
    <t>MANUTD</t>
  </si>
  <si>
    <t>Manchester United</t>
  </si>
  <si>
    <t>NEYGIA</t>
  </si>
  <si>
    <t>New York Giants</t>
  </si>
  <si>
    <t>TOTHAT</t>
  </si>
  <si>
    <t>Tottenham Hotspur</t>
  </si>
  <si>
    <t>CRYPAL</t>
  </si>
  <si>
    <t>Crystal Palace</t>
  </si>
  <si>
    <t>ATHMAD</t>
  </si>
  <si>
    <t>Atletico Madrid</t>
  </si>
  <si>
    <t>LaLiga</t>
  </si>
  <si>
    <t>FAI</t>
  </si>
  <si>
    <t>FA Ireland</t>
  </si>
  <si>
    <t>UEFA</t>
  </si>
  <si>
    <t>ATLBRA</t>
  </si>
  <si>
    <t>Atlanta Braves</t>
  </si>
  <si>
    <t>CHIWHI</t>
  </si>
  <si>
    <t>Chicago White Socks</t>
  </si>
  <si>
    <t>PITPIR</t>
  </si>
  <si>
    <t>Pittsburgh Pirates</t>
  </si>
  <si>
    <t>Средняя цена</t>
  </si>
  <si>
    <t>Name</t>
  </si>
  <si>
    <t>Рос</t>
  </si>
  <si>
    <t>Наш размер</t>
  </si>
  <si>
    <t>Страна по ГТД</t>
  </si>
  <si>
    <t>Кол-во</t>
  </si>
  <si>
    <t>ГТД</t>
  </si>
  <si>
    <t>Состав</t>
  </si>
  <si>
    <t>Описание</t>
  </si>
  <si>
    <t>Пол</t>
  </si>
  <si>
    <t>Команда</t>
  </si>
  <si>
    <t>Сумма</t>
  </si>
  <si>
    <t>Сумма по средней</t>
  </si>
  <si>
    <t>10047507-NAVY o/s  Бейсболка THE LEAGUE ATLBRA GM тёмно-синий р. o/s</t>
  </si>
  <si>
    <t>Б/р</t>
  </si>
  <si>
    <t>БАНГЛАДЕШ</t>
  </si>
  <si>
    <t>10013160/090622/3291500/1</t>
  </si>
  <si>
    <t>100% Полиэстер</t>
  </si>
  <si>
    <t>унисекс</t>
  </si>
  <si>
    <t>10047511-OTC o/s  Бейсболка THE LEAGUE BOSRED GM тёмно-синий р. o/s</t>
  </si>
  <si>
    <t>10047515-BLKWHI o/s  Бейсболка THE LEAGUE CHIWHI GM черный р. o/s</t>
  </si>
  <si>
    <t>Модель 9FIFTY с логотипом команды MLB CHICAGO WHITE SOX и логотипом New Era.</t>
  </si>
  <si>
    <t>10047531-GM o/s  Бейсболка THE LEAGUE LOSDOD GM синий р. o/s</t>
  </si>
  <si>
    <t>Модель 9FIFTY с логотипом команды MLB LOS ANGELES DODGERS и логотипом New Era.</t>
  </si>
  <si>
    <t>КИТАЙ</t>
  </si>
  <si>
    <t>10216170/160120/0009423/3</t>
  </si>
  <si>
    <t>10047538-NAVY o/s  Бейсболка THE LEAGUE NEYYAN GM тёмно-синий р. o/s</t>
  </si>
  <si>
    <t>Модель 9FIFTY с логотипом команды MLB NEW YORK YANKEES и логотипом New Era.</t>
  </si>
  <si>
    <t>10047540-GRN o/s  Бейсболка THE LEAGUE OAKATH HM зеленый р. o/s</t>
  </si>
  <si>
    <t>Модель 9FIFTY с логотипом команды MLB OAKLAND ATHLETICS и логотипом New Era.</t>
  </si>
  <si>
    <t>10047544-OTC o/s  Бейсболка THE LEAGUE PITPIR GM чёрный р. o/s</t>
  </si>
  <si>
    <t>Модель 9FIFTY с логотипом команды MLB PITTSBURGH PIRATES и логотипом New Era.</t>
  </si>
  <si>
    <t>10145636-NVYWHT M/L  Бейсболка 39THIRTY LEAGUE BASIC NEYYAN NAVY/WHITE синий р. M/L</t>
  </si>
  <si>
    <t>57-60</t>
  </si>
  <si>
    <t>97% Хлопок - 3% Эластан</t>
  </si>
  <si>
    <t>Модель 39THIRTY с логотипом команды MLB NEW YORK YANKEES и логотипом New Era.</t>
  </si>
  <si>
    <t>10145636-NVYWHT S/M  Бейсболка 39THIRTY LEAGUE BASIC NEYYAN NAVY/WHITE синий р. S/M</t>
  </si>
  <si>
    <t>54-57</t>
  </si>
  <si>
    <t>10145637-BLKBLK M/L  Бейсболка 39THIRTY LEAGUE BASIC NEYYAN BLACK/BLACK черный р. M/L</t>
  </si>
  <si>
    <t>10702070/060921/0281005/1</t>
  </si>
  <si>
    <t>10145637-BLKBLK S/M  Бейсболка 39THIRTY LEAGUE BASIC NEYYAN BLACK/BLACK черный р. S/M</t>
  </si>
  <si>
    <t>10145638-BLAWHT M/L  Бейсболка 39THIRTY LEAGUE BASIC NEYYAN BLACK/WHITE черный р. M/L</t>
  </si>
  <si>
    <t>10145638-BLAWHT S/M  Бейсболка 39THIRTY LEAGUE BASIC NEYYAN BLACK/WHITE черный р. S/M</t>
  </si>
  <si>
    <t>10531939-NVYWHI o/s  Бейсболка 940 LEAG BASIC NEYYAN NAVY/WHITE синий р. o/s</t>
  </si>
  <si>
    <t>100% Хлопок</t>
  </si>
  <si>
    <t>Бренд New Era создает кепки, которые не выходят из моды многие годы. Данная модель имеет изогнутый козырек и удобную систему регулировки размера. Хлопок обеспечивает отличную вентиляцию, для лучшего доступа воздуха предусмотрены люверсы на каждом "лепестке".</t>
  </si>
  <si>
    <t>10531941-BLKWHI o/s  Бейсболка 940 LEAG BASIC NEYYAN BLACK/WHITE чёрный р. o/s</t>
  </si>
  <si>
    <t>Отличная базовая бейсболка с объемным логотипом команды MLB New York Yankees. Выполнена из 100% хлопка.</t>
  </si>
  <si>
    <t>10531953-NVYWHI M/L  Бейсболка MLB 9FIFTY NEYYAN TEAM черный р. M/L</t>
  </si>
  <si>
    <t>10531953-NVYWHI S/M  Бейсболка MLB 9FIFTY NEYYAN TEAM черный р. S/M</t>
  </si>
  <si>
    <t>10531954-TEAM M/L  Бейсболка MLB 9FIFTY LOSDOD TEAM синий р. M/L</t>
  </si>
  <si>
    <t>10531954-TEAM S/M  Бейсболка MLB 9FIFTY LOSDOD TEAM синий р. S/M</t>
  </si>
  <si>
    <t>10531956-TEAM M/L  Бейсболка MLB 9FIFTY BOSRED TEAM черный р. M/L</t>
  </si>
  <si>
    <t>Модель 9FIFTY с логотипом команды MLB BOSTON RED и логотипом New Era.</t>
  </si>
  <si>
    <t>10531956-TEAM S/M  Бейсболка MLB 9FIFTY BOSRED TEAM черный р. S/M</t>
  </si>
  <si>
    <t>10879529-BLK M/L  Бейсболка NFL COTTON BLOCK LASRAI GREY/BLACK черный/серый р. M/L</t>
  </si>
  <si>
    <t>10879529-BLK S/M  Бейсболка NFL COTTON BLOCK LASRAI GREY/BLACK черный/серый р. S/M</t>
  </si>
  <si>
    <t>11157578-WHI o/s  Бейсболка FASHION ESS 940 NEYYAN PNKWHI розовый р. o/s</t>
  </si>
  <si>
    <t>Бейсболка модели 9Forty c логотипом команды MLB New York YANKEES и логотипом New Era. Удобная посадка и отличное качество вышивки.</t>
  </si>
  <si>
    <t>женский</t>
  </si>
  <si>
    <t>11157579-LRYWHI o/s  Бейсболка 940 LEAGUE BASIC NEYYAN LRYWHI синий р. o/s</t>
  </si>
  <si>
    <t>11180834-BLKBLK M/L  Бейсболка MLB 9FIFTY NEYYAN BLKBLK черный р. M/L</t>
  </si>
  <si>
    <t>Бейсболка модели 9Fifty с логотипом команды MLB New York Yankees и логотипом New Era. Бейсболка регулируется сзади.</t>
  </si>
  <si>
    <t>11180834-BLKBLK S/M  Бейсболка MLB 9FIFTY NEYYAN BLKBLK черный р. S/M</t>
  </si>
  <si>
    <t>11405497-LRYWHI o/s  Бейсболка CLEAN TRUCKER LOSDOD LRYWHI синий р. o/s</t>
  </si>
  <si>
    <t>Классическая бейсболка-тракер А-силуэта с логотипом клуба LOS ANGELES DODGERS и логотипом New Era.</t>
  </si>
  <si>
    <t>11405614-OTC o/s  Бейсболка THE LEAGUE CHIBUL OTC чёрный р. o/s</t>
  </si>
  <si>
    <t>Модель 9FIFTY с логотипом команды NBA CHICAGO BULLS и логотипом New Era.</t>
  </si>
  <si>
    <t>11576724-NAVY o/s  Бейсболка THE LEAGUE DETTIG HM 18 тёмно-синий р. o/s</t>
  </si>
  <si>
    <t>11579473-BLK o/s  Бейсболка CLEAN TRUCKER NEYYAN WDCBLK камуфляж р. o/s</t>
  </si>
  <si>
    <t>11588488-SCAWHI o/s  Бейсболка CLEAN TRUCKER 2 NEYYAN SCAWHI красный р. o/s</t>
  </si>
  <si>
    <t>11588490-GRAWHI o/s  Бейсболка CLEAN TRUCKER 2 NEYYAN GRAWHI серый р. o/s</t>
  </si>
  <si>
    <t>11871279-. M/L  Бейсболка STRETCH SNAP 9FIFTY NEYYAN BLKOTC чёрный р. M/L</t>
  </si>
  <si>
    <t>95% Полиэстер - 5% Эластан</t>
  </si>
  <si>
    <t>11871279-. S/M  Бейсболка STRETCH SNAP 9FIFTY NEYYAN BLKOTC чёрный р. S/M</t>
  </si>
  <si>
    <t>12051998-MNCBLK o/s  Бейсболка LEAGUE ESSENTIAL 940 NEYYAN MNCBLK камуфляж р. o/s</t>
  </si>
  <si>
    <t>Бейсболка модели 9Forty c эмблемой команды NEW YORK YANKEES и логотипом New Era.</t>
  </si>
  <si>
    <t>12052000-BLK o/s  Бейсболка LEAGUE ESSENTIAL 940 LOSDOD BLKBLK 2 чёрный р. o/s</t>
  </si>
  <si>
    <t>Бейсболка модели 9Forty c эмблемой команды LOS ANGELES DODGERS и логотипом New Era.</t>
  </si>
  <si>
    <t>12122741-BLKWHI o/s  Бейсболка ESSENTIAL 940 WMNS NEYYAN BLKWHI чёрный р. o/s</t>
  </si>
  <si>
    <t>12122742-BLKBLK o/s  Бейсболка ESSENTIAL 940 WMNS NEYYAN BLKBLK чёрный р. o/s</t>
  </si>
  <si>
    <t>12285467-WHI o/s  Бейсболка ESSENTIAL AF TRUCKER NEYYAN WHI белый р. o/s</t>
  </si>
  <si>
    <t>100% хлопок</t>
  </si>
  <si>
    <t>12380590-STN o/s  Бейсболка LEAGUE ESSENTIAL 940 NEYYAN STN 3 бежевый р. o/s</t>
  </si>
  <si>
    <t>12380594-BLK o/s  Бейсболка LEAGUE ESSENTIAL 940 NEYYAN BLK 2 чёрный р. o/s</t>
  </si>
  <si>
    <t>12380796-OTC o/s  Бейсболка TEAM COLOUR BLOCK TRUCKER NEYYAN OTC синий р. o/s</t>
  </si>
  <si>
    <t>12523893-STNWHI o/s  Бейсболка LEAGUE ESSENL 940 AF TRCKR NEYYAN STNWHI бежевый р. o/s</t>
  </si>
  <si>
    <t>12523894-NOVWHI o/s  Бейсболка LEAGUE ESSENL 940 AF TRCKR NEYYAN NOVWHI оливковый р.o/s</t>
  </si>
  <si>
    <t>12523903-WHIWHI o/s  Бейсболка DIAMOND ERA 9FORTY NEYYAN WHIWHI белый р. o/s</t>
  </si>
  <si>
    <t>12523912-BLKBLK o/s  Бейсболка BOB TEAM LOGO 940 AF TRCKR LOSDOD BLKBLK черный р. o/s</t>
  </si>
  <si>
    <t>12572845-OTC 7 1/8  Бейсболка ACPERF EMEA CHIWHI GM 5950 CHIWHI OTC чёрный р. 7 1/8</t>
  </si>
  <si>
    <t>7 1/8</t>
  </si>
  <si>
    <t>80468932-BLK o/s  Бейсболка MLB LEAGUE ESS 940 NEYYAN BLKBLK чёрный р. o/s</t>
  </si>
  <si>
    <t>80489231-GRAPNK o/s  Бейсболка TECH JERSEY 9FORTY WMN NEYYAN GRAPNK серый р. o/s</t>
  </si>
  <si>
    <t>100% полиэстер</t>
  </si>
  <si>
    <t>Женская модель 9Forty c логотипом команды MLB New York YANKEES и логотипом New Era. Удобная посадка и отличное качество вышивки.</t>
  </si>
  <si>
    <t>80524868-WHI o/s  Бейсболка WMN ESSENTIAL 940 NEYYAN WHI белый р. o/s</t>
  </si>
  <si>
    <t>80636012-CARWHI o/s  Бейсболка LEAG ESNL 940 NEYYAN CARWHI тёмно-красный р. o/s</t>
  </si>
  <si>
    <t>Группа</t>
  </si>
  <si>
    <t>СУММА</t>
  </si>
  <si>
    <t>10047507NAVY</t>
  </si>
  <si>
    <t>10047511OTC</t>
  </si>
  <si>
    <t>10047515BLKWHI</t>
  </si>
  <si>
    <t>10047531GM</t>
  </si>
  <si>
    <t>10047538NAVY</t>
  </si>
  <si>
    <t>10047540GRN</t>
  </si>
  <si>
    <t>10047544OTC</t>
  </si>
  <si>
    <t>PITTSBURGH PIRATES</t>
  </si>
  <si>
    <t>10145636NVYWHT</t>
  </si>
  <si>
    <t>10145637BLKBLK</t>
  </si>
  <si>
    <t>10145638BLAWHT</t>
  </si>
  <si>
    <t>10531939NVYWHI</t>
  </si>
  <si>
    <t>10531941BLKWHI</t>
  </si>
  <si>
    <t>10531953NVYWHI</t>
  </si>
  <si>
    <t>10531954TEAM</t>
  </si>
  <si>
    <t>10531956TEAM</t>
  </si>
  <si>
    <t>10879529BLK</t>
  </si>
  <si>
    <t>11157578WHI</t>
  </si>
  <si>
    <t>11157579LRYWHI</t>
  </si>
  <si>
    <t>11180834BLKBLK</t>
  </si>
  <si>
    <t>11405497LRYWHI</t>
  </si>
  <si>
    <t>11405614OTC</t>
  </si>
  <si>
    <t>11576724NAVY</t>
  </si>
  <si>
    <t>11579473BLK</t>
  </si>
  <si>
    <t>11588488SCAWHI</t>
  </si>
  <si>
    <t>11588490GRAWHI</t>
  </si>
  <si>
    <t>11871279BLKOTC</t>
  </si>
  <si>
    <t>12051998MNCBLK</t>
  </si>
  <si>
    <t>12052000BLK</t>
  </si>
  <si>
    <t>12122741BLKWHI</t>
  </si>
  <si>
    <t>12122742BLKBLK</t>
  </si>
  <si>
    <t>12285467WHI</t>
  </si>
  <si>
    <t>12380590STN</t>
  </si>
  <si>
    <t>12380594BLK</t>
  </si>
  <si>
    <t>12380796OTC</t>
  </si>
  <si>
    <t>12523893STNWHI</t>
  </si>
  <si>
    <t>12523894NOVWHI</t>
  </si>
  <si>
    <t>12523903WHIWHI</t>
  </si>
  <si>
    <t>12523912BLKBLK</t>
  </si>
  <si>
    <t>12572845OTC</t>
  </si>
  <si>
    <t>80468932BLK</t>
  </si>
  <si>
    <t>80489231GRAPNK</t>
  </si>
  <si>
    <t>80524868WHI</t>
  </si>
  <si>
    <t>80636012CARWHI</t>
  </si>
  <si>
    <t>Формула</t>
  </si>
  <si>
    <t>10145637-BLKBLK L/XL  Бейсболка 39THIRTY LEAGUE BASIC NEYYAN BLACK/BLACK черный р.L/XL</t>
  </si>
  <si>
    <t>11179831WHI</t>
  </si>
  <si>
    <t>11179831-WHI o/s  Бейсболка NE BASIC 9FORTY NEW ERA NVYWHI черный р. o/s</t>
  </si>
  <si>
    <t>11179834GRAPWHI</t>
  </si>
  <si>
    <t>GRAPWHI</t>
  </si>
  <si>
    <t>11179834-GRAPWHI o/s  Бейсболка NE BASIC 9FORTY NEW ERA GRHWHI серый р. o/s</t>
  </si>
  <si>
    <t>11179866BLKWHI</t>
  </si>
  <si>
    <t>11179866-BLKWHI o/s  Бейсболка NE BASIC 9FORTY NEW ERA BLKWHI черный р. o/s</t>
  </si>
  <si>
    <t>11179873GRAWHI</t>
  </si>
  <si>
    <t>11179873-GRAWHI M/L  Бейсболка NE BASIC 39THIRTY NEW ERA GRAWHI серый р. M/L</t>
  </si>
  <si>
    <t>11277642NVYRIG</t>
  </si>
  <si>
    <t>NVYRIG</t>
  </si>
  <si>
    <t>11277642-NVYRIG o/s  Шапка Contrast Cuff Bobble Hat синий/зелёный р.o/s</t>
  </si>
  <si>
    <t>11379840WHT</t>
  </si>
  <si>
    <t>WHT</t>
  </si>
  <si>
    <t>11379840-WHT o/s  Бейсболка CORE 940 TRUCKER LOSDOD белый р. o/s</t>
  </si>
  <si>
    <t>11448329OTC</t>
  </si>
  <si>
    <t>11448329-OTC o/s Шапка MLB HEATHER BOBBLE NEYYAN HGROTC серый/синий р. o/s</t>
  </si>
  <si>
    <t>11448330OTC</t>
  </si>
  <si>
    <t>11448330-OTC o/s Шапка MLB HEATHER BOBBLE LOSDOD HGRMRN серый/бордовый р. o/s</t>
  </si>
  <si>
    <t>11448333BLU</t>
  </si>
  <si>
    <t>BLU</t>
  </si>
  <si>
    <t>11448333-BLU o/s Шапка CUFF KNIT NEYGIA ROYAL BLUE синий р. o/s</t>
  </si>
  <si>
    <t>11600974GRH</t>
  </si>
  <si>
    <t>GRH</t>
  </si>
  <si>
    <t>11600974-GRH o/s  Шапка Tonal Bobble Knit Hat серый р.o/s</t>
  </si>
  <si>
    <t>11601006NVYGRY</t>
  </si>
  <si>
    <t>NVYGRY</t>
  </si>
  <si>
    <t>11601006-NVYGRY o/s  Шапка Contrast Cuff Bobble Hat синий р.o/s</t>
  </si>
  <si>
    <t>11601067HNV</t>
  </si>
  <si>
    <t>HNV</t>
  </si>
  <si>
    <t>11601067-HNV o/s Шапка CUFF KNIT BOBBLE NE NAVY синий р. o/s</t>
  </si>
  <si>
    <t>12033074NAV</t>
  </si>
  <si>
    <t>NAV</t>
  </si>
  <si>
    <t>12033074-NAV o/s  Шапка Wide Cuff Patch Knit Hat синий р.o/s</t>
  </si>
  <si>
    <t>12033078BLK</t>
  </si>
  <si>
    <t>12033078-BLK o/s  Шапка Wide Cuff Patch Knit Hat черный р.o/s</t>
  </si>
  <si>
    <t>12033099NOV</t>
  </si>
  <si>
    <t>NOV</t>
  </si>
  <si>
    <t>12033099-NOV o/s Шапка CUFF KNIT NE NAVY LIC 915 зелёный р. o/s</t>
  </si>
  <si>
    <t>12033103BLK</t>
  </si>
  <si>
    <t>12033103-BLK o/s Шапка CUFF KNIT NE BLACK LIC 915 черный р. o/s</t>
  </si>
  <si>
    <t>12033128BLK</t>
  </si>
  <si>
    <t>12033128-BLK o/s  Шапка NYC Emb Knit Hat черный р.o/s</t>
  </si>
  <si>
    <t>12033266LOSDOD</t>
  </si>
  <si>
    <t>12033266-LOSDOD o/s Шапка CUFF KNIT LOSOD DARK ROYAL LIC 805 синий р. o/s</t>
  </si>
  <si>
    <t>12122729BLKBLK</t>
  </si>
  <si>
    <t>12122729-BLKBLK o/s  Шапка MLB ESSENTIAL CUFF KNIT NEYYAN BLKBLK Hat черный р.o/s</t>
  </si>
  <si>
    <t>12156075OTC</t>
  </si>
  <si>
    <t>12156075-OTC o/s  Шапка NBA ESSENTIAL KNIT CUFF CHIBUL BLKOTC Hat черный р.o/s</t>
  </si>
  <si>
    <t>12162668BLK</t>
  </si>
  <si>
    <t>12162668-BLK o/s  Бейсболка HEART RATE TRUCKER черный р. o/s</t>
  </si>
  <si>
    <t>12285245BLK</t>
  </si>
  <si>
    <t>12285245-BLK S/M  Бейсболка TONAL BLACK 950 SS CHIBUL BLK чёрный р. S/M</t>
  </si>
  <si>
    <t>12292584BLK</t>
  </si>
  <si>
    <t>12292584-BLK o/s  Бейсболка NBA ESSENTIAL OUTLINE 940 LOSLAK BLK чёрный р. o/s</t>
  </si>
  <si>
    <t>12292586BLK</t>
  </si>
  <si>
    <t>12292586-BLK o/s  Бейсболка NBA ESSENTIAL OUTLINE 940 CHIBUL BLK чёрный р. o/s</t>
  </si>
  <si>
    <t>12309046NOL</t>
  </si>
  <si>
    <t>NOL</t>
  </si>
  <si>
    <t>12309046-NOL o/s  Бейсболка NEW ERA RUBBER LOGO TRUCKER оливковый р. o/s</t>
  </si>
  <si>
    <t>12489434GRAWHT</t>
  </si>
  <si>
    <t>GRAWHT</t>
  </si>
  <si>
    <t>12489434-GRAWHT o/s  Шапка Wide Cuff Patch Knit Hat серый р.o/s</t>
  </si>
  <si>
    <t>12489435BURWHT</t>
  </si>
  <si>
    <t>BURWHT</t>
  </si>
  <si>
    <t>12489435-BURWHT o/s  Шапка Wide Cuff Patch Knit Hat бордовый р.o/s</t>
  </si>
  <si>
    <t>PNK</t>
  </si>
  <si>
    <t>12489441-PNK o/s Шапка CUFF KNIT PINK/CARDINA розовый р. o/s</t>
  </si>
  <si>
    <t>NVY</t>
  </si>
  <si>
    <t>12489454-NVY o/s Шапка CUFF KNIT OAKATH NAVY LIC 805 синий р. o/s</t>
  </si>
  <si>
    <t>12489459-NVY o/s Шапка CUFF KNIT BOBBLE MLB NEYYAN NVYWHI синий р. o/s</t>
  </si>
  <si>
    <t>12489460-BLK o/s Шапка CUFF KNIT BOBBLE NEYYAN BLACK LIC 1500 черный р. o/s</t>
  </si>
  <si>
    <t>MRN</t>
  </si>
  <si>
    <t>12489461-MRN o/s Шапка CUFF KNIT BOBBLE LOSDOD MAROON LIC 1500 бордовый р. o/s</t>
  </si>
  <si>
    <t>NVYSCA</t>
  </si>
  <si>
    <t>12505744-NVYSCA o/s Шапка TEAM POM LIC 12027 KNIT BOSRED NVYSCA серый р. o/s</t>
  </si>
  <si>
    <t>12505771-NOV o/s Шапка NE FLECK CUFF LIC 1505 KNIT NOV оливковый р. o/s</t>
  </si>
  <si>
    <t>12505772-MRN o/s Шапка NE FLECK CUFF LIC 1505 KNIT MRN бордовый р. o/s</t>
  </si>
  <si>
    <t>12505779BLK</t>
  </si>
  <si>
    <t>12505779-BLK o/s  Шапка NE Essential Cuff Knit чёрный р. o/s</t>
  </si>
  <si>
    <t>12505780AGD</t>
  </si>
  <si>
    <t>AGD</t>
  </si>
  <si>
    <t>12505780-AGD o/s  Шапка NE Essential Cuff Knit желтый р. o/s</t>
  </si>
  <si>
    <t>12523896GRHWHI</t>
  </si>
  <si>
    <t>GRHWHI</t>
  </si>
  <si>
    <t>12523896-GRHWHI o/s  Бейсболка JERSEY 9FORTY NEYYAN GRHWHI серый р. o/s</t>
  </si>
  <si>
    <t>12523908MRNWHI</t>
  </si>
  <si>
    <t>MRNWHI</t>
  </si>
  <si>
    <t>12523908-MRNWHI L/XL  Бейсболка DIAMOND ERA 3930 NEYYAN MRNWHI Baseball cap бордовый р.L/XL</t>
  </si>
  <si>
    <t>12573358WHI</t>
  </si>
  <si>
    <t>12573358-WHI o/s  Бейсболка F AND L 940 AFRAME WHI белый р. o/s</t>
  </si>
  <si>
    <t>12881461BLK</t>
  </si>
  <si>
    <t>12881461-BLK o/s  Бейсболка FL 15TH A CASUAL CLASSIC BLK черный р. o/s</t>
  </si>
  <si>
    <t>60102591OTC</t>
  </si>
  <si>
    <t>60102591-OTC o/s Шапка NBA20 CITY OFF KNIT LOSCLI OTCLOS ANGELES CLIPPERS серый р. o/s</t>
  </si>
  <si>
    <t>60102707OTC</t>
  </si>
  <si>
    <t>60102707-OTC o/s Шапка NBA20 CITY ALT KNIT BRONET OTCBROOKLYN NETS серый р. o/s</t>
  </si>
  <si>
    <t>60102809OTC</t>
  </si>
  <si>
    <t>60102809-OTC o/s Шапка NBA20 CITY ALT KNIT MIAHEA OTCMIAMI HEAT серый р. o/s</t>
  </si>
  <si>
    <t>60102842OTC</t>
  </si>
  <si>
    <t>60102842-OTC o/s Шапка NBA20 CITY ALT KNIT CHIBUL OTCCHICAGO BULLS серый р. o/s</t>
  </si>
  <si>
    <t>60137461CDT</t>
  </si>
  <si>
    <t>CDT</t>
  </si>
  <si>
    <t>60137461-CDT M/L  Бейсболка LEAGUE ESSENTIAL 9FIFTY LOSDOD  CDT синий р. M/L</t>
  </si>
  <si>
    <t>60137517BLK</t>
  </si>
  <si>
    <t>60137517-BLK M/L  Бейсболка TEAM COLOUR 9FIFTY STSP LASRAI  BLK черный р. M/L</t>
  </si>
  <si>
    <t>60137527NVYSCA</t>
  </si>
  <si>
    <t>60137527-NVYSCA 7 1/2  Бейсболка LEAGUE ESSENTIAL 59FIFTY NEYYAN  NVYSCA синий р. 7 1/2</t>
  </si>
  <si>
    <t>60137571TRP</t>
  </si>
  <si>
    <t>TRP</t>
  </si>
  <si>
    <t>60137571-TRP M/L  Бейсболка TEAM COLOUR 9FIFTY STSP LOSLAK  TRP фиолетовый р. M/L</t>
  </si>
  <si>
    <t>60137572FDR</t>
  </si>
  <si>
    <t>FDR</t>
  </si>
  <si>
    <t>60137572-FDR M/L  Бейсболка TEAM COLOUR 9FIFTY STSP CHIBUL  FDR красный р. M/L</t>
  </si>
  <si>
    <t>60141477-. L  Панама NE ESSENTIAL TAPERED BUCKET   BLK черный р. L</t>
  </si>
  <si>
    <t>GRA</t>
  </si>
  <si>
    <t>60141518-. o/s  Шапка TEAM WAFFLE KNIT LOSLAK  GRA серый р. o/s</t>
  </si>
  <si>
    <t>ORG</t>
  </si>
  <si>
    <t>60141613-. o/s  Шапка LEAGUE ESS CUFF KNIT DETTIG  ORG оранжевый р. o/s</t>
  </si>
  <si>
    <t>IND</t>
  </si>
  <si>
    <t>60141649-. o/s  Шапка NE POP SHORT CUFF KNIT   IND синий р. o/s</t>
  </si>
  <si>
    <t>60141650-. o/s  Шапка NE POP SHORT CUFF KNIT   NOV оливковый р. o/s</t>
  </si>
  <si>
    <t>60141694-. o/s  Шапка LEAGUE ESS CUFF KNIT NEYYAN  STN песочный р. o/s</t>
  </si>
  <si>
    <t>BLKFUR</t>
  </si>
  <si>
    <t>60141713-. o/s  Шапка LEAGUE ESS CUFF KNIT NEYYAN  BLKFUR черный р. o/s</t>
  </si>
  <si>
    <t>BLKTEL</t>
  </si>
  <si>
    <t>60141714-. o/s  Шапка LEAGUE ESS CUFF KNIT NEYYAN  BLKTEL черный р. o/s</t>
  </si>
  <si>
    <t>60141872-. o/s  Шапка TEAM CUFF BEANIE NEYYAN  MRN бордовый р. o/s</t>
  </si>
  <si>
    <t>60141873-. o/s  Шапка TEAM CUFF BEANIE NEYYAN  WHT коричневый р. o/s</t>
  </si>
  <si>
    <t>DRYWHI</t>
  </si>
  <si>
    <t>60142926-. o/s  Бейсболка RUBBER LOGO 940 TRUCKER ATHMAD  DRYWHI синий р. o/s</t>
  </si>
  <si>
    <t>LTCKGR</t>
  </si>
  <si>
    <t>60142978-. o/s  Бейсболка POP VISOR 940 FAI  LTCKGR белый, зелёный р. o/s</t>
  </si>
  <si>
    <t>LNV</t>
  </si>
  <si>
    <t>60143362-. o/s  Шапка WORDMARK STRIPE CUFF BOBBLE CHELFC  LNV синий р. o/s</t>
  </si>
  <si>
    <t>CAB</t>
  </si>
  <si>
    <t>60143365-. o/s  Шапка HERITAGE 50s CUFF KNIT CHELFC  CAB синий р. o/s</t>
  </si>
  <si>
    <t>60143369-. o/s  Бейсболка FADE 940 CHELFC  WHI синий р. o/s</t>
  </si>
  <si>
    <t>60143379-. o/s  Бейсболка COTTON 940 EFTRUCKER CHELFC  CAB синий р. o/s</t>
  </si>
  <si>
    <t>SCA</t>
  </si>
  <si>
    <t>60143386-. o/s  Бейсболка RUBBER PATCH 940 MANUTD  SCA красный р. o/s</t>
  </si>
  <si>
    <t>60143387-. o/s  Бейсболка RIPSTOP 9FORTY MANUTD  BLK черный р. o/s</t>
  </si>
  <si>
    <t>60143388-. o/s  Бейсболка DEVIL LINE PRINT 940 TRUCKER MANUTD BLK черный р. o/s</t>
  </si>
  <si>
    <t>60143391-. o/s  Бейсболка CORD PATCH 9FORTY MANUTD  SCA красный р. o/s</t>
  </si>
  <si>
    <t>GRABLK</t>
  </si>
  <si>
    <t>60143393-. o/s  Шапка WORDMARK BOBBLE CUFF KNIT MANUTD  GRABLK серый р. o/s</t>
  </si>
  <si>
    <t>BLKSCA</t>
  </si>
  <si>
    <t>60143394-. o/s  Шапка STRIPE SKULL KNIT MANUTD  BLKSCA красный р. o/s</t>
  </si>
  <si>
    <t>60143400-. o/s  Бейсболка PATCH 9FORTY MANUTD  NVY тёмно-синий р. o/s</t>
  </si>
  <si>
    <t>60143408-. o/s  Шапка WORDMARK BOBBLE CUFF KNIT MANUTD  BLKSCA красный р. o/s</t>
  </si>
  <si>
    <t>60143421-. o/s  Бейсболка RUBBER PATCH 9FORTY TOTHOT  WHI белый р. o/s</t>
  </si>
  <si>
    <t>60143425-. o/s  Шапка STRIPE SKULL KNIT TOTHOT  LNV тёмно-синий р. o/s</t>
  </si>
  <si>
    <t>60144009BLU</t>
  </si>
  <si>
    <t>60144009-BLU o/s  Шапка Womens MLB Cuff Knit голубой р. o/s</t>
  </si>
  <si>
    <t>60144011GRP</t>
  </si>
  <si>
    <t>GRP</t>
  </si>
  <si>
    <t>60144011-GRP o/s  Шапка Womens MLB Cuff Knit серый р. o/s</t>
  </si>
  <si>
    <t>60179011NVY</t>
  </si>
  <si>
    <t>60179011-. o/s  Бейсболка ESSENTIAL COTTON 920 CRYPAL  NVY тёмно-синий р. o/s</t>
  </si>
  <si>
    <t>60221462BLK</t>
  </si>
  <si>
    <t>60221462-BLK o/s  Бейсболка SEASONAL 9FORTY MANUTD  BLK черный р. o/s</t>
  </si>
  <si>
    <t>60222226NOV</t>
  </si>
  <si>
    <t>60222226-NOV L  Панама NE ESSENTIAL TAPERED BUCKET NEWERA  NOV зеленый р. L</t>
  </si>
  <si>
    <t>60222227STN</t>
  </si>
  <si>
    <t>60222227-STN L  Панама NE ESSENTIAL TAPERED BUCKET NEWERA  STN бежевый р. L</t>
  </si>
  <si>
    <t>60222249ATB</t>
  </si>
  <si>
    <t>ATB</t>
  </si>
  <si>
    <t>60222249-ATB L  Панама NE ESSENTIAL TAPERED BUCKET NEWERA  ATB синий р. L</t>
  </si>
  <si>
    <t>60222255URC</t>
  </si>
  <si>
    <t>URC</t>
  </si>
  <si>
    <t>60222255-URC L  Панама PATTERNED TAPERED BUCKET NEWERA  URC белый р. L</t>
  </si>
  <si>
    <t>60222258DKG</t>
  </si>
  <si>
    <t>DKG</t>
  </si>
  <si>
    <t>60222258-DKG o/s  Бейсболка NE HERITAGE TRUCKER NEWERA  DKG зеленый р. o/s</t>
  </si>
  <si>
    <t>60222310NVY</t>
  </si>
  <si>
    <t>60222310-NVY L  Панама TEAM TAB TAPERED BUCKET NEYYAN  NVY синий р. L</t>
  </si>
  <si>
    <t>60222327BLK</t>
  </si>
  <si>
    <t>60222327-BLK M  Панама NE ESSENTIAL TAPERED BUCKET NEWERA  BLK черный р. M</t>
  </si>
  <si>
    <t>60222332BLK</t>
  </si>
  <si>
    <t>60222332-BLK L  Панама NE TRI PATCH BUCKET NEWERA  BLK черный р. L</t>
  </si>
  <si>
    <t>60222375CAR</t>
  </si>
  <si>
    <t>CAR</t>
  </si>
  <si>
    <t>60222375-CAR o/s  Бейсболка NE HERITAGE 9FORTY NEWERA  CAR красный р. o/s</t>
  </si>
  <si>
    <t>60222382GRP</t>
  </si>
  <si>
    <t>60222382-GRP L  Панама PATTERNED TAPERED BUCKET NEWERA  GRP серый р. L</t>
  </si>
  <si>
    <t>60222405PLM</t>
  </si>
  <si>
    <t>PLM</t>
  </si>
  <si>
    <t>60222405-PLM o/s  Бейсболка WMNS JERSEY 9FORTY NEYYAN  PLM розовый р. o/s</t>
  </si>
  <si>
    <t>60222423SGR</t>
  </si>
  <si>
    <t>SGR</t>
  </si>
  <si>
    <t>60222423-SGR o/s  Бейсболка TEAM ARCH 9FORTY LASRAI  SGR серый р. o/s</t>
  </si>
  <si>
    <t>60222449PNK</t>
  </si>
  <si>
    <t>60222449-PNK L  Панама WMNS AOP BUCKET NEWERA  PNK розовый р. L</t>
  </si>
  <si>
    <t>60222488NVY</t>
  </si>
  <si>
    <t>60222488-NVY o/s  Бейсболка WORDMARK GRAPHIC TRUCKER NEYYAN  NVY синий р. o/s</t>
  </si>
  <si>
    <t>60222489GRA</t>
  </si>
  <si>
    <t>60222489-GRA o/s  Бейсболка WORDMARK GRAPHIC TRUCKER LOSLAK  GRA серый р. o/s</t>
  </si>
  <si>
    <t>60222496BLK</t>
  </si>
  <si>
    <t>60222496-BLK o/s  Бейсболка BLACK WHITE 9FORTY LOSDOD  BLK черный р. o/s</t>
  </si>
  <si>
    <t>60222498BSK</t>
  </si>
  <si>
    <t>BSK</t>
  </si>
  <si>
    <t>60222498-BSK L  Панама WMNS NE ESSENTIAL BUCKET NEWERA  BSK розовый р. L</t>
  </si>
  <si>
    <t>60222505BLK</t>
  </si>
  <si>
    <t>60222505-BLK L  Панама TEAM TAB TAPERED BUCKET CHIBUL  BLK черный р. L</t>
  </si>
  <si>
    <t>60222506GRA</t>
  </si>
  <si>
    <t>60222506-GRA L  Панама TEAM TAB TAPERED BUCKET NEYYAN  GRA серый р. L</t>
  </si>
  <si>
    <t>60222551BLK</t>
  </si>
  <si>
    <t>60222551-BLK o/s  Бейсболка CALI 9FORTY NEWERA  BLK черный р. o/s</t>
  </si>
  <si>
    <t>60222553IRF</t>
  </si>
  <si>
    <t>IRF</t>
  </si>
  <si>
    <t>60222553-IRF L  Панама WMNS NE ESSENTIAL BUCKET NEWERA  IRF синий р. L</t>
  </si>
  <si>
    <t>TOTHOT</t>
  </si>
  <si>
    <t>11179873-GRAWHI S/M  Бейсболка NE BASIC 39THIRTY NEW ERA GRAWHI серый р. S/M</t>
  </si>
  <si>
    <t>12489441PNK</t>
  </si>
  <si>
    <t>12489454NVY</t>
  </si>
  <si>
    <t>12489459NVY</t>
  </si>
  <si>
    <t>12489460BLK</t>
  </si>
  <si>
    <t>12489461MRN</t>
  </si>
  <si>
    <t>12505744NVYSCA</t>
  </si>
  <si>
    <t>12505771NOV</t>
  </si>
  <si>
    <t>12505772MRN</t>
  </si>
  <si>
    <t>60137461-CDT S/M  Бейсболка LEAGUE ESSENTIAL 9FIFTY LOSDOD  CDT синий р. S/M</t>
  </si>
  <si>
    <t>60137517-BLK S/M  Бейсболка TEAM COLOUR 9FIFTY STSP LASRAI  BLK черный р. S/M</t>
  </si>
  <si>
    <t>60137571-TRP S/M  Бейсболка TEAM COLOUR 9FIFTY STSP LOSLAK  TRP фиолетовый р. S/M</t>
  </si>
  <si>
    <t>60137572-FDR S/M  Бейсболка TEAM COLOUR 9FIFTY STSP CHIBUL  FDR красный р. S/M</t>
  </si>
  <si>
    <t>60141477BLK</t>
  </si>
  <si>
    <t>60141477-. M  Панама NE ESSENTIAL TAPERED BUCKET   BLK черный р. M</t>
  </si>
  <si>
    <t>60141477-. S  Панама NE ESSENTIAL TAPERED BUCKET   BLK черный р. S</t>
  </si>
  <si>
    <t>60141518GRA</t>
  </si>
  <si>
    <t>60141613ORG</t>
  </si>
  <si>
    <t>60141649IND</t>
  </si>
  <si>
    <t>60141650NOV</t>
  </si>
  <si>
    <t>60141694STN</t>
  </si>
  <si>
    <t>60141713BLKFUR</t>
  </si>
  <si>
    <t>60141714BLKTEL</t>
  </si>
  <si>
    <t>60141872MRN</t>
  </si>
  <si>
    <t>60141873WHT</t>
  </si>
  <si>
    <t>60142926DRYWHI</t>
  </si>
  <si>
    <t>60142978LTCKGR</t>
  </si>
  <si>
    <t>60143362LNV</t>
  </si>
  <si>
    <t>60143365CAB</t>
  </si>
  <si>
    <t>60143369WHI</t>
  </si>
  <si>
    <t>60143379CAB</t>
  </si>
  <si>
    <t>60143386SCA</t>
  </si>
  <si>
    <t>60143387BLK</t>
  </si>
  <si>
    <t>60143388BLK</t>
  </si>
  <si>
    <t>60143391SCA</t>
  </si>
  <si>
    <t>60143393GRABLK</t>
  </si>
  <si>
    <t>60143394BLKSCA</t>
  </si>
  <si>
    <t>60143400NVY</t>
  </si>
  <si>
    <t>60143408BLKSCA</t>
  </si>
  <si>
    <t>60143421WHI</t>
  </si>
  <si>
    <t>60143425LNV</t>
  </si>
  <si>
    <t>60222226-NOV M  Панама NE ESSENTIAL TAPERED BUCKET NEWERA  NOV зеленый р. M</t>
  </si>
  <si>
    <t>60222226-NOV S  Панама NE ESSENTIAL TAPERED BUCKET NEWERA  NOV зеленый р. S</t>
  </si>
  <si>
    <t>60222227-STN M  Панама NE ESSENTIAL TAPERED BUCKET NEWERA  STN бежевый р. M</t>
  </si>
  <si>
    <t>60222249-ATB M  Панама NE ESSENTIAL TAPERED BUCKET NEWERA  ATB синий р. M</t>
  </si>
  <si>
    <t>60222249-ATB S  Панама NE ESSENTIAL TAPERED BUCKET NEWERA  ATB синий р. S</t>
  </si>
  <si>
    <t>60222255-URC M  Панама PATTERNED TAPERED BUCKET NEWERA  URC белый р. M</t>
  </si>
  <si>
    <t>60222255-URC S  Панама PATTERNED TAPERED BUCKET NEWERA  URC белый р. S</t>
  </si>
  <si>
    <t>60222310-NVY S  Панама TEAM TAB TAPERED BUCKET NEYYAN  NVY синий р. S</t>
  </si>
  <si>
    <t>60222332-BLK M  Панама NE TRI PATCH BUCKET NEWERA  BLK черный р. M</t>
  </si>
  <si>
    <t>60222332-BLK S  Панама NE TRI PATCH BUCKET NEWERA  BLK черный р. S</t>
  </si>
  <si>
    <t>60222382-GRP M  Панама PATTERNED TAPERED BUCKET NEWERA  GRP серый р. M</t>
  </si>
  <si>
    <t>60222382-GRP S  Панама PATTERNED TAPERED BUCKET NEWERA  GRP серый р. S</t>
  </si>
  <si>
    <t>60222449-PNK M  Панама WMNS AOP BUCKET NEWERA  PNK розовый р. M</t>
  </si>
  <si>
    <t>60222449-PNK S  Панама WMNS AOP BUCKET NEWERA  PNK розовый р. S</t>
  </si>
  <si>
    <t>60222498-BSK M  Панама WMNS NE ESSENTIAL BUCKET NEWERA  BSK розовый р. M</t>
  </si>
  <si>
    <t>60222506-GRA S  Панама TEAM TAB TAPERED BUCKET NEYYAN  GRA серый р. S</t>
  </si>
  <si>
    <t>60222553-IRF M  Панама WMNS NE ESSENTIAL BUCKET NEWERA  IRF синий р.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</si>
</sst>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1" xfId="0" applyFont="1" applyBorder="1"/>
    <xf numFmtId="0" fontId="0" fillId="0" borderId="1" xfId="0" applyBorder="1"/>
    <xf numFmtId="0" fontId="2" fillId="0" borderId="1" xfId="0" applyFont="1" applyBorder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/>
    <xf numFmtId="0" fontId="0" fillId="0" borderId="7" xfId="0" applyBorder="1"/>
    <xf numFmtId="0" fontId="0" fillId="0" borderId="6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1" fillId="0" borderId="0" xfId="0" applyFont="1" applyBorder="1"/>
    <xf numFmtId="0" fontId="1" fillId="2" borderId="3" xfId="0" applyFont="1" applyFill="1" applyBorder="1" applyAlignment="1">
      <alignment horizontal="center" vertical="center"/>
    </xf>
    <xf numFmtId="0" fontId="1" fillId="3" borderId="4" xfId="0" applyNumberFormat="1" applyFont="1" applyFill="1" applyBorder="1" applyAlignment="1">
      <alignment horizontal="center" vertical="center"/>
    </xf>
    <xf numFmtId="1" fontId="1" fillId="3" borderId="5" xfId="0" applyNumberFormat="1" applyFont="1" applyFill="1" applyBorder="1" applyAlignment="1">
      <alignment horizontal="center" vertical="center"/>
    </xf>
    <xf numFmtId="0" fontId="1" fillId="5" borderId="2" xfId="0" applyFont="1" applyFill="1" applyBorder="1"/>
    <xf numFmtId="0" fontId="4" fillId="0" borderId="0" xfId="0" applyFont="1"/>
  </cellXfs>
  <cellStyles count="1">
    <cellStyle name="Обычный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333375</xdr:colOff>
          <xdr:row>1</xdr:row>
          <xdr:rowOff>57150</xdr:rowOff>
        </xdr:from>
        <xdr:to>
          <xdr:col>32</xdr:col>
          <xdr:colOff>114300</xdr:colOff>
          <xdr:row>3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120650</xdr:colOff>
      <xdr:row>1</xdr:row>
      <xdr:rowOff>25479</xdr:rowOff>
    </xdr:from>
    <xdr:to>
      <xdr:col>0</xdr:col>
      <xdr:colOff>1898650</xdr:colOff>
      <xdr:row>1</xdr:row>
      <xdr:rowOff>2270046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3D0A0F2-5E41-46FF-A68C-B036243763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21597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</xdr:row>
      <xdr:rowOff>25479</xdr:rowOff>
    </xdr:from>
    <xdr:to>
      <xdr:col>0</xdr:col>
      <xdr:colOff>1898650</xdr:colOff>
      <xdr:row>2</xdr:row>
      <xdr:rowOff>2270046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AAF72B81-8742-4826-9D84-7C3C029F6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251150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</xdr:row>
      <xdr:rowOff>25479</xdr:rowOff>
    </xdr:from>
    <xdr:to>
      <xdr:col>0</xdr:col>
      <xdr:colOff>1898650</xdr:colOff>
      <xdr:row>3</xdr:row>
      <xdr:rowOff>2270046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249D11C9-1701-4572-8D07-80BA41927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480702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4</xdr:row>
      <xdr:rowOff>25479</xdr:rowOff>
    </xdr:from>
    <xdr:to>
      <xdr:col>0</xdr:col>
      <xdr:colOff>1898650</xdr:colOff>
      <xdr:row>4</xdr:row>
      <xdr:rowOff>2270046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6D8233C6-1C2E-43AC-B541-3EA682BEB3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710255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5</xdr:row>
      <xdr:rowOff>25479</xdr:rowOff>
    </xdr:from>
    <xdr:to>
      <xdr:col>0</xdr:col>
      <xdr:colOff>1898650</xdr:colOff>
      <xdr:row>5</xdr:row>
      <xdr:rowOff>2270046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7CC622E2-28D8-476F-ADF4-A536497DAF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939807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6</xdr:row>
      <xdr:rowOff>25479</xdr:rowOff>
    </xdr:from>
    <xdr:to>
      <xdr:col>0</xdr:col>
      <xdr:colOff>1898650</xdr:colOff>
      <xdr:row>6</xdr:row>
      <xdr:rowOff>2270046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9D962620-2786-4FC4-AC91-BB22C8F436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1169360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7</xdr:row>
      <xdr:rowOff>25479</xdr:rowOff>
    </xdr:from>
    <xdr:to>
      <xdr:col>0</xdr:col>
      <xdr:colOff>1898650</xdr:colOff>
      <xdr:row>7</xdr:row>
      <xdr:rowOff>2270046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73EAFCEC-81E4-4E72-A53E-5AE0453CA3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1398912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8</xdr:row>
      <xdr:rowOff>25479</xdr:rowOff>
    </xdr:from>
    <xdr:to>
      <xdr:col>0</xdr:col>
      <xdr:colOff>1898650</xdr:colOff>
      <xdr:row>8</xdr:row>
      <xdr:rowOff>2270046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769CDD4C-8B88-422D-A326-628F318EF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1628465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9</xdr:row>
      <xdr:rowOff>25479</xdr:rowOff>
    </xdr:from>
    <xdr:to>
      <xdr:col>0</xdr:col>
      <xdr:colOff>1898650</xdr:colOff>
      <xdr:row>9</xdr:row>
      <xdr:rowOff>2270046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7152514B-6BA2-4A28-AC0E-B8D457C3E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1858017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11</xdr:row>
      <xdr:rowOff>25479</xdr:rowOff>
    </xdr:from>
    <xdr:to>
      <xdr:col>0</xdr:col>
      <xdr:colOff>1898650</xdr:colOff>
      <xdr:row>11</xdr:row>
      <xdr:rowOff>2270046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A29CFCD0-A73D-4349-AB4D-2814BA8998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2305692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12</xdr:row>
      <xdr:rowOff>25479</xdr:rowOff>
    </xdr:from>
    <xdr:to>
      <xdr:col>0</xdr:col>
      <xdr:colOff>1898650</xdr:colOff>
      <xdr:row>12</xdr:row>
      <xdr:rowOff>2270046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795AD553-5097-4DD1-A53F-E0E811996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2535245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13</xdr:row>
      <xdr:rowOff>25479</xdr:rowOff>
    </xdr:from>
    <xdr:to>
      <xdr:col>0</xdr:col>
      <xdr:colOff>1898650</xdr:colOff>
      <xdr:row>13</xdr:row>
      <xdr:rowOff>2270046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2B3BEC3B-B810-4328-9C31-4ECF0E185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2764797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14</xdr:row>
      <xdr:rowOff>25478</xdr:rowOff>
    </xdr:from>
    <xdr:to>
      <xdr:col>0</xdr:col>
      <xdr:colOff>1898650</xdr:colOff>
      <xdr:row>14</xdr:row>
      <xdr:rowOff>2270045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48AC5734-304E-4420-9374-5CEB78B0A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2994350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15</xdr:row>
      <xdr:rowOff>25478</xdr:rowOff>
    </xdr:from>
    <xdr:to>
      <xdr:col>0</xdr:col>
      <xdr:colOff>1898650</xdr:colOff>
      <xdr:row>15</xdr:row>
      <xdr:rowOff>2270045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9D5BA443-A0CB-4AD7-902B-8FB282942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32239028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16</xdr:row>
      <xdr:rowOff>25478</xdr:rowOff>
    </xdr:from>
    <xdr:to>
      <xdr:col>0</xdr:col>
      <xdr:colOff>1898650</xdr:colOff>
      <xdr:row>16</xdr:row>
      <xdr:rowOff>2270045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D1CA4691-EB4D-49C3-9C0F-65C070357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3453455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17</xdr:row>
      <xdr:rowOff>25478</xdr:rowOff>
    </xdr:from>
    <xdr:to>
      <xdr:col>0</xdr:col>
      <xdr:colOff>1898650</xdr:colOff>
      <xdr:row>17</xdr:row>
      <xdr:rowOff>2270045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1AEE865F-7CB5-448B-93A4-1DABAFC1C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36830078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18</xdr:row>
      <xdr:rowOff>25478</xdr:rowOff>
    </xdr:from>
    <xdr:to>
      <xdr:col>0</xdr:col>
      <xdr:colOff>1898650</xdr:colOff>
      <xdr:row>18</xdr:row>
      <xdr:rowOff>2270045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A5D18C2F-0E00-4269-8523-646B096B6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3912560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20</xdr:row>
      <xdr:rowOff>25478</xdr:rowOff>
    </xdr:from>
    <xdr:to>
      <xdr:col>0</xdr:col>
      <xdr:colOff>1898650</xdr:colOff>
      <xdr:row>20</xdr:row>
      <xdr:rowOff>2270045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E129C145-312C-43FD-B5BC-2ED98ED4B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4369760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21</xdr:row>
      <xdr:rowOff>25478</xdr:rowOff>
    </xdr:from>
    <xdr:to>
      <xdr:col>0</xdr:col>
      <xdr:colOff>1898650</xdr:colOff>
      <xdr:row>21</xdr:row>
      <xdr:rowOff>2270045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F96EA9B9-DE66-4477-AD82-4F9B90B27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45993128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22</xdr:row>
      <xdr:rowOff>25478</xdr:rowOff>
    </xdr:from>
    <xdr:to>
      <xdr:col>0</xdr:col>
      <xdr:colOff>1898650</xdr:colOff>
      <xdr:row>22</xdr:row>
      <xdr:rowOff>2270045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CC0A4734-67C7-49AA-A46F-DF2B5CBB2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4828865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23</xdr:row>
      <xdr:rowOff>25478</xdr:rowOff>
    </xdr:from>
    <xdr:to>
      <xdr:col>0</xdr:col>
      <xdr:colOff>1898650</xdr:colOff>
      <xdr:row>23</xdr:row>
      <xdr:rowOff>2270045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BF83ABB3-15CE-418C-B913-5FC2C5C08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50584178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24</xdr:row>
      <xdr:rowOff>25478</xdr:rowOff>
    </xdr:from>
    <xdr:to>
      <xdr:col>0</xdr:col>
      <xdr:colOff>1898650</xdr:colOff>
      <xdr:row>24</xdr:row>
      <xdr:rowOff>2270045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EA7BDE45-BE36-48E3-8674-CAEE72895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5287970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25</xdr:row>
      <xdr:rowOff>25478</xdr:rowOff>
    </xdr:from>
    <xdr:to>
      <xdr:col>0</xdr:col>
      <xdr:colOff>1898650</xdr:colOff>
      <xdr:row>25</xdr:row>
      <xdr:rowOff>2270045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9B52E5E9-878D-47FE-83D4-E3BA56CCB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55175228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27</xdr:row>
      <xdr:rowOff>25481</xdr:rowOff>
    </xdr:from>
    <xdr:to>
      <xdr:col>0</xdr:col>
      <xdr:colOff>1898650</xdr:colOff>
      <xdr:row>27</xdr:row>
      <xdr:rowOff>2270048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4AAC3A7B-9F6E-4495-A4C7-246100608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5969960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28</xdr:row>
      <xdr:rowOff>25481</xdr:rowOff>
    </xdr:from>
    <xdr:to>
      <xdr:col>0</xdr:col>
      <xdr:colOff>1898650</xdr:colOff>
      <xdr:row>28</xdr:row>
      <xdr:rowOff>2270048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CDB1855E-B1F1-46D8-90AE-F79B7724EE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6199513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29</xdr:row>
      <xdr:rowOff>25481</xdr:rowOff>
    </xdr:from>
    <xdr:to>
      <xdr:col>0</xdr:col>
      <xdr:colOff>1898650</xdr:colOff>
      <xdr:row>29</xdr:row>
      <xdr:rowOff>2270048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898A5815-F0EA-4984-A310-6455DB9EC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6429065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30</xdr:row>
      <xdr:rowOff>25481</xdr:rowOff>
    </xdr:from>
    <xdr:to>
      <xdr:col>0</xdr:col>
      <xdr:colOff>1898650</xdr:colOff>
      <xdr:row>30</xdr:row>
      <xdr:rowOff>2270048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BC4C0580-C35A-4230-8BA1-99B7357A7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6658618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32</xdr:row>
      <xdr:rowOff>25481</xdr:rowOff>
    </xdr:from>
    <xdr:to>
      <xdr:col>0</xdr:col>
      <xdr:colOff>1898650</xdr:colOff>
      <xdr:row>32</xdr:row>
      <xdr:rowOff>2270048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A4CB148F-CA49-453D-A197-A11A03C31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6907220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33</xdr:row>
      <xdr:rowOff>25481</xdr:rowOff>
    </xdr:from>
    <xdr:to>
      <xdr:col>0</xdr:col>
      <xdr:colOff>1898650</xdr:colOff>
      <xdr:row>33</xdr:row>
      <xdr:rowOff>2270048</xdr:rowOff>
    </xdr:to>
    <xdr:pic>
      <xdr:nvPicPr>
        <xdr:cNvPr id="30" name="Рисунок 29">
          <a:extLst>
            <a:ext uri="{FF2B5EF4-FFF2-40B4-BE49-F238E27FC236}">
              <a16:creationId xmlns:a16="http://schemas.microsoft.com/office/drawing/2014/main" id="{9EFB0463-8FCF-457B-9581-45044EB21D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7136773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34</xdr:row>
      <xdr:rowOff>25481</xdr:rowOff>
    </xdr:from>
    <xdr:to>
      <xdr:col>0</xdr:col>
      <xdr:colOff>1898650</xdr:colOff>
      <xdr:row>34</xdr:row>
      <xdr:rowOff>2270048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C3404F33-A390-4B93-A66D-8D924DF90D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7366325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35</xdr:row>
      <xdr:rowOff>25481</xdr:rowOff>
    </xdr:from>
    <xdr:to>
      <xdr:col>0</xdr:col>
      <xdr:colOff>1898650</xdr:colOff>
      <xdr:row>35</xdr:row>
      <xdr:rowOff>2270048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AAF4AE08-2D0E-455D-B352-506FF7F8C3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7595878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36</xdr:row>
      <xdr:rowOff>25481</xdr:rowOff>
    </xdr:from>
    <xdr:to>
      <xdr:col>0</xdr:col>
      <xdr:colOff>1898650</xdr:colOff>
      <xdr:row>36</xdr:row>
      <xdr:rowOff>2270048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9EFBDE2D-4386-42F2-87B8-DD96AD2B9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7825430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37</xdr:row>
      <xdr:rowOff>25481</xdr:rowOff>
    </xdr:from>
    <xdr:to>
      <xdr:col>0</xdr:col>
      <xdr:colOff>1898650</xdr:colOff>
      <xdr:row>37</xdr:row>
      <xdr:rowOff>2270048</xdr:rowOff>
    </xdr:to>
    <xdr:pic>
      <xdr:nvPicPr>
        <xdr:cNvPr id="34" name="Рисунок 33">
          <a:extLst>
            <a:ext uri="{FF2B5EF4-FFF2-40B4-BE49-F238E27FC236}">
              <a16:creationId xmlns:a16="http://schemas.microsoft.com/office/drawing/2014/main" id="{1CBBA693-019B-43B5-BD62-069181B8A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8054983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38</xdr:row>
      <xdr:rowOff>25481</xdr:rowOff>
    </xdr:from>
    <xdr:to>
      <xdr:col>0</xdr:col>
      <xdr:colOff>1898650</xdr:colOff>
      <xdr:row>38</xdr:row>
      <xdr:rowOff>2270048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AA9AD4FF-65DA-4944-963C-FAC046737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8284535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39</xdr:row>
      <xdr:rowOff>25481</xdr:rowOff>
    </xdr:from>
    <xdr:to>
      <xdr:col>0</xdr:col>
      <xdr:colOff>1898650</xdr:colOff>
      <xdr:row>39</xdr:row>
      <xdr:rowOff>2270048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3CA29A58-A8A7-4863-9232-45FDFB4F6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8514088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41</xdr:row>
      <xdr:rowOff>25481</xdr:rowOff>
    </xdr:from>
    <xdr:to>
      <xdr:col>0</xdr:col>
      <xdr:colOff>1898650</xdr:colOff>
      <xdr:row>41</xdr:row>
      <xdr:rowOff>2270048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83909466-A06F-4DDD-B66E-07EC828CE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8971288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42</xdr:row>
      <xdr:rowOff>25481</xdr:rowOff>
    </xdr:from>
    <xdr:to>
      <xdr:col>0</xdr:col>
      <xdr:colOff>1898650</xdr:colOff>
      <xdr:row>42</xdr:row>
      <xdr:rowOff>2270048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6ABFDE1C-824A-4BA6-9A5F-F3FF45363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9200840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43</xdr:row>
      <xdr:rowOff>25481</xdr:rowOff>
    </xdr:from>
    <xdr:to>
      <xdr:col>0</xdr:col>
      <xdr:colOff>1898650</xdr:colOff>
      <xdr:row>43</xdr:row>
      <xdr:rowOff>2270048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A2891AAA-29F9-4D20-B437-55890BB97C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94303931"/>
          <a:ext cx="1778000" cy="224456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1972234</xdr:colOff>
      <xdr:row>10</xdr:row>
      <xdr:rowOff>2141284</xdr:rowOff>
    </xdr:to>
    <xdr:pic>
      <xdr:nvPicPr>
        <xdr:cNvPr id="40" name="Picture 86">
          <a:extLst>
            <a:ext uri="{FF2B5EF4-FFF2-40B4-BE49-F238E27FC236}">
              <a16:creationId xmlns:a16="http://schemas.microsoft.com/office/drawing/2014/main" id="{455F58AA-FF68-4E61-BCDE-85442B695D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850225"/>
          <a:ext cx="1972234" cy="2141284"/>
        </a:xfrm>
        <a:prstGeom prst="rect">
          <a:avLst/>
        </a:prstGeom>
        <a:noFill/>
        <a:ln w="9525">
          <a:solidFill>
            <a:srgbClr val="CCC08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</a:extLst>
      </xdr:spPr>
    </xdr:pic>
    <xdr:clientData/>
  </xdr:twoCellAnchor>
  <xdr:twoCellAnchor>
    <xdr:from>
      <xdr:col>0</xdr:col>
      <xdr:colOff>0</xdr:colOff>
      <xdr:row>18</xdr:row>
      <xdr:rowOff>2297205</xdr:rowOff>
    </xdr:from>
    <xdr:to>
      <xdr:col>0</xdr:col>
      <xdr:colOff>1961028</xdr:colOff>
      <xdr:row>19</xdr:row>
      <xdr:rowOff>2129116</xdr:rowOff>
    </xdr:to>
    <xdr:pic>
      <xdr:nvPicPr>
        <xdr:cNvPr id="41" name="Picture 23">
          <a:extLst>
            <a:ext uri="{FF2B5EF4-FFF2-40B4-BE49-F238E27FC236}">
              <a16:creationId xmlns:a16="http://schemas.microsoft.com/office/drawing/2014/main" id="{09717082-B973-4201-B713-D1F4D0B578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397330"/>
          <a:ext cx="1961028" cy="2127436"/>
        </a:xfrm>
        <a:prstGeom prst="rect">
          <a:avLst/>
        </a:prstGeom>
        <a:noFill/>
        <a:ln w="9525">
          <a:solidFill>
            <a:srgbClr val="CCC08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</a:extLst>
      </xdr:spPr>
    </xdr:pic>
    <xdr:clientData/>
  </xdr:twoCellAnchor>
  <xdr:twoCellAnchor>
    <xdr:from>
      <xdr:col>0</xdr:col>
      <xdr:colOff>0</xdr:colOff>
      <xdr:row>26</xdr:row>
      <xdr:rowOff>33618</xdr:rowOff>
    </xdr:from>
    <xdr:to>
      <xdr:col>0</xdr:col>
      <xdr:colOff>1981672</xdr:colOff>
      <xdr:row>26</xdr:row>
      <xdr:rowOff>2185148</xdr:rowOff>
    </xdr:to>
    <xdr:pic>
      <xdr:nvPicPr>
        <xdr:cNvPr id="42" name="Picture 63">
          <a:extLst>
            <a:ext uri="{FF2B5EF4-FFF2-40B4-BE49-F238E27FC236}">
              <a16:creationId xmlns:a16="http://schemas.microsoft.com/office/drawing/2014/main" id="{CF459FCE-1D7C-4DE6-810D-2206868ECA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478893"/>
          <a:ext cx="1981672" cy="2151530"/>
        </a:xfrm>
        <a:prstGeom prst="rect">
          <a:avLst/>
        </a:prstGeom>
        <a:noFill/>
        <a:ln w="9525">
          <a:solidFill>
            <a:srgbClr val="CCC08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</a:extLst>
      </xdr:spPr>
    </xdr:pic>
    <xdr:clientData/>
  </xdr:twoCellAnchor>
  <xdr:twoCellAnchor>
    <xdr:from>
      <xdr:col>0</xdr:col>
      <xdr:colOff>11206</xdr:colOff>
      <xdr:row>40</xdr:row>
      <xdr:rowOff>33617</xdr:rowOff>
    </xdr:from>
    <xdr:to>
      <xdr:col>0</xdr:col>
      <xdr:colOff>2003198</xdr:colOff>
      <xdr:row>40</xdr:row>
      <xdr:rowOff>2196352</xdr:rowOff>
    </xdr:to>
    <xdr:pic>
      <xdr:nvPicPr>
        <xdr:cNvPr id="43" name="Picture 38">
          <a:extLst>
            <a:ext uri="{FF2B5EF4-FFF2-40B4-BE49-F238E27FC236}">
              <a16:creationId xmlns:a16="http://schemas.microsoft.com/office/drawing/2014/main" id="{E9A1F574-5E6D-4ACB-8DF4-0B691AC7AD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06" y="87444542"/>
          <a:ext cx="1991992" cy="2162735"/>
        </a:xfrm>
        <a:prstGeom prst="rect">
          <a:avLst/>
        </a:prstGeom>
        <a:noFill/>
        <a:ln w="9525">
          <a:solidFill>
            <a:srgbClr val="CCC08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5896E-AED8-46D7-99E5-2E8D359DA3D0}">
  <sheetPr codeName="Лист1">
    <tabColor theme="0" tint="-4.9989318521683403E-2"/>
  </sheetPr>
  <dimension ref="A1:I22"/>
  <sheetViews>
    <sheetView showGridLines="0" workbookViewId="0">
      <selection activeCell="B22" sqref="B22"/>
    </sheetView>
  </sheetViews>
  <sheetFormatPr defaultRowHeight="15" x14ac:dyDescent="0.25"/>
  <cols>
    <col min="1" max="1" width="13.28515625" bestFit="1" customWidth="1"/>
    <col min="2" max="2" width="19.42578125" bestFit="1" customWidth="1"/>
    <col min="5" max="5" width="19.42578125" bestFit="1" customWidth="1"/>
    <col min="8" max="8" width="10.28515625" bestFit="1" customWidth="1"/>
    <col min="9" max="9" width="4.85546875" bestFit="1" customWidth="1"/>
  </cols>
  <sheetData>
    <row r="1" spans="1:9" s="1" customFormat="1" x14ac:dyDescent="0.25">
      <c r="A1" s="4" t="s">
        <v>30</v>
      </c>
      <c r="B1" s="4" t="s">
        <v>31</v>
      </c>
      <c r="C1" s="4" t="s">
        <v>32</v>
      </c>
      <c r="E1" s="4" t="s">
        <v>33</v>
      </c>
      <c r="F1" s="4" t="s">
        <v>34</v>
      </c>
      <c r="H1" s="4" t="s">
        <v>35</v>
      </c>
      <c r="I1" s="4" t="s">
        <v>36</v>
      </c>
    </row>
    <row r="2" spans="1:9" x14ac:dyDescent="0.25">
      <c r="A2" s="5" t="s">
        <v>37</v>
      </c>
      <c r="B2" s="5" t="s">
        <v>38</v>
      </c>
      <c r="C2" s="5" t="s">
        <v>39</v>
      </c>
      <c r="E2" s="5" t="s">
        <v>40</v>
      </c>
      <c r="F2" s="5" t="s">
        <v>39</v>
      </c>
      <c r="H2" s="5" t="s">
        <v>41</v>
      </c>
      <c r="I2" s="5">
        <v>60</v>
      </c>
    </row>
    <row r="3" spans="1:9" x14ac:dyDescent="0.25">
      <c r="A3" s="5" t="s">
        <v>42</v>
      </c>
      <c r="B3" s="5" t="s">
        <v>40</v>
      </c>
      <c r="C3" s="5" t="s">
        <v>39</v>
      </c>
      <c r="E3" s="5" t="s">
        <v>38</v>
      </c>
      <c r="F3" s="5" t="s">
        <v>39</v>
      </c>
      <c r="H3" s="5" t="s">
        <v>43</v>
      </c>
      <c r="I3" s="5" t="s">
        <v>8</v>
      </c>
    </row>
    <row r="4" spans="1:9" x14ac:dyDescent="0.25">
      <c r="A4" s="5" t="s">
        <v>44</v>
      </c>
      <c r="B4" s="5" t="s">
        <v>45</v>
      </c>
      <c r="C4" s="5" t="s">
        <v>46</v>
      </c>
      <c r="E4" s="5" t="s">
        <v>45</v>
      </c>
      <c r="F4" s="5" t="s">
        <v>46</v>
      </c>
      <c r="H4" s="5" t="s">
        <v>47</v>
      </c>
      <c r="I4" s="5">
        <v>58</v>
      </c>
    </row>
    <row r="5" spans="1:9" x14ac:dyDescent="0.25">
      <c r="A5" s="5" t="s">
        <v>48</v>
      </c>
      <c r="B5" s="5" t="s">
        <v>49</v>
      </c>
      <c r="C5" s="5" t="s">
        <v>46</v>
      </c>
      <c r="E5" s="5" t="s">
        <v>49</v>
      </c>
      <c r="F5" s="5" t="s">
        <v>46</v>
      </c>
      <c r="H5" s="5" t="s">
        <v>50</v>
      </c>
      <c r="I5" s="5">
        <v>56</v>
      </c>
    </row>
    <row r="6" spans="1:9" x14ac:dyDescent="0.25">
      <c r="A6" s="5" t="s">
        <v>51</v>
      </c>
      <c r="B6" s="5" t="s">
        <v>52</v>
      </c>
      <c r="C6" s="5" t="s">
        <v>39</v>
      </c>
      <c r="E6" s="5" t="s">
        <v>53</v>
      </c>
      <c r="F6" s="5" t="s">
        <v>39</v>
      </c>
      <c r="H6" s="5" t="s">
        <v>54</v>
      </c>
      <c r="I6" s="5">
        <v>60</v>
      </c>
    </row>
    <row r="7" spans="1:9" x14ac:dyDescent="0.25">
      <c r="A7" s="5" t="s">
        <v>55</v>
      </c>
      <c r="B7" s="5" t="s">
        <v>53</v>
      </c>
      <c r="C7" s="5" t="s">
        <v>39</v>
      </c>
      <c r="E7" s="5" t="s">
        <v>56</v>
      </c>
      <c r="F7" s="5" t="s">
        <v>57</v>
      </c>
      <c r="H7" s="5" t="s">
        <v>58</v>
      </c>
      <c r="I7" s="5">
        <v>59</v>
      </c>
    </row>
    <row r="8" spans="1:9" x14ac:dyDescent="0.25">
      <c r="A8" s="5" t="s">
        <v>59</v>
      </c>
      <c r="B8" s="5" t="s">
        <v>60</v>
      </c>
      <c r="C8" s="5" t="s">
        <v>46</v>
      </c>
      <c r="H8" s="5" t="s">
        <v>61</v>
      </c>
      <c r="I8" s="5">
        <v>57</v>
      </c>
    </row>
    <row r="9" spans="1:9" x14ac:dyDescent="0.25">
      <c r="A9" s="5" t="s">
        <v>62</v>
      </c>
      <c r="B9" s="5" t="s">
        <v>63</v>
      </c>
      <c r="C9" s="5" t="s">
        <v>46</v>
      </c>
      <c r="H9" s="5" t="s">
        <v>64</v>
      </c>
      <c r="I9" s="5">
        <v>55</v>
      </c>
    </row>
    <row r="10" spans="1:9" x14ac:dyDescent="0.25">
      <c r="A10" s="5" t="s">
        <v>65</v>
      </c>
      <c r="B10" s="5" t="s">
        <v>66</v>
      </c>
      <c r="C10" s="5" t="s">
        <v>46</v>
      </c>
    </row>
    <row r="11" spans="1:9" x14ac:dyDescent="0.25">
      <c r="A11" s="5" t="s">
        <v>67</v>
      </c>
      <c r="B11" s="5" t="s">
        <v>56</v>
      </c>
      <c r="C11" s="5" t="s">
        <v>57</v>
      </c>
    </row>
    <row r="12" spans="1:9" x14ac:dyDescent="0.25">
      <c r="A12" s="5" t="s">
        <v>68</v>
      </c>
      <c r="B12" s="5" t="s">
        <v>69</v>
      </c>
      <c r="C12" s="5" t="s">
        <v>70</v>
      </c>
    </row>
    <row r="13" spans="1:9" x14ac:dyDescent="0.25">
      <c r="A13" s="5" t="s">
        <v>71</v>
      </c>
      <c r="B13" s="5" t="s">
        <v>72</v>
      </c>
      <c r="C13" s="5" t="s">
        <v>70</v>
      </c>
    </row>
    <row r="14" spans="1:9" x14ac:dyDescent="0.25">
      <c r="A14" s="5" t="s">
        <v>73</v>
      </c>
      <c r="B14" s="5" t="s">
        <v>74</v>
      </c>
      <c r="C14" s="5" t="s">
        <v>57</v>
      </c>
    </row>
    <row r="15" spans="1:9" x14ac:dyDescent="0.25">
      <c r="A15" s="5" t="s">
        <v>75</v>
      </c>
      <c r="B15" s="5" t="s">
        <v>76</v>
      </c>
      <c r="C15" s="5" t="s">
        <v>70</v>
      </c>
    </row>
    <row r="16" spans="1:9" x14ac:dyDescent="0.25">
      <c r="A16" s="5" t="s">
        <v>77</v>
      </c>
      <c r="B16" s="5" t="s">
        <v>78</v>
      </c>
      <c r="C16" s="5" t="s">
        <v>70</v>
      </c>
    </row>
    <row r="17" spans="1:3" x14ac:dyDescent="0.25">
      <c r="A17" s="5" t="s">
        <v>79</v>
      </c>
      <c r="B17" s="5" t="s">
        <v>80</v>
      </c>
      <c r="C17" s="6" t="s">
        <v>81</v>
      </c>
    </row>
    <row r="18" spans="1:3" x14ac:dyDescent="0.25">
      <c r="A18" s="5" t="s">
        <v>82</v>
      </c>
      <c r="B18" s="5" t="s">
        <v>83</v>
      </c>
      <c r="C18" s="6" t="s">
        <v>84</v>
      </c>
    </row>
    <row r="19" spans="1:3" x14ac:dyDescent="0.25">
      <c r="A19" s="5" t="s">
        <v>85</v>
      </c>
      <c r="B19" s="5" t="s">
        <v>86</v>
      </c>
      <c r="C19" s="5" t="s">
        <v>39</v>
      </c>
    </row>
    <row r="20" spans="1:3" x14ac:dyDescent="0.25">
      <c r="A20" s="5" t="s">
        <v>87</v>
      </c>
      <c r="B20" s="5" t="s">
        <v>88</v>
      </c>
      <c r="C20" s="5" t="s">
        <v>39</v>
      </c>
    </row>
    <row r="21" spans="1:3" x14ac:dyDescent="0.25">
      <c r="A21" s="5" t="s">
        <v>89</v>
      </c>
      <c r="B21" s="5" t="s">
        <v>90</v>
      </c>
      <c r="C21" s="5" t="s">
        <v>39</v>
      </c>
    </row>
    <row r="22" spans="1:3" x14ac:dyDescent="0.25">
      <c r="A22" s="5" t="s">
        <v>448</v>
      </c>
      <c r="B22" s="5" t="s">
        <v>76</v>
      </c>
      <c r="C22" s="5" t="s">
        <v>70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58FB4-F2AB-4AE6-B62B-F50433A3610B}">
  <sheetPr codeName="Лист3">
    <tabColor rgb="FFFFFF00"/>
  </sheetPr>
  <dimension ref="A1:U134"/>
  <sheetViews>
    <sheetView topLeftCell="A70" workbookViewId="0">
      <selection activeCell="B87" sqref="B87"/>
    </sheetView>
  </sheetViews>
  <sheetFormatPr defaultRowHeight="15" x14ac:dyDescent="0.25"/>
  <cols>
    <col min="1" max="1" width="17" style="3" bestFit="1" customWidth="1"/>
    <col min="2" max="2" width="9" style="3" bestFit="1" customWidth="1"/>
    <col min="3" max="3" width="8.85546875" style="3" bestFit="1" customWidth="1"/>
    <col min="4" max="4" width="91.5703125" style="3" bestFit="1" customWidth="1"/>
    <col min="5" max="5" width="6.85546875" style="3" bestFit="1" customWidth="1"/>
    <col min="6" max="6" width="6.42578125" style="3" bestFit="1" customWidth="1"/>
    <col min="7" max="7" width="14.42578125" style="3" bestFit="1" customWidth="1"/>
    <col min="8" max="8" width="16.140625" style="3" bestFit="1" customWidth="1"/>
    <col min="9" max="9" width="9.5703125" style="3" customWidth="1"/>
    <col min="10" max="10" width="26.140625" style="3" bestFit="1" customWidth="1"/>
    <col min="11" max="11" width="27" style="3" bestFit="1" customWidth="1"/>
    <col min="12" max="12" width="15.7109375" style="3" customWidth="1"/>
    <col min="13" max="13" width="8.85546875" style="3" bestFit="1" customWidth="1"/>
    <col min="14" max="14" width="8" style="3" bestFit="1" customWidth="1"/>
    <col min="15" max="15" width="13.85546875" style="3" bestFit="1" customWidth="1"/>
    <col min="16" max="16" width="16.140625" style="3" bestFit="1" customWidth="1"/>
    <col min="17" max="17" width="19.42578125" style="3" bestFit="1" customWidth="1"/>
    <col min="18" max="18" width="5.140625" style="3" bestFit="1" customWidth="1"/>
    <col min="19" max="19" width="9" style="3" bestFit="1" customWidth="1"/>
    <col min="20" max="20" width="18.5703125" style="3" bestFit="1" customWidth="1"/>
    <col min="21" max="21" width="25.28515625" style="3" bestFit="1" customWidth="1"/>
  </cols>
  <sheetData>
    <row r="1" spans="1:21" s="1" customFormat="1" x14ac:dyDescent="0.25">
      <c r="A1" s="16" t="s">
        <v>0</v>
      </c>
      <c r="B1" s="15" t="s">
        <v>4</v>
      </c>
      <c r="C1" s="15" t="s">
        <v>3</v>
      </c>
      <c r="D1" s="28" t="s">
        <v>92</v>
      </c>
      <c r="E1" s="28" t="s">
        <v>1</v>
      </c>
      <c r="F1" s="28" t="s">
        <v>93</v>
      </c>
      <c r="G1" s="28" t="s">
        <v>94</v>
      </c>
      <c r="H1" s="28" t="s">
        <v>95</v>
      </c>
      <c r="I1" s="28" t="s">
        <v>96</v>
      </c>
      <c r="J1" s="28" t="s">
        <v>97</v>
      </c>
      <c r="K1" s="28" t="s">
        <v>98</v>
      </c>
      <c r="L1" s="28" t="s">
        <v>99</v>
      </c>
      <c r="M1" s="28" t="s">
        <v>100</v>
      </c>
      <c r="N1" s="28" t="s">
        <v>5</v>
      </c>
      <c r="O1" s="28" t="s">
        <v>30</v>
      </c>
      <c r="P1" s="16" t="s">
        <v>91</v>
      </c>
      <c r="Q1" s="16" t="s">
        <v>101</v>
      </c>
      <c r="R1" s="16" t="s">
        <v>32</v>
      </c>
      <c r="S1" s="16" t="s">
        <v>102</v>
      </c>
      <c r="T1" s="16" t="s">
        <v>103</v>
      </c>
      <c r="U1" s="2" t="str">
        <f>CONCATENATE("Суммы сходятся: ",SUM(S:S)=SUM(T:T))</f>
        <v>Суммы сходятся: ИСТИНА</v>
      </c>
    </row>
    <row r="2" spans="1:21" x14ac:dyDescent="0.25">
      <c r="A2" s="3" t="s">
        <v>200</v>
      </c>
      <c r="B2" s="3">
        <v>10145637</v>
      </c>
      <c r="C2" s="3" t="s">
        <v>6</v>
      </c>
      <c r="D2" s="3" t="s">
        <v>236</v>
      </c>
      <c r="E2" s="3" t="s">
        <v>43</v>
      </c>
      <c r="F2" s="3" t="s">
        <v>105</v>
      </c>
      <c r="G2" s="3" t="s">
        <v>8</v>
      </c>
      <c r="H2" s="3" t="s">
        <v>106</v>
      </c>
      <c r="I2" s="3">
        <v>2</v>
      </c>
      <c r="J2" s="3" t="s">
        <v>107</v>
      </c>
      <c r="K2" s="3" t="s">
        <v>108</v>
      </c>
      <c r="M2" s="3" t="s">
        <v>109</v>
      </c>
      <c r="N2" s="3">
        <v>1489.65</v>
      </c>
      <c r="O2" t="s">
        <v>37</v>
      </c>
      <c r="P2" s="3">
        <f t="shared" ref="P2:P33" si="0">SUMIF(A:A,A2,S:S)/SUMIF(A:A,A2,I:I)</f>
        <v>1489.65</v>
      </c>
      <c r="Q2" s="3" t="str">
        <f>VLOOKUP(O2,Справочник!A:B,2,0)</f>
        <v>New York Yankees</v>
      </c>
      <c r="R2" s="3" t="str">
        <f>VLOOKUP(O2,Справочник!A:C,3,0)</f>
        <v>MLB</v>
      </c>
      <c r="S2" s="3">
        <f>N2*I2</f>
        <v>2979.3</v>
      </c>
      <c r="T2" s="3">
        <f t="shared" ref="T2:T33" si="1">P2*I2</f>
        <v>2979.3</v>
      </c>
    </row>
    <row r="3" spans="1:21" x14ac:dyDescent="0.25">
      <c r="A3" s="3" t="s">
        <v>237</v>
      </c>
      <c r="B3" s="3">
        <v>11179831</v>
      </c>
      <c r="C3" s="3" t="s">
        <v>7</v>
      </c>
      <c r="D3" s="3" t="s">
        <v>238</v>
      </c>
      <c r="E3" s="3" t="s">
        <v>43</v>
      </c>
      <c r="F3" s="3" t="s">
        <v>105</v>
      </c>
      <c r="G3" s="3" t="s">
        <v>8</v>
      </c>
      <c r="H3" s="3" t="s">
        <v>106</v>
      </c>
      <c r="I3" s="3">
        <v>20</v>
      </c>
      <c r="J3" s="3" t="s">
        <v>107</v>
      </c>
      <c r="K3" s="3" t="s">
        <v>108</v>
      </c>
      <c r="M3" s="3" t="s">
        <v>109</v>
      </c>
      <c r="N3" s="3">
        <v>1163.57</v>
      </c>
      <c r="O3"/>
      <c r="P3" s="3">
        <f t="shared" si="0"/>
        <v>1163.57</v>
      </c>
      <c r="Q3" s="3" t="e">
        <f>VLOOKUP(O3,Справочник!A:B,2,0)</f>
        <v>#N/A</v>
      </c>
      <c r="R3" s="3" t="e">
        <f>VLOOKUP(O3,Справочник!A:C,3,0)</f>
        <v>#N/A</v>
      </c>
      <c r="S3" s="3">
        <f t="shared" ref="S3:S66" si="2">N3*I3</f>
        <v>23271.399999999998</v>
      </c>
      <c r="T3" s="3">
        <f t="shared" si="1"/>
        <v>23271.399999999998</v>
      </c>
    </row>
    <row r="4" spans="1:21" x14ac:dyDescent="0.25">
      <c r="A4" s="3" t="s">
        <v>239</v>
      </c>
      <c r="B4" s="3">
        <v>11179834</v>
      </c>
      <c r="C4" s="3" t="s">
        <v>240</v>
      </c>
      <c r="D4" s="3" t="s">
        <v>241</v>
      </c>
      <c r="E4" s="3" t="s">
        <v>43</v>
      </c>
      <c r="F4" s="3" t="s">
        <v>105</v>
      </c>
      <c r="G4" s="3" t="s">
        <v>8</v>
      </c>
      <c r="H4" s="3" t="s">
        <v>106</v>
      </c>
      <c r="I4" s="3">
        <v>20</v>
      </c>
      <c r="J4" s="3" t="s">
        <v>107</v>
      </c>
      <c r="K4" s="3" t="s">
        <v>108</v>
      </c>
      <c r="M4" s="3" t="s">
        <v>109</v>
      </c>
      <c r="N4" s="3">
        <v>1163.57</v>
      </c>
      <c r="O4"/>
      <c r="P4" s="3">
        <f t="shared" si="0"/>
        <v>1163.57</v>
      </c>
      <c r="Q4" s="3" t="e">
        <f>VLOOKUP(O4,Справочник!A:B,2,0)</f>
        <v>#N/A</v>
      </c>
      <c r="R4" s="3" t="e">
        <f>VLOOKUP(O4,Справочник!A:C,3,0)</f>
        <v>#N/A</v>
      </c>
      <c r="S4" s="3">
        <f t="shared" si="2"/>
        <v>23271.399999999998</v>
      </c>
      <c r="T4" s="3">
        <f t="shared" si="1"/>
        <v>23271.399999999998</v>
      </c>
    </row>
    <row r="5" spans="1:21" x14ac:dyDescent="0.25">
      <c r="A5" s="3" t="s">
        <v>242</v>
      </c>
      <c r="B5" s="3">
        <v>11179866</v>
      </c>
      <c r="C5" s="3" t="s">
        <v>9</v>
      </c>
      <c r="D5" s="3" t="s">
        <v>243</v>
      </c>
      <c r="E5" s="3" t="s">
        <v>43</v>
      </c>
      <c r="F5" s="3" t="s">
        <v>105</v>
      </c>
      <c r="G5" s="3" t="s">
        <v>8</v>
      </c>
      <c r="H5" s="3" t="s">
        <v>106</v>
      </c>
      <c r="I5" s="3">
        <v>20</v>
      </c>
      <c r="J5" s="3" t="s">
        <v>107</v>
      </c>
      <c r="K5" s="3" t="s">
        <v>108</v>
      </c>
      <c r="M5" s="3" t="s">
        <v>109</v>
      </c>
      <c r="N5" s="3">
        <v>1163.57</v>
      </c>
      <c r="O5"/>
      <c r="P5" s="3">
        <f t="shared" si="0"/>
        <v>1163.57</v>
      </c>
      <c r="Q5" s="3" t="e">
        <f>VLOOKUP(O5,Справочник!A:B,2,0)</f>
        <v>#N/A</v>
      </c>
      <c r="R5" s="3" t="e">
        <f>VLOOKUP(O5,Справочник!A:C,3,0)</f>
        <v>#N/A</v>
      </c>
      <c r="S5" s="3">
        <f t="shared" si="2"/>
        <v>23271.399999999998</v>
      </c>
      <c r="T5" s="3">
        <f t="shared" si="1"/>
        <v>23271.399999999998</v>
      </c>
    </row>
    <row r="6" spans="1:21" x14ac:dyDescent="0.25">
      <c r="A6" s="3" t="s">
        <v>244</v>
      </c>
      <c r="B6" s="3">
        <v>11179873</v>
      </c>
      <c r="C6" s="3" t="s">
        <v>10</v>
      </c>
      <c r="D6" s="3" t="s">
        <v>245</v>
      </c>
      <c r="E6" s="3" t="s">
        <v>43</v>
      </c>
      <c r="F6" s="3" t="s">
        <v>105</v>
      </c>
      <c r="G6" s="3" t="s">
        <v>8</v>
      </c>
      <c r="H6" s="3" t="s">
        <v>106</v>
      </c>
      <c r="I6" s="3">
        <v>2</v>
      </c>
      <c r="J6" s="3" t="s">
        <v>107</v>
      </c>
      <c r="K6" s="3" t="s">
        <v>108</v>
      </c>
      <c r="L6" s="3" t="s">
        <v>112</v>
      </c>
      <c r="M6" s="3" t="s">
        <v>109</v>
      </c>
      <c r="N6" s="3">
        <v>1117.1199999999999</v>
      </c>
      <c r="O6"/>
      <c r="P6" s="3">
        <f t="shared" si="0"/>
        <v>1117.1199999999999</v>
      </c>
      <c r="Q6" s="3" t="e">
        <f>VLOOKUP(O6,Справочник!A:B,2,0)</f>
        <v>#N/A</v>
      </c>
      <c r="R6" s="3" t="e">
        <f>VLOOKUP(O6,Справочник!A:C,3,0)</f>
        <v>#N/A</v>
      </c>
      <c r="S6" s="3">
        <f t="shared" si="2"/>
        <v>2234.2399999999998</v>
      </c>
      <c r="T6" s="3">
        <f t="shared" si="1"/>
        <v>2234.2399999999998</v>
      </c>
    </row>
    <row r="7" spans="1:21" x14ac:dyDescent="0.25">
      <c r="A7" s="3" t="s">
        <v>244</v>
      </c>
      <c r="B7" s="3">
        <v>11179873</v>
      </c>
      <c r="C7" s="3" t="s">
        <v>10</v>
      </c>
      <c r="D7" s="3" t="s">
        <v>449</v>
      </c>
      <c r="E7" s="3" t="s">
        <v>43</v>
      </c>
      <c r="F7" s="3" t="s">
        <v>105</v>
      </c>
      <c r="G7" s="3" t="s">
        <v>8</v>
      </c>
      <c r="H7" s="3" t="s">
        <v>106</v>
      </c>
      <c r="I7" s="3">
        <v>2</v>
      </c>
      <c r="J7" s="3" t="s">
        <v>107</v>
      </c>
      <c r="K7" s="3" t="s">
        <v>108</v>
      </c>
      <c r="L7" s="3" t="s">
        <v>112</v>
      </c>
      <c r="M7" s="3" t="s">
        <v>109</v>
      </c>
      <c r="N7" s="3">
        <v>1117.1199999999999</v>
      </c>
      <c r="O7"/>
      <c r="P7" s="3">
        <f t="shared" si="0"/>
        <v>1117.1199999999999</v>
      </c>
      <c r="Q7" s="3" t="e">
        <f>VLOOKUP(O7,Справочник!A:B,2,0)</f>
        <v>#N/A</v>
      </c>
      <c r="R7" s="3" t="e">
        <f>VLOOKUP(O7,Справочник!A:C,3,0)</f>
        <v>#N/A</v>
      </c>
      <c r="S7" s="3">
        <f t="shared" si="2"/>
        <v>2234.2399999999998</v>
      </c>
      <c r="T7" s="3">
        <f t="shared" si="1"/>
        <v>2234.2399999999998</v>
      </c>
    </row>
    <row r="8" spans="1:21" x14ac:dyDescent="0.25">
      <c r="A8" s="3" t="s">
        <v>246</v>
      </c>
      <c r="B8" s="3">
        <v>11277642</v>
      </c>
      <c r="C8" s="3" t="s">
        <v>247</v>
      </c>
      <c r="D8" s="3" t="s">
        <v>248</v>
      </c>
      <c r="E8" s="3" t="s">
        <v>43</v>
      </c>
      <c r="F8" s="3" t="s">
        <v>105</v>
      </c>
      <c r="G8" s="3" t="s">
        <v>8</v>
      </c>
      <c r="H8" s="3" t="s">
        <v>106</v>
      </c>
      <c r="I8" s="3">
        <v>6</v>
      </c>
      <c r="J8" s="3" t="s">
        <v>107</v>
      </c>
      <c r="K8" s="3" t="s">
        <v>108</v>
      </c>
      <c r="L8" s="3" t="s">
        <v>114</v>
      </c>
      <c r="M8" s="3" t="s">
        <v>109</v>
      </c>
      <c r="N8" s="3">
        <v>465.2</v>
      </c>
      <c r="O8"/>
      <c r="P8" s="3">
        <f t="shared" si="0"/>
        <v>465.2</v>
      </c>
      <c r="Q8" s="3" t="e">
        <f>VLOOKUP(O8,Справочник!A:B,2,0)</f>
        <v>#N/A</v>
      </c>
      <c r="R8" s="3" t="e">
        <f>VLOOKUP(O8,Справочник!A:C,3,0)</f>
        <v>#N/A</v>
      </c>
      <c r="S8" s="3">
        <f t="shared" si="2"/>
        <v>2791.2</v>
      </c>
      <c r="T8" s="3">
        <f t="shared" si="1"/>
        <v>2791.2</v>
      </c>
    </row>
    <row r="9" spans="1:21" x14ac:dyDescent="0.25">
      <c r="A9" s="3" t="s">
        <v>249</v>
      </c>
      <c r="B9" s="3">
        <v>11379840</v>
      </c>
      <c r="C9" s="3" t="s">
        <v>250</v>
      </c>
      <c r="D9" s="3" t="s">
        <v>251</v>
      </c>
      <c r="E9" s="3" t="s">
        <v>43</v>
      </c>
      <c r="F9" s="3" t="s">
        <v>105</v>
      </c>
      <c r="G9" s="3" t="s">
        <v>8</v>
      </c>
      <c r="H9" s="3" t="s">
        <v>115</v>
      </c>
      <c r="I9" s="3">
        <v>6</v>
      </c>
      <c r="J9" s="3" t="s">
        <v>116</v>
      </c>
      <c r="K9" s="3" t="s">
        <v>108</v>
      </c>
      <c r="L9" s="3" t="s">
        <v>114</v>
      </c>
      <c r="M9" s="3" t="s">
        <v>109</v>
      </c>
      <c r="N9" s="3">
        <v>750.95</v>
      </c>
      <c r="O9" t="s">
        <v>42</v>
      </c>
      <c r="P9" s="3">
        <f t="shared" si="0"/>
        <v>750.95000000000016</v>
      </c>
      <c r="Q9" s="3" t="str">
        <f>VLOOKUP(O9,Справочник!A:B,2,0)</f>
        <v>Los Angeles Dodgers</v>
      </c>
      <c r="R9" s="3" t="str">
        <f>VLOOKUP(O9,Справочник!A:C,3,0)</f>
        <v>MLB</v>
      </c>
      <c r="S9" s="3">
        <f t="shared" si="2"/>
        <v>4505.7000000000007</v>
      </c>
      <c r="T9" s="3">
        <f t="shared" si="1"/>
        <v>4505.7000000000007</v>
      </c>
    </row>
    <row r="10" spans="1:21" x14ac:dyDescent="0.25">
      <c r="A10" s="3" t="s">
        <v>252</v>
      </c>
      <c r="B10" s="3">
        <v>11448329</v>
      </c>
      <c r="C10" s="3" t="s">
        <v>11</v>
      </c>
      <c r="D10" s="3" t="s">
        <v>253</v>
      </c>
      <c r="E10" s="3" t="s">
        <v>43</v>
      </c>
      <c r="F10" s="3" t="s">
        <v>105</v>
      </c>
      <c r="G10" s="3" t="s">
        <v>8</v>
      </c>
      <c r="H10" s="3" t="s">
        <v>106</v>
      </c>
      <c r="I10" s="3">
        <v>4</v>
      </c>
      <c r="J10" s="3" t="s">
        <v>107</v>
      </c>
      <c r="K10" s="3" t="s">
        <v>108</v>
      </c>
      <c r="L10" s="3" t="s">
        <v>118</v>
      </c>
      <c r="M10" s="3" t="s">
        <v>109</v>
      </c>
      <c r="N10" s="3">
        <v>756.12</v>
      </c>
      <c r="O10" t="s">
        <v>37</v>
      </c>
      <c r="P10" s="3">
        <f t="shared" si="0"/>
        <v>756.12</v>
      </c>
      <c r="Q10" s="3" t="str">
        <f>VLOOKUP(O10,Справочник!A:B,2,0)</f>
        <v>New York Yankees</v>
      </c>
      <c r="R10" s="3" t="str">
        <f>VLOOKUP(O10,Справочник!A:C,3,0)</f>
        <v>MLB</v>
      </c>
      <c r="S10" s="3">
        <f t="shared" si="2"/>
        <v>3024.48</v>
      </c>
      <c r="T10" s="3">
        <f t="shared" si="1"/>
        <v>3024.48</v>
      </c>
    </row>
    <row r="11" spans="1:21" x14ac:dyDescent="0.25">
      <c r="A11" s="3" t="s">
        <v>254</v>
      </c>
      <c r="B11" s="3">
        <v>11448330</v>
      </c>
      <c r="C11" s="3" t="s">
        <v>11</v>
      </c>
      <c r="D11" s="3" t="s">
        <v>255</v>
      </c>
      <c r="E11" s="3" t="s">
        <v>43</v>
      </c>
      <c r="F11" s="3" t="s">
        <v>105</v>
      </c>
      <c r="G11" s="3" t="s">
        <v>8</v>
      </c>
      <c r="H11" s="3" t="s">
        <v>106</v>
      </c>
      <c r="I11" s="3">
        <v>4</v>
      </c>
      <c r="J11" s="3" t="s">
        <v>107</v>
      </c>
      <c r="K11" s="3" t="s">
        <v>108</v>
      </c>
      <c r="L11" s="3" t="s">
        <v>118</v>
      </c>
      <c r="M11" s="3" t="s">
        <v>109</v>
      </c>
      <c r="N11" s="3">
        <v>756.12</v>
      </c>
      <c r="O11" t="s">
        <v>42</v>
      </c>
      <c r="P11" s="3">
        <f t="shared" si="0"/>
        <v>756.12</v>
      </c>
      <c r="Q11" s="3" t="str">
        <f>VLOOKUP(O11,Справочник!A:B,2,0)</f>
        <v>Los Angeles Dodgers</v>
      </c>
      <c r="R11" s="3" t="str">
        <f>VLOOKUP(O11,Справочник!A:C,3,0)</f>
        <v>MLB</v>
      </c>
      <c r="S11" s="3">
        <f t="shared" si="2"/>
        <v>3024.48</v>
      </c>
      <c r="T11" s="3">
        <f t="shared" si="1"/>
        <v>3024.48</v>
      </c>
    </row>
    <row r="12" spans="1:21" x14ac:dyDescent="0.25">
      <c r="A12" s="3" t="s">
        <v>256</v>
      </c>
      <c r="B12" s="3">
        <v>11448333</v>
      </c>
      <c r="C12" s="3" t="s">
        <v>257</v>
      </c>
      <c r="D12" s="3" t="s">
        <v>258</v>
      </c>
      <c r="E12" s="3" t="s">
        <v>43</v>
      </c>
      <c r="F12" s="3" t="s">
        <v>105</v>
      </c>
      <c r="G12" s="3" t="s">
        <v>8</v>
      </c>
      <c r="H12" s="3" t="s">
        <v>106</v>
      </c>
      <c r="I12" s="3">
        <v>3</v>
      </c>
      <c r="J12" s="3" t="s">
        <v>107</v>
      </c>
      <c r="K12" s="3" t="s">
        <v>108</v>
      </c>
      <c r="L12" s="3" t="s">
        <v>120</v>
      </c>
      <c r="M12" s="3" t="s">
        <v>109</v>
      </c>
      <c r="N12" s="3">
        <v>581.5</v>
      </c>
      <c r="O12" t="s">
        <v>73</v>
      </c>
      <c r="P12" s="3">
        <f t="shared" si="0"/>
        <v>581.5</v>
      </c>
      <c r="Q12" s="3" t="str">
        <f>VLOOKUP(O12,Справочник!A:B,2,0)</f>
        <v>New York Giants</v>
      </c>
      <c r="R12" s="3" t="str">
        <f>VLOOKUP(O12,Справочник!A:C,3,0)</f>
        <v>NFL</v>
      </c>
      <c r="S12" s="3">
        <f t="shared" si="2"/>
        <v>1744.5</v>
      </c>
      <c r="T12" s="3">
        <f t="shared" si="1"/>
        <v>1744.5</v>
      </c>
    </row>
    <row r="13" spans="1:21" x14ac:dyDescent="0.25">
      <c r="A13" s="3" t="s">
        <v>259</v>
      </c>
      <c r="B13" s="3">
        <v>11600974</v>
      </c>
      <c r="C13" s="3" t="s">
        <v>260</v>
      </c>
      <c r="D13" s="3" t="s">
        <v>261</v>
      </c>
      <c r="E13" s="3" t="s">
        <v>43</v>
      </c>
      <c r="F13" s="3" t="s">
        <v>105</v>
      </c>
      <c r="G13" s="3" t="s">
        <v>8</v>
      </c>
      <c r="H13" s="3" t="s">
        <v>106</v>
      </c>
      <c r="I13" s="3">
        <v>9</v>
      </c>
      <c r="J13" s="3" t="s">
        <v>107</v>
      </c>
      <c r="K13" s="3" t="s">
        <v>108</v>
      </c>
      <c r="L13" s="3" t="s">
        <v>120</v>
      </c>
      <c r="M13" s="3" t="s">
        <v>109</v>
      </c>
      <c r="N13" s="3">
        <v>465.2</v>
      </c>
      <c r="O13"/>
      <c r="P13" s="3">
        <f t="shared" si="0"/>
        <v>465.20000000000005</v>
      </c>
      <c r="Q13" s="3" t="e">
        <f>VLOOKUP(O13,Справочник!A:B,2,0)</f>
        <v>#N/A</v>
      </c>
      <c r="R13" s="3" t="e">
        <f>VLOOKUP(O13,Справочник!A:C,3,0)</f>
        <v>#N/A</v>
      </c>
      <c r="S13" s="3">
        <f t="shared" si="2"/>
        <v>4186.8</v>
      </c>
      <c r="T13" s="3">
        <f t="shared" si="1"/>
        <v>4186.8</v>
      </c>
    </row>
    <row r="14" spans="1:21" x14ac:dyDescent="0.25">
      <c r="A14" s="3" t="s">
        <v>262</v>
      </c>
      <c r="B14" s="3">
        <v>11601006</v>
      </c>
      <c r="C14" s="3" t="s">
        <v>263</v>
      </c>
      <c r="D14" s="3" t="s">
        <v>264</v>
      </c>
      <c r="E14" s="3" t="s">
        <v>43</v>
      </c>
      <c r="F14" s="3" t="s">
        <v>105</v>
      </c>
      <c r="G14" s="3" t="s">
        <v>8</v>
      </c>
      <c r="H14" s="3" t="s">
        <v>106</v>
      </c>
      <c r="I14" s="3">
        <v>7</v>
      </c>
      <c r="J14" s="3" t="s">
        <v>107</v>
      </c>
      <c r="K14" s="3" t="s">
        <v>108</v>
      </c>
      <c r="L14" s="3" t="s">
        <v>122</v>
      </c>
      <c r="M14" s="3" t="s">
        <v>109</v>
      </c>
      <c r="N14" s="3">
        <v>465.2</v>
      </c>
      <c r="O14"/>
      <c r="P14" s="3">
        <f t="shared" si="0"/>
        <v>465.2</v>
      </c>
      <c r="Q14" s="3" t="e">
        <f>VLOOKUP(O14,Справочник!A:B,2,0)</f>
        <v>#N/A</v>
      </c>
      <c r="R14" s="3" t="e">
        <f>VLOOKUP(O14,Справочник!A:C,3,0)</f>
        <v>#N/A</v>
      </c>
      <c r="S14" s="3">
        <f t="shared" si="2"/>
        <v>3256.4</v>
      </c>
      <c r="T14" s="3">
        <f t="shared" si="1"/>
        <v>3256.4</v>
      </c>
    </row>
    <row r="15" spans="1:21" x14ac:dyDescent="0.25">
      <c r="A15" s="3" t="s">
        <v>265</v>
      </c>
      <c r="B15" s="3">
        <v>11601067</v>
      </c>
      <c r="C15" s="3" t="s">
        <v>266</v>
      </c>
      <c r="D15" s="3" t="s">
        <v>267</v>
      </c>
      <c r="E15" s="3" t="s">
        <v>43</v>
      </c>
      <c r="F15" s="3" t="s">
        <v>105</v>
      </c>
      <c r="G15" s="3" t="s">
        <v>8</v>
      </c>
      <c r="H15" s="3" t="s">
        <v>106</v>
      </c>
      <c r="I15" s="3">
        <v>7</v>
      </c>
      <c r="J15" s="3" t="s">
        <v>107</v>
      </c>
      <c r="K15" s="3" t="s">
        <v>108</v>
      </c>
      <c r="L15" s="3" t="s">
        <v>122</v>
      </c>
      <c r="M15" s="3" t="s">
        <v>109</v>
      </c>
      <c r="N15" s="3">
        <v>465.2</v>
      </c>
      <c r="O15"/>
      <c r="P15" s="3">
        <f t="shared" si="0"/>
        <v>465.2</v>
      </c>
      <c r="Q15" s="3" t="e">
        <f>VLOOKUP(O15,Справочник!A:B,2,0)</f>
        <v>#N/A</v>
      </c>
      <c r="R15" s="3" t="e">
        <f>VLOOKUP(O15,Справочник!A:C,3,0)</f>
        <v>#N/A</v>
      </c>
      <c r="S15" s="3">
        <f t="shared" si="2"/>
        <v>3256.4</v>
      </c>
      <c r="T15" s="3">
        <f t="shared" si="1"/>
        <v>3256.4</v>
      </c>
    </row>
    <row r="16" spans="1:21" x14ac:dyDescent="0.25">
      <c r="A16" s="3" t="s">
        <v>268</v>
      </c>
      <c r="B16" s="3">
        <v>12033074</v>
      </c>
      <c r="C16" s="3" t="s">
        <v>269</v>
      </c>
      <c r="D16" s="3" t="s">
        <v>270</v>
      </c>
      <c r="E16" s="3" t="s">
        <v>47</v>
      </c>
      <c r="F16" s="3" t="s">
        <v>124</v>
      </c>
      <c r="G16" s="3">
        <v>58</v>
      </c>
      <c r="H16" s="3" t="s">
        <v>106</v>
      </c>
      <c r="I16" s="3">
        <v>20</v>
      </c>
      <c r="J16" s="3" t="s">
        <v>107</v>
      </c>
      <c r="K16" s="3" t="s">
        <v>125</v>
      </c>
      <c r="L16" s="3" t="s">
        <v>126</v>
      </c>
      <c r="M16" s="3" t="s">
        <v>109</v>
      </c>
      <c r="N16" s="3">
        <v>744.59</v>
      </c>
      <c r="O16"/>
      <c r="P16" s="3">
        <f t="shared" si="0"/>
        <v>744.59</v>
      </c>
      <c r="Q16" s="3" t="e">
        <f>VLOOKUP(O16,Справочник!A:B,2,0)</f>
        <v>#N/A</v>
      </c>
      <c r="R16" s="3" t="e">
        <f>VLOOKUP(O16,Справочник!A:C,3,0)</f>
        <v>#N/A</v>
      </c>
      <c r="S16" s="3">
        <f t="shared" si="2"/>
        <v>14891.800000000001</v>
      </c>
      <c r="T16" s="3">
        <f t="shared" si="1"/>
        <v>14891.800000000001</v>
      </c>
    </row>
    <row r="17" spans="1:20" x14ac:dyDescent="0.25">
      <c r="A17" s="3" t="s">
        <v>271</v>
      </c>
      <c r="B17" s="3">
        <v>12033078</v>
      </c>
      <c r="C17" s="3" t="s">
        <v>12</v>
      </c>
      <c r="D17" s="3" t="s">
        <v>272</v>
      </c>
      <c r="E17" s="3" t="s">
        <v>47</v>
      </c>
      <c r="F17" s="3" t="s">
        <v>124</v>
      </c>
      <c r="G17" s="3">
        <v>58</v>
      </c>
      <c r="H17" s="3" t="s">
        <v>106</v>
      </c>
      <c r="I17" s="3">
        <v>30</v>
      </c>
      <c r="J17" s="3" t="s">
        <v>107</v>
      </c>
      <c r="K17" s="3" t="s">
        <v>125</v>
      </c>
      <c r="L17" s="3" t="s">
        <v>126</v>
      </c>
      <c r="M17" s="3" t="s">
        <v>109</v>
      </c>
      <c r="N17" s="3">
        <v>744.59</v>
      </c>
      <c r="O17"/>
      <c r="P17" s="3">
        <f t="shared" si="0"/>
        <v>744.59</v>
      </c>
      <c r="Q17" s="3" t="e">
        <f>VLOOKUP(O17,Справочник!A:B,2,0)</f>
        <v>#N/A</v>
      </c>
      <c r="R17" s="3" t="e">
        <f>VLOOKUP(O17,Справочник!A:C,3,0)</f>
        <v>#N/A</v>
      </c>
      <c r="S17" s="3">
        <f t="shared" si="2"/>
        <v>22337.7</v>
      </c>
      <c r="T17" s="3">
        <f t="shared" si="1"/>
        <v>22337.7</v>
      </c>
    </row>
    <row r="18" spans="1:20" x14ac:dyDescent="0.25">
      <c r="A18" s="3" t="s">
        <v>273</v>
      </c>
      <c r="B18" s="3">
        <v>12033099</v>
      </c>
      <c r="C18" s="3" t="s">
        <v>274</v>
      </c>
      <c r="D18" s="3" t="s">
        <v>275</v>
      </c>
      <c r="E18" s="3" t="s">
        <v>50</v>
      </c>
      <c r="F18" s="3" t="s">
        <v>128</v>
      </c>
      <c r="G18" s="3">
        <v>56</v>
      </c>
      <c r="H18" s="3" t="s">
        <v>106</v>
      </c>
      <c r="I18" s="3">
        <v>2</v>
      </c>
      <c r="J18" s="3" t="s">
        <v>107</v>
      </c>
      <c r="K18" s="3" t="s">
        <v>125</v>
      </c>
      <c r="L18" s="3" t="s">
        <v>126</v>
      </c>
      <c r="M18" s="3" t="s">
        <v>109</v>
      </c>
      <c r="N18" s="3">
        <v>581.5</v>
      </c>
      <c r="O18"/>
      <c r="P18" s="3">
        <f t="shared" si="0"/>
        <v>581.5</v>
      </c>
      <c r="Q18" s="3" t="e">
        <f>VLOOKUP(O18,Справочник!A:B,2,0)</f>
        <v>#N/A</v>
      </c>
      <c r="R18" s="3" t="e">
        <f>VLOOKUP(O18,Справочник!A:C,3,0)</f>
        <v>#N/A</v>
      </c>
      <c r="S18" s="3">
        <f t="shared" si="2"/>
        <v>1163</v>
      </c>
      <c r="T18" s="3">
        <f t="shared" si="1"/>
        <v>1163</v>
      </c>
    </row>
    <row r="19" spans="1:20" x14ac:dyDescent="0.25">
      <c r="A19" s="3" t="s">
        <v>276</v>
      </c>
      <c r="B19" s="3">
        <v>12033103</v>
      </c>
      <c r="C19" s="3" t="s">
        <v>12</v>
      </c>
      <c r="D19" s="3" t="s">
        <v>277</v>
      </c>
      <c r="E19" s="3" t="s">
        <v>50</v>
      </c>
      <c r="F19" s="3" t="s">
        <v>128</v>
      </c>
      <c r="G19" s="3">
        <v>56</v>
      </c>
      <c r="H19" s="3" t="s">
        <v>106</v>
      </c>
      <c r="I19" s="3">
        <v>4</v>
      </c>
      <c r="J19" s="3" t="s">
        <v>107</v>
      </c>
      <c r="K19" s="3" t="s">
        <v>125</v>
      </c>
      <c r="L19" s="3" t="s">
        <v>126</v>
      </c>
      <c r="M19" s="3" t="s">
        <v>109</v>
      </c>
      <c r="N19" s="3">
        <v>581.5</v>
      </c>
      <c r="O19"/>
      <c r="P19" s="3">
        <f t="shared" si="0"/>
        <v>581.5</v>
      </c>
      <c r="Q19" s="3" t="e">
        <f>VLOOKUP(O19,Справочник!A:B,2,0)</f>
        <v>#N/A</v>
      </c>
      <c r="R19" s="3" t="e">
        <f>VLOOKUP(O19,Справочник!A:C,3,0)</f>
        <v>#N/A</v>
      </c>
      <c r="S19" s="3">
        <f t="shared" si="2"/>
        <v>2326</v>
      </c>
      <c r="T19" s="3">
        <f t="shared" si="1"/>
        <v>2326</v>
      </c>
    </row>
    <row r="20" spans="1:20" x14ac:dyDescent="0.25">
      <c r="A20" s="3" t="s">
        <v>278</v>
      </c>
      <c r="B20" s="3">
        <v>12033128</v>
      </c>
      <c r="C20" s="3" t="s">
        <v>12</v>
      </c>
      <c r="D20" s="3" t="s">
        <v>279</v>
      </c>
      <c r="E20" s="3" t="s">
        <v>47</v>
      </c>
      <c r="F20" s="3" t="s">
        <v>124</v>
      </c>
      <c r="G20" s="3">
        <v>58</v>
      </c>
      <c r="H20" s="3" t="s">
        <v>106</v>
      </c>
      <c r="I20" s="3">
        <v>5</v>
      </c>
      <c r="J20" s="3" t="s">
        <v>130</v>
      </c>
      <c r="K20" s="3" t="s">
        <v>125</v>
      </c>
      <c r="L20" s="3" t="s">
        <v>126</v>
      </c>
      <c r="M20" s="3" t="s">
        <v>109</v>
      </c>
      <c r="N20" s="3">
        <v>750.95</v>
      </c>
      <c r="O20"/>
      <c r="P20" s="3">
        <f t="shared" si="0"/>
        <v>750.95</v>
      </c>
      <c r="Q20" s="3" t="e">
        <f>VLOOKUP(O20,Справочник!A:B,2,0)</f>
        <v>#N/A</v>
      </c>
      <c r="R20" s="3" t="e">
        <f>VLOOKUP(O20,Справочник!A:C,3,0)</f>
        <v>#N/A</v>
      </c>
      <c r="S20" s="3">
        <f t="shared" si="2"/>
        <v>3754.75</v>
      </c>
      <c r="T20" s="3">
        <f t="shared" si="1"/>
        <v>3754.75</v>
      </c>
    </row>
    <row r="21" spans="1:20" x14ac:dyDescent="0.25">
      <c r="A21" s="3" t="s">
        <v>280</v>
      </c>
      <c r="B21" s="3">
        <v>12033266</v>
      </c>
      <c r="C21" s="3" t="s">
        <v>42</v>
      </c>
      <c r="D21" s="3" t="s">
        <v>281</v>
      </c>
      <c r="E21" s="3" t="s">
        <v>47</v>
      </c>
      <c r="F21" s="3" t="s">
        <v>124</v>
      </c>
      <c r="G21" s="3">
        <v>58</v>
      </c>
      <c r="H21" s="3" t="s">
        <v>106</v>
      </c>
      <c r="I21" s="3">
        <v>2</v>
      </c>
      <c r="J21" s="3" t="s">
        <v>107</v>
      </c>
      <c r="K21" s="3" t="s">
        <v>125</v>
      </c>
      <c r="L21" s="3" t="s">
        <v>126</v>
      </c>
      <c r="M21" s="3" t="s">
        <v>109</v>
      </c>
      <c r="N21" s="3">
        <v>581.5</v>
      </c>
      <c r="O21" t="s">
        <v>42</v>
      </c>
      <c r="P21" s="3">
        <f t="shared" si="0"/>
        <v>581.5</v>
      </c>
      <c r="Q21" s="3" t="str">
        <f>VLOOKUP(O21,Справочник!A:B,2,0)</f>
        <v>Los Angeles Dodgers</v>
      </c>
      <c r="R21" s="3" t="str">
        <f>VLOOKUP(O21,Справочник!A:C,3,0)</f>
        <v>MLB</v>
      </c>
      <c r="S21" s="3">
        <f t="shared" si="2"/>
        <v>1163</v>
      </c>
      <c r="T21" s="3">
        <f t="shared" si="1"/>
        <v>1163</v>
      </c>
    </row>
    <row r="22" spans="1:20" x14ac:dyDescent="0.25">
      <c r="A22" s="3" t="s">
        <v>282</v>
      </c>
      <c r="B22" s="3">
        <v>12122729</v>
      </c>
      <c r="C22" s="3" t="s">
        <v>6</v>
      </c>
      <c r="D22" s="3" t="s">
        <v>283</v>
      </c>
      <c r="E22" s="3" t="s">
        <v>50</v>
      </c>
      <c r="F22" s="3" t="s">
        <v>128</v>
      </c>
      <c r="G22" s="3">
        <v>56</v>
      </c>
      <c r="H22" s="3" t="s">
        <v>106</v>
      </c>
      <c r="I22" s="3">
        <v>11</v>
      </c>
      <c r="J22" s="3" t="s">
        <v>107</v>
      </c>
      <c r="K22" s="3" t="s">
        <v>125</v>
      </c>
      <c r="L22" s="3" t="s">
        <v>126</v>
      </c>
      <c r="M22" s="3" t="s">
        <v>109</v>
      </c>
      <c r="N22" s="3">
        <v>1396.52</v>
      </c>
      <c r="O22" t="s">
        <v>37</v>
      </c>
      <c r="P22" s="3">
        <f t="shared" si="0"/>
        <v>1396.52</v>
      </c>
      <c r="Q22" s="3" t="str">
        <f>VLOOKUP(O22,Справочник!A:B,2,0)</f>
        <v>New York Yankees</v>
      </c>
      <c r="R22" s="3" t="str">
        <f>VLOOKUP(O22,Справочник!A:C,3,0)</f>
        <v>MLB</v>
      </c>
      <c r="S22" s="3">
        <f t="shared" si="2"/>
        <v>15361.72</v>
      </c>
      <c r="T22" s="3">
        <f t="shared" si="1"/>
        <v>15361.72</v>
      </c>
    </row>
    <row r="23" spans="1:20" x14ac:dyDescent="0.25">
      <c r="A23" s="3" t="s">
        <v>284</v>
      </c>
      <c r="B23" s="3">
        <v>12156075</v>
      </c>
      <c r="C23" s="3" t="s">
        <v>11</v>
      </c>
      <c r="D23" s="3" t="s">
        <v>285</v>
      </c>
      <c r="E23" s="3" t="s">
        <v>50</v>
      </c>
      <c r="F23" s="3" t="s">
        <v>128</v>
      </c>
      <c r="G23" s="3">
        <v>56</v>
      </c>
      <c r="H23" s="3" t="s">
        <v>106</v>
      </c>
      <c r="I23" s="3">
        <v>7</v>
      </c>
      <c r="J23" s="3" t="s">
        <v>107</v>
      </c>
      <c r="K23" s="3" t="s">
        <v>125</v>
      </c>
      <c r="L23" s="3" t="s">
        <v>126</v>
      </c>
      <c r="M23" s="3" t="s">
        <v>109</v>
      </c>
      <c r="N23" s="3">
        <v>1396.52</v>
      </c>
      <c r="O23" t="s">
        <v>44</v>
      </c>
      <c r="P23" s="3">
        <f t="shared" si="0"/>
        <v>1396.52</v>
      </c>
      <c r="Q23" s="3" t="str">
        <f>VLOOKUP(O23,Справочник!A:B,2,0)</f>
        <v>Chicago Bulls</v>
      </c>
      <c r="R23" s="3" t="str">
        <f>VLOOKUP(O23,Справочник!A:C,3,0)</f>
        <v>NBA</v>
      </c>
      <c r="S23" s="3">
        <f t="shared" si="2"/>
        <v>9775.64</v>
      </c>
      <c r="T23" s="3">
        <f t="shared" si="1"/>
        <v>9775.64</v>
      </c>
    </row>
    <row r="24" spans="1:20" x14ac:dyDescent="0.25">
      <c r="A24" s="3" t="s">
        <v>286</v>
      </c>
      <c r="B24" s="3">
        <v>12162668</v>
      </c>
      <c r="C24" s="3" t="s">
        <v>12</v>
      </c>
      <c r="D24" s="3" t="s">
        <v>287</v>
      </c>
      <c r="E24" s="3" t="s">
        <v>47</v>
      </c>
      <c r="F24" s="3" t="s">
        <v>124</v>
      </c>
      <c r="G24" s="3">
        <v>58</v>
      </c>
      <c r="H24" s="3" t="s">
        <v>106</v>
      </c>
      <c r="I24" s="3">
        <v>3</v>
      </c>
      <c r="J24" s="3" t="s">
        <v>107</v>
      </c>
      <c r="K24" s="3" t="s">
        <v>125</v>
      </c>
      <c r="L24" s="3" t="s">
        <v>126</v>
      </c>
      <c r="M24" s="3" t="s">
        <v>109</v>
      </c>
      <c r="N24" s="3">
        <v>791.16</v>
      </c>
      <c r="O24"/>
      <c r="P24" s="3">
        <f t="shared" si="0"/>
        <v>791.16</v>
      </c>
      <c r="Q24" s="3" t="e">
        <f>VLOOKUP(O24,Справочник!A:B,2,0)</f>
        <v>#N/A</v>
      </c>
      <c r="R24" s="3" t="e">
        <f>VLOOKUP(O24,Справочник!A:C,3,0)</f>
        <v>#N/A</v>
      </c>
      <c r="S24" s="3">
        <f t="shared" si="2"/>
        <v>2373.48</v>
      </c>
      <c r="T24" s="3">
        <f t="shared" si="1"/>
        <v>2373.48</v>
      </c>
    </row>
    <row r="25" spans="1:20" x14ac:dyDescent="0.25">
      <c r="A25" s="3" t="s">
        <v>288</v>
      </c>
      <c r="B25" s="3">
        <v>12285245</v>
      </c>
      <c r="C25" s="3" t="s">
        <v>12</v>
      </c>
      <c r="D25" s="3" t="s">
        <v>289</v>
      </c>
      <c r="E25" s="3" t="s">
        <v>50</v>
      </c>
      <c r="F25" s="3" t="s">
        <v>128</v>
      </c>
      <c r="G25" s="3">
        <v>56</v>
      </c>
      <c r="H25" s="3" t="s">
        <v>106</v>
      </c>
      <c r="I25" s="3">
        <v>4</v>
      </c>
      <c r="J25" s="3" t="s">
        <v>107</v>
      </c>
      <c r="K25" s="3" t="s">
        <v>125</v>
      </c>
      <c r="L25" s="3" t="s">
        <v>126</v>
      </c>
      <c r="M25" s="3" t="s">
        <v>109</v>
      </c>
      <c r="N25" s="3">
        <v>1769.05</v>
      </c>
      <c r="O25" t="s">
        <v>44</v>
      </c>
      <c r="P25" s="3">
        <f t="shared" si="0"/>
        <v>1769.05</v>
      </c>
      <c r="Q25" s="3" t="str">
        <f>VLOOKUP(O25,Справочник!A:B,2,0)</f>
        <v>Chicago Bulls</v>
      </c>
      <c r="R25" s="3" t="str">
        <f>VLOOKUP(O25,Справочник!A:C,3,0)</f>
        <v>NBA</v>
      </c>
      <c r="S25" s="3">
        <f t="shared" si="2"/>
        <v>7076.2</v>
      </c>
      <c r="T25" s="3">
        <f t="shared" si="1"/>
        <v>7076.2</v>
      </c>
    </row>
    <row r="26" spans="1:20" x14ac:dyDescent="0.25">
      <c r="A26" s="3" t="s">
        <v>290</v>
      </c>
      <c r="B26" s="3">
        <v>12292584</v>
      </c>
      <c r="C26" s="3" t="s">
        <v>12</v>
      </c>
      <c r="D26" s="3" t="s">
        <v>291</v>
      </c>
      <c r="E26" s="3" t="s">
        <v>43</v>
      </c>
      <c r="F26" s="3" t="s">
        <v>105</v>
      </c>
      <c r="G26" s="3" t="s">
        <v>8</v>
      </c>
      <c r="H26" s="3" t="s">
        <v>106</v>
      </c>
      <c r="I26" s="3">
        <v>13</v>
      </c>
      <c r="J26" s="3" t="s">
        <v>107</v>
      </c>
      <c r="K26" s="3" t="s">
        <v>135</v>
      </c>
      <c r="L26" s="3" t="s">
        <v>136</v>
      </c>
      <c r="M26" s="3" t="s">
        <v>109</v>
      </c>
      <c r="N26" s="3">
        <v>1210.25</v>
      </c>
      <c r="O26" t="s">
        <v>48</v>
      </c>
      <c r="P26" s="3">
        <f t="shared" si="0"/>
        <v>1210.25</v>
      </c>
      <c r="Q26" s="3" t="str">
        <f>VLOOKUP(O26,Справочник!A:B,2,0)</f>
        <v>Los Angeles Lakers</v>
      </c>
      <c r="R26" s="3" t="str">
        <f>VLOOKUP(O26,Справочник!A:C,3,0)</f>
        <v>NBA</v>
      </c>
      <c r="S26" s="3">
        <f t="shared" si="2"/>
        <v>15733.25</v>
      </c>
      <c r="T26" s="3">
        <f t="shared" si="1"/>
        <v>15733.25</v>
      </c>
    </row>
    <row r="27" spans="1:20" x14ac:dyDescent="0.25">
      <c r="A27" s="3" t="s">
        <v>292</v>
      </c>
      <c r="B27" s="3">
        <v>12292586</v>
      </c>
      <c r="C27" s="3" t="s">
        <v>12</v>
      </c>
      <c r="D27" s="3" t="s">
        <v>293</v>
      </c>
      <c r="E27" s="3" t="s">
        <v>43</v>
      </c>
      <c r="F27" s="3" t="s">
        <v>105</v>
      </c>
      <c r="G27" s="3" t="s">
        <v>8</v>
      </c>
      <c r="H27" s="3" t="s">
        <v>106</v>
      </c>
      <c r="I27" s="3">
        <v>11</v>
      </c>
      <c r="J27" s="3" t="s">
        <v>107</v>
      </c>
      <c r="K27" s="3" t="s">
        <v>135</v>
      </c>
      <c r="L27" s="3" t="s">
        <v>136</v>
      </c>
      <c r="M27" s="3" t="s">
        <v>109</v>
      </c>
      <c r="N27" s="3">
        <v>1210.25</v>
      </c>
      <c r="O27" t="s">
        <v>44</v>
      </c>
      <c r="P27" s="3">
        <f t="shared" si="0"/>
        <v>1210.25</v>
      </c>
      <c r="Q27" s="3" t="str">
        <f>VLOOKUP(O27,Справочник!A:B,2,0)</f>
        <v>Chicago Bulls</v>
      </c>
      <c r="R27" s="3" t="str">
        <f>VLOOKUP(O27,Справочник!A:C,3,0)</f>
        <v>NBA</v>
      </c>
      <c r="S27" s="3">
        <f t="shared" si="2"/>
        <v>13312.75</v>
      </c>
      <c r="T27" s="3">
        <f t="shared" si="1"/>
        <v>13312.75</v>
      </c>
    </row>
    <row r="28" spans="1:20" x14ac:dyDescent="0.25">
      <c r="A28" s="3" t="s">
        <v>294</v>
      </c>
      <c r="B28" s="3">
        <v>12309046</v>
      </c>
      <c r="C28" s="3" t="s">
        <v>295</v>
      </c>
      <c r="D28" s="3" t="s">
        <v>296</v>
      </c>
      <c r="E28" s="3" t="s">
        <v>43</v>
      </c>
      <c r="F28" s="3" t="s">
        <v>105</v>
      </c>
      <c r="G28" s="3" t="s">
        <v>8</v>
      </c>
      <c r="H28" s="3" t="s">
        <v>106</v>
      </c>
      <c r="I28" s="3">
        <v>3</v>
      </c>
      <c r="J28" s="3" t="s">
        <v>107</v>
      </c>
      <c r="K28" s="3" t="s">
        <v>135</v>
      </c>
      <c r="L28" s="3" t="s">
        <v>138</v>
      </c>
      <c r="M28" s="3" t="s">
        <v>109</v>
      </c>
      <c r="N28" s="3">
        <v>997.4</v>
      </c>
      <c r="O28"/>
      <c r="P28" s="3">
        <f t="shared" si="0"/>
        <v>997.4</v>
      </c>
      <c r="Q28" s="3" t="e">
        <f>VLOOKUP(O28,Справочник!A:B,2,0)</f>
        <v>#N/A</v>
      </c>
      <c r="R28" s="3" t="e">
        <f>VLOOKUP(O28,Справочник!A:C,3,0)</f>
        <v>#N/A</v>
      </c>
      <c r="S28" s="3">
        <f t="shared" si="2"/>
        <v>2992.2</v>
      </c>
      <c r="T28" s="3">
        <f t="shared" si="1"/>
        <v>2992.2</v>
      </c>
    </row>
    <row r="29" spans="1:20" x14ac:dyDescent="0.25">
      <c r="A29" s="3" t="s">
        <v>297</v>
      </c>
      <c r="B29" s="3">
        <v>12489434</v>
      </c>
      <c r="C29" s="3" t="s">
        <v>298</v>
      </c>
      <c r="D29" s="3" t="s">
        <v>299</v>
      </c>
      <c r="E29" s="3" t="s">
        <v>43</v>
      </c>
      <c r="F29" s="3" t="s">
        <v>105</v>
      </c>
      <c r="G29" s="3" t="s">
        <v>8</v>
      </c>
      <c r="H29" s="3" t="s">
        <v>106</v>
      </c>
      <c r="I29" s="3">
        <v>9</v>
      </c>
      <c r="J29" s="3" t="s">
        <v>107</v>
      </c>
      <c r="K29" s="3" t="s">
        <v>135</v>
      </c>
      <c r="L29" s="3" t="s">
        <v>138</v>
      </c>
      <c r="M29" s="3" t="s">
        <v>109</v>
      </c>
      <c r="N29" s="3">
        <v>744.59</v>
      </c>
      <c r="O29"/>
      <c r="P29" s="3">
        <f t="shared" si="0"/>
        <v>744.59</v>
      </c>
      <c r="Q29" s="3" t="e">
        <f>VLOOKUP(O29,Справочник!A:B,2,0)</f>
        <v>#N/A</v>
      </c>
      <c r="R29" s="3" t="e">
        <f>VLOOKUP(O29,Справочник!A:C,3,0)</f>
        <v>#N/A</v>
      </c>
      <c r="S29" s="3">
        <f t="shared" si="2"/>
        <v>6701.31</v>
      </c>
      <c r="T29" s="3">
        <f t="shared" si="1"/>
        <v>6701.31</v>
      </c>
    </row>
    <row r="30" spans="1:20" x14ac:dyDescent="0.25">
      <c r="A30" s="3" t="s">
        <v>300</v>
      </c>
      <c r="B30" s="3">
        <v>12489435</v>
      </c>
      <c r="C30" s="3" t="s">
        <v>301</v>
      </c>
      <c r="D30" s="3" t="s">
        <v>302</v>
      </c>
      <c r="E30" s="3" t="s">
        <v>47</v>
      </c>
      <c r="F30" s="3" t="s">
        <v>124</v>
      </c>
      <c r="G30" s="3">
        <v>58</v>
      </c>
      <c r="H30" s="3" t="s">
        <v>106</v>
      </c>
      <c r="I30" s="3">
        <v>6</v>
      </c>
      <c r="J30" s="3" t="s">
        <v>107</v>
      </c>
      <c r="K30" s="3" t="s">
        <v>135</v>
      </c>
      <c r="M30" s="3" t="s">
        <v>109</v>
      </c>
      <c r="N30" s="3">
        <v>558.33000000000004</v>
      </c>
      <c r="O30"/>
      <c r="P30" s="3">
        <f t="shared" si="0"/>
        <v>558.33000000000004</v>
      </c>
      <c r="Q30" s="3" t="e">
        <f>VLOOKUP(O30,Справочник!A:B,2,0)</f>
        <v>#N/A</v>
      </c>
      <c r="R30" s="3" t="e">
        <f>VLOOKUP(O30,Справочник!A:C,3,0)</f>
        <v>#N/A</v>
      </c>
      <c r="S30" s="3">
        <f t="shared" si="2"/>
        <v>3349.9800000000005</v>
      </c>
      <c r="T30" s="3">
        <f t="shared" si="1"/>
        <v>3349.9800000000005</v>
      </c>
    </row>
    <row r="31" spans="1:20" x14ac:dyDescent="0.25">
      <c r="A31" s="3" t="s">
        <v>450</v>
      </c>
      <c r="B31" s="3">
        <v>12489441</v>
      </c>
      <c r="C31" s="3" t="s">
        <v>303</v>
      </c>
      <c r="D31" s="3" t="s">
        <v>304</v>
      </c>
      <c r="E31" s="3" t="s">
        <v>47</v>
      </c>
      <c r="F31" s="3" t="s">
        <v>124</v>
      </c>
      <c r="G31" s="3">
        <v>58</v>
      </c>
      <c r="H31" s="3" t="s">
        <v>106</v>
      </c>
      <c r="I31" s="3">
        <v>4</v>
      </c>
      <c r="J31" s="3" t="s">
        <v>107</v>
      </c>
      <c r="K31" s="3" t="s">
        <v>135</v>
      </c>
      <c r="M31" s="3" t="s">
        <v>109</v>
      </c>
      <c r="N31" s="3">
        <v>581.5</v>
      </c>
      <c r="O31"/>
      <c r="P31" s="3">
        <f t="shared" si="0"/>
        <v>581.5</v>
      </c>
      <c r="Q31" s="3" t="e">
        <f>VLOOKUP(O31,Справочник!A:B,2,0)</f>
        <v>#N/A</v>
      </c>
      <c r="R31" s="3" t="e">
        <f>VLOOKUP(O31,Справочник!A:C,3,0)</f>
        <v>#N/A</v>
      </c>
      <c r="S31" s="3">
        <f t="shared" si="2"/>
        <v>2326</v>
      </c>
      <c r="T31" s="3">
        <f t="shared" si="1"/>
        <v>2326</v>
      </c>
    </row>
    <row r="32" spans="1:20" x14ac:dyDescent="0.25">
      <c r="A32" s="3" t="s">
        <v>451</v>
      </c>
      <c r="B32" s="3">
        <v>12489454</v>
      </c>
      <c r="C32" s="3" t="s">
        <v>305</v>
      </c>
      <c r="D32" s="3" t="s">
        <v>306</v>
      </c>
      <c r="E32" s="3" t="s">
        <v>50</v>
      </c>
      <c r="F32" s="3" t="s">
        <v>128</v>
      </c>
      <c r="G32" s="3">
        <v>56</v>
      </c>
      <c r="H32" s="3" t="s">
        <v>106</v>
      </c>
      <c r="I32" s="3">
        <v>4</v>
      </c>
      <c r="J32" s="3" t="s">
        <v>107</v>
      </c>
      <c r="K32" s="3" t="s">
        <v>135</v>
      </c>
      <c r="M32" s="3" t="s">
        <v>109</v>
      </c>
      <c r="N32" s="3">
        <v>581.5</v>
      </c>
      <c r="O32" t="s">
        <v>51</v>
      </c>
      <c r="P32" s="3">
        <f t="shared" si="0"/>
        <v>581.5</v>
      </c>
      <c r="Q32" s="3" t="str">
        <f>VLOOKUP(O32,Справочник!A:B,2,0)</f>
        <v>Oakland Athletics</v>
      </c>
      <c r="R32" s="3" t="str">
        <f>VLOOKUP(O32,Справочник!A:C,3,0)</f>
        <v>MLB</v>
      </c>
      <c r="S32" s="3">
        <f t="shared" si="2"/>
        <v>2326</v>
      </c>
      <c r="T32" s="3">
        <f t="shared" si="1"/>
        <v>2326</v>
      </c>
    </row>
    <row r="33" spans="1:20" x14ac:dyDescent="0.25">
      <c r="A33" s="3" t="s">
        <v>452</v>
      </c>
      <c r="B33" s="3">
        <v>12489459</v>
      </c>
      <c r="C33" s="3" t="s">
        <v>305</v>
      </c>
      <c r="D33" s="3" t="s">
        <v>307</v>
      </c>
      <c r="E33" s="3" t="s">
        <v>50</v>
      </c>
      <c r="F33" s="3" t="s">
        <v>128</v>
      </c>
      <c r="G33" s="3">
        <v>56</v>
      </c>
      <c r="H33" s="3" t="s">
        <v>106</v>
      </c>
      <c r="I33" s="3">
        <v>2</v>
      </c>
      <c r="J33" s="3" t="s">
        <v>107</v>
      </c>
      <c r="K33" s="3" t="s">
        <v>135</v>
      </c>
      <c r="M33" s="3" t="s">
        <v>109</v>
      </c>
      <c r="N33" s="3">
        <v>756.12</v>
      </c>
      <c r="O33" t="s">
        <v>37</v>
      </c>
      <c r="P33" s="3">
        <f t="shared" si="0"/>
        <v>756.12</v>
      </c>
      <c r="Q33" s="3" t="str">
        <f>VLOOKUP(O33,Справочник!A:B,2,0)</f>
        <v>New York Yankees</v>
      </c>
      <c r="R33" s="3" t="str">
        <f>VLOOKUP(O33,Справочник!A:C,3,0)</f>
        <v>MLB</v>
      </c>
      <c r="S33" s="3">
        <f t="shared" si="2"/>
        <v>1512.24</v>
      </c>
      <c r="T33" s="3">
        <f t="shared" si="1"/>
        <v>1512.24</v>
      </c>
    </row>
    <row r="34" spans="1:20" x14ac:dyDescent="0.25">
      <c r="A34" s="3" t="s">
        <v>453</v>
      </c>
      <c r="B34" s="3">
        <v>12489460</v>
      </c>
      <c r="C34" s="3" t="s">
        <v>12</v>
      </c>
      <c r="D34" s="3" t="s">
        <v>308</v>
      </c>
      <c r="E34" s="3" t="s">
        <v>47</v>
      </c>
      <c r="F34" s="3" t="s">
        <v>124</v>
      </c>
      <c r="G34" s="3">
        <v>58</v>
      </c>
      <c r="H34" s="3" t="s">
        <v>106</v>
      </c>
      <c r="I34" s="3">
        <v>4</v>
      </c>
      <c r="J34" s="3" t="s">
        <v>107</v>
      </c>
      <c r="K34" s="3" t="s">
        <v>135</v>
      </c>
      <c r="M34" s="3" t="s">
        <v>109</v>
      </c>
      <c r="N34" s="3">
        <v>756.12</v>
      </c>
      <c r="O34" t="s">
        <v>37</v>
      </c>
      <c r="P34" s="3">
        <f t="shared" ref="P34:P65" si="3">SUMIF(A:A,A34,S:S)/SUMIF(A:A,A34,I:I)</f>
        <v>756.12</v>
      </c>
      <c r="Q34" s="3" t="str">
        <f>VLOOKUP(O34,Справочник!A:B,2,0)</f>
        <v>New York Yankees</v>
      </c>
      <c r="R34" s="3" t="str">
        <f>VLOOKUP(O34,Справочник!A:C,3,0)</f>
        <v>MLB</v>
      </c>
      <c r="S34" s="3">
        <f t="shared" si="2"/>
        <v>3024.48</v>
      </c>
      <c r="T34" s="3">
        <f t="shared" ref="T34:T65" si="4">P34*I34</f>
        <v>3024.48</v>
      </c>
    </row>
    <row r="35" spans="1:20" x14ac:dyDescent="0.25">
      <c r="A35" s="3" t="s">
        <v>454</v>
      </c>
      <c r="B35" s="3">
        <v>12489461</v>
      </c>
      <c r="C35" s="3" t="s">
        <v>309</v>
      </c>
      <c r="D35" s="3" t="s">
        <v>310</v>
      </c>
      <c r="E35" s="3" t="s">
        <v>47</v>
      </c>
      <c r="F35" s="3" t="s">
        <v>124</v>
      </c>
      <c r="G35" s="3">
        <v>58</v>
      </c>
      <c r="H35" s="3" t="s">
        <v>106</v>
      </c>
      <c r="I35" s="3">
        <v>4</v>
      </c>
      <c r="J35" s="3" t="s">
        <v>107</v>
      </c>
      <c r="K35" s="3" t="s">
        <v>135</v>
      </c>
      <c r="M35" s="3" t="s">
        <v>109</v>
      </c>
      <c r="N35" s="3">
        <v>756.12</v>
      </c>
      <c r="O35" t="s">
        <v>42</v>
      </c>
      <c r="P35" s="3">
        <f t="shared" si="3"/>
        <v>756.12</v>
      </c>
      <c r="Q35" s="3" t="str">
        <f>VLOOKUP(O35,Справочник!A:B,2,0)</f>
        <v>Los Angeles Dodgers</v>
      </c>
      <c r="R35" s="3" t="str">
        <f>VLOOKUP(O35,Справочник!A:C,3,0)</f>
        <v>MLB</v>
      </c>
      <c r="S35" s="3">
        <f t="shared" si="2"/>
        <v>3024.48</v>
      </c>
      <c r="T35" s="3">
        <f t="shared" si="4"/>
        <v>3024.48</v>
      </c>
    </row>
    <row r="36" spans="1:20" x14ac:dyDescent="0.25">
      <c r="A36" s="3" t="s">
        <v>455</v>
      </c>
      <c r="B36" s="3">
        <v>12505744</v>
      </c>
      <c r="C36" s="3" t="s">
        <v>311</v>
      </c>
      <c r="D36" s="3" t="s">
        <v>312</v>
      </c>
      <c r="E36" s="3" t="s">
        <v>50</v>
      </c>
      <c r="F36" s="3" t="s">
        <v>128</v>
      </c>
      <c r="G36" s="3">
        <v>56</v>
      </c>
      <c r="H36" s="3" t="s">
        <v>106</v>
      </c>
      <c r="I36" s="3">
        <v>4</v>
      </c>
      <c r="J36" s="3" t="s">
        <v>107</v>
      </c>
      <c r="K36" s="3" t="s">
        <v>135</v>
      </c>
      <c r="M36" s="3" t="s">
        <v>109</v>
      </c>
      <c r="N36" s="3">
        <v>698.03</v>
      </c>
      <c r="O36" t="s">
        <v>55</v>
      </c>
      <c r="P36" s="3">
        <f t="shared" si="3"/>
        <v>698.03</v>
      </c>
      <c r="Q36" s="3" t="str">
        <f>VLOOKUP(O36,Справочник!A:B,2,0)</f>
        <v>Boston Red Sox</v>
      </c>
      <c r="R36" s="3" t="str">
        <f>VLOOKUP(O36,Справочник!A:C,3,0)</f>
        <v>MLB</v>
      </c>
      <c r="S36" s="3">
        <f t="shared" si="2"/>
        <v>2792.12</v>
      </c>
      <c r="T36" s="3">
        <f t="shared" si="4"/>
        <v>2792.12</v>
      </c>
    </row>
    <row r="37" spans="1:20" x14ac:dyDescent="0.25">
      <c r="A37" s="3" t="s">
        <v>456</v>
      </c>
      <c r="B37" s="3">
        <v>12505771</v>
      </c>
      <c r="C37" s="3" t="s">
        <v>274</v>
      </c>
      <c r="D37" s="3" t="s">
        <v>313</v>
      </c>
      <c r="E37" s="3" t="s">
        <v>47</v>
      </c>
      <c r="F37" s="3" t="s">
        <v>124</v>
      </c>
      <c r="G37" s="3">
        <v>58</v>
      </c>
      <c r="H37" s="3" t="s">
        <v>106</v>
      </c>
      <c r="I37" s="3">
        <v>4</v>
      </c>
      <c r="J37" s="3" t="s">
        <v>130</v>
      </c>
      <c r="K37" s="3" t="s">
        <v>135</v>
      </c>
      <c r="L37" s="3" t="s">
        <v>144</v>
      </c>
      <c r="M37" s="3" t="s">
        <v>109</v>
      </c>
      <c r="N37" s="3">
        <v>581.5</v>
      </c>
      <c r="O37"/>
      <c r="P37" s="3">
        <f t="shared" si="3"/>
        <v>581.5</v>
      </c>
      <c r="Q37" s="3" t="e">
        <f>VLOOKUP(O37,Справочник!A:B,2,0)</f>
        <v>#N/A</v>
      </c>
      <c r="R37" s="3" t="e">
        <f>VLOOKUP(O37,Справочник!A:C,3,0)</f>
        <v>#N/A</v>
      </c>
      <c r="S37" s="3">
        <f t="shared" si="2"/>
        <v>2326</v>
      </c>
      <c r="T37" s="3">
        <f t="shared" si="4"/>
        <v>2326</v>
      </c>
    </row>
    <row r="38" spans="1:20" x14ac:dyDescent="0.25">
      <c r="A38" s="3" t="s">
        <v>457</v>
      </c>
      <c r="B38" s="3">
        <v>12505772</v>
      </c>
      <c r="C38" s="3" t="s">
        <v>309</v>
      </c>
      <c r="D38" s="3" t="s">
        <v>314</v>
      </c>
      <c r="E38" s="3" t="s">
        <v>47</v>
      </c>
      <c r="F38" s="3" t="s">
        <v>124</v>
      </c>
      <c r="G38" s="3">
        <v>58</v>
      </c>
      <c r="H38" s="3" t="s">
        <v>106</v>
      </c>
      <c r="I38" s="3">
        <v>4</v>
      </c>
      <c r="J38" s="3" t="s">
        <v>107</v>
      </c>
      <c r="K38" s="3" t="s">
        <v>135</v>
      </c>
      <c r="L38" s="3" t="s">
        <v>144</v>
      </c>
      <c r="M38" s="3" t="s">
        <v>109</v>
      </c>
      <c r="N38" s="3">
        <v>581.5</v>
      </c>
      <c r="O38"/>
      <c r="P38" s="3">
        <f t="shared" si="3"/>
        <v>581.5</v>
      </c>
      <c r="Q38" s="3" t="e">
        <f>VLOOKUP(O38,Справочник!A:B,2,0)</f>
        <v>#N/A</v>
      </c>
      <c r="R38" s="3" t="e">
        <f>VLOOKUP(O38,Справочник!A:C,3,0)</f>
        <v>#N/A</v>
      </c>
      <c r="S38" s="3">
        <f t="shared" si="2"/>
        <v>2326</v>
      </c>
      <c r="T38" s="3">
        <f t="shared" si="4"/>
        <v>2326</v>
      </c>
    </row>
    <row r="39" spans="1:20" x14ac:dyDescent="0.25">
      <c r="A39" s="3" t="s">
        <v>315</v>
      </c>
      <c r="B39" s="3">
        <v>12505779</v>
      </c>
      <c r="C39" s="3" t="s">
        <v>12</v>
      </c>
      <c r="D39" s="3" t="s">
        <v>316</v>
      </c>
      <c r="E39" s="3" t="s">
        <v>50</v>
      </c>
      <c r="F39" s="3" t="s">
        <v>128</v>
      </c>
      <c r="G39" s="3">
        <v>56</v>
      </c>
      <c r="H39" s="3" t="s">
        <v>106</v>
      </c>
      <c r="I39" s="3">
        <v>12</v>
      </c>
      <c r="J39" s="3" t="s">
        <v>107</v>
      </c>
      <c r="K39" s="3" t="s">
        <v>135</v>
      </c>
      <c r="L39" s="3" t="s">
        <v>144</v>
      </c>
      <c r="M39" s="3" t="s">
        <v>109</v>
      </c>
      <c r="N39" s="3">
        <v>744.59</v>
      </c>
      <c r="O39"/>
      <c r="P39" s="3">
        <f t="shared" si="3"/>
        <v>744.59</v>
      </c>
      <c r="Q39" s="3" t="e">
        <f>VLOOKUP(O39,Справочник!A:B,2,0)</f>
        <v>#N/A</v>
      </c>
      <c r="R39" s="3" t="e">
        <f>VLOOKUP(O39,Справочник!A:C,3,0)</f>
        <v>#N/A</v>
      </c>
      <c r="S39" s="3">
        <f t="shared" si="2"/>
        <v>8935.08</v>
      </c>
      <c r="T39" s="3">
        <f t="shared" si="4"/>
        <v>8935.08</v>
      </c>
    </row>
    <row r="40" spans="1:20" x14ac:dyDescent="0.25">
      <c r="A40" s="3" t="s">
        <v>317</v>
      </c>
      <c r="B40" s="3">
        <v>12505780</v>
      </c>
      <c r="C40" s="3" t="s">
        <v>318</v>
      </c>
      <c r="D40" s="3" t="s">
        <v>319</v>
      </c>
      <c r="E40" s="3" t="s">
        <v>50</v>
      </c>
      <c r="F40" s="3" t="s">
        <v>128</v>
      </c>
      <c r="G40" s="3">
        <v>56</v>
      </c>
      <c r="H40" s="3" t="s">
        <v>106</v>
      </c>
      <c r="I40" s="3">
        <v>7</v>
      </c>
      <c r="J40" s="3" t="s">
        <v>130</v>
      </c>
      <c r="K40" s="3" t="s">
        <v>135</v>
      </c>
      <c r="L40" s="3" t="s">
        <v>144</v>
      </c>
      <c r="M40" s="3" t="s">
        <v>109</v>
      </c>
      <c r="N40" s="3">
        <v>558.33000000000004</v>
      </c>
      <c r="O40"/>
      <c r="P40" s="3">
        <f t="shared" si="3"/>
        <v>558.33000000000004</v>
      </c>
      <c r="Q40" s="3" t="e">
        <f>VLOOKUP(O40,Справочник!A:B,2,0)</f>
        <v>#N/A</v>
      </c>
      <c r="R40" s="3" t="e">
        <f>VLOOKUP(O40,Справочник!A:C,3,0)</f>
        <v>#N/A</v>
      </c>
      <c r="S40" s="3">
        <f t="shared" si="2"/>
        <v>3908.3100000000004</v>
      </c>
      <c r="T40" s="3">
        <f t="shared" si="4"/>
        <v>3908.3100000000004</v>
      </c>
    </row>
    <row r="41" spans="1:20" x14ac:dyDescent="0.25">
      <c r="A41" s="3" t="s">
        <v>320</v>
      </c>
      <c r="B41" s="3">
        <v>12523896</v>
      </c>
      <c r="C41" s="3" t="s">
        <v>321</v>
      </c>
      <c r="D41" s="3" t="s">
        <v>322</v>
      </c>
      <c r="E41" s="3" t="s">
        <v>47</v>
      </c>
      <c r="F41" s="3" t="s">
        <v>124</v>
      </c>
      <c r="G41" s="3">
        <v>58</v>
      </c>
      <c r="H41" s="3" t="s">
        <v>106</v>
      </c>
      <c r="I41" s="3">
        <v>13</v>
      </c>
      <c r="J41" s="3" t="s">
        <v>107</v>
      </c>
      <c r="K41" s="3" t="s">
        <v>135</v>
      </c>
      <c r="M41" s="3" t="s">
        <v>109</v>
      </c>
      <c r="N41" s="3">
        <v>1687.44</v>
      </c>
      <c r="O41" t="s">
        <v>37</v>
      </c>
      <c r="P41" s="3">
        <f t="shared" si="3"/>
        <v>1687.44</v>
      </c>
      <c r="Q41" s="3" t="str">
        <f>VLOOKUP(O41,Справочник!A:B,2,0)</f>
        <v>New York Yankees</v>
      </c>
      <c r="R41" s="3" t="str">
        <f>VLOOKUP(O41,Справочник!A:C,3,0)</f>
        <v>MLB</v>
      </c>
      <c r="S41" s="3">
        <f t="shared" si="2"/>
        <v>21936.720000000001</v>
      </c>
      <c r="T41" s="3">
        <f t="shared" si="4"/>
        <v>21936.720000000001</v>
      </c>
    </row>
    <row r="42" spans="1:20" x14ac:dyDescent="0.25">
      <c r="A42" s="3" t="s">
        <v>323</v>
      </c>
      <c r="B42" s="3">
        <v>12523908</v>
      </c>
      <c r="C42" s="3" t="s">
        <v>324</v>
      </c>
      <c r="D42" s="3" t="s">
        <v>325</v>
      </c>
      <c r="E42" s="3" t="s">
        <v>47</v>
      </c>
      <c r="F42" s="3" t="s">
        <v>124</v>
      </c>
      <c r="G42" s="3">
        <v>58</v>
      </c>
      <c r="H42" s="3" t="s">
        <v>106</v>
      </c>
      <c r="I42" s="3">
        <v>6</v>
      </c>
      <c r="J42" s="3" t="s">
        <v>107</v>
      </c>
      <c r="K42" s="3" t="s">
        <v>135</v>
      </c>
      <c r="M42" s="3" t="s">
        <v>109</v>
      </c>
      <c r="N42" s="3">
        <v>1722.48</v>
      </c>
      <c r="O42" t="s">
        <v>37</v>
      </c>
      <c r="P42" s="3">
        <f t="shared" si="3"/>
        <v>1722.4800000000002</v>
      </c>
      <c r="Q42" s="3" t="str">
        <f>VLOOKUP(O42,Справочник!A:B,2,0)</f>
        <v>New York Yankees</v>
      </c>
      <c r="R42" s="3" t="str">
        <f>VLOOKUP(O42,Справочник!A:C,3,0)</f>
        <v>MLB</v>
      </c>
      <c r="S42" s="3">
        <f t="shared" si="2"/>
        <v>10334.880000000001</v>
      </c>
      <c r="T42" s="3">
        <f t="shared" si="4"/>
        <v>10334.880000000001</v>
      </c>
    </row>
    <row r="43" spans="1:20" x14ac:dyDescent="0.25">
      <c r="A43" s="3" t="s">
        <v>326</v>
      </c>
      <c r="B43" s="3">
        <v>12573358</v>
      </c>
      <c r="C43" s="3" t="s">
        <v>7</v>
      </c>
      <c r="D43" s="3" t="s">
        <v>327</v>
      </c>
      <c r="E43" s="3" t="s">
        <v>50</v>
      </c>
      <c r="F43" s="3" t="s">
        <v>128</v>
      </c>
      <c r="G43" s="3">
        <v>56</v>
      </c>
      <c r="H43" s="3" t="s">
        <v>106</v>
      </c>
      <c r="I43" s="3">
        <v>6</v>
      </c>
      <c r="J43" s="3" t="s">
        <v>107</v>
      </c>
      <c r="K43" s="3" t="s">
        <v>135</v>
      </c>
      <c r="M43" s="3" t="s">
        <v>109</v>
      </c>
      <c r="N43" s="3">
        <v>1978.48</v>
      </c>
      <c r="O43"/>
      <c r="P43" s="3">
        <f t="shared" si="3"/>
        <v>1978.4800000000002</v>
      </c>
      <c r="Q43" s="3" t="e">
        <f>VLOOKUP(O43,Справочник!A:B,2,0)</f>
        <v>#N/A</v>
      </c>
      <c r="R43" s="3" t="e">
        <f>VLOOKUP(O43,Справочник!A:C,3,0)</f>
        <v>#N/A</v>
      </c>
      <c r="S43" s="3">
        <f t="shared" si="2"/>
        <v>11870.880000000001</v>
      </c>
      <c r="T43" s="3">
        <f t="shared" si="4"/>
        <v>11870.880000000001</v>
      </c>
    </row>
    <row r="44" spans="1:20" x14ac:dyDescent="0.25">
      <c r="A44" s="3" t="s">
        <v>328</v>
      </c>
      <c r="B44" s="3">
        <v>12881461</v>
      </c>
      <c r="C44" s="3" t="s">
        <v>12</v>
      </c>
      <c r="D44" s="3" t="s">
        <v>329</v>
      </c>
      <c r="E44" s="3" t="s">
        <v>50</v>
      </c>
      <c r="F44" s="3" t="s">
        <v>128</v>
      </c>
      <c r="G44" s="3">
        <v>56</v>
      </c>
      <c r="H44" s="3" t="s">
        <v>106</v>
      </c>
      <c r="I44" s="3">
        <v>12</v>
      </c>
      <c r="J44" s="3" t="s">
        <v>107</v>
      </c>
      <c r="K44" s="3" t="s">
        <v>135</v>
      </c>
      <c r="M44" s="3" t="s">
        <v>109</v>
      </c>
      <c r="N44" s="3">
        <v>1978.48</v>
      </c>
      <c r="O44"/>
      <c r="P44" s="3">
        <f t="shared" si="3"/>
        <v>1978.4800000000002</v>
      </c>
      <c r="Q44" s="3" t="e">
        <f>VLOOKUP(O44,Справочник!A:B,2,0)</f>
        <v>#N/A</v>
      </c>
      <c r="R44" s="3" t="e">
        <f>VLOOKUP(O44,Справочник!A:C,3,0)</f>
        <v>#N/A</v>
      </c>
      <c r="S44" s="3">
        <f t="shared" si="2"/>
        <v>23741.760000000002</v>
      </c>
      <c r="T44" s="3">
        <f t="shared" si="4"/>
        <v>23741.760000000002</v>
      </c>
    </row>
    <row r="45" spans="1:20" x14ac:dyDescent="0.25">
      <c r="A45" s="3" t="s">
        <v>330</v>
      </c>
      <c r="B45" s="3">
        <v>60102591</v>
      </c>
      <c r="C45" s="3" t="s">
        <v>11</v>
      </c>
      <c r="D45" s="3" t="s">
        <v>331</v>
      </c>
      <c r="E45" s="3" t="s">
        <v>43</v>
      </c>
      <c r="F45" s="3" t="s">
        <v>105</v>
      </c>
      <c r="G45" s="3" t="s">
        <v>8</v>
      </c>
      <c r="H45" s="3" t="s">
        <v>106</v>
      </c>
      <c r="I45" s="3">
        <v>3</v>
      </c>
      <c r="J45" s="3" t="s">
        <v>107</v>
      </c>
      <c r="K45" s="3" t="s">
        <v>135</v>
      </c>
      <c r="L45" s="3" t="s">
        <v>149</v>
      </c>
      <c r="M45" s="3" t="s">
        <v>150</v>
      </c>
      <c r="N45" s="3">
        <v>1454.61</v>
      </c>
      <c r="O45" t="s">
        <v>59</v>
      </c>
      <c r="P45" s="3">
        <f t="shared" si="3"/>
        <v>1454.61</v>
      </c>
      <c r="Q45" s="3" t="str">
        <f>VLOOKUP(O45,Справочник!A:B,2,0)</f>
        <v>Los Angeles Clippers</v>
      </c>
      <c r="R45" s="3" t="str">
        <f>VLOOKUP(O45,Справочник!A:C,3,0)</f>
        <v>NBA</v>
      </c>
      <c r="S45" s="3">
        <f t="shared" si="2"/>
        <v>4363.83</v>
      </c>
      <c r="T45" s="3">
        <f t="shared" si="4"/>
        <v>4363.83</v>
      </c>
    </row>
    <row r="46" spans="1:20" x14ac:dyDescent="0.25">
      <c r="A46" s="3" t="s">
        <v>332</v>
      </c>
      <c r="B46" s="3">
        <v>60102707</v>
      </c>
      <c r="C46" s="3" t="s">
        <v>11</v>
      </c>
      <c r="D46" s="3" t="s">
        <v>333</v>
      </c>
      <c r="E46" s="3" t="s">
        <v>43</v>
      </c>
      <c r="F46" s="3" t="s">
        <v>105</v>
      </c>
      <c r="G46" s="3" t="s">
        <v>8</v>
      </c>
      <c r="H46" s="3" t="s">
        <v>106</v>
      </c>
      <c r="I46" s="3">
        <v>3</v>
      </c>
      <c r="J46" s="3" t="s">
        <v>107</v>
      </c>
      <c r="K46" s="3" t="s">
        <v>135</v>
      </c>
      <c r="L46" s="3" t="s">
        <v>149</v>
      </c>
      <c r="M46" s="3" t="s">
        <v>150</v>
      </c>
      <c r="N46" s="3">
        <v>1454.61</v>
      </c>
      <c r="O46" t="s">
        <v>62</v>
      </c>
      <c r="P46" s="3">
        <f t="shared" si="3"/>
        <v>1454.61</v>
      </c>
      <c r="Q46" s="3" t="str">
        <f>VLOOKUP(O46,Справочник!A:B,2,0)</f>
        <v>Brooklyn Nets</v>
      </c>
      <c r="R46" s="3" t="str">
        <f>VLOOKUP(O46,Справочник!A:C,3,0)</f>
        <v>NBA</v>
      </c>
      <c r="S46" s="3">
        <f t="shared" si="2"/>
        <v>4363.83</v>
      </c>
      <c r="T46" s="3">
        <f t="shared" si="4"/>
        <v>4363.83</v>
      </c>
    </row>
    <row r="47" spans="1:20" x14ac:dyDescent="0.25">
      <c r="A47" s="3" t="s">
        <v>334</v>
      </c>
      <c r="B47" s="3">
        <v>60102809</v>
      </c>
      <c r="C47" s="3" t="s">
        <v>11</v>
      </c>
      <c r="D47" s="3" t="s">
        <v>335</v>
      </c>
      <c r="E47" s="3" t="s">
        <v>43</v>
      </c>
      <c r="F47" s="3" t="s">
        <v>105</v>
      </c>
      <c r="G47" s="3" t="s">
        <v>8</v>
      </c>
      <c r="H47" s="3" t="s">
        <v>106</v>
      </c>
      <c r="I47" s="3">
        <v>3</v>
      </c>
      <c r="J47" s="3" t="s">
        <v>107</v>
      </c>
      <c r="K47" s="3" t="s">
        <v>135</v>
      </c>
      <c r="L47" s="3" t="s">
        <v>149</v>
      </c>
      <c r="M47" s="3" t="s">
        <v>109</v>
      </c>
      <c r="N47" s="3">
        <v>1454.61</v>
      </c>
      <c r="O47" t="s">
        <v>65</v>
      </c>
      <c r="P47" s="3">
        <f t="shared" si="3"/>
        <v>1454.61</v>
      </c>
      <c r="Q47" s="3" t="str">
        <f>VLOOKUP(O47,Справочник!A:B,2,0)</f>
        <v>Miami Heat</v>
      </c>
      <c r="R47" s="3" t="str">
        <f>VLOOKUP(O47,Справочник!A:C,3,0)</f>
        <v>NBA</v>
      </c>
      <c r="S47" s="3">
        <f t="shared" si="2"/>
        <v>4363.83</v>
      </c>
      <c r="T47" s="3">
        <f t="shared" si="4"/>
        <v>4363.83</v>
      </c>
    </row>
    <row r="48" spans="1:20" x14ac:dyDescent="0.25">
      <c r="A48" s="3" t="s">
        <v>336</v>
      </c>
      <c r="B48" s="3">
        <v>60102842</v>
      </c>
      <c r="C48" s="3" t="s">
        <v>11</v>
      </c>
      <c r="D48" s="3" t="s">
        <v>337</v>
      </c>
      <c r="E48" s="3" t="s">
        <v>43</v>
      </c>
      <c r="F48" s="3" t="s">
        <v>105</v>
      </c>
      <c r="G48" s="3" t="s">
        <v>8</v>
      </c>
      <c r="H48" s="3" t="s">
        <v>106</v>
      </c>
      <c r="I48" s="3">
        <v>7</v>
      </c>
      <c r="J48" s="3" t="s">
        <v>107</v>
      </c>
      <c r="K48" s="3" t="s">
        <v>135</v>
      </c>
      <c r="L48" s="3" t="s">
        <v>149</v>
      </c>
      <c r="M48" s="3" t="s">
        <v>109</v>
      </c>
      <c r="N48" s="3">
        <v>1454.61</v>
      </c>
      <c r="O48" t="s">
        <v>44</v>
      </c>
      <c r="P48" s="3">
        <f t="shared" si="3"/>
        <v>1454.61</v>
      </c>
      <c r="Q48" s="3" t="str">
        <f>VLOOKUP(O48,Справочник!A:B,2,0)</f>
        <v>Chicago Bulls</v>
      </c>
      <c r="R48" s="3" t="str">
        <f>VLOOKUP(O48,Справочник!A:C,3,0)</f>
        <v>NBA</v>
      </c>
      <c r="S48" s="3">
        <f t="shared" si="2"/>
        <v>10182.269999999999</v>
      </c>
      <c r="T48" s="3">
        <f t="shared" si="4"/>
        <v>10182.269999999999</v>
      </c>
    </row>
    <row r="49" spans="1:20" x14ac:dyDescent="0.25">
      <c r="A49" s="3" t="s">
        <v>338</v>
      </c>
      <c r="B49" s="3">
        <v>60137461</v>
      </c>
      <c r="C49" s="3" t="s">
        <v>339</v>
      </c>
      <c r="D49" s="3" t="s">
        <v>340</v>
      </c>
      <c r="E49" s="3" t="s">
        <v>47</v>
      </c>
      <c r="F49" s="3" t="s">
        <v>124</v>
      </c>
      <c r="G49" s="3">
        <v>58</v>
      </c>
      <c r="H49" s="3" t="s">
        <v>106</v>
      </c>
      <c r="I49" s="3">
        <v>3</v>
      </c>
      <c r="J49" s="3" t="s">
        <v>107</v>
      </c>
      <c r="K49" s="3" t="s">
        <v>135</v>
      </c>
      <c r="L49" s="3" t="s">
        <v>153</v>
      </c>
      <c r="M49" s="3" t="s">
        <v>109</v>
      </c>
      <c r="N49" s="3">
        <v>1256.82</v>
      </c>
      <c r="O49" t="s">
        <v>42</v>
      </c>
      <c r="P49" s="3">
        <f t="shared" si="3"/>
        <v>1256.82</v>
      </c>
      <c r="Q49" s="3" t="str">
        <f>VLOOKUP(O49,Справочник!A:B,2,0)</f>
        <v>Los Angeles Dodgers</v>
      </c>
      <c r="R49" s="3" t="str">
        <f>VLOOKUP(O49,Справочник!A:C,3,0)</f>
        <v>MLB</v>
      </c>
      <c r="S49" s="3">
        <f t="shared" si="2"/>
        <v>3770.46</v>
      </c>
      <c r="T49" s="3">
        <f t="shared" si="4"/>
        <v>3770.46</v>
      </c>
    </row>
    <row r="50" spans="1:20" x14ac:dyDescent="0.25">
      <c r="A50" s="3" t="s">
        <v>338</v>
      </c>
      <c r="B50" s="3">
        <v>60137461</v>
      </c>
      <c r="C50" s="3" t="s">
        <v>339</v>
      </c>
      <c r="D50" s="3" t="s">
        <v>458</v>
      </c>
      <c r="E50" s="3" t="s">
        <v>47</v>
      </c>
      <c r="F50" s="3" t="s">
        <v>124</v>
      </c>
      <c r="G50" s="3">
        <v>58</v>
      </c>
      <c r="H50" s="3" t="s">
        <v>106</v>
      </c>
      <c r="I50" s="3">
        <v>3</v>
      </c>
      <c r="J50" s="3" t="s">
        <v>107</v>
      </c>
      <c r="K50" s="3" t="s">
        <v>135</v>
      </c>
      <c r="L50" s="3" t="s">
        <v>153</v>
      </c>
      <c r="M50" s="3" t="s">
        <v>109</v>
      </c>
      <c r="N50" s="3">
        <v>1256.82</v>
      </c>
      <c r="O50" t="s">
        <v>42</v>
      </c>
      <c r="P50" s="3">
        <f t="shared" si="3"/>
        <v>1256.82</v>
      </c>
      <c r="Q50" s="3" t="str">
        <f>VLOOKUP(O50,Справочник!A:B,2,0)</f>
        <v>Los Angeles Dodgers</v>
      </c>
      <c r="R50" s="3" t="str">
        <f>VLOOKUP(O50,Справочник!A:C,3,0)</f>
        <v>MLB</v>
      </c>
      <c r="S50" s="3">
        <f t="shared" si="2"/>
        <v>3770.46</v>
      </c>
      <c r="T50" s="3">
        <f t="shared" si="4"/>
        <v>3770.46</v>
      </c>
    </row>
    <row r="51" spans="1:20" x14ac:dyDescent="0.25">
      <c r="A51" s="3" t="s">
        <v>341</v>
      </c>
      <c r="B51" s="3">
        <v>60137517</v>
      </c>
      <c r="C51" s="3" t="s">
        <v>12</v>
      </c>
      <c r="D51" s="3" t="s">
        <v>342</v>
      </c>
      <c r="E51" s="3" t="s">
        <v>50</v>
      </c>
      <c r="F51" s="3" t="s">
        <v>128</v>
      </c>
      <c r="G51" s="3">
        <v>56</v>
      </c>
      <c r="H51" s="3" t="s">
        <v>106</v>
      </c>
      <c r="I51" s="3">
        <v>2</v>
      </c>
      <c r="J51" s="3" t="s">
        <v>107</v>
      </c>
      <c r="K51" s="3" t="s">
        <v>135</v>
      </c>
      <c r="L51" s="3" t="s">
        <v>153</v>
      </c>
      <c r="M51" s="3" t="s">
        <v>109</v>
      </c>
      <c r="N51" s="3">
        <v>1769.05</v>
      </c>
      <c r="O51" t="s">
        <v>67</v>
      </c>
      <c r="P51" s="3">
        <f t="shared" si="3"/>
        <v>1769.05</v>
      </c>
      <c r="Q51" s="3" t="str">
        <f>VLOOKUP(O51,Справочник!A:B,2,0)</f>
        <v>Las Vegas Raiders</v>
      </c>
      <c r="R51" s="3" t="str">
        <f>VLOOKUP(O51,Справочник!A:C,3,0)</f>
        <v>NFL</v>
      </c>
      <c r="S51" s="3">
        <f t="shared" si="2"/>
        <v>3538.1</v>
      </c>
      <c r="T51" s="3">
        <f t="shared" si="4"/>
        <v>3538.1</v>
      </c>
    </row>
    <row r="52" spans="1:20" x14ac:dyDescent="0.25">
      <c r="A52" s="3" t="s">
        <v>341</v>
      </c>
      <c r="B52" s="3">
        <v>60137517</v>
      </c>
      <c r="C52" s="3" t="s">
        <v>12</v>
      </c>
      <c r="D52" s="3" t="s">
        <v>459</v>
      </c>
      <c r="E52" s="3" t="s">
        <v>50</v>
      </c>
      <c r="F52" s="3" t="s">
        <v>128</v>
      </c>
      <c r="G52" s="3">
        <v>56</v>
      </c>
      <c r="H52" s="3" t="s">
        <v>106</v>
      </c>
      <c r="I52" s="3">
        <v>1</v>
      </c>
      <c r="J52" s="3" t="s">
        <v>107</v>
      </c>
      <c r="K52" s="3" t="s">
        <v>135</v>
      </c>
      <c r="L52" s="3" t="s">
        <v>153</v>
      </c>
      <c r="M52" s="3" t="s">
        <v>109</v>
      </c>
      <c r="N52" s="3">
        <v>1769.05</v>
      </c>
      <c r="O52" t="s">
        <v>67</v>
      </c>
      <c r="P52" s="3">
        <f t="shared" si="3"/>
        <v>1769.05</v>
      </c>
      <c r="Q52" s="3" t="str">
        <f>VLOOKUP(O52,Справочник!A:B,2,0)</f>
        <v>Las Vegas Raiders</v>
      </c>
      <c r="R52" s="3" t="str">
        <f>VLOOKUP(O52,Справочник!A:C,3,0)</f>
        <v>NFL</v>
      </c>
      <c r="S52" s="3">
        <f t="shared" si="2"/>
        <v>1769.05</v>
      </c>
      <c r="T52" s="3">
        <f t="shared" si="4"/>
        <v>1769.05</v>
      </c>
    </row>
    <row r="53" spans="1:20" x14ac:dyDescent="0.25">
      <c r="A53" s="3" t="s">
        <v>341</v>
      </c>
      <c r="B53" s="3">
        <v>60137517</v>
      </c>
      <c r="C53" s="3" t="s">
        <v>12</v>
      </c>
      <c r="D53" s="3" t="s">
        <v>459</v>
      </c>
      <c r="E53" s="3" t="s">
        <v>43</v>
      </c>
      <c r="F53" s="3" t="s">
        <v>105</v>
      </c>
      <c r="G53" s="3" t="s">
        <v>8</v>
      </c>
      <c r="H53" s="3" t="s">
        <v>106</v>
      </c>
      <c r="I53" s="3">
        <v>1</v>
      </c>
      <c r="J53" s="3" t="s">
        <v>107</v>
      </c>
      <c r="K53" s="3" t="s">
        <v>135</v>
      </c>
      <c r="L53" s="3" t="s">
        <v>156</v>
      </c>
      <c r="M53" s="3" t="s">
        <v>109</v>
      </c>
      <c r="N53" s="3">
        <v>1769.05</v>
      </c>
      <c r="O53" t="s">
        <v>67</v>
      </c>
      <c r="P53" s="3">
        <f t="shared" si="3"/>
        <v>1769.05</v>
      </c>
      <c r="Q53" s="3" t="str">
        <f>VLOOKUP(O53,Справочник!A:B,2,0)</f>
        <v>Las Vegas Raiders</v>
      </c>
      <c r="R53" s="3" t="str">
        <f>VLOOKUP(O53,Справочник!A:C,3,0)</f>
        <v>NFL</v>
      </c>
      <c r="S53" s="3">
        <f t="shared" si="2"/>
        <v>1769.05</v>
      </c>
      <c r="T53" s="3">
        <f t="shared" si="4"/>
        <v>1769.05</v>
      </c>
    </row>
    <row r="54" spans="1:20" x14ac:dyDescent="0.25">
      <c r="A54" s="3" t="s">
        <v>343</v>
      </c>
      <c r="B54" s="3">
        <v>60137527</v>
      </c>
      <c r="C54" s="3" t="s">
        <v>311</v>
      </c>
      <c r="D54" s="3" t="s">
        <v>344</v>
      </c>
      <c r="E54" s="3" t="s">
        <v>43</v>
      </c>
      <c r="F54" s="3" t="s">
        <v>105</v>
      </c>
      <c r="G54" s="3" t="s">
        <v>8</v>
      </c>
      <c r="H54" s="3" t="s">
        <v>106</v>
      </c>
      <c r="I54" s="3">
        <v>2</v>
      </c>
      <c r="J54" s="3" t="s">
        <v>107</v>
      </c>
      <c r="K54" s="3" t="s">
        <v>135</v>
      </c>
      <c r="L54" s="3" t="s">
        <v>156</v>
      </c>
      <c r="M54" s="3" t="s">
        <v>109</v>
      </c>
      <c r="N54" s="3">
        <v>1303.3900000000001</v>
      </c>
      <c r="O54" t="s">
        <v>37</v>
      </c>
      <c r="P54" s="3">
        <f t="shared" si="3"/>
        <v>1303.3900000000001</v>
      </c>
      <c r="Q54" s="3" t="str">
        <f>VLOOKUP(O54,Справочник!A:B,2,0)</f>
        <v>New York Yankees</v>
      </c>
      <c r="R54" s="3" t="str">
        <f>VLOOKUP(O54,Справочник!A:C,3,0)</f>
        <v>MLB</v>
      </c>
      <c r="S54" s="3">
        <f t="shared" si="2"/>
        <v>2606.7800000000002</v>
      </c>
      <c r="T54" s="3">
        <f t="shared" si="4"/>
        <v>2606.7800000000002</v>
      </c>
    </row>
    <row r="55" spans="1:20" x14ac:dyDescent="0.25">
      <c r="A55" s="3" t="s">
        <v>345</v>
      </c>
      <c r="B55" s="3">
        <v>60137571</v>
      </c>
      <c r="C55" s="3" t="s">
        <v>346</v>
      </c>
      <c r="D55" s="3" t="s">
        <v>347</v>
      </c>
      <c r="E55" s="3" t="s">
        <v>43</v>
      </c>
      <c r="F55" s="3" t="s">
        <v>105</v>
      </c>
      <c r="G55" s="3" t="s">
        <v>8</v>
      </c>
      <c r="H55" s="3" t="s">
        <v>106</v>
      </c>
      <c r="I55" s="3">
        <v>5</v>
      </c>
      <c r="J55" s="3" t="s">
        <v>107</v>
      </c>
      <c r="K55" s="3" t="s">
        <v>108</v>
      </c>
      <c r="L55" s="3" t="s">
        <v>158</v>
      </c>
      <c r="M55" s="3" t="s">
        <v>109</v>
      </c>
      <c r="N55" s="3">
        <v>1769.05</v>
      </c>
      <c r="O55" t="s">
        <v>48</v>
      </c>
      <c r="P55" s="3">
        <f t="shared" si="3"/>
        <v>1769.05</v>
      </c>
      <c r="Q55" s="3" t="str">
        <f>VLOOKUP(O55,Справочник!A:B,2,0)</f>
        <v>Los Angeles Lakers</v>
      </c>
      <c r="R55" s="3" t="str">
        <f>VLOOKUP(O55,Справочник!A:C,3,0)</f>
        <v>NBA</v>
      </c>
      <c r="S55" s="3">
        <f t="shared" si="2"/>
        <v>8845.25</v>
      </c>
      <c r="T55" s="3">
        <f t="shared" si="4"/>
        <v>8845.25</v>
      </c>
    </row>
    <row r="56" spans="1:20" x14ac:dyDescent="0.25">
      <c r="A56" s="3" t="s">
        <v>345</v>
      </c>
      <c r="B56" s="3">
        <v>60137571</v>
      </c>
      <c r="C56" s="3" t="s">
        <v>346</v>
      </c>
      <c r="D56" s="3" t="s">
        <v>460</v>
      </c>
      <c r="E56" s="3" t="s">
        <v>43</v>
      </c>
      <c r="F56" s="3" t="s">
        <v>105</v>
      </c>
      <c r="G56" s="3" t="s">
        <v>8</v>
      </c>
      <c r="H56" s="3" t="s">
        <v>106</v>
      </c>
      <c r="I56" s="3">
        <v>5</v>
      </c>
      <c r="J56" s="3" t="s">
        <v>107</v>
      </c>
      <c r="K56" s="3" t="s">
        <v>108</v>
      </c>
      <c r="L56" s="3" t="s">
        <v>158</v>
      </c>
      <c r="M56" s="3" t="s">
        <v>109</v>
      </c>
      <c r="N56" s="3">
        <v>1769.05</v>
      </c>
      <c r="O56" t="s">
        <v>48</v>
      </c>
      <c r="P56" s="3">
        <f t="shared" si="3"/>
        <v>1769.05</v>
      </c>
      <c r="Q56" s="3" t="str">
        <f>VLOOKUP(O56,Справочник!A:B,2,0)</f>
        <v>Los Angeles Lakers</v>
      </c>
      <c r="R56" s="3" t="str">
        <f>VLOOKUP(O56,Справочник!A:C,3,0)</f>
        <v>NBA</v>
      </c>
      <c r="S56" s="3">
        <f t="shared" si="2"/>
        <v>8845.25</v>
      </c>
      <c r="T56" s="3">
        <f t="shared" si="4"/>
        <v>8845.25</v>
      </c>
    </row>
    <row r="57" spans="1:20" x14ac:dyDescent="0.25">
      <c r="A57" s="3" t="s">
        <v>348</v>
      </c>
      <c r="B57" s="3">
        <v>60137572</v>
      </c>
      <c r="C57" s="3" t="s">
        <v>349</v>
      </c>
      <c r="D57" s="3" t="s">
        <v>350</v>
      </c>
      <c r="E57" s="3" t="s">
        <v>43</v>
      </c>
      <c r="F57" s="3" t="s">
        <v>105</v>
      </c>
      <c r="G57" s="3" t="s">
        <v>8</v>
      </c>
      <c r="H57" s="3" t="s">
        <v>106</v>
      </c>
      <c r="I57" s="3">
        <v>1</v>
      </c>
      <c r="J57" s="3" t="s">
        <v>107</v>
      </c>
      <c r="K57" s="3" t="s">
        <v>108</v>
      </c>
      <c r="M57" s="3" t="s">
        <v>109</v>
      </c>
      <c r="N57" s="3">
        <v>1769.05</v>
      </c>
      <c r="O57" t="s">
        <v>44</v>
      </c>
      <c r="P57" s="3">
        <f t="shared" si="3"/>
        <v>1769.05</v>
      </c>
      <c r="S57" s="3">
        <f t="shared" si="2"/>
        <v>1769.05</v>
      </c>
      <c r="T57" s="3">
        <f t="shared" si="4"/>
        <v>1769.05</v>
      </c>
    </row>
    <row r="58" spans="1:20" x14ac:dyDescent="0.25">
      <c r="A58" s="3" t="s">
        <v>348</v>
      </c>
      <c r="B58" s="3">
        <v>60137572</v>
      </c>
      <c r="C58" s="3" t="s">
        <v>349</v>
      </c>
      <c r="D58" s="3" t="s">
        <v>350</v>
      </c>
      <c r="E58" s="3" t="s">
        <v>43</v>
      </c>
      <c r="F58" s="3" t="s">
        <v>105</v>
      </c>
      <c r="G58" s="3" t="s">
        <v>8</v>
      </c>
      <c r="H58" s="3" t="s">
        <v>106</v>
      </c>
      <c r="I58" s="3">
        <v>3</v>
      </c>
      <c r="J58" s="3" t="s">
        <v>107</v>
      </c>
      <c r="K58" s="3" t="s">
        <v>108</v>
      </c>
      <c r="M58" s="3" t="s">
        <v>109</v>
      </c>
      <c r="N58" s="3">
        <v>1769.05</v>
      </c>
      <c r="O58" t="s">
        <v>44</v>
      </c>
      <c r="P58" s="3">
        <f t="shared" si="3"/>
        <v>1769.05</v>
      </c>
      <c r="S58" s="3">
        <f t="shared" si="2"/>
        <v>5307.15</v>
      </c>
      <c r="T58" s="3">
        <f t="shared" si="4"/>
        <v>5307.15</v>
      </c>
    </row>
    <row r="59" spans="1:20" x14ac:dyDescent="0.25">
      <c r="A59" s="3" t="s">
        <v>348</v>
      </c>
      <c r="B59" s="3">
        <v>60137572</v>
      </c>
      <c r="C59" s="3" t="s">
        <v>349</v>
      </c>
      <c r="D59" s="3" t="s">
        <v>461</v>
      </c>
      <c r="E59" s="3" t="s">
        <v>43</v>
      </c>
      <c r="F59" s="3" t="s">
        <v>105</v>
      </c>
      <c r="G59" s="3" t="s">
        <v>8</v>
      </c>
      <c r="H59" s="3" t="s">
        <v>106</v>
      </c>
      <c r="I59" s="3">
        <v>1</v>
      </c>
      <c r="J59" s="3" t="s">
        <v>107</v>
      </c>
      <c r="K59" s="3" t="s">
        <v>135</v>
      </c>
      <c r="M59" s="3" t="s">
        <v>109</v>
      </c>
      <c r="N59" s="3">
        <v>1769.05</v>
      </c>
      <c r="O59" t="s">
        <v>44</v>
      </c>
      <c r="P59" s="3">
        <f t="shared" si="3"/>
        <v>1769.05</v>
      </c>
      <c r="Q59" s="3" t="str">
        <f>VLOOKUP(O59,Справочник!A:B,2,0)</f>
        <v>Chicago Bulls</v>
      </c>
      <c r="R59" s="3" t="str">
        <f>VLOOKUP(O59,Справочник!A:C,3,0)</f>
        <v>NBA</v>
      </c>
      <c r="S59" s="3">
        <f t="shared" si="2"/>
        <v>1769.05</v>
      </c>
      <c r="T59" s="3">
        <f t="shared" si="4"/>
        <v>1769.05</v>
      </c>
    </row>
    <row r="60" spans="1:20" x14ac:dyDescent="0.25">
      <c r="A60" s="3" t="s">
        <v>348</v>
      </c>
      <c r="B60" s="3">
        <v>60137572</v>
      </c>
      <c r="C60" s="3" t="s">
        <v>349</v>
      </c>
      <c r="D60" s="3" t="s">
        <v>461</v>
      </c>
      <c r="E60" s="3" t="s">
        <v>43</v>
      </c>
      <c r="F60" s="3" t="s">
        <v>105</v>
      </c>
      <c r="G60" s="3" t="s">
        <v>8</v>
      </c>
      <c r="H60" s="3" t="s">
        <v>106</v>
      </c>
      <c r="I60" s="3">
        <v>3</v>
      </c>
      <c r="J60" s="3" t="s">
        <v>107</v>
      </c>
      <c r="K60" s="3" t="s">
        <v>135</v>
      </c>
      <c r="M60" s="3" t="s">
        <v>109</v>
      </c>
      <c r="N60" s="3">
        <v>1769.05</v>
      </c>
      <c r="O60" t="s">
        <v>44</v>
      </c>
      <c r="P60" s="3">
        <f t="shared" si="3"/>
        <v>1769.05</v>
      </c>
      <c r="Q60" s="3" t="str">
        <f>VLOOKUP(O60,Справочник!A:B,2,0)</f>
        <v>Chicago Bulls</v>
      </c>
      <c r="R60" s="3" t="str">
        <f>VLOOKUP(O60,Справочник!A:C,3,0)</f>
        <v>NBA</v>
      </c>
      <c r="S60" s="3">
        <f t="shared" si="2"/>
        <v>5307.15</v>
      </c>
      <c r="T60" s="3">
        <f t="shared" si="4"/>
        <v>5307.15</v>
      </c>
    </row>
    <row r="61" spans="1:20" x14ac:dyDescent="0.25">
      <c r="A61" s="3" t="s">
        <v>462</v>
      </c>
      <c r="B61" s="3">
        <v>60141477</v>
      </c>
      <c r="C61" s="3" t="s">
        <v>12</v>
      </c>
      <c r="D61" s="3" t="s">
        <v>351</v>
      </c>
      <c r="E61" s="3" t="s">
        <v>43</v>
      </c>
      <c r="F61" s="3" t="s">
        <v>105</v>
      </c>
      <c r="G61" s="3" t="s">
        <v>8</v>
      </c>
      <c r="H61" s="3" t="s">
        <v>106</v>
      </c>
      <c r="I61" s="3">
        <v>2</v>
      </c>
      <c r="J61" s="3" t="s">
        <v>107</v>
      </c>
      <c r="K61" s="3" t="s">
        <v>135</v>
      </c>
      <c r="M61" s="3" t="s">
        <v>109</v>
      </c>
      <c r="N61" s="3">
        <v>1117.1199999999999</v>
      </c>
      <c r="O61"/>
      <c r="P61" s="3">
        <f t="shared" si="3"/>
        <v>1117.1199999999999</v>
      </c>
      <c r="Q61" s="3" t="e">
        <f>VLOOKUP(O61,Справочник!A:B,2,0)</f>
        <v>#N/A</v>
      </c>
      <c r="R61" s="3" t="e">
        <f>VLOOKUP(O61,Справочник!A:C,3,0)</f>
        <v>#N/A</v>
      </c>
      <c r="S61" s="3">
        <f t="shared" si="2"/>
        <v>2234.2399999999998</v>
      </c>
      <c r="T61" s="3">
        <f t="shared" si="4"/>
        <v>2234.2399999999998</v>
      </c>
    </row>
    <row r="62" spans="1:20" x14ac:dyDescent="0.25">
      <c r="A62" s="3" t="s">
        <v>462</v>
      </c>
      <c r="B62" s="3">
        <v>60141477</v>
      </c>
      <c r="C62" s="3" t="s">
        <v>12</v>
      </c>
      <c r="D62" s="3" t="s">
        <v>463</v>
      </c>
      <c r="E62" s="3" t="s">
        <v>43</v>
      </c>
      <c r="F62" s="3" t="s">
        <v>105</v>
      </c>
      <c r="G62" s="3" t="s">
        <v>8</v>
      </c>
      <c r="H62" s="3" t="s">
        <v>106</v>
      </c>
      <c r="I62" s="3">
        <v>3</v>
      </c>
      <c r="J62" s="3" t="s">
        <v>107</v>
      </c>
      <c r="K62" s="3" t="s">
        <v>135</v>
      </c>
      <c r="M62" s="3" t="s">
        <v>109</v>
      </c>
      <c r="N62" s="3">
        <v>1117.1199999999999</v>
      </c>
      <c r="O62"/>
      <c r="P62" s="3">
        <f t="shared" si="3"/>
        <v>1117.1199999999999</v>
      </c>
      <c r="Q62" s="3" t="e">
        <f>VLOOKUP(O62,Справочник!A:B,2,0)</f>
        <v>#N/A</v>
      </c>
      <c r="R62" s="3" t="e">
        <f>VLOOKUP(O62,Справочник!A:C,3,0)</f>
        <v>#N/A</v>
      </c>
      <c r="S62" s="3">
        <f t="shared" si="2"/>
        <v>3351.3599999999997</v>
      </c>
      <c r="T62" s="3">
        <f t="shared" si="4"/>
        <v>3351.3599999999997</v>
      </c>
    </row>
    <row r="63" spans="1:20" x14ac:dyDescent="0.25">
      <c r="A63" s="3" t="s">
        <v>462</v>
      </c>
      <c r="B63" s="3">
        <v>60141477</v>
      </c>
      <c r="C63" s="3" t="s">
        <v>12</v>
      </c>
      <c r="D63" s="3" t="s">
        <v>464</v>
      </c>
      <c r="E63" s="3" t="s">
        <v>43</v>
      </c>
      <c r="F63" s="3" t="s">
        <v>105</v>
      </c>
      <c r="G63" s="3" t="s">
        <v>8</v>
      </c>
      <c r="H63" s="3" t="s">
        <v>106</v>
      </c>
      <c r="I63" s="3">
        <v>2</v>
      </c>
      <c r="J63" s="3" t="s">
        <v>107</v>
      </c>
      <c r="K63" s="3" t="s">
        <v>135</v>
      </c>
      <c r="M63" s="3" t="s">
        <v>109</v>
      </c>
      <c r="N63" s="3">
        <v>1117.1199999999999</v>
      </c>
      <c r="O63"/>
      <c r="P63" s="3">
        <f t="shared" si="3"/>
        <v>1117.1199999999999</v>
      </c>
      <c r="Q63" s="3" t="e">
        <f>VLOOKUP(O63,Справочник!A:B,2,0)</f>
        <v>#N/A</v>
      </c>
      <c r="R63" s="3" t="e">
        <f>VLOOKUP(O63,Справочник!A:C,3,0)</f>
        <v>#N/A</v>
      </c>
      <c r="S63" s="3">
        <f t="shared" si="2"/>
        <v>2234.2399999999998</v>
      </c>
      <c r="T63" s="3">
        <f t="shared" si="4"/>
        <v>2234.2399999999998</v>
      </c>
    </row>
    <row r="64" spans="1:20" x14ac:dyDescent="0.25">
      <c r="A64" s="3" t="s">
        <v>465</v>
      </c>
      <c r="B64" s="3">
        <v>60141518</v>
      </c>
      <c r="C64" s="3" t="s">
        <v>352</v>
      </c>
      <c r="D64" s="3" t="s">
        <v>353</v>
      </c>
      <c r="E64" s="3" t="s">
        <v>43</v>
      </c>
      <c r="F64" s="3" t="s">
        <v>105</v>
      </c>
      <c r="G64" s="3" t="s">
        <v>8</v>
      </c>
      <c r="H64" s="3" t="s">
        <v>106</v>
      </c>
      <c r="I64" s="3">
        <v>6</v>
      </c>
      <c r="J64" s="3" t="s">
        <v>107</v>
      </c>
      <c r="K64" s="3" t="s">
        <v>135</v>
      </c>
      <c r="M64" s="3" t="s">
        <v>109</v>
      </c>
      <c r="N64" s="3">
        <v>1536.22</v>
      </c>
      <c r="O64" t="s">
        <v>48</v>
      </c>
      <c r="P64" s="3">
        <f t="shared" si="3"/>
        <v>1536.22</v>
      </c>
      <c r="Q64" s="3" t="str">
        <f>VLOOKUP(O64,Справочник!A:B,2,0)</f>
        <v>Los Angeles Lakers</v>
      </c>
      <c r="R64" s="3" t="str">
        <f>VLOOKUP(O64,Справочник!A:C,3,0)</f>
        <v>NBA</v>
      </c>
      <c r="S64" s="3">
        <f t="shared" si="2"/>
        <v>9217.32</v>
      </c>
      <c r="T64" s="3">
        <f t="shared" si="4"/>
        <v>9217.32</v>
      </c>
    </row>
    <row r="65" spans="1:20" x14ac:dyDescent="0.25">
      <c r="A65" s="3" t="s">
        <v>466</v>
      </c>
      <c r="B65" s="3">
        <v>60141613</v>
      </c>
      <c r="C65" s="3" t="s">
        <v>354</v>
      </c>
      <c r="D65" s="3" t="s">
        <v>355</v>
      </c>
      <c r="E65" s="3" t="s">
        <v>47</v>
      </c>
      <c r="F65" s="3" t="s">
        <v>124</v>
      </c>
      <c r="G65" s="3">
        <v>58</v>
      </c>
      <c r="H65" s="3" t="s">
        <v>106</v>
      </c>
      <c r="I65" s="3">
        <v>2</v>
      </c>
      <c r="J65" s="3" t="s">
        <v>107</v>
      </c>
      <c r="K65" s="3" t="s">
        <v>164</v>
      </c>
      <c r="M65" s="3" t="s">
        <v>109</v>
      </c>
      <c r="N65" s="3">
        <v>1070.56</v>
      </c>
      <c r="O65"/>
      <c r="P65" s="3">
        <f t="shared" si="3"/>
        <v>1070.56</v>
      </c>
      <c r="Q65" s="3" t="e">
        <f>VLOOKUP(O65,Справочник!A:B,2,0)</f>
        <v>#N/A</v>
      </c>
      <c r="R65" s="3" t="e">
        <f>VLOOKUP(O65,Справочник!A:C,3,0)</f>
        <v>#N/A</v>
      </c>
      <c r="S65" s="3">
        <f t="shared" si="2"/>
        <v>2141.12</v>
      </c>
      <c r="T65" s="3">
        <f t="shared" si="4"/>
        <v>2141.12</v>
      </c>
    </row>
    <row r="66" spans="1:20" x14ac:dyDescent="0.25">
      <c r="A66" s="3" t="s">
        <v>467</v>
      </c>
      <c r="B66" s="3">
        <v>60141649</v>
      </c>
      <c r="C66" s="3" t="s">
        <v>356</v>
      </c>
      <c r="D66" s="3" t="s">
        <v>357</v>
      </c>
      <c r="E66" s="3" t="s">
        <v>47</v>
      </c>
      <c r="F66" s="3" t="s">
        <v>124</v>
      </c>
      <c r="G66" s="3">
        <v>58</v>
      </c>
      <c r="H66" s="3" t="s">
        <v>106</v>
      </c>
      <c r="I66" s="3">
        <v>8</v>
      </c>
      <c r="J66" s="3" t="s">
        <v>107</v>
      </c>
      <c r="K66" s="3" t="s">
        <v>164</v>
      </c>
      <c r="M66" s="3" t="s">
        <v>109</v>
      </c>
      <c r="N66" s="3">
        <v>930.86</v>
      </c>
      <c r="O66"/>
      <c r="P66" s="3">
        <f t="shared" ref="P66:P99" si="5">SUMIF(A:A,A66,S:S)/SUMIF(A:A,A66,I:I)</f>
        <v>930.86</v>
      </c>
      <c r="Q66" s="3" t="e">
        <f>VLOOKUP(O66,Справочник!A:B,2,0)</f>
        <v>#N/A</v>
      </c>
      <c r="R66" s="3" t="e">
        <f>VLOOKUP(O66,Справочник!A:C,3,0)</f>
        <v>#N/A</v>
      </c>
      <c r="S66" s="3">
        <f t="shared" si="2"/>
        <v>7446.88</v>
      </c>
      <c r="T66" s="3">
        <f t="shared" ref="T66:T99" si="6">P66*I66</f>
        <v>7446.88</v>
      </c>
    </row>
    <row r="67" spans="1:20" x14ac:dyDescent="0.25">
      <c r="A67" s="3" t="s">
        <v>468</v>
      </c>
      <c r="B67" s="3">
        <v>60141650</v>
      </c>
      <c r="C67" s="3" t="s">
        <v>274</v>
      </c>
      <c r="D67" s="3" t="s">
        <v>358</v>
      </c>
      <c r="E67" s="3" t="s">
        <v>50</v>
      </c>
      <c r="F67" s="3" t="s">
        <v>128</v>
      </c>
      <c r="G67" s="3">
        <v>56</v>
      </c>
      <c r="H67" s="3" t="s">
        <v>106</v>
      </c>
      <c r="I67" s="3">
        <v>8</v>
      </c>
      <c r="J67" s="3" t="s">
        <v>107</v>
      </c>
      <c r="K67" s="3" t="s">
        <v>164</v>
      </c>
      <c r="M67" s="3" t="s">
        <v>109</v>
      </c>
      <c r="N67" s="3">
        <v>930.86</v>
      </c>
      <c r="O67"/>
      <c r="P67" s="3">
        <f t="shared" si="5"/>
        <v>930.86</v>
      </c>
      <c r="Q67" s="3" t="e">
        <f>VLOOKUP(O67,Справочник!A:B,2,0)</f>
        <v>#N/A</v>
      </c>
      <c r="R67" s="3" t="e">
        <f>VLOOKUP(O67,Справочник!A:C,3,0)</f>
        <v>#N/A</v>
      </c>
      <c r="S67" s="3">
        <f t="shared" ref="S67:S99" si="7">N67*I67</f>
        <v>7446.88</v>
      </c>
      <c r="T67" s="3">
        <f t="shared" si="6"/>
        <v>7446.88</v>
      </c>
    </row>
    <row r="68" spans="1:20" x14ac:dyDescent="0.25">
      <c r="A68" s="3" t="s">
        <v>469</v>
      </c>
      <c r="B68" s="3">
        <v>60141694</v>
      </c>
      <c r="C68" s="3" t="s">
        <v>13</v>
      </c>
      <c r="D68" s="3" t="s">
        <v>359</v>
      </c>
      <c r="E68" s="3" t="s">
        <v>50</v>
      </c>
      <c r="F68" s="3" t="s">
        <v>128</v>
      </c>
      <c r="G68" s="3">
        <v>56</v>
      </c>
      <c r="H68" s="3" t="s">
        <v>106</v>
      </c>
      <c r="I68" s="3">
        <v>2</v>
      </c>
      <c r="J68" s="3" t="s">
        <v>107</v>
      </c>
      <c r="K68" s="3" t="s">
        <v>164</v>
      </c>
      <c r="M68" s="3" t="s">
        <v>109</v>
      </c>
      <c r="N68" s="3">
        <v>1396.52</v>
      </c>
      <c r="O68" t="s">
        <v>37</v>
      </c>
      <c r="P68" s="3">
        <f t="shared" si="5"/>
        <v>1396.52</v>
      </c>
      <c r="Q68" s="3" t="str">
        <f>VLOOKUP(O68,Справочник!A:B,2,0)</f>
        <v>New York Yankees</v>
      </c>
      <c r="R68" s="3" t="str">
        <f>VLOOKUP(O68,Справочник!A:C,3,0)</f>
        <v>MLB</v>
      </c>
      <c r="S68" s="3">
        <f t="shared" si="7"/>
        <v>2793.04</v>
      </c>
      <c r="T68" s="3">
        <f t="shared" si="6"/>
        <v>2793.04</v>
      </c>
    </row>
    <row r="69" spans="1:20" x14ac:dyDescent="0.25">
      <c r="A69" s="3" t="s">
        <v>470</v>
      </c>
      <c r="B69" s="3">
        <v>60141713</v>
      </c>
      <c r="C69" s="3" t="s">
        <v>360</v>
      </c>
      <c r="D69" s="3" t="s">
        <v>361</v>
      </c>
      <c r="E69" s="3" t="s">
        <v>43</v>
      </c>
      <c r="F69" s="3" t="s">
        <v>105</v>
      </c>
      <c r="G69" s="3" t="s">
        <v>8</v>
      </c>
      <c r="H69" s="3" t="s">
        <v>106</v>
      </c>
      <c r="I69" s="3">
        <v>9</v>
      </c>
      <c r="J69" s="3" t="s">
        <v>107</v>
      </c>
      <c r="K69" s="3" t="s">
        <v>135</v>
      </c>
      <c r="L69" s="3" t="s">
        <v>167</v>
      </c>
      <c r="M69" s="3" t="s">
        <v>109</v>
      </c>
      <c r="N69" s="3">
        <v>1396.52</v>
      </c>
      <c r="O69" t="s">
        <v>37</v>
      </c>
      <c r="P69" s="3">
        <f t="shared" si="5"/>
        <v>1396.52</v>
      </c>
      <c r="Q69" s="3" t="str">
        <f>VLOOKUP(O69,Справочник!A:B,2,0)</f>
        <v>New York Yankees</v>
      </c>
      <c r="R69" s="3" t="str">
        <f>VLOOKUP(O69,Справочник!A:C,3,0)</f>
        <v>MLB</v>
      </c>
      <c r="S69" s="3">
        <f t="shared" si="7"/>
        <v>12568.68</v>
      </c>
      <c r="T69" s="3">
        <f t="shared" si="6"/>
        <v>12568.68</v>
      </c>
    </row>
    <row r="70" spans="1:20" x14ac:dyDescent="0.25">
      <c r="A70" s="3" t="s">
        <v>471</v>
      </c>
      <c r="B70" s="3">
        <v>60141714</v>
      </c>
      <c r="C70" s="3" t="s">
        <v>362</v>
      </c>
      <c r="D70" s="3" t="s">
        <v>363</v>
      </c>
      <c r="E70" s="3" t="s">
        <v>43</v>
      </c>
      <c r="F70" s="3" t="s">
        <v>105</v>
      </c>
      <c r="G70" s="3" t="s">
        <v>8</v>
      </c>
      <c r="H70" s="3" t="s">
        <v>106</v>
      </c>
      <c r="I70" s="3">
        <v>11</v>
      </c>
      <c r="J70" s="3" t="s">
        <v>107</v>
      </c>
      <c r="K70" s="3" t="s">
        <v>135</v>
      </c>
      <c r="L70" s="3" t="s">
        <v>167</v>
      </c>
      <c r="M70" s="3" t="s">
        <v>109</v>
      </c>
      <c r="N70" s="3">
        <v>1396.52</v>
      </c>
      <c r="O70" t="s">
        <v>37</v>
      </c>
      <c r="P70" s="3">
        <f t="shared" si="5"/>
        <v>1396.52</v>
      </c>
      <c r="Q70" s="3" t="str">
        <f>VLOOKUP(O70,Справочник!A:B,2,0)</f>
        <v>New York Yankees</v>
      </c>
      <c r="R70" s="3" t="str">
        <f>VLOOKUP(O70,Справочник!A:C,3,0)</f>
        <v>MLB</v>
      </c>
      <c r="S70" s="3">
        <f t="shared" si="7"/>
        <v>15361.72</v>
      </c>
      <c r="T70" s="3">
        <f t="shared" si="6"/>
        <v>15361.72</v>
      </c>
    </row>
    <row r="71" spans="1:20" x14ac:dyDescent="0.25">
      <c r="A71" s="3" t="s">
        <v>472</v>
      </c>
      <c r="B71" s="3">
        <v>60141872</v>
      </c>
      <c r="C71" s="3" t="s">
        <v>309</v>
      </c>
      <c r="D71" s="3" t="s">
        <v>364</v>
      </c>
      <c r="E71" s="3" t="s">
        <v>43</v>
      </c>
      <c r="F71" s="3" t="s">
        <v>105</v>
      </c>
      <c r="G71" s="3" t="s">
        <v>8</v>
      </c>
      <c r="H71" s="3" t="s">
        <v>106</v>
      </c>
      <c r="I71" s="3">
        <v>13</v>
      </c>
      <c r="J71" s="3" t="s">
        <v>107</v>
      </c>
      <c r="K71" s="3" t="s">
        <v>135</v>
      </c>
      <c r="L71" s="3" t="s">
        <v>169</v>
      </c>
      <c r="M71" s="3" t="s">
        <v>109</v>
      </c>
      <c r="N71" s="3">
        <v>1117.1199999999999</v>
      </c>
      <c r="O71" t="s">
        <v>37</v>
      </c>
      <c r="P71" s="3">
        <f t="shared" si="5"/>
        <v>1117.1199999999999</v>
      </c>
      <c r="Q71" s="3" t="str">
        <f>VLOOKUP(O71,Справочник!A:B,2,0)</f>
        <v>New York Yankees</v>
      </c>
      <c r="R71" s="3" t="str">
        <f>VLOOKUP(O71,Справочник!A:C,3,0)</f>
        <v>MLB</v>
      </c>
      <c r="S71" s="3">
        <f t="shared" si="7"/>
        <v>14522.559999999998</v>
      </c>
      <c r="T71" s="3">
        <f t="shared" si="6"/>
        <v>14522.559999999998</v>
      </c>
    </row>
    <row r="72" spans="1:20" x14ac:dyDescent="0.25">
      <c r="A72" s="3" t="s">
        <v>473</v>
      </c>
      <c r="B72" s="3">
        <v>60141873</v>
      </c>
      <c r="C72" s="3" t="s">
        <v>250</v>
      </c>
      <c r="D72" s="3" t="s">
        <v>365</v>
      </c>
      <c r="E72" s="3" t="s">
        <v>43</v>
      </c>
      <c r="F72" s="3" t="s">
        <v>105</v>
      </c>
      <c r="G72" s="3" t="s">
        <v>8</v>
      </c>
      <c r="H72" s="3" t="s">
        <v>106</v>
      </c>
      <c r="I72" s="3">
        <v>8</v>
      </c>
      <c r="J72" s="3" t="s">
        <v>107</v>
      </c>
      <c r="K72" s="3" t="s">
        <v>135</v>
      </c>
      <c r="L72" s="3" t="s">
        <v>169</v>
      </c>
      <c r="M72" s="3" t="s">
        <v>109</v>
      </c>
      <c r="N72" s="3">
        <v>1117.1199999999999</v>
      </c>
      <c r="O72" t="s">
        <v>37</v>
      </c>
      <c r="P72" s="3">
        <f t="shared" si="5"/>
        <v>1117.1199999999999</v>
      </c>
      <c r="Q72" s="3" t="str">
        <f>VLOOKUP(O72,Справочник!A:B,2,0)</f>
        <v>New York Yankees</v>
      </c>
      <c r="R72" s="3" t="str">
        <f>VLOOKUP(O72,Справочник!A:C,3,0)</f>
        <v>MLB</v>
      </c>
      <c r="S72" s="3">
        <f t="shared" si="7"/>
        <v>8936.9599999999991</v>
      </c>
      <c r="T72" s="3">
        <f t="shared" si="6"/>
        <v>8936.9599999999991</v>
      </c>
    </row>
    <row r="73" spans="1:20" x14ac:dyDescent="0.25">
      <c r="A73" s="3" t="s">
        <v>474</v>
      </c>
      <c r="B73" s="3">
        <v>60142926</v>
      </c>
      <c r="C73" s="3" t="s">
        <v>366</v>
      </c>
      <c r="D73" s="3" t="s">
        <v>367</v>
      </c>
      <c r="E73" s="3" t="s">
        <v>43</v>
      </c>
      <c r="F73" s="3" t="s">
        <v>105</v>
      </c>
      <c r="G73" s="3" t="s">
        <v>8</v>
      </c>
      <c r="H73" s="3" t="s">
        <v>106</v>
      </c>
      <c r="I73" s="3">
        <v>6</v>
      </c>
      <c r="J73" s="3" t="s">
        <v>107</v>
      </c>
      <c r="K73" s="3" t="s">
        <v>135</v>
      </c>
      <c r="M73" s="3" t="s">
        <v>150</v>
      </c>
      <c r="N73" s="3">
        <v>1070.56</v>
      </c>
      <c r="O73" s="35" t="s">
        <v>79</v>
      </c>
      <c r="P73" s="3">
        <f t="shared" si="5"/>
        <v>1070.56</v>
      </c>
      <c r="Q73" s="3" t="str">
        <f>VLOOKUP(O73,Справочник!A:B,2,0)</f>
        <v>Atletico Madrid</v>
      </c>
      <c r="R73" s="3" t="str">
        <f>VLOOKUP(O73,Справочник!A:C,3,0)</f>
        <v>LaLiga</v>
      </c>
      <c r="S73" s="3">
        <f t="shared" si="7"/>
        <v>6423.36</v>
      </c>
      <c r="T73" s="3">
        <f t="shared" si="6"/>
        <v>6423.36</v>
      </c>
    </row>
    <row r="74" spans="1:20" x14ac:dyDescent="0.25">
      <c r="A74" s="3" t="s">
        <v>475</v>
      </c>
      <c r="B74" s="3">
        <v>60142978</v>
      </c>
      <c r="C74" s="3" t="s">
        <v>368</v>
      </c>
      <c r="D74" s="3" t="s">
        <v>369</v>
      </c>
      <c r="E74" s="3" t="s">
        <v>43</v>
      </c>
      <c r="F74" s="3" t="s">
        <v>105</v>
      </c>
      <c r="G74" s="3" t="s">
        <v>8</v>
      </c>
      <c r="H74" s="3" t="s">
        <v>106</v>
      </c>
      <c r="I74" s="3">
        <v>3</v>
      </c>
      <c r="J74" s="3" t="s">
        <v>107</v>
      </c>
      <c r="K74" s="3" t="s">
        <v>135</v>
      </c>
      <c r="M74" s="3" t="s">
        <v>150</v>
      </c>
      <c r="N74" s="3">
        <v>884.29</v>
      </c>
      <c r="O74" t="s">
        <v>82</v>
      </c>
      <c r="P74" s="3">
        <f t="shared" si="5"/>
        <v>884.29</v>
      </c>
      <c r="Q74" s="3" t="str">
        <f>VLOOKUP(O74,Справочник!A:B,2,0)</f>
        <v>FA Ireland</v>
      </c>
      <c r="R74" s="3" t="str">
        <f>VLOOKUP(O74,Справочник!A:C,3,0)</f>
        <v>UEFA</v>
      </c>
      <c r="S74" s="3">
        <f t="shared" si="7"/>
        <v>2652.87</v>
      </c>
      <c r="T74" s="3">
        <f t="shared" si="6"/>
        <v>2652.87</v>
      </c>
    </row>
    <row r="75" spans="1:20" x14ac:dyDescent="0.25">
      <c r="A75" s="3" t="s">
        <v>476</v>
      </c>
      <c r="B75" s="3">
        <v>60143362</v>
      </c>
      <c r="C75" s="3" t="s">
        <v>370</v>
      </c>
      <c r="D75" s="3" t="s">
        <v>371</v>
      </c>
      <c r="E75" s="3" t="s">
        <v>43</v>
      </c>
      <c r="F75" s="3" t="s">
        <v>105</v>
      </c>
      <c r="G75" s="3" t="s">
        <v>8</v>
      </c>
      <c r="H75" s="3" t="s">
        <v>106</v>
      </c>
      <c r="I75" s="3">
        <v>3</v>
      </c>
      <c r="J75" s="3" t="s">
        <v>107</v>
      </c>
      <c r="K75" s="3" t="s">
        <v>135</v>
      </c>
      <c r="M75" s="3" t="s">
        <v>150</v>
      </c>
      <c r="N75" s="3">
        <v>1163.69</v>
      </c>
      <c r="O75" t="s">
        <v>68</v>
      </c>
      <c r="P75" s="3">
        <f t="shared" si="5"/>
        <v>1163.69</v>
      </c>
      <c r="Q75" s="3" t="str">
        <f>VLOOKUP(O75,Справочник!A:B,2,0)</f>
        <v>Chelsea</v>
      </c>
      <c r="R75" s="3" t="str">
        <f>VLOOKUP(O75,Справочник!A:C,3,0)</f>
        <v>EPL</v>
      </c>
      <c r="S75" s="3">
        <f t="shared" si="7"/>
        <v>3491.07</v>
      </c>
      <c r="T75" s="3">
        <f t="shared" si="6"/>
        <v>3491.07</v>
      </c>
    </row>
    <row r="76" spans="1:20" x14ac:dyDescent="0.25">
      <c r="A76" s="3" t="s">
        <v>477</v>
      </c>
      <c r="B76" s="3">
        <v>60143365</v>
      </c>
      <c r="C76" s="3" t="s">
        <v>372</v>
      </c>
      <c r="D76" s="3" t="s">
        <v>373</v>
      </c>
      <c r="E76" s="3" t="s">
        <v>43</v>
      </c>
      <c r="F76" s="3" t="s">
        <v>105</v>
      </c>
      <c r="G76" s="3" t="s">
        <v>8</v>
      </c>
      <c r="H76" s="3" t="s">
        <v>106</v>
      </c>
      <c r="I76" s="3">
        <v>9</v>
      </c>
      <c r="J76" s="3" t="s">
        <v>107</v>
      </c>
      <c r="K76" s="3" t="s">
        <v>135</v>
      </c>
      <c r="M76" s="3" t="s">
        <v>150</v>
      </c>
      <c r="N76" s="3">
        <v>1070.56</v>
      </c>
      <c r="O76" t="s">
        <v>68</v>
      </c>
      <c r="P76" s="3">
        <f t="shared" si="5"/>
        <v>1070.56</v>
      </c>
      <c r="Q76" s="3" t="str">
        <f>VLOOKUP(O76,Справочник!A:B,2,0)</f>
        <v>Chelsea</v>
      </c>
      <c r="R76" s="3" t="str">
        <f>VLOOKUP(O76,Справочник!A:C,3,0)</f>
        <v>EPL</v>
      </c>
      <c r="S76" s="3">
        <f t="shared" si="7"/>
        <v>9635.0399999999991</v>
      </c>
      <c r="T76" s="3">
        <f t="shared" si="6"/>
        <v>9635.0399999999991</v>
      </c>
    </row>
    <row r="77" spans="1:20" x14ac:dyDescent="0.25">
      <c r="A77" s="3" t="s">
        <v>478</v>
      </c>
      <c r="B77" s="3">
        <v>60143369</v>
      </c>
      <c r="C77" s="3" t="s">
        <v>7</v>
      </c>
      <c r="D77" s="3" t="s">
        <v>374</v>
      </c>
      <c r="E77" s="3" t="s">
        <v>43</v>
      </c>
      <c r="F77" s="3" t="s">
        <v>105</v>
      </c>
      <c r="G77" s="3" t="s">
        <v>8</v>
      </c>
      <c r="H77" s="3" t="s">
        <v>106</v>
      </c>
      <c r="I77" s="3">
        <v>12</v>
      </c>
      <c r="J77" s="3" t="s">
        <v>107</v>
      </c>
      <c r="K77" s="3" t="s">
        <v>173</v>
      </c>
      <c r="M77" s="3" t="s">
        <v>109</v>
      </c>
      <c r="N77" s="3">
        <v>1070.56</v>
      </c>
      <c r="O77" t="s">
        <v>68</v>
      </c>
      <c r="P77" s="3">
        <f t="shared" si="5"/>
        <v>1070.56</v>
      </c>
      <c r="Q77" s="3" t="str">
        <f>VLOOKUP(O77,Справочник!A:B,2,0)</f>
        <v>Chelsea</v>
      </c>
      <c r="R77" s="3" t="str">
        <f>VLOOKUP(O77,Справочник!A:C,3,0)</f>
        <v>EPL</v>
      </c>
      <c r="S77" s="3">
        <f t="shared" si="7"/>
        <v>12846.72</v>
      </c>
      <c r="T77" s="3">
        <f t="shared" si="6"/>
        <v>12846.72</v>
      </c>
    </row>
    <row r="78" spans="1:20" x14ac:dyDescent="0.25">
      <c r="A78" s="3" t="s">
        <v>479</v>
      </c>
      <c r="B78" s="3">
        <v>60143379</v>
      </c>
      <c r="C78" s="3" t="s">
        <v>372</v>
      </c>
      <c r="D78" s="3" t="s">
        <v>375</v>
      </c>
      <c r="E78" s="3" t="s">
        <v>43</v>
      </c>
      <c r="F78" s="3" t="s">
        <v>105</v>
      </c>
      <c r="G78" s="3" t="s">
        <v>8</v>
      </c>
      <c r="H78" s="3" t="s">
        <v>106</v>
      </c>
      <c r="I78" s="3">
        <v>12</v>
      </c>
      <c r="J78" s="3" t="s">
        <v>107</v>
      </c>
      <c r="K78" s="3" t="s">
        <v>135</v>
      </c>
      <c r="M78" s="3" t="s">
        <v>109</v>
      </c>
      <c r="N78" s="3">
        <v>1070.56</v>
      </c>
      <c r="O78" t="s">
        <v>68</v>
      </c>
      <c r="P78" s="3">
        <f t="shared" si="5"/>
        <v>1070.56</v>
      </c>
      <c r="Q78" s="3" t="str">
        <f>VLOOKUP(O78,Справочник!A:B,2,0)</f>
        <v>Chelsea</v>
      </c>
      <c r="R78" s="3" t="str">
        <f>VLOOKUP(O78,Справочник!A:C,3,0)</f>
        <v>EPL</v>
      </c>
      <c r="S78" s="3">
        <f t="shared" si="7"/>
        <v>12846.72</v>
      </c>
      <c r="T78" s="3">
        <f t="shared" si="6"/>
        <v>12846.72</v>
      </c>
    </row>
    <row r="79" spans="1:20" x14ac:dyDescent="0.25">
      <c r="A79" s="3" t="s">
        <v>480</v>
      </c>
      <c r="B79" s="3">
        <v>60143386</v>
      </c>
      <c r="C79" s="3" t="s">
        <v>376</v>
      </c>
      <c r="D79" s="3" t="s">
        <v>377</v>
      </c>
      <c r="E79" s="3" t="s">
        <v>43</v>
      </c>
      <c r="F79" s="3" t="s">
        <v>105</v>
      </c>
      <c r="G79" s="3" t="s">
        <v>8</v>
      </c>
      <c r="H79" s="3" t="s">
        <v>106</v>
      </c>
      <c r="I79" s="3">
        <v>6</v>
      </c>
      <c r="J79" s="3" t="s">
        <v>107</v>
      </c>
      <c r="K79" s="3" t="s">
        <v>135</v>
      </c>
      <c r="M79" s="3" t="s">
        <v>109</v>
      </c>
      <c r="N79" s="3">
        <v>1163.69</v>
      </c>
      <c r="O79" t="s">
        <v>71</v>
      </c>
      <c r="P79" s="3">
        <f t="shared" si="5"/>
        <v>1163.69</v>
      </c>
      <c r="Q79" s="3" t="str">
        <f>VLOOKUP(O79,Справочник!A:B,2,0)</f>
        <v>Manchester United</v>
      </c>
      <c r="R79" s="3" t="str">
        <f>VLOOKUP(O79,Справочник!A:C,3,0)</f>
        <v>EPL</v>
      </c>
      <c r="S79" s="3">
        <f t="shared" si="7"/>
        <v>6982.14</v>
      </c>
      <c r="T79" s="3">
        <f t="shared" si="6"/>
        <v>6982.14</v>
      </c>
    </row>
    <row r="80" spans="1:20" x14ac:dyDescent="0.25">
      <c r="A80" s="3" t="s">
        <v>481</v>
      </c>
      <c r="B80" s="3">
        <v>60143387</v>
      </c>
      <c r="C80" s="3" t="s">
        <v>12</v>
      </c>
      <c r="D80" s="3" t="s">
        <v>378</v>
      </c>
      <c r="E80" s="3" t="s">
        <v>43</v>
      </c>
      <c r="F80" s="3" t="s">
        <v>105</v>
      </c>
      <c r="G80" s="3" t="s">
        <v>8</v>
      </c>
      <c r="H80" s="3" t="s">
        <v>106</v>
      </c>
      <c r="I80" s="3">
        <v>12</v>
      </c>
      <c r="J80" s="3" t="s">
        <v>107</v>
      </c>
      <c r="K80" s="3" t="s">
        <v>135</v>
      </c>
      <c r="M80" s="3" t="s">
        <v>109</v>
      </c>
      <c r="N80" s="3">
        <v>1070.56</v>
      </c>
      <c r="O80" t="s">
        <v>71</v>
      </c>
      <c r="P80" s="3">
        <f t="shared" si="5"/>
        <v>1070.56</v>
      </c>
      <c r="Q80" s="3" t="str">
        <f>VLOOKUP(O80,Справочник!A:B,2,0)</f>
        <v>Manchester United</v>
      </c>
      <c r="R80" s="3" t="str">
        <f>VLOOKUP(O80,Справочник!A:C,3,0)</f>
        <v>EPL</v>
      </c>
      <c r="S80" s="3">
        <f t="shared" si="7"/>
        <v>12846.72</v>
      </c>
      <c r="T80" s="3">
        <f t="shared" si="6"/>
        <v>12846.72</v>
      </c>
    </row>
    <row r="81" spans="1:20" x14ac:dyDescent="0.25">
      <c r="A81" s="3" t="s">
        <v>482</v>
      </c>
      <c r="B81" s="3">
        <v>60143388</v>
      </c>
      <c r="C81" s="3" t="s">
        <v>12</v>
      </c>
      <c r="D81" s="3" t="s">
        <v>379</v>
      </c>
      <c r="E81" s="3" t="s">
        <v>43</v>
      </c>
      <c r="F81" s="3" t="s">
        <v>105</v>
      </c>
      <c r="G81" s="3" t="s">
        <v>8</v>
      </c>
      <c r="H81" s="3" t="s">
        <v>106</v>
      </c>
      <c r="I81" s="3">
        <v>12</v>
      </c>
      <c r="J81" s="3" t="s">
        <v>107</v>
      </c>
      <c r="K81" s="3" t="s">
        <v>173</v>
      </c>
      <c r="M81" s="3" t="s">
        <v>109</v>
      </c>
      <c r="N81" s="3">
        <v>1210.25</v>
      </c>
      <c r="O81" t="s">
        <v>71</v>
      </c>
      <c r="P81" s="3">
        <f t="shared" si="5"/>
        <v>1210.25</v>
      </c>
      <c r="Q81" s="3" t="str">
        <f>VLOOKUP(O81,Справочник!A:B,2,0)</f>
        <v>Manchester United</v>
      </c>
      <c r="R81" s="3" t="str">
        <f>VLOOKUP(O81,Справочник!A:C,3,0)</f>
        <v>EPL</v>
      </c>
      <c r="S81" s="3">
        <f t="shared" si="7"/>
        <v>14523</v>
      </c>
      <c r="T81" s="3">
        <f t="shared" si="6"/>
        <v>14523</v>
      </c>
    </row>
    <row r="82" spans="1:20" x14ac:dyDescent="0.25">
      <c r="A82" s="3" t="s">
        <v>483</v>
      </c>
      <c r="B82" s="3">
        <v>60143391</v>
      </c>
      <c r="C82" s="3" t="s">
        <v>376</v>
      </c>
      <c r="D82" s="3" t="s">
        <v>380</v>
      </c>
      <c r="E82" s="3" t="s">
        <v>43</v>
      </c>
      <c r="F82" s="3" t="s">
        <v>105</v>
      </c>
      <c r="G82" s="3" t="s">
        <v>8</v>
      </c>
      <c r="H82" s="3" t="s">
        <v>106</v>
      </c>
      <c r="I82" s="3">
        <v>6</v>
      </c>
      <c r="J82" s="3" t="s">
        <v>107</v>
      </c>
      <c r="K82" s="3" t="s">
        <v>173</v>
      </c>
      <c r="M82" s="3" t="s">
        <v>109</v>
      </c>
      <c r="N82" s="3">
        <v>1163.69</v>
      </c>
      <c r="O82" t="s">
        <v>71</v>
      </c>
      <c r="P82" s="3">
        <f t="shared" si="5"/>
        <v>1163.69</v>
      </c>
      <c r="Q82" s="3" t="str">
        <f>VLOOKUP(O82,Справочник!A:B,2,0)</f>
        <v>Manchester United</v>
      </c>
      <c r="R82" s="3" t="str">
        <f>VLOOKUP(O82,Справочник!A:C,3,0)</f>
        <v>EPL</v>
      </c>
      <c r="S82" s="3">
        <f t="shared" si="7"/>
        <v>6982.14</v>
      </c>
      <c r="T82" s="3">
        <f t="shared" si="6"/>
        <v>6982.14</v>
      </c>
    </row>
    <row r="83" spans="1:20" x14ac:dyDescent="0.25">
      <c r="A83" s="3" t="s">
        <v>484</v>
      </c>
      <c r="B83" s="3">
        <v>60143393</v>
      </c>
      <c r="C83" s="3" t="s">
        <v>381</v>
      </c>
      <c r="D83" s="3" t="s">
        <v>382</v>
      </c>
      <c r="E83" s="3" t="s">
        <v>43</v>
      </c>
      <c r="F83" s="3" t="s">
        <v>105</v>
      </c>
      <c r="G83" s="3" t="s">
        <v>8</v>
      </c>
      <c r="H83" s="3" t="s">
        <v>106</v>
      </c>
      <c r="I83" s="3">
        <v>6</v>
      </c>
      <c r="J83" s="3" t="s">
        <v>107</v>
      </c>
      <c r="K83" s="3" t="s">
        <v>173</v>
      </c>
      <c r="M83" s="3" t="s">
        <v>109</v>
      </c>
      <c r="N83" s="3">
        <v>1163.69</v>
      </c>
      <c r="O83" t="s">
        <v>71</v>
      </c>
      <c r="P83" s="3">
        <f t="shared" si="5"/>
        <v>1163.69</v>
      </c>
      <c r="Q83" s="3" t="str">
        <f>VLOOKUP(O83,Справочник!A:B,2,0)</f>
        <v>Manchester United</v>
      </c>
      <c r="R83" s="3" t="str">
        <f>VLOOKUP(O83,Справочник!A:C,3,0)</f>
        <v>EPL</v>
      </c>
      <c r="S83" s="3">
        <f t="shared" si="7"/>
        <v>6982.14</v>
      </c>
      <c r="T83" s="3">
        <f t="shared" si="6"/>
        <v>6982.14</v>
      </c>
    </row>
    <row r="84" spans="1:20" x14ac:dyDescent="0.25">
      <c r="A84" s="3" t="s">
        <v>485</v>
      </c>
      <c r="B84" s="3">
        <v>60143394</v>
      </c>
      <c r="C84" s="3" t="s">
        <v>383</v>
      </c>
      <c r="D84" s="3" t="s">
        <v>384</v>
      </c>
      <c r="E84" s="3" t="s">
        <v>43</v>
      </c>
      <c r="F84" s="3" t="s">
        <v>105</v>
      </c>
      <c r="G84" s="3" t="s">
        <v>8</v>
      </c>
      <c r="H84" s="3" t="s">
        <v>106</v>
      </c>
      <c r="I84" s="3">
        <v>6</v>
      </c>
      <c r="J84" s="3" t="s">
        <v>107</v>
      </c>
      <c r="K84" s="3" t="s">
        <v>173</v>
      </c>
      <c r="M84" s="3" t="s">
        <v>109</v>
      </c>
      <c r="N84" s="3">
        <v>884.29</v>
      </c>
      <c r="O84" t="s">
        <v>71</v>
      </c>
      <c r="P84" s="3">
        <f t="shared" si="5"/>
        <v>884.29</v>
      </c>
      <c r="Q84" s="3" t="str">
        <f>VLOOKUP(O84,Справочник!A:B,2,0)</f>
        <v>Manchester United</v>
      </c>
      <c r="R84" s="3" t="str">
        <f>VLOOKUP(O84,Справочник!A:C,3,0)</f>
        <v>EPL</v>
      </c>
      <c r="S84" s="3">
        <f t="shared" si="7"/>
        <v>5305.74</v>
      </c>
      <c r="T84" s="3">
        <f t="shared" si="6"/>
        <v>5305.74</v>
      </c>
    </row>
    <row r="85" spans="1:20" x14ac:dyDescent="0.25">
      <c r="A85" s="3" t="s">
        <v>486</v>
      </c>
      <c r="B85" s="3">
        <v>60143400</v>
      </c>
      <c r="C85" s="3" t="s">
        <v>305</v>
      </c>
      <c r="D85" s="3" t="s">
        <v>385</v>
      </c>
      <c r="E85" s="3" t="s">
        <v>43</v>
      </c>
      <c r="F85" s="3" t="s">
        <v>105</v>
      </c>
      <c r="G85" s="3" t="s">
        <v>8</v>
      </c>
      <c r="H85" s="3" t="s">
        <v>106</v>
      </c>
      <c r="I85" s="3">
        <v>9</v>
      </c>
      <c r="J85" s="3" t="s">
        <v>107</v>
      </c>
      <c r="K85" s="3" t="s">
        <v>173</v>
      </c>
      <c r="M85" s="3" t="s">
        <v>109</v>
      </c>
      <c r="N85" s="3">
        <v>1582.78</v>
      </c>
      <c r="O85" t="s">
        <v>71</v>
      </c>
      <c r="P85" s="3">
        <f t="shared" si="5"/>
        <v>1582.78</v>
      </c>
      <c r="Q85" s="3" t="str">
        <f>VLOOKUP(O85,Справочник!A:B,2,0)</f>
        <v>Manchester United</v>
      </c>
      <c r="R85" s="3" t="str">
        <f>VLOOKUP(O85,Справочник!A:C,3,0)</f>
        <v>EPL</v>
      </c>
      <c r="S85" s="3">
        <f t="shared" si="7"/>
        <v>14245.02</v>
      </c>
      <c r="T85" s="3">
        <f t="shared" si="6"/>
        <v>14245.02</v>
      </c>
    </row>
    <row r="86" spans="1:20" x14ac:dyDescent="0.25">
      <c r="A86" s="3" t="s">
        <v>487</v>
      </c>
      <c r="B86" s="3">
        <v>60143408</v>
      </c>
      <c r="C86" s="3" t="s">
        <v>383</v>
      </c>
      <c r="D86" s="3" t="s">
        <v>386</v>
      </c>
      <c r="E86" s="3" t="s">
        <v>43</v>
      </c>
      <c r="F86" s="3" t="s">
        <v>105</v>
      </c>
      <c r="G86" s="3" t="s">
        <v>8</v>
      </c>
      <c r="H86" s="3" t="s">
        <v>106</v>
      </c>
      <c r="I86" s="3">
        <v>9</v>
      </c>
      <c r="J86" s="3" t="s">
        <v>107</v>
      </c>
      <c r="K86" s="3" t="s">
        <v>173</v>
      </c>
      <c r="M86" s="3" t="s">
        <v>109</v>
      </c>
      <c r="N86" s="3">
        <v>1163.69</v>
      </c>
      <c r="O86" t="s">
        <v>71</v>
      </c>
      <c r="P86" s="3">
        <f t="shared" si="5"/>
        <v>1163.69</v>
      </c>
      <c r="Q86" s="3" t="str">
        <f>VLOOKUP(O86,Справочник!A:B,2,0)</f>
        <v>Manchester United</v>
      </c>
      <c r="R86" s="3" t="str">
        <f>VLOOKUP(O86,Справочник!A:C,3,0)</f>
        <v>EPL</v>
      </c>
      <c r="S86" s="3">
        <f t="shared" si="7"/>
        <v>10473.210000000001</v>
      </c>
      <c r="T86" s="3">
        <f t="shared" si="6"/>
        <v>10473.210000000001</v>
      </c>
    </row>
    <row r="87" spans="1:20" x14ac:dyDescent="0.25">
      <c r="A87" s="3" t="s">
        <v>488</v>
      </c>
      <c r="B87" s="3">
        <v>60143421</v>
      </c>
      <c r="C87" s="3" t="s">
        <v>7</v>
      </c>
      <c r="D87" s="3" t="s">
        <v>387</v>
      </c>
      <c r="E87" s="3" t="s">
        <v>43</v>
      </c>
      <c r="F87" s="3" t="s">
        <v>105</v>
      </c>
      <c r="G87" s="3" t="s">
        <v>8</v>
      </c>
      <c r="H87" s="3" t="s">
        <v>106</v>
      </c>
      <c r="I87" s="3">
        <v>10</v>
      </c>
      <c r="J87" s="3" t="s">
        <v>107</v>
      </c>
      <c r="K87" s="3" t="s">
        <v>108</v>
      </c>
      <c r="M87" s="3" t="s">
        <v>109</v>
      </c>
      <c r="N87" s="3">
        <v>1163.69</v>
      </c>
      <c r="O87" s="35" t="s">
        <v>448</v>
      </c>
      <c r="P87" s="3">
        <f t="shared" si="5"/>
        <v>1163.69</v>
      </c>
      <c r="Q87" s="3" t="str">
        <f>VLOOKUP(O87,Справочник!A:B,2,0)</f>
        <v>Tottenham Hotspur</v>
      </c>
      <c r="R87" s="3" t="str">
        <f>VLOOKUP(O87,Справочник!A:C,3,0)</f>
        <v>EPL</v>
      </c>
      <c r="S87" s="3">
        <f t="shared" si="7"/>
        <v>11636.900000000001</v>
      </c>
      <c r="T87" s="3">
        <f t="shared" si="6"/>
        <v>11636.900000000001</v>
      </c>
    </row>
    <row r="88" spans="1:20" x14ac:dyDescent="0.25">
      <c r="A88" s="3" t="s">
        <v>489</v>
      </c>
      <c r="B88" s="3">
        <v>60143425</v>
      </c>
      <c r="C88" s="3" t="s">
        <v>370</v>
      </c>
      <c r="D88" s="3" t="s">
        <v>388</v>
      </c>
      <c r="E88" s="3" t="s">
        <v>43</v>
      </c>
      <c r="F88" s="3" t="s">
        <v>105</v>
      </c>
      <c r="G88" s="3" t="s">
        <v>8</v>
      </c>
      <c r="H88" s="3" t="s">
        <v>106</v>
      </c>
      <c r="I88" s="3">
        <v>6</v>
      </c>
      <c r="J88" s="3" t="s">
        <v>107</v>
      </c>
      <c r="K88" s="3" t="s">
        <v>108</v>
      </c>
      <c r="M88" s="3" t="s">
        <v>109</v>
      </c>
      <c r="N88" s="3">
        <v>884.29</v>
      </c>
      <c r="O88" s="35" t="s">
        <v>448</v>
      </c>
      <c r="P88" s="3">
        <f t="shared" si="5"/>
        <v>884.29</v>
      </c>
      <c r="Q88" s="3" t="str">
        <f>VLOOKUP(O88,Справочник!A:B,2,0)</f>
        <v>Tottenham Hotspur</v>
      </c>
      <c r="R88" s="3" t="str">
        <f>VLOOKUP(O88,Справочник!A:C,3,0)</f>
        <v>EPL</v>
      </c>
      <c r="S88" s="3">
        <f t="shared" si="7"/>
        <v>5305.74</v>
      </c>
      <c r="T88" s="3">
        <f t="shared" si="6"/>
        <v>5305.74</v>
      </c>
    </row>
    <row r="89" spans="1:20" x14ac:dyDescent="0.25">
      <c r="A89" s="3" t="s">
        <v>389</v>
      </c>
      <c r="B89" s="3">
        <v>60144009</v>
      </c>
      <c r="C89" s="3" t="s">
        <v>257</v>
      </c>
      <c r="D89" s="3" t="s">
        <v>390</v>
      </c>
      <c r="E89" s="3" t="s">
        <v>43</v>
      </c>
      <c r="F89" s="3" t="s">
        <v>105</v>
      </c>
      <c r="G89" s="3" t="s">
        <v>8</v>
      </c>
      <c r="H89" s="3" t="s">
        <v>106</v>
      </c>
      <c r="I89" s="3">
        <v>2</v>
      </c>
      <c r="J89" s="3" t="s">
        <v>107</v>
      </c>
      <c r="K89" s="3" t="s">
        <v>173</v>
      </c>
      <c r="M89" s="3" t="s">
        <v>109</v>
      </c>
      <c r="N89" s="3">
        <v>558.33000000000004</v>
      </c>
      <c r="O89"/>
      <c r="P89" s="3">
        <f t="shared" si="5"/>
        <v>558.33000000000004</v>
      </c>
      <c r="Q89" s="3" t="e">
        <f>VLOOKUP(O89,Справочник!A:B,2,0)</f>
        <v>#N/A</v>
      </c>
      <c r="R89" s="3" t="e">
        <f>VLOOKUP(O89,Справочник!A:C,3,0)</f>
        <v>#N/A</v>
      </c>
      <c r="S89" s="3">
        <f t="shared" si="7"/>
        <v>1116.6600000000001</v>
      </c>
      <c r="T89" s="3">
        <f t="shared" si="6"/>
        <v>1116.6600000000001</v>
      </c>
    </row>
    <row r="90" spans="1:20" x14ac:dyDescent="0.25">
      <c r="A90" s="3" t="s">
        <v>391</v>
      </c>
      <c r="B90" s="3">
        <v>60144011</v>
      </c>
      <c r="C90" s="3" t="s">
        <v>392</v>
      </c>
      <c r="D90" s="3" t="s">
        <v>393</v>
      </c>
      <c r="E90" s="3" t="s">
        <v>43</v>
      </c>
      <c r="F90" s="3" t="s">
        <v>105</v>
      </c>
      <c r="G90" s="3" t="s">
        <v>8</v>
      </c>
      <c r="H90" s="3" t="s">
        <v>106</v>
      </c>
      <c r="I90" s="3">
        <v>10</v>
      </c>
      <c r="J90" s="3" t="s">
        <v>107</v>
      </c>
      <c r="K90" s="3" t="s">
        <v>173</v>
      </c>
      <c r="M90" s="3" t="s">
        <v>109</v>
      </c>
      <c r="N90" s="3">
        <v>744.59</v>
      </c>
      <c r="O90"/>
      <c r="P90" s="3">
        <f t="shared" si="5"/>
        <v>744.59</v>
      </c>
      <c r="Q90" s="3" t="e">
        <f>VLOOKUP(O90,Справочник!A:B,2,0)</f>
        <v>#N/A</v>
      </c>
      <c r="R90" s="3" t="e">
        <f>VLOOKUP(O90,Справочник!A:C,3,0)</f>
        <v>#N/A</v>
      </c>
      <c r="S90" s="3">
        <f t="shared" si="7"/>
        <v>7445.9000000000005</v>
      </c>
      <c r="T90" s="3">
        <f t="shared" si="6"/>
        <v>7445.9000000000005</v>
      </c>
    </row>
    <row r="91" spans="1:20" x14ac:dyDescent="0.25">
      <c r="A91" s="3" t="s">
        <v>394</v>
      </c>
      <c r="B91" s="3">
        <v>60179011</v>
      </c>
      <c r="C91" s="3" t="s">
        <v>305</v>
      </c>
      <c r="D91" s="3" t="s">
        <v>395</v>
      </c>
      <c r="E91" s="3" t="s">
        <v>182</v>
      </c>
      <c r="F91" s="3">
        <v>57</v>
      </c>
      <c r="G91" s="3">
        <v>57</v>
      </c>
      <c r="H91" s="3" t="s">
        <v>106</v>
      </c>
      <c r="I91" s="3">
        <v>10</v>
      </c>
      <c r="J91" s="3" t="s">
        <v>107</v>
      </c>
      <c r="K91" s="3" t="s">
        <v>108</v>
      </c>
      <c r="M91" s="3" t="s">
        <v>109</v>
      </c>
      <c r="N91" s="3">
        <v>884.29</v>
      </c>
      <c r="O91" s="35" t="s">
        <v>77</v>
      </c>
      <c r="P91" s="3">
        <f t="shared" si="5"/>
        <v>884.29</v>
      </c>
      <c r="Q91" s="3" t="str">
        <f>VLOOKUP(O91,Справочник!A:B,2,0)</f>
        <v>Crystal Palace</v>
      </c>
      <c r="R91" s="3" t="str">
        <f>VLOOKUP(O91,Справочник!A:C,3,0)</f>
        <v>EPL</v>
      </c>
      <c r="S91" s="3">
        <f t="shared" si="7"/>
        <v>8842.9</v>
      </c>
      <c r="T91" s="3">
        <f t="shared" si="6"/>
        <v>8842.9</v>
      </c>
    </row>
    <row r="92" spans="1:20" x14ac:dyDescent="0.25">
      <c r="A92" s="3" t="s">
        <v>396</v>
      </c>
      <c r="B92" s="3">
        <v>60221462</v>
      </c>
      <c r="C92" s="3" t="s">
        <v>12</v>
      </c>
      <c r="D92" s="3" t="s">
        <v>397</v>
      </c>
      <c r="E92" s="3" t="s">
        <v>43</v>
      </c>
      <c r="F92" s="3" t="s">
        <v>105</v>
      </c>
      <c r="G92" s="3" t="s">
        <v>8</v>
      </c>
      <c r="H92" s="3" t="s">
        <v>106</v>
      </c>
      <c r="I92" s="3">
        <v>6</v>
      </c>
      <c r="J92" s="3" t="s">
        <v>107</v>
      </c>
      <c r="K92" s="3" t="s">
        <v>135</v>
      </c>
      <c r="L92" s="3" t="s">
        <v>167</v>
      </c>
      <c r="M92" s="3" t="s">
        <v>109</v>
      </c>
      <c r="N92" s="3">
        <v>1512.82</v>
      </c>
      <c r="O92" t="s">
        <v>71</v>
      </c>
      <c r="P92" s="3">
        <f t="shared" si="5"/>
        <v>1512.82</v>
      </c>
      <c r="Q92" s="3" t="str">
        <f>VLOOKUP(O92,Справочник!A:B,2,0)</f>
        <v>Manchester United</v>
      </c>
      <c r="R92" s="3" t="str">
        <f>VLOOKUP(O92,Справочник!A:C,3,0)</f>
        <v>EPL</v>
      </c>
      <c r="S92" s="3">
        <f t="shared" si="7"/>
        <v>9076.92</v>
      </c>
      <c r="T92" s="3">
        <f t="shared" si="6"/>
        <v>9076.92</v>
      </c>
    </row>
    <row r="93" spans="1:20" x14ac:dyDescent="0.25">
      <c r="A93" s="3" t="s">
        <v>396</v>
      </c>
      <c r="B93" s="3">
        <v>60221462</v>
      </c>
      <c r="C93" s="3" t="s">
        <v>12</v>
      </c>
      <c r="D93" s="3" t="s">
        <v>397</v>
      </c>
      <c r="E93" s="3" t="s">
        <v>43</v>
      </c>
      <c r="F93" s="3" t="s">
        <v>105</v>
      </c>
      <c r="G93" s="3" t="s">
        <v>8</v>
      </c>
      <c r="H93" s="3" t="s">
        <v>106</v>
      </c>
      <c r="I93" s="3">
        <v>6</v>
      </c>
      <c r="J93" s="3" t="s">
        <v>107</v>
      </c>
      <c r="K93" s="3" t="s">
        <v>135</v>
      </c>
      <c r="L93" s="3" t="s">
        <v>167</v>
      </c>
      <c r="M93" s="3" t="s">
        <v>109</v>
      </c>
      <c r="N93" s="3">
        <v>1512.82</v>
      </c>
      <c r="O93" t="s">
        <v>71</v>
      </c>
      <c r="P93" s="3">
        <f t="shared" si="5"/>
        <v>1512.82</v>
      </c>
      <c r="Q93" s="3" t="str">
        <f>VLOOKUP(O93,Справочник!A:B,2,0)</f>
        <v>Manchester United</v>
      </c>
      <c r="R93" s="3" t="str">
        <f>VLOOKUP(O93,Справочник!A:C,3,0)</f>
        <v>EPL</v>
      </c>
      <c r="S93" s="3">
        <f t="shared" si="7"/>
        <v>9076.92</v>
      </c>
      <c r="T93" s="3">
        <f t="shared" si="6"/>
        <v>9076.92</v>
      </c>
    </row>
    <row r="94" spans="1:20" x14ac:dyDescent="0.25">
      <c r="A94" s="3" t="s">
        <v>398</v>
      </c>
      <c r="B94" s="3">
        <v>60222226</v>
      </c>
      <c r="C94" s="3" t="s">
        <v>274</v>
      </c>
      <c r="D94" s="3" t="s">
        <v>399</v>
      </c>
      <c r="E94" s="3" t="s">
        <v>43</v>
      </c>
      <c r="F94" s="3" t="s">
        <v>105</v>
      </c>
      <c r="G94" s="3" t="s">
        <v>8</v>
      </c>
      <c r="H94" s="3" t="s">
        <v>106</v>
      </c>
      <c r="I94" s="3">
        <v>3</v>
      </c>
      <c r="J94" s="3" t="s">
        <v>107</v>
      </c>
      <c r="K94" s="3" t="s">
        <v>185</v>
      </c>
      <c r="L94" s="3" t="s">
        <v>186</v>
      </c>
      <c r="M94" s="3" t="s">
        <v>150</v>
      </c>
      <c r="N94" s="3">
        <v>1862.06</v>
      </c>
      <c r="O94"/>
      <c r="P94" s="3">
        <f t="shared" si="5"/>
        <v>1862.06</v>
      </c>
      <c r="Q94" s="3" t="e">
        <f>VLOOKUP(O94,Справочник!A:B,2,0)</f>
        <v>#N/A</v>
      </c>
      <c r="R94" s="3" t="e">
        <f>VLOOKUP(O94,Справочник!A:C,3,0)</f>
        <v>#N/A</v>
      </c>
      <c r="S94" s="3">
        <f t="shared" si="7"/>
        <v>5586.18</v>
      </c>
      <c r="T94" s="3">
        <f t="shared" si="6"/>
        <v>5586.18</v>
      </c>
    </row>
    <row r="95" spans="1:20" x14ac:dyDescent="0.25">
      <c r="A95" s="3" t="s">
        <v>398</v>
      </c>
      <c r="B95" s="3">
        <v>60222226</v>
      </c>
      <c r="C95" s="3" t="s">
        <v>274</v>
      </c>
      <c r="D95" s="3" t="s">
        <v>490</v>
      </c>
      <c r="E95" s="3" t="s">
        <v>43</v>
      </c>
      <c r="F95" s="3" t="s">
        <v>105</v>
      </c>
      <c r="G95" s="3" t="s">
        <v>8</v>
      </c>
      <c r="H95" s="3" t="s">
        <v>106</v>
      </c>
      <c r="I95" s="3">
        <v>3</v>
      </c>
      <c r="J95" s="3" t="s">
        <v>107</v>
      </c>
      <c r="K95" s="3" t="s">
        <v>185</v>
      </c>
      <c r="L95" s="3" t="s">
        <v>186</v>
      </c>
      <c r="M95" s="3" t="s">
        <v>150</v>
      </c>
      <c r="N95" s="3">
        <v>1862.06</v>
      </c>
      <c r="O95"/>
      <c r="P95" s="3">
        <f t="shared" si="5"/>
        <v>1862.06</v>
      </c>
      <c r="Q95" s="3" t="e">
        <f>VLOOKUP(O95,Справочник!A:B,2,0)</f>
        <v>#N/A</v>
      </c>
      <c r="R95" s="3" t="e">
        <f>VLOOKUP(O95,Справочник!A:C,3,0)</f>
        <v>#N/A</v>
      </c>
      <c r="S95" s="3">
        <f t="shared" si="7"/>
        <v>5586.18</v>
      </c>
      <c r="T95" s="3">
        <f t="shared" si="6"/>
        <v>5586.18</v>
      </c>
    </row>
    <row r="96" spans="1:20" x14ac:dyDescent="0.25">
      <c r="A96" s="3" t="s">
        <v>398</v>
      </c>
      <c r="B96" s="3">
        <v>60222226</v>
      </c>
      <c r="C96" s="3" t="s">
        <v>274</v>
      </c>
      <c r="D96" s="3" t="s">
        <v>491</v>
      </c>
      <c r="E96" s="3" t="s">
        <v>43</v>
      </c>
      <c r="F96" s="3" t="s">
        <v>105</v>
      </c>
      <c r="G96" s="3" t="s">
        <v>8</v>
      </c>
      <c r="H96" s="3" t="s">
        <v>106</v>
      </c>
      <c r="I96" s="3">
        <v>2</v>
      </c>
      <c r="J96" s="3" t="s">
        <v>107</v>
      </c>
      <c r="K96" s="3" t="s">
        <v>135</v>
      </c>
      <c r="L96" s="3" t="s">
        <v>186</v>
      </c>
      <c r="M96" s="3" t="s">
        <v>150</v>
      </c>
      <c r="N96" s="3">
        <v>1862.06</v>
      </c>
      <c r="O96"/>
      <c r="P96" s="3">
        <f t="shared" si="5"/>
        <v>1862.06</v>
      </c>
      <c r="Q96" s="3" t="e">
        <f>VLOOKUP(O96,Справочник!A:B,2,0)</f>
        <v>#N/A</v>
      </c>
      <c r="R96" s="3" t="e">
        <f>VLOOKUP(O96,Справочник!A:C,3,0)</f>
        <v>#N/A</v>
      </c>
      <c r="S96" s="3">
        <f t="shared" si="7"/>
        <v>3724.12</v>
      </c>
      <c r="T96" s="3">
        <f t="shared" si="6"/>
        <v>3724.12</v>
      </c>
    </row>
    <row r="97" spans="1:20" x14ac:dyDescent="0.25">
      <c r="A97" s="3" t="s">
        <v>400</v>
      </c>
      <c r="B97" s="3">
        <v>60222227</v>
      </c>
      <c r="C97" s="3" t="s">
        <v>13</v>
      </c>
      <c r="D97" s="3" t="s">
        <v>401</v>
      </c>
      <c r="E97" s="3" t="s">
        <v>43</v>
      </c>
      <c r="F97" s="3" t="s">
        <v>105</v>
      </c>
      <c r="G97" s="3" t="s">
        <v>8</v>
      </c>
      <c r="H97" s="3" t="s">
        <v>106</v>
      </c>
      <c r="I97" s="3">
        <v>3</v>
      </c>
      <c r="J97" s="3" t="s">
        <v>107</v>
      </c>
      <c r="K97" s="3" t="s">
        <v>135</v>
      </c>
      <c r="L97" s="3" t="s">
        <v>186</v>
      </c>
      <c r="M97" s="3" t="s">
        <v>150</v>
      </c>
      <c r="N97" s="3">
        <v>1862.06</v>
      </c>
      <c r="O97"/>
      <c r="P97" s="3">
        <f t="shared" si="5"/>
        <v>1862.0600000000002</v>
      </c>
      <c r="Q97" s="3" t="e">
        <f>VLOOKUP(O97,Справочник!A:B,2,0)</f>
        <v>#N/A</v>
      </c>
      <c r="R97" s="3" t="e">
        <f>VLOOKUP(O97,Справочник!A:C,3,0)</f>
        <v>#N/A</v>
      </c>
      <c r="S97" s="3">
        <f t="shared" si="7"/>
        <v>5586.18</v>
      </c>
      <c r="T97" s="3">
        <f t="shared" si="6"/>
        <v>5586.18</v>
      </c>
    </row>
    <row r="98" spans="1:20" x14ac:dyDescent="0.25">
      <c r="A98" s="3" t="s">
        <v>400</v>
      </c>
      <c r="B98" s="3">
        <v>60222227</v>
      </c>
      <c r="C98" s="3" t="s">
        <v>13</v>
      </c>
      <c r="D98" s="3" t="s">
        <v>492</v>
      </c>
      <c r="E98" s="3" t="s">
        <v>43</v>
      </c>
      <c r="F98" s="3" t="s">
        <v>105</v>
      </c>
      <c r="G98" s="3" t="s">
        <v>8</v>
      </c>
      <c r="H98" s="3" t="s">
        <v>106</v>
      </c>
      <c r="I98" s="3">
        <v>3</v>
      </c>
      <c r="J98" s="3" t="s">
        <v>107</v>
      </c>
      <c r="K98" s="3" t="s">
        <v>135</v>
      </c>
      <c r="L98" s="3" t="s">
        <v>167</v>
      </c>
      <c r="M98" s="3" t="s">
        <v>109</v>
      </c>
      <c r="N98" s="3">
        <v>1862.06</v>
      </c>
      <c r="O98"/>
      <c r="P98" s="3">
        <f t="shared" si="5"/>
        <v>1862.0600000000002</v>
      </c>
      <c r="Q98" s="3" t="e">
        <f>VLOOKUP(O98,Справочник!A:B,2,0)</f>
        <v>#N/A</v>
      </c>
      <c r="R98" s="3" t="e">
        <f>VLOOKUP(O98,Справочник!A:C,3,0)</f>
        <v>#N/A</v>
      </c>
      <c r="S98" s="3">
        <f t="shared" si="7"/>
        <v>5586.18</v>
      </c>
      <c r="T98" s="3">
        <f t="shared" si="6"/>
        <v>5586.18</v>
      </c>
    </row>
    <row r="99" spans="1:20" x14ac:dyDescent="0.25">
      <c r="A99" s="3" t="s">
        <v>402</v>
      </c>
      <c r="B99" s="3">
        <v>60222249</v>
      </c>
      <c r="C99" s="3" t="s">
        <v>403</v>
      </c>
      <c r="D99" s="3" t="s">
        <v>404</v>
      </c>
      <c r="E99" s="3" t="s">
        <v>43</v>
      </c>
      <c r="F99" s="3" t="s">
        <v>105</v>
      </c>
      <c r="G99" s="3" t="s">
        <v>8</v>
      </c>
      <c r="H99" s="3" t="s">
        <v>106</v>
      </c>
      <c r="I99" s="3">
        <v>2</v>
      </c>
      <c r="J99" s="3" t="s">
        <v>107</v>
      </c>
      <c r="K99" s="3" t="s">
        <v>135</v>
      </c>
      <c r="L99" s="3" t="s">
        <v>167</v>
      </c>
      <c r="M99" s="3" t="s">
        <v>109</v>
      </c>
      <c r="N99" s="3">
        <v>1862.06</v>
      </c>
      <c r="O99"/>
      <c r="P99" s="3">
        <f t="shared" si="5"/>
        <v>1862.0599999999997</v>
      </c>
      <c r="Q99" s="3" t="e">
        <f>VLOOKUP(O99,Справочник!A:B,2,0)</f>
        <v>#N/A</v>
      </c>
      <c r="R99" s="3" t="e">
        <f>VLOOKUP(O99,Справочник!A:C,3,0)</f>
        <v>#N/A</v>
      </c>
      <c r="S99" s="3">
        <f t="shared" si="7"/>
        <v>3724.12</v>
      </c>
      <c r="T99" s="3">
        <f t="shared" si="6"/>
        <v>3724.1199999999994</v>
      </c>
    </row>
    <row r="100" spans="1:20" x14ac:dyDescent="0.25">
      <c r="A100" s="3" t="s">
        <v>402</v>
      </c>
      <c r="B100" s="3">
        <v>60222249</v>
      </c>
      <c r="C100" s="3" t="s">
        <v>403</v>
      </c>
      <c r="D100" s="3" t="s">
        <v>493</v>
      </c>
      <c r="I100" s="3">
        <v>3</v>
      </c>
      <c r="N100" s="3">
        <v>1862.06</v>
      </c>
      <c r="O100"/>
      <c r="P100" s="3">
        <f t="shared" ref="P100:P134" si="8">SUMIF(A:A,A100,S:S)/SUMIF(A:A,A100,I:I)</f>
        <v>1862.0599999999997</v>
      </c>
      <c r="Q100" s="3" t="e">
        <f>VLOOKUP(O100,Справочник!A:B,2,0)</f>
        <v>#N/A</v>
      </c>
      <c r="R100" s="3" t="e">
        <f>VLOOKUP(O100,Справочник!A:C,3,0)</f>
        <v>#N/A</v>
      </c>
      <c r="S100" s="3">
        <f t="shared" ref="S100:S134" si="9">N100*I100</f>
        <v>5586.18</v>
      </c>
      <c r="T100" s="3">
        <f t="shared" ref="T100:T134" si="10">P100*I100</f>
        <v>5586.1799999999994</v>
      </c>
    </row>
    <row r="101" spans="1:20" x14ac:dyDescent="0.25">
      <c r="A101" s="3" t="s">
        <v>402</v>
      </c>
      <c r="B101" s="3">
        <v>60222249</v>
      </c>
      <c r="C101" s="3" t="s">
        <v>403</v>
      </c>
      <c r="D101" s="3" t="s">
        <v>494</v>
      </c>
      <c r="I101" s="3">
        <v>2</v>
      </c>
      <c r="N101" s="3">
        <v>1862.06</v>
      </c>
      <c r="O101"/>
      <c r="P101" s="3">
        <f t="shared" si="8"/>
        <v>1862.0599999999997</v>
      </c>
      <c r="Q101" s="3" t="e">
        <f>VLOOKUP(O101,Справочник!A:B,2,0)</f>
        <v>#N/A</v>
      </c>
      <c r="R101" s="3" t="e">
        <f>VLOOKUP(O101,Справочник!A:C,3,0)</f>
        <v>#N/A</v>
      </c>
      <c r="S101" s="3">
        <f t="shared" si="9"/>
        <v>3724.12</v>
      </c>
      <c r="T101" s="3">
        <f t="shared" si="10"/>
        <v>3724.1199999999994</v>
      </c>
    </row>
    <row r="102" spans="1:20" x14ac:dyDescent="0.25">
      <c r="A102" s="3" t="s">
        <v>405</v>
      </c>
      <c r="B102" s="3">
        <v>60222255</v>
      </c>
      <c r="C102" s="3" t="s">
        <v>406</v>
      </c>
      <c r="D102" s="3" t="s">
        <v>407</v>
      </c>
      <c r="I102" s="3">
        <v>3</v>
      </c>
      <c r="N102" s="3">
        <v>1978.48</v>
      </c>
      <c r="O102"/>
      <c r="P102" s="3">
        <f t="shared" si="8"/>
        <v>1978.48</v>
      </c>
      <c r="Q102" s="3" t="e">
        <f>VLOOKUP(O102,Справочник!A:B,2,0)</f>
        <v>#N/A</v>
      </c>
      <c r="R102" s="3" t="e">
        <f>VLOOKUP(O102,Справочник!A:C,3,0)</f>
        <v>#N/A</v>
      </c>
      <c r="S102" s="3">
        <f t="shared" si="9"/>
        <v>5935.4400000000005</v>
      </c>
      <c r="T102" s="3">
        <f t="shared" si="10"/>
        <v>5935.4400000000005</v>
      </c>
    </row>
    <row r="103" spans="1:20" x14ac:dyDescent="0.25">
      <c r="A103" s="3" t="s">
        <v>405</v>
      </c>
      <c r="B103" s="3">
        <v>60222255</v>
      </c>
      <c r="C103" s="3" t="s">
        <v>406</v>
      </c>
      <c r="D103" s="3" t="s">
        <v>495</v>
      </c>
      <c r="I103" s="3">
        <v>3</v>
      </c>
      <c r="N103" s="3">
        <v>1978.48</v>
      </c>
      <c r="O103"/>
      <c r="P103" s="3">
        <f t="shared" si="8"/>
        <v>1978.48</v>
      </c>
      <c r="Q103" s="3" t="e">
        <f>VLOOKUP(O103,Справочник!A:B,2,0)</f>
        <v>#N/A</v>
      </c>
      <c r="R103" s="3" t="e">
        <f>VLOOKUP(O103,Справочник!A:C,3,0)</f>
        <v>#N/A</v>
      </c>
      <c r="S103" s="3">
        <f t="shared" si="9"/>
        <v>5935.4400000000005</v>
      </c>
      <c r="T103" s="3">
        <f t="shared" si="10"/>
        <v>5935.4400000000005</v>
      </c>
    </row>
    <row r="104" spans="1:20" x14ac:dyDescent="0.25">
      <c r="A104" s="3" t="s">
        <v>405</v>
      </c>
      <c r="B104" s="3">
        <v>60222255</v>
      </c>
      <c r="C104" s="3" t="s">
        <v>406</v>
      </c>
      <c r="D104" s="3" t="s">
        <v>496</v>
      </c>
      <c r="I104" s="3">
        <v>2</v>
      </c>
      <c r="N104" s="3">
        <v>1978.48</v>
      </c>
      <c r="O104"/>
      <c r="P104" s="3">
        <f t="shared" si="8"/>
        <v>1978.48</v>
      </c>
      <c r="Q104" s="3" t="e">
        <f>VLOOKUP(O104,Справочник!A:B,2,0)</f>
        <v>#N/A</v>
      </c>
      <c r="R104" s="3" t="e">
        <f>VLOOKUP(O104,Справочник!A:C,3,0)</f>
        <v>#N/A</v>
      </c>
      <c r="S104" s="3">
        <f t="shared" si="9"/>
        <v>3956.96</v>
      </c>
      <c r="T104" s="3">
        <f t="shared" si="10"/>
        <v>3956.96</v>
      </c>
    </row>
    <row r="105" spans="1:20" x14ac:dyDescent="0.25">
      <c r="A105" s="3" t="s">
        <v>408</v>
      </c>
      <c r="B105" s="3">
        <v>60222258</v>
      </c>
      <c r="C105" s="3" t="s">
        <v>409</v>
      </c>
      <c r="D105" s="3" t="s">
        <v>410</v>
      </c>
      <c r="I105" s="3">
        <v>8</v>
      </c>
      <c r="N105" s="3">
        <v>1978.48</v>
      </c>
      <c r="O105"/>
      <c r="P105" s="3">
        <f t="shared" si="8"/>
        <v>1978.48</v>
      </c>
      <c r="Q105" s="3" t="e">
        <f>VLOOKUP(O105,Справочник!A:B,2,0)</f>
        <v>#N/A</v>
      </c>
      <c r="R105" s="3" t="e">
        <f>VLOOKUP(O105,Справочник!A:C,3,0)</f>
        <v>#N/A</v>
      </c>
      <c r="S105" s="3">
        <f t="shared" si="9"/>
        <v>15827.84</v>
      </c>
      <c r="T105" s="3">
        <f t="shared" si="10"/>
        <v>15827.84</v>
      </c>
    </row>
    <row r="106" spans="1:20" x14ac:dyDescent="0.25">
      <c r="A106" s="3" t="s">
        <v>411</v>
      </c>
      <c r="B106" s="3">
        <v>60222310</v>
      </c>
      <c r="C106" s="3" t="s">
        <v>305</v>
      </c>
      <c r="D106" s="3" t="s">
        <v>412</v>
      </c>
      <c r="I106" s="3">
        <v>1</v>
      </c>
      <c r="N106" s="3">
        <v>1978.48</v>
      </c>
      <c r="O106" t="s">
        <v>37</v>
      </c>
      <c r="P106" s="3">
        <f t="shared" si="8"/>
        <v>1978.48</v>
      </c>
      <c r="Q106" s="3" t="str">
        <f>VLOOKUP(O106,Справочник!A:B,2,0)</f>
        <v>New York Yankees</v>
      </c>
      <c r="R106" s="3" t="str">
        <f>VLOOKUP(O106,Справочник!A:C,3,0)</f>
        <v>MLB</v>
      </c>
      <c r="S106" s="3">
        <f t="shared" si="9"/>
        <v>1978.48</v>
      </c>
      <c r="T106" s="3">
        <f t="shared" si="10"/>
        <v>1978.48</v>
      </c>
    </row>
    <row r="107" spans="1:20" x14ac:dyDescent="0.25">
      <c r="A107" s="3" t="s">
        <v>411</v>
      </c>
      <c r="B107" s="3">
        <v>60222310</v>
      </c>
      <c r="C107" s="3" t="s">
        <v>305</v>
      </c>
      <c r="D107" s="3" t="s">
        <v>412</v>
      </c>
      <c r="I107" s="3">
        <v>1</v>
      </c>
      <c r="N107" s="3">
        <v>1978.48</v>
      </c>
      <c r="O107" t="s">
        <v>37</v>
      </c>
      <c r="P107" s="3">
        <f t="shared" si="8"/>
        <v>1978.48</v>
      </c>
      <c r="Q107" s="3" t="str">
        <f>VLOOKUP(O107,Справочник!A:B,2,0)</f>
        <v>New York Yankees</v>
      </c>
      <c r="R107" s="3" t="str">
        <f>VLOOKUP(O107,Справочник!A:C,3,0)</f>
        <v>MLB</v>
      </c>
      <c r="S107" s="3">
        <f t="shared" si="9"/>
        <v>1978.48</v>
      </c>
      <c r="T107" s="3">
        <f t="shared" si="10"/>
        <v>1978.48</v>
      </c>
    </row>
    <row r="108" spans="1:20" x14ac:dyDescent="0.25">
      <c r="A108" s="3" t="s">
        <v>411</v>
      </c>
      <c r="B108" s="3">
        <v>60222310</v>
      </c>
      <c r="C108" s="3" t="s">
        <v>305</v>
      </c>
      <c r="D108" s="3" t="s">
        <v>497</v>
      </c>
      <c r="I108" s="3">
        <v>2</v>
      </c>
      <c r="N108" s="3">
        <v>1978.48</v>
      </c>
      <c r="O108" t="s">
        <v>37</v>
      </c>
      <c r="P108" s="3">
        <f t="shared" si="8"/>
        <v>1978.48</v>
      </c>
      <c r="Q108" s="3" t="str">
        <f>VLOOKUP(O108,Справочник!A:B,2,0)</f>
        <v>New York Yankees</v>
      </c>
      <c r="R108" s="3" t="str">
        <f>VLOOKUP(O108,Справочник!A:C,3,0)</f>
        <v>MLB</v>
      </c>
      <c r="S108" s="3">
        <f t="shared" si="9"/>
        <v>3956.96</v>
      </c>
      <c r="T108" s="3">
        <f t="shared" si="10"/>
        <v>3956.96</v>
      </c>
    </row>
    <row r="109" spans="1:20" x14ac:dyDescent="0.25">
      <c r="A109" s="3" t="s">
        <v>413</v>
      </c>
      <c r="B109" s="3">
        <v>60222327</v>
      </c>
      <c r="C109" s="3" t="s">
        <v>12</v>
      </c>
      <c r="D109" s="3" t="s">
        <v>414</v>
      </c>
      <c r="I109" s="3">
        <v>6</v>
      </c>
      <c r="N109" s="3">
        <v>1862.06</v>
      </c>
      <c r="O109"/>
      <c r="P109" s="3">
        <f t="shared" si="8"/>
        <v>1862.0600000000002</v>
      </c>
      <c r="Q109" s="3" t="e">
        <f>VLOOKUP(O109,Справочник!A:B,2,0)</f>
        <v>#N/A</v>
      </c>
      <c r="R109" s="3" t="e">
        <f>VLOOKUP(O109,Справочник!A:C,3,0)</f>
        <v>#N/A</v>
      </c>
      <c r="S109" s="3">
        <f t="shared" si="9"/>
        <v>11172.36</v>
      </c>
      <c r="T109" s="3">
        <f t="shared" si="10"/>
        <v>11172.36</v>
      </c>
    </row>
    <row r="110" spans="1:20" x14ac:dyDescent="0.25">
      <c r="A110" s="3" t="s">
        <v>415</v>
      </c>
      <c r="B110" s="3">
        <v>60222332</v>
      </c>
      <c r="C110" s="3" t="s">
        <v>12</v>
      </c>
      <c r="D110" s="3" t="s">
        <v>416</v>
      </c>
      <c r="I110" s="3">
        <v>3</v>
      </c>
      <c r="N110" s="3">
        <v>1978.48</v>
      </c>
      <c r="O110"/>
      <c r="P110" s="3">
        <f t="shared" si="8"/>
        <v>1978.48</v>
      </c>
      <c r="Q110" s="3" t="e">
        <f>VLOOKUP(O110,Справочник!A:B,2,0)</f>
        <v>#N/A</v>
      </c>
      <c r="R110" s="3" t="e">
        <f>VLOOKUP(O110,Справочник!A:C,3,0)</f>
        <v>#N/A</v>
      </c>
      <c r="S110" s="3">
        <f t="shared" si="9"/>
        <v>5935.4400000000005</v>
      </c>
      <c r="T110" s="3">
        <f t="shared" si="10"/>
        <v>5935.4400000000005</v>
      </c>
    </row>
    <row r="111" spans="1:20" x14ac:dyDescent="0.25">
      <c r="A111" s="3" t="s">
        <v>415</v>
      </c>
      <c r="B111" s="3">
        <v>60222332</v>
      </c>
      <c r="C111" s="3" t="s">
        <v>12</v>
      </c>
      <c r="D111" s="3" t="s">
        <v>498</v>
      </c>
      <c r="I111" s="3">
        <v>3</v>
      </c>
      <c r="N111" s="3">
        <v>1978.48</v>
      </c>
      <c r="O111"/>
      <c r="P111" s="3">
        <f t="shared" si="8"/>
        <v>1978.48</v>
      </c>
      <c r="Q111" s="3" t="e">
        <f>VLOOKUP(O111,Справочник!A:B,2,0)</f>
        <v>#N/A</v>
      </c>
      <c r="R111" s="3" t="e">
        <f>VLOOKUP(O111,Справочник!A:C,3,0)</f>
        <v>#N/A</v>
      </c>
      <c r="S111" s="3">
        <f t="shared" si="9"/>
        <v>5935.4400000000005</v>
      </c>
      <c r="T111" s="3">
        <f t="shared" si="10"/>
        <v>5935.4400000000005</v>
      </c>
    </row>
    <row r="112" spans="1:20" x14ac:dyDescent="0.25">
      <c r="A112" s="3" t="s">
        <v>415</v>
      </c>
      <c r="B112" s="3">
        <v>60222332</v>
      </c>
      <c r="C112" s="3" t="s">
        <v>12</v>
      </c>
      <c r="D112" s="3" t="s">
        <v>499</v>
      </c>
      <c r="I112" s="3">
        <v>2</v>
      </c>
      <c r="N112" s="3">
        <v>1978.48</v>
      </c>
      <c r="O112"/>
      <c r="P112" s="3">
        <f t="shared" si="8"/>
        <v>1978.48</v>
      </c>
      <c r="Q112" s="3" t="e">
        <f>VLOOKUP(O112,Справочник!A:B,2,0)</f>
        <v>#N/A</v>
      </c>
      <c r="R112" s="3" t="e">
        <f>VLOOKUP(O112,Справочник!A:C,3,0)</f>
        <v>#N/A</v>
      </c>
      <c r="S112" s="3">
        <f t="shared" si="9"/>
        <v>3956.96</v>
      </c>
      <c r="T112" s="3">
        <f t="shared" si="10"/>
        <v>3956.96</v>
      </c>
    </row>
    <row r="113" spans="1:20" x14ac:dyDescent="0.25">
      <c r="A113" s="3" t="s">
        <v>417</v>
      </c>
      <c r="B113" s="3">
        <v>60222375</v>
      </c>
      <c r="C113" s="3" t="s">
        <v>418</v>
      </c>
      <c r="D113" s="3" t="s">
        <v>419</v>
      </c>
      <c r="I113" s="3">
        <v>6</v>
      </c>
      <c r="N113" s="3">
        <v>1687.44</v>
      </c>
      <c r="O113"/>
      <c r="P113" s="3">
        <f t="shared" si="8"/>
        <v>1687.4399999999998</v>
      </c>
      <c r="Q113" s="3" t="e">
        <f>VLOOKUP(O113,Справочник!A:B,2,0)</f>
        <v>#N/A</v>
      </c>
      <c r="R113" s="3" t="e">
        <f>VLOOKUP(O113,Справочник!A:C,3,0)</f>
        <v>#N/A</v>
      </c>
      <c r="S113" s="3">
        <f t="shared" si="9"/>
        <v>10124.64</v>
      </c>
      <c r="T113" s="3">
        <f t="shared" si="10"/>
        <v>10124.64</v>
      </c>
    </row>
    <row r="114" spans="1:20" x14ac:dyDescent="0.25">
      <c r="A114" s="3" t="s">
        <v>420</v>
      </c>
      <c r="B114" s="3">
        <v>60222382</v>
      </c>
      <c r="C114" s="3" t="s">
        <v>392</v>
      </c>
      <c r="D114" s="3" t="s">
        <v>421</v>
      </c>
      <c r="I114" s="3">
        <v>3</v>
      </c>
      <c r="N114" s="3">
        <v>1978.48</v>
      </c>
      <c r="O114"/>
      <c r="P114" s="3">
        <f t="shared" si="8"/>
        <v>1978.48</v>
      </c>
      <c r="Q114" s="3" t="e">
        <f>VLOOKUP(O114,Справочник!A:B,2,0)</f>
        <v>#N/A</v>
      </c>
      <c r="R114" s="3" t="e">
        <f>VLOOKUP(O114,Справочник!A:C,3,0)</f>
        <v>#N/A</v>
      </c>
      <c r="S114" s="3">
        <f t="shared" si="9"/>
        <v>5935.4400000000005</v>
      </c>
      <c r="T114" s="3">
        <f t="shared" si="10"/>
        <v>5935.4400000000005</v>
      </c>
    </row>
    <row r="115" spans="1:20" x14ac:dyDescent="0.25">
      <c r="A115" s="3" t="s">
        <v>420</v>
      </c>
      <c r="B115" s="3">
        <v>60222382</v>
      </c>
      <c r="C115" s="3" t="s">
        <v>392</v>
      </c>
      <c r="D115" s="3" t="s">
        <v>500</v>
      </c>
      <c r="I115" s="3">
        <v>3</v>
      </c>
      <c r="N115" s="3">
        <v>1978.48</v>
      </c>
      <c r="O115"/>
      <c r="P115" s="3">
        <f t="shared" si="8"/>
        <v>1978.48</v>
      </c>
      <c r="Q115" s="3" t="e">
        <f>VLOOKUP(O115,Справочник!A:B,2,0)</f>
        <v>#N/A</v>
      </c>
      <c r="R115" s="3" t="e">
        <f>VLOOKUP(O115,Справочник!A:C,3,0)</f>
        <v>#N/A</v>
      </c>
      <c r="S115" s="3">
        <f t="shared" si="9"/>
        <v>5935.4400000000005</v>
      </c>
      <c r="T115" s="3">
        <f t="shared" si="10"/>
        <v>5935.4400000000005</v>
      </c>
    </row>
    <row r="116" spans="1:20" x14ac:dyDescent="0.25">
      <c r="A116" s="3" t="s">
        <v>420</v>
      </c>
      <c r="B116" s="3">
        <v>60222382</v>
      </c>
      <c r="C116" s="3" t="s">
        <v>392</v>
      </c>
      <c r="D116" s="3" t="s">
        <v>501</v>
      </c>
      <c r="I116" s="3">
        <v>1</v>
      </c>
      <c r="N116" s="3">
        <v>1978.48</v>
      </c>
      <c r="O116"/>
      <c r="P116" s="3">
        <f t="shared" si="8"/>
        <v>1978.48</v>
      </c>
      <c r="Q116" s="3" t="e">
        <f>VLOOKUP(O116,Справочник!A:B,2,0)</f>
        <v>#N/A</v>
      </c>
      <c r="R116" s="3" t="e">
        <f>VLOOKUP(O116,Справочник!A:C,3,0)</f>
        <v>#N/A</v>
      </c>
      <c r="S116" s="3">
        <f t="shared" si="9"/>
        <v>1978.48</v>
      </c>
      <c r="T116" s="3">
        <f t="shared" si="10"/>
        <v>1978.48</v>
      </c>
    </row>
    <row r="117" spans="1:20" x14ac:dyDescent="0.25">
      <c r="A117" s="3" t="s">
        <v>422</v>
      </c>
      <c r="B117" s="3">
        <v>60222405</v>
      </c>
      <c r="C117" s="3" t="s">
        <v>423</v>
      </c>
      <c r="D117" s="3" t="s">
        <v>424</v>
      </c>
      <c r="I117" s="3">
        <v>8</v>
      </c>
      <c r="N117" s="3">
        <v>1687.44</v>
      </c>
      <c r="O117" t="s">
        <v>37</v>
      </c>
      <c r="P117" s="3">
        <f t="shared" si="8"/>
        <v>1687.44</v>
      </c>
      <c r="Q117" s="3" t="str">
        <f>VLOOKUP(O117,Справочник!A:B,2,0)</f>
        <v>New York Yankees</v>
      </c>
      <c r="R117" s="3" t="str">
        <f>VLOOKUP(O117,Справочник!A:C,3,0)</f>
        <v>MLB</v>
      </c>
      <c r="S117" s="3">
        <f t="shared" si="9"/>
        <v>13499.52</v>
      </c>
      <c r="T117" s="3">
        <f t="shared" si="10"/>
        <v>13499.52</v>
      </c>
    </row>
    <row r="118" spans="1:20" x14ac:dyDescent="0.25">
      <c r="A118" s="3" t="s">
        <v>425</v>
      </c>
      <c r="B118" s="3">
        <v>60222423</v>
      </c>
      <c r="C118" s="3" t="s">
        <v>426</v>
      </c>
      <c r="D118" s="3" t="s">
        <v>427</v>
      </c>
      <c r="I118" s="3">
        <v>6</v>
      </c>
      <c r="N118" s="3">
        <v>1978.48</v>
      </c>
      <c r="O118" t="s">
        <v>67</v>
      </c>
      <c r="P118" s="3">
        <f t="shared" si="8"/>
        <v>1978.4800000000002</v>
      </c>
      <c r="Q118" s="3" t="str">
        <f>VLOOKUP(O118,Справочник!A:B,2,0)</f>
        <v>Las Vegas Raiders</v>
      </c>
      <c r="R118" s="3" t="str">
        <f>VLOOKUP(O118,Справочник!A:C,3,0)</f>
        <v>NFL</v>
      </c>
      <c r="S118" s="3">
        <f t="shared" si="9"/>
        <v>11870.880000000001</v>
      </c>
      <c r="T118" s="3">
        <f t="shared" si="10"/>
        <v>11870.880000000001</v>
      </c>
    </row>
    <row r="119" spans="1:20" x14ac:dyDescent="0.25">
      <c r="A119" s="3" t="s">
        <v>428</v>
      </c>
      <c r="B119" s="3">
        <v>60222449</v>
      </c>
      <c r="C119" s="3" t="s">
        <v>303</v>
      </c>
      <c r="D119" s="3" t="s">
        <v>429</v>
      </c>
      <c r="I119" s="3">
        <v>3</v>
      </c>
      <c r="N119" s="3">
        <v>1978.48</v>
      </c>
      <c r="O119"/>
      <c r="P119" s="3">
        <f t="shared" si="8"/>
        <v>1978.4800000000002</v>
      </c>
      <c r="Q119" s="3" t="e">
        <f>VLOOKUP(O119,Справочник!A:B,2,0)</f>
        <v>#N/A</v>
      </c>
      <c r="R119" s="3" t="e">
        <f>VLOOKUP(O119,Справочник!A:C,3,0)</f>
        <v>#N/A</v>
      </c>
      <c r="S119" s="3">
        <f t="shared" si="9"/>
        <v>5935.4400000000005</v>
      </c>
      <c r="T119" s="3">
        <f t="shared" si="10"/>
        <v>5935.4400000000005</v>
      </c>
    </row>
    <row r="120" spans="1:20" x14ac:dyDescent="0.25">
      <c r="A120" s="3" t="s">
        <v>428</v>
      </c>
      <c r="B120" s="3">
        <v>60222449</v>
      </c>
      <c r="C120" s="3" t="s">
        <v>303</v>
      </c>
      <c r="D120" s="3" t="s">
        <v>502</v>
      </c>
      <c r="I120" s="3">
        <v>5</v>
      </c>
      <c r="N120" s="3">
        <v>1978.48</v>
      </c>
      <c r="O120"/>
      <c r="P120" s="3">
        <f t="shared" si="8"/>
        <v>1978.4800000000002</v>
      </c>
      <c r="Q120" s="3" t="e">
        <f>VLOOKUP(O120,Справочник!A:B,2,0)</f>
        <v>#N/A</v>
      </c>
      <c r="R120" s="3" t="e">
        <f>VLOOKUP(O120,Справочник!A:C,3,0)</f>
        <v>#N/A</v>
      </c>
      <c r="S120" s="3">
        <f t="shared" si="9"/>
        <v>9892.4</v>
      </c>
      <c r="T120" s="3">
        <f t="shared" si="10"/>
        <v>9892.4000000000015</v>
      </c>
    </row>
    <row r="121" spans="1:20" x14ac:dyDescent="0.25">
      <c r="A121" s="3" t="s">
        <v>428</v>
      </c>
      <c r="B121" s="3">
        <v>60222449</v>
      </c>
      <c r="C121" s="3" t="s">
        <v>303</v>
      </c>
      <c r="D121" s="3" t="s">
        <v>502</v>
      </c>
      <c r="I121" s="3">
        <v>1</v>
      </c>
      <c r="N121" s="3">
        <v>1978.48</v>
      </c>
      <c r="O121"/>
      <c r="P121" s="3">
        <f t="shared" si="8"/>
        <v>1978.4800000000002</v>
      </c>
      <c r="Q121" s="3" t="e">
        <f>VLOOKUP(O121,Справочник!A:B,2,0)</f>
        <v>#N/A</v>
      </c>
      <c r="R121" s="3" t="e">
        <f>VLOOKUP(O121,Справочник!A:C,3,0)</f>
        <v>#N/A</v>
      </c>
      <c r="S121" s="3">
        <f t="shared" si="9"/>
        <v>1978.48</v>
      </c>
      <c r="T121" s="3">
        <f t="shared" si="10"/>
        <v>1978.4800000000002</v>
      </c>
    </row>
    <row r="122" spans="1:20" x14ac:dyDescent="0.25">
      <c r="A122" s="3" t="s">
        <v>428</v>
      </c>
      <c r="B122" s="3">
        <v>60222449</v>
      </c>
      <c r="C122" s="3" t="s">
        <v>303</v>
      </c>
      <c r="D122" s="3" t="s">
        <v>503</v>
      </c>
      <c r="I122" s="3">
        <v>3</v>
      </c>
      <c r="N122" s="3">
        <v>1978.48</v>
      </c>
      <c r="O122"/>
      <c r="P122" s="3">
        <f t="shared" si="8"/>
        <v>1978.4800000000002</v>
      </c>
      <c r="Q122" s="3" t="e">
        <f>VLOOKUP(O122,Справочник!A:B,2,0)</f>
        <v>#N/A</v>
      </c>
      <c r="R122" s="3" t="e">
        <f>VLOOKUP(O122,Справочник!A:C,3,0)</f>
        <v>#N/A</v>
      </c>
      <c r="S122" s="3">
        <f t="shared" si="9"/>
        <v>5935.4400000000005</v>
      </c>
      <c r="T122" s="3">
        <f t="shared" si="10"/>
        <v>5935.4400000000005</v>
      </c>
    </row>
    <row r="123" spans="1:20" x14ac:dyDescent="0.25">
      <c r="A123" s="3" t="s">
        <v>430</v>
      </c>
      <c r="B123" s="3">
        <v>60222488</v>
      </c>
      <c r="C123" s="3" t="s">
        <v>305</v>
      </c>
      <c r="D123" s="3" t="s">
        <v>431</v>
      </c>
      <c r="I123" s="3">
        <v>9</v>
      </c>
      <c r="N123" s="3">
        <v>1862.06</v>
      </c>
      <c r="O123" t="s">
        <v>37</v>
      </c>
      <c r="P123" s="3">
        <f t="shared" si="8"/>
        <v>1862.0600000000002</v>
      </c>
      <c r="Q123" s="3" t="str">
        <f>VLOOKUP(O123,Справочник!A:B,2,0)</f>
        <v>New York Yankees</v>
      </c>
      <c r="R123" s="3" t="str">
        <f>VLOOKUP(O123,Справочник!A:C,3,0)</f>
        <v>MLB</v>
      </c>
      <c r="S123" s="3">
        <f t="shared" si="9"/>
        <v>16758.54</v>
      </c>
      <c r="T123" s="3">
        <f t="shared" si="10"/>
        <v>16758.54</v>
      </c>
    </row>
    <row r="124" spans="1:20" x14ac:dyDescent="0.25">
      <c r="A124" s="3" t="s">
        <v>432</v>
      </c>
      <c r="B124" s="3">
        <v>60222489</v>
      </c>
      <c r="C124" s="3" t="s">
        <v>352</v>
      </c>
      <c r="D124" s="3" t="s">
        <v>433</v>
      </c>
      <c r="I124" s="3">
        <v>6</v>
      </c>
      <c r="N124" s="3">
        <v>1862.06</v>
      </c>
      <c r="O124" t="s">
        <v>48</v>
      </c>
      <c r="P124" s="3">
        <f t="shared" si="8"/>
        <v>1862.0600000000002</v>
      </c>
      <c r="Q124" s="3" t="str">
        <f>VLOOKUP(O124,Справочник!A:B,2,0)</f>
        <v>Los Angeles Lakers</v>
      </c>
      <c r="R124" s="3" t="str">
        <f>VLOOKUP(O124,Справочник!A:C,3,0)</f>
        <v>NBA</v>
      </c>
      <c r="S124" s="3">
        <f t="shared" si="9"/>
        <v>11172.36</v>
      </c>
      <c r="T124" s="3">
        <f t="shared" si="10"/>
        <v>11172.36</v>
      </c>
    </row>
    <row r="125" spans="1:20" x14ac:dyDescent="0.25">
      <c r="A125" s="3" t="s">
        <v>434</v>
      </c>
      <c r="B125" s="3">
        <v>60222496</v>
      </c>
      <c r="C125" s="3" t="s">
        <v>12</v>
      </c>
      <c r="D125" s="3" t="s">
        <v>435</v>
      </c>
      <c r="I125" s="3">
        <v>12</v>
      </c>
      <c r="N125" s="3">
        <v>2153.1</v>
      </c>
      <c r="O125" t="s">
        <v>42</v>
      </c>
      <c r="P125" s="3">
        <f t="shared" si="8"/>
        <v>2153.1</v>
      </c>
      <c r="Q125" s="3" t="str">
        <f>VLOOKUP(O125,Справочник!A:B,2,0)</f>
        <v>Los Angeles Dodgers</v>
      </c>
      <c r="R125" s="3" t="str">
        <f>VLOOKUP(O125,Справочник!A:C,3,0)</f>
        <v>MLB</v>
      </c>
      <c r="S125" s="3">
        <f t="shared" si="9"/>
        <v>25837.199999999997</v>
      </c>
      <c r="T125" s="3">
        <f t="shared" si="10"/>
        <v>25837.199999999997</v>
      </c>
    </row>
    <row r="126" spans="1:20" x14ac:dyDescent="0.25">
      <c r="A126" s="3" t="s">
        <v>436</v>
      </c>
      <c r="B126" s="3">
        <v>60222498</v>
      </c>
      <c r="C126" s="3" t="s">
        <v>437</v>
      </c>
      <c r="D126" s="3" t="s">
        <v>438</v>
      </c>
      <c r="I126" s="3">
        <v>1</v>
      </c>
      <c r="N126" s="3">
        <v>1920.27</v>
      </c>
      <c r="O126"/>
      <c r="P126" s="3">
        <f t="shared" si="8"/>
        <v>1920.27</v>
      </c>
      <c r="Q126" s="3" t="e">
        <f>VLOOKUP(O126,Справочник!A:B,2,0)</f>
        <v>#N/A</v>
      </c>
      <c r="R126" s="3" t="e">
        <f>VLOOKUP(O126,Справочник!A:C,3,0)</f>
        <v>#N/A</v>
      </c>
      <c r="S126" s="3">
        <f t="shared" si="9"/>
        <v>1920.27</v>
      </c>
      <c r="T126" s="3">
        <f t="shared" si="10"/>
        <v>1920.27</v>
      </c>
    </row>
    <row r="127" spans="1:20" x14ac:dyDescent="0.25">
      <c r="A127" s="3" t="s">
        <v>436</v>
      </c>
      <c r="B127" s="3">
        <v>60222498</v>
      </c>
      <c r="C127" s="3" t="s">
        <v>437</v>
      </c>
      <c r="D127" s="3" t="s">
        <v>438</v>
      </c>
      <c r="I127" s="3">
        <v>2</v>
      </c>
      <c r="N127" s="3">
        <v>1920.27</v>
      </c>
      <c r="O127"/>
      <c r="P127" s="3">
        <f t="shared" si="8"/>
        <v>1920.27</v>
      </c>
      <c r="Q127" s="3" t="e">
        <f>VLOOKUP(O127,Справочник!A:B,2,0)</f>
        <v>#N/A</v>
      </c>
      <c r="R127" s="3" t="e">
        <f>VLOOKUP(O127,Справочник!A:C,3,0)</f>
        <v>#N/A</v>
      </c>
      <c r="S127" s="3">
        <f t="shared" si="9"/>
        <v>3840.54</v>
      </c>
      <c r="T127" s="3">
        <f t="shared" si="10"/>
        <v>3840.54</v>
      </c>
    </row>
    <row r="128" spans="1:20" x14ac:dyDescent="0.25">
      <c r="A128" s="3" t="s">
        <v>436</v>
      </c>
      <c r="B128" s="3">
        <v>60222498</v>
      </c>
      <c r="C128" s="3" t="s">
        <v>437</v>
      </c>
      <c r="D128" s="3" t="s">
        <v>504</v>
      </c>
      <c r="I128" s="3">
        <v>6</v>
      </c>
      <c r="N128" s="3">
        <v>1920.27</v>
      </c>
      <c r="O128"/>
      <c r="P128" s="3">
        <f t="shared" si="8"/>
        <v>1920.27</v>
      </c>
      <c r="Q128" s="3" t="e">
        <f>VLOOKUP(O128,Справочник!A:B,2,0)</f>
        <v>#N/A</v>
      </c>
      <c r="R128" s="3" t="e">
        <f>VLOOKUP(O128,Справочник!A:C,3,0)</f>
        <v>#N/A</v>
      </c>
      <c r="S128" s="3">
        <f t="shared" si="9"/>
        <v>11521.619999999999</v>
      </c>
      <c r="T128" s="3">
        <f t="shared" si="10"/>
        <v>11521.619999999999</v>
      </c>
    </row>
    <row r="129" spans="1:20" x14ac:dyDescent="0.25">
      <c r="A129" s="3" t="s">
        <v>439</v>
      </c>
      <c r="B129" s="3">
        <v>60222505</v>
      </c>
      <c r="C129" s="3" t="s">
        <v>12</v>
      </c>
      <c r="D129" s="3" t="s">
        <v>440</v>
      </c>
      <c r="I129" s="3">
        <v>3</v>
      </c>
      <c r="N129" s="3">
        <v>1978.48</v>
      </c>
      <c r="O129" t="s">
        <v>44</v>
      </c>
      <c r="P129" s="3">
        <f t="shared" si="8"/>
        <v>1978.4800000000002</v>
      </c>
      <c r="Q129" s="3" t="str">
        <f>VLOOKUP(O129,Справочник!A:B,2,0)</f>
        <v>Chicago Bulls</v>
      </c>
      <c r="R129" s="3" t="str">
        <f>VLOOKUP(O129,Справочник!A:C,3,0)</f>
        <v>NBA</v>
      </c>
      <c r="S129" s="3">
        <f t="shared" si="9"/>
        <v>5935.4400000000005</v>
      </c>
      <c r="T129" s="3">
        <f t="shared" si="10"/>
        <v>5935.4400000000005</v>
      </c>
    </row>
    <row r="130" spans="1:20" x14ac:dyDescent="0.25">
      <c r="A130" s="3" t="s">
        <v>441</v>
      </c>
      <c r="B130" s="3">
        <v>60222506</v>
      </c>
      <c r="C130" s="3" t="s">
        <v>352</v>
      </c>
      <c r="D130" s="3" t="s">
        <v>442</v>
      </c>
      <c r="I130" s="3">
        <v>2</v>
      </c>
      <c r="N130" s="3">
        <v>1978.48</v>
      </c>
      <c r="O130" t="s">
        <v>37</v>
      </c>
      <c r="P130" s="3">
        <f t="shared" si="8"/>
        <v>1978.48</v>
      </c>
      <c r="Q130" s="3" t="str">
        <f>VLOOKUP(O130,Справочник!A:B,2,0)</f>
        <v>New York Yankees</v>
      </c>
      <c r="R130" s="3" t="str">
        <f>VLOOKUP(O130,Справочник!A:C,3,0)</f>
        <v>MLB</v>
      </c>
      <c r="S130" s="3">
        <f t="shared" si="9"/>
        <v>3956.96</v>
      </c>
      <c r="T130" s="3">
        <f t="shared" si="10"/>
        <v>3956.96</v>
      </c>
    </row>
    <row r="131" spans="1:20" x14ac:dyDescent="0.25">
      <c r="A131" s="3" t="s">
        <v>441</v>
      </c>
      <c r="B131" s="3">
        <v>60222506</v>
      </c>
      <c r="C131" s="3" t="s">
        <v>352</v>
      </c>
      <c r="D131" s="3" t="s">
        <v>505</v>
      </c>
      <c r="I131" s="3">
        <v>2</v>
      </c>
      <c r="N131" s="3">
        <v>1978.48</v>
      </c>
      <c r="O131" t="s">
        <v>37</v>
      </c>
      <c r="P131" s="3">
        <f t="shared" si="8"/>
        <v>1978.48</v>
      </c>
      <c r="Q131" s="3" t="str">
        <f>VLOOKUP(O131,Справочник!A:B,2,0)</f>
        <v>New York Yankees</v>
      </c>
      <c r="R131" s="3" t="str">
        <f>VLOOKUP(O131,Справочник!A:C,3,0)</f>
        <v>MLB</v>
      </c>
      <c r="S131" s="3">
        <f t="shared" si="9"/>
        <v>3956.96</v>
      </c>
      <c r="T131" s="3">
        <f t="shared" si="10"/>
        <v>3956.96</v>
      </c>
    </row>
    <row r="132" spans="1:20" x14ac:dyDescent="0.25">
      <c r="A132" s="3" t="s">
        <v>443</v>
      </c>
      <c r="B132" s="3">
        <v>60222551</v>
      </c>
      <c r="C132" s="3" t="s">
        <v>12</v>
      </c>
      <c r="D132" s="3" t="s">
        <v>444</v>
      </c>
      <c r="I132" s="3">
        <v>3</v>
      </c>
      <c r="N132" s="3">
        <v>1512.82</v>
      </c>
      <c r="O132"/>
      <c r="P132" s="3">
        <f t="shared" si="8"/>
        <v>1512.82</v>
      </c>
      <c r="Q132" s="3" t="e">
        <f>VLOOKUP(O132,Справочник!A:B,2,0)</f>
        <v>#N/A</v>
      </c>
      <c r="R132" s="3" t="e">
        <f>VLOOKUP(O132,Справочник!A:C,3,0)</f>
        <v>#N/A</v>
      </c>
      <c r="S132" s="3">
        <f t="shared" si="9"/>
        <v>4538.46</v>
      </c>
      <c r="T132" s="3">
        <f t="shared" si="10"/>
        <v>4538.46</v>
      </c>
    </row>
    <row r="133" spans="1:20" x14ac:dyDescent="0.25">
      <c r="A133" s="3" t="s">
        <v>445</v>
      </c>
      <c r="B133" s="3">
        <v>60222553</v>
      </c>
      <c r="C133" s="3" t="s">
        <v>446</v>
      </c>
      <c r="D133" s="3" t="s">
        <v>447</v>
      </c>
      <c r="I133" s="3">
        <v>3</v>
      </c>
      <c r="N133" s="3">
        <v>1920.27</v>
      </c>
      <c r="O133"/>
      <c r="P133" s="3">
        <f t="shared" si="8"/>
        <v>1920.27</v>
      </c>
      <c r="Q133" s="3" t="e">
        <f>VLOOKUP(O133,Справочник!A:B,2,0)</f>
        <v>#N/A</v>
      </c>
      <c r="R133" s="3" t="e">
        <f>VLOOKUP(O133,Справочник!A:C,3,0)</f>
        <v>#N/A</v>
      </c>
      <c r="S133" s="3">
        <f t="shared" si="9"/>
        <v>5760.8099999999995</v>
      </c>
      <c r="T133" s="3">
        <f t="shared" si="10"/>
        <v>5760.8099999999995</v>
      </c>
    </row>
    <row r="134" spans="1:20" x14ac:dyDescent="0.25">
      <c r="A134" s="3" t="s">
        <v>445</v>
      </c>
      <c r="B134" s="3">
        <v>60222553</v>
      </c>
      <c r="C134" s="3" t="s">
        <v>446</v>
      </c>
      <c r="D134" s="3" t="s">
        <v>506</v>
      </c>
      <c r="I134" s="3">
        <v>6</v>
      </c>
      <c r="N134" s="3">
        <v>1920.27</v>
      </c>
      <c r="O134"/>
      <c r="P134" s="3">
        <f t="shared" si="8"/>
        <v>1920.27</v>
      </c>
      <c r="Q134" s="3" t="e">
        <f>VLOOKUP(O134,Справочник!A:B,2,0)</f>
        <v>#N/A</v>
      </c>
      <c r="R134" s="3" t="e">
        <f>VLOOKUP(O134,Справочник!A:C,3,0)</f>
        <v>#N/A</v>
      </c>
      <c r="S134" s="3">
        <f t="shared" si="9"/>
        <v>11521.619999999999</v>
      </c>
      <c r="T134" s="3">
        <f t="shared" si="10"/>
        <v>11521.619999999999</v>
      </c>
    </row>
  </sheetData>
  <autoFilter ref="A1:N99" xr:uid="{4F2EB173-0EDC-4F0F-9B37-5860C9D8972C}"/>
  <conditionalFormatting sqref="A1:A1048576">
    <cfRule type="duplicateValues" dxfId="2" priority="3"/>
  </conditionalFormatting>
  <conditionalFormatting sqref="U1">
    <cfRule type="containsText" dxfId="1" priority="1" operator="containsText" text="ИСТИНА">
      <formula>NOT(ISERROR(SEARCH("ИСТИНА",U1)))</formula>
    </cfRule>
    <cfRule type="containsText" dxfId="0" priority="2" operator="containsText" text="ЛОЖЬ">
      <formula>NOT(ISERROR(SEARCH("ЛОЖЬ",U1)))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7F24A-E13E-47B6-8553-86BABA76D193}">
  <sheetPr codeName="Лист4">
    <tabColor theme="7" tint="0.39997558519241921"/>
  </sheetPr>
  <dimension ref="A1:B99"/>
  <sheetViews>
    <sheetView tabSelected="1" topLeftCell="A28" workbookViewId="0">
      <selection sqref="A1:C1"/>
    </sheetView>
  </sheetViews>
  <sheetFormatPr defaultRowHeight="15" x14ac:dyDescent="0.25"/>
  <cols>
    <col min="1" max="1" width="96" bestFit="1" customWidth="1"/>
    <col min="2" max="2" width="19.7109375" customWidth="1"/>
  </cols>
  <sheetData>
    <row r="1" spans="1:2" x14ac:dyDescent="0.25">
      <c r="A1" t="s">
        <v>92</v>
      </c>
      <c r="B1" t="s">
        <v>30</v>
      </c>
    </row>
    <row r="2" spans="1:2" x14ac:dyDescent="0.25">
      <c r="A2" t="s">
        <v>104</v>
      </c>
      <c r="B2" t="s">
        <v>85</v>
      </c>
    </row>
    <row r="3" spans="1:2" x14ac:dyDescent="0.25">
      <c r="A3" t="s">
        <v>104</v>
      </c>
      <c r="B3" t="s">
        <v>85</v>
      </c>
    </row>
    <row r="4" spans="1:2" x14ac:dyDescent="0.25">
      <c r="A4" t="s">
        <v>110</v>
      </c>
      <c r="B4" t="s">
        <v>55</v>
      </c>
    </row>
    <row r="5" spans="1:2" x14ac:dyDescent="0.25">
      <c r="A5" t="s">
        <v>110</v>
      </c>
      <c r="B5" t="s">
        <v>55</v>
      </c>
    </row>
    <row r="6" spans="1:2" x14ac:dyDescent="0.25">
      <c r="A6" t="s">
        <v>111</v>
      </c>
      <c r="B6" t="s">
        <v>87</v>
      </c>
    </row>
    <row r="7" spans="1:2" x14ac:dyDescent="0.25">
      <c r="A7" t="s">
        <v>111</v>
      </c>
      <c r="B7" t="s">
        <v>87</v>
      </c>
    </row>
    <row r="8" spans="1:2" x14ac:dyDescent="0.25">
      <c r="A8" t="s">
        <v>113</v>
      </c>
      <c r="B8" t="s">
        <v>42</v>
      </c>
    </row>
    <row r="9" spans="1:2" x14ac:dyDescent="0.25">
      <c r="A9" t="s">
        <v>113</v>
      </c>
      <c r="B9" t="s">
        <v>42</v>
      </c>
    </row>
    <row r="10" spans="1:2" x14ac:dyDescent="0.25">
      <c r="A10" t="s">
        <v>117</v>
      </c>
      <c r="B10" t="s">
        <v>37</v>
      </c>
    </row>
    <row r="11" spans="1:2" x14ac:dyDescent="0.25">
      <c r="A11" t="s">
        <v>117</v>
      </c>
      <c r="B11" t="s">
        <v>37</v>
      </c>
    </row>
    <row r="12" spans="1:2" x14ac:dyDescent="0.25">
      <c r="A12" t="s">
        <v>119</v>
      </c>
      <c r="B12" t="s">
        <v>51</v>
      </c>
    </row>
    <row r="13" spans="1:2" x14ac:dyDescent="0.25">
      <c r="A13" t="s">
        <v>119</v>
      </c>
      <c r="B13" t="s">
        <v>51</v>
      </c>
    </row>
    <row r="14" spans="1:2" x14ac:dyDescent="0.25">
      <c r="A14" t="s">
        <v>121</v>
      </c>
      <c r="B14" t="s">
        <v>89</v>
      </c>
    </row>
    <row r="15" spans="1:2" x14ac:dyDescent="0.25">
      <c r="A15" t="s">
        <v>121</v>
      </c>
      <c r="B15" t="s">
        <v>89</v>
      </c>
    </row>
    <row r="16" spans="1:2" x14ac:dyDescent="0.25">
      <c r="A16" t="s">
        <v>123</v>
      </c>
      <c r="B16" t="s">
        <v>37</v>
      </c>
    </row>
    <row r="17" spans="1:2" x14ac:dyDescent="0.25">
      <c r="A17" t="s">
        <v>123</v>
      </c>
      <c r="B17" t="s">
        <v>37</v>
      </c>
    </row>
    <row r="18" spans="1:2" x14ac:dyDescent="0.25">
      <c r="A18" t="s">
        <v>127</v>
      </c>
      <c r="B18" t="s">
        <v>37</v>
      </c>
    </row>
    <row r="19" spans="1:2" x14ac:dyDescent="0.25">
      <c r="A19" t="s">
        <v>127</v>
      </c>
      <c r="B19" t="s">
        <v>37</v>
      </c>
    </row>
    <row r="20" spans="1:2" x14ac:dyDescent="0.25">
      <c r="A20" t="s">
        <v>129</v>
      </c>
      <c r="B20" t="s">
        <v>37</v>
      </c>
    </row>
    <row r="21" spans="1:2" x14ac:dyDescent="0.25">
      <c r="A21" t="s">
        <v>129</v>
      </c>
      <c r="B21" t="s">
        <v>37</v>
      </c>
    </row>
    <row r="22" spans="1:2" x14ac:dyDescent="0.25">
      <c r="A22" t="s">
        <v>131</v>
      </c>
      <c r="B22" t="s">
        <v>37</v>
      </c>
    </row>
    <row r="23" spans="1:2" x14ac:dyDescent="0.25">
      <c r="A23" t="s">
        <v>131</v>
      </c>
      <c r="B23" t="s">
        <v>37</v>
      </c>
    </row>
    <row r="24" spans="1:2" x14ac:dyDescent="0.25">
      <c r="A24" t="s">
        <v>132</v>
      </c>
      <c r="B24" t="s">
        <v>37</v>
      </c>
    </row>
    <row r="25" spans="1:2" x14ac:dyDescent="0.25">
      <c r="A25" t="s">
        <v>133</v>
      </c>
      <c r="B25" t="s">
        <v>37</v>
      </c>
    </row>
    <row r="26" spans="1:2" x14ac:dyDescent="0.25">
      <c r="A26" t="s">
        <v>134</v>
      </c>
      <c r="B26" t="s">
        <v>37</v>
      </c>
    </row>
    <row r="27" spans="1:2" x14ac:dyDescent="0.25">
      <c r="A27" t="s">
        <v>134</v>
      </c>
      <c r="B27" t="s">
        <v>37</v>
      </c>
    </row>
    <row r="28" spans="1:2" x14ac:dyDescent="0.25">
      <c r="A28" t="s">
        <v>137</v>
      </c>
      <c r="B28" t="s">
        <v>37</v>
      </c>
    </row>
    <row r="29" spans="1:2" x14ac:dyDescent="0.25">
      <c r="A29" t="s">
        <v>137</v>
      </c>
      <c r="B29" t="s">
        <v>37</v>
      </c>
    </row>
    <row r="30" spans="1:2" x14ac:dyDescent="0.25">
      <c r="A30" t="s">
        <v>139</v>
      </c>
      <c r="B30" t="s">
        <v>37</v>
      </c>
    </row>
    <row r="31" spans="1:2" x14ac:dyDescent="0.25">
      <c r="A31" t="s">
        <v>139</v>
      </c>
      <c r="B31" t="s">
        <v>37</v>
      </c>
    </row>
    <row r="32" spans="1:2" x14ac:dyDescent="0.25">
      <c r="A32" t="s">
        <v>140</v>
      </c>
      <c r="B32" t="s">
        <v>37</v>
      </c>
    </row>
    <row r="33" spans="1:2" x14ac:dyDescent="0.25">
      <c r="A33" t="s">
        <v>140</v>
      </c>
      <c r="B33" t="s">
        <v>37</v>
      </c>
    </row>
    <row r="34" spans="1:2" x14ac:dyDescent="0.25">
      <c r="A34" t="s">
        <v>141</v>
      </c>
      <c r="B34" t="s">
        <v>42</v>
      </c>
    </row>
    <row r="35" spans="1:2" x14ac:dyDescent="0.25">
      <c r="A35" t="s">
        <v>141</v>
      </c>
      <c r="B35" t="s">
        <v>42</v>
      </c>
    </row>
    <row r="36" spans="1:2" x14ac:dyDescent="0.25">
      <c r="A36" t="s">
        <v>142</v>
      </c>
      <c r="B36" t="s">
        <v>42</v>
      </c>
    </row>
    <row r="37" spans="1:2" x14ac:dyDescent="0.25">
      <c r="A37" t="s">
        <v>143</v>
      </c>
      <c r="B37" t="s">
        <v>55</v>
      </c>
    </row>
    <row r="38" spans="1:2" x14ac:dyDescent="0.25">
      <c r="A38" t="s">
        <v>143</v>
      </c>
      <c r="B38" t="s">
        <v>55</v>
      </c>
    </row>
    <row r="39" spans="1:2" x14ac:dyDescent="0.25">
      <c r="A39" t="s">
        <v>145</v>
      </c>
      <c r="B39" t="s">
        <v>55</v>
      </c>
    </row>
    <row r="40" spans="1:2" x14ac:dyDescent="0.25">
      <c r="A40" t="s">
        <v>145</v>
      </c>
      <c r="B40" t="s">
        <v>55</v>
      </c>
    </row>
    <row r="41" spans="1:2" x14ac:dyDescent="0.25">
      <c r="A41" t="s">
        <v>146</v>
      </c>
      <c r="B41" t="s">
        <v>67</v>
      </c>
    </row>
    <row r="42" spans="1:2" x14ac:dyDescent="0.25">
      <c r="A42" t="s">
        <v>146</v>
      </c>
      <c r="B42" t="s">
        <v>67</v>
      </c>
    </row>
    <row r="43" spans="1:2" x14ac:dyDescent="0.25">
      <c r="A43" t="s">
        <v>147</v>
      </c>
      <c r="B43" t="s">
        <v>67</v>
      </c>
    </row>
    <row r="44" spans="1:2" x14ac:dyDescent="0.25">
      <c r="A44" t="s">
        <v>147</v>
      </c>
      <c r="B44" t="s">
        <v>67</v>
      </c>
    </row>
    <row r="45" spans="1:2" x14ac:dyDescent="0.25">
      <c r="A45" t="s">
        <v>148</v>
      </c>
      <c r="B45" t="s">
        <v>37</v>
      </c>
    </row>
    <row r="46" spans="1:2" x14ac:dyDescent="0.25">
      <c r="A46" t="s">
        <v>148</v>
      </c>
      <c r="B46" t="s">
        <v>37</v>
      </c>
    </row>
    <row r="47" spans="1:2" x14ac:dyDescent="0.25">
      <c r="A47" t="s">
        <v>151</v>
      </c>
      <c r="B47" t="s">
        <v>37</v>
      </c>
    </row>
    <row r="48" spans="1:2" x14ac:dyDescent="0.25">
      <c r="A48" t="s">
        <v>151</v>
      </c>
      <c r="B48" t="s">
        <v>37</v>
      </c>
    </row>
    <row r="49" spans="1:2" x14ac:dyDescent="0.25">
      <c r="A49" t="s">
        <v>152</v>
      </c>
      <c r="B49" t="s">
        <v>37</v>
      </c>
    </row>
    <row r="50" spans="1:2" x14ac:dyDescent="0.25">
      <c r="A50" t="s">
        <v>152</v>
      </c>
      <c r="B50" t="s">
        <v>37</v>
      </c>
    </row>
    <row r="51" spans="1:2" x14ac:dyDescent="0.25">
      <c r="A51" t="s">
        <v>154</v>
      </c>
      <c r="B51" t="s">
        <v>37</v>
      </c>
    </row>
    <row r="52" spans="1:2" x14ac:dyDescent="0.25">
      <c r="A52" t="s">
        <v>154</v>
      </c>
      <c r="B52" t="s">
        <v>37</v>
      </c>
    </row>
    <row r="53" spans="1:2" x14ac:dyDescent="0.25">
      <c r="A53" t="s">
        <v>155</v>
      </c>
      <c r="B53" t="s">
        <v>42</v>
      </c>
    </row>
    <row r="54" spans="1:2" x14ac:dyDescent="0.25">
      <c r="A54" t="s">
        <v>155</v>
      </c>
      <c r="B54" t="s">
        <v>42</v>
      </c>
    </row>
    <row r="55" spans="1:2" x14ac:dyDescent="0.25">
      <c r="A55" t="s">
        <v>157</v>
      </c>
      <c r="B55" t="s">
        <v>44</v>
      </c>
    </row>
    <row r="56" spans="1:2" x14ac:dyDescent="0.25">
      <c r="A56" t="s">
        <v>157</v>
      </c>
      <c r="B56" t="s">
        <v>44</v>
      </c>
    </row>
    <row r="57" spans="1:2" x14ac:dyDescent="0.25">
      <c r="A57" t="s">
        <v>159</v>
      </c>
    </row>
    <row r="58" spans="1:2" x14ac:dyDescent="0.25">
      <c r="A58" t="s">
        <v>159</v>
      </c>
    </row>
    <row r="59" spans="1:2" x14ac:dyDescent="0.25">
      <c r="A59" t="s">
        <v>160</v>
      </c>
      <c r="B59" t="s">
        <v>37</v>
      </c>
    </row>
    <row r="60" spans="1:2" x14ac:dyDescent="0.25">
      <c r="A60" t="s">
        <v>160</v>
      </c>
      <c r="B60" t="s">
        <v>37</v>
      </c>
    </row>
    <row r="61" spans="1:2" x14ac:dyDescent="0.25">
      <c r="A61" t="s">
        <v>161</v>
      </c>
      <c r="B61" t="s">
        <v>37</v>
      </c>
    </row>
    <row r="62" spans="1:2" x14ac:dyDescent="0.25">
      <c r="A62" t="s">
        <v>161</v>
      </c>
      <c r="B62" t="s">
        <v>37</v>
      </c>
    </row>
    <row r="63" spans="1:2" x14ac:dyDescent="0.25">
      <c r="A63" t="s">
        <v>162</v>
      </c>
      <c r="B63" t="s">
        <v>37</v>
      </c>
    </row>
    <row r="64" spans="1:2" x14ac:dyDescent="0.25">
      <c r="A64" t="s">
        <v>162</v>
      </c>
      <c r="B64" t="s">
        <v>37</v>
      </c>
    </row>
    <row r="65" spans="1:2" x14ac:dyDescent="0.25">
      <c r="A65" t="s">
        <v>163</v>
      </c>
      <c r="B65" t="s">
        <v>37</v>
      </c>
    </row>
    <row r="66" spans="1:2" x14ac:dyDescent="0.25">
      <c r="A66" t="s">
        <v>163</v>
      </c>
      <c r="B66" t="s">
        <v>37</v>
      </c>
    </row>
    <row r="67" spans="1:2" x14ac:dyDescent="0.25">
      <c r="A67" t="s">
        <v>165</v>
      </c>
      <c r="B67" t="s">
        <v>37</v>
      </c>
    </row>
    <row r="68" spans="1:2" x14ac:dyDescent="0.25">
      <c r="A68" t="s">
        <v>165</v>
      </c>
      <c r="B68" t="s">
        <v>37</v>
      </c>
    </row>
    <row r="69" spans="1:2" x14ac:dyDescent="0.25">
      <c r="A69" t="s">
        <v>166</v>
      </c>
      <c r="B69" t="s">
        <v>37</v>
      </c>
    </row>
    <row r="70" spans="1:2" x14ac:dyDescent="0.25">
      <c r="A70" t="s">
        <v>166</v>
      </c>
      <c r="B70" t="s">
        <v>37</v>
      </c>
    </row>
    <row r="71" spans="1:2" x14ac:dyDescent="0.25">
      <c r="A71" t="s">
        <v>168</v>
      </c>
      <c r="B71" t="s">
        <v>42</v>
      </c>
    </row>
    <row r="72" spans="1:2" x14ac:dyDescent="0.25">
      <c r="A72" t="s">
        <v>168</v>
      </c>
      <c r="B72" t="s">
        <v>42</v>
      </c>
    </row>
    <row r="73" spans="1:2" x14ac:dyDescent="0.25">
      <c r="A73" t="s">
        <v>170</v>
      </c>
      <c r="B73" t="s">
        <v>37</v>
      </c>
    </row>
    <row r="74" spans="1:2" x14ac:dyDescent="0.25">
      <c r="A74" t="s">
        <v>170</v>
      </c>
      <c r="B74" t="s">
        <v>37</v>
      </c>
    </row>
    <row r="75" spans="1:2" x14ac:dyDescent="0.25">
      <c r="A75" t="s">
        <v>171</v>
      </c>
      <c r="B75" t="s">
        <v>37</v>
      </c>
    </row>
    <row r="76" spans="1:2" x14ac:dyDescent="0.25">
      <c r="A76" t="s">
        <v>171</v>
      </c>
      <c r="B76" t="s">
        <v>37</v>
      </c>
    </row>
    <row r="77" spans="1:2" x14ac:dyDescent="0.25">
      <c r="A77" t="s">
        <v>172</v>
      </c>
      <c r="B77" t="s">
        <v>37</v>
      </c>
    </row>
    <row r="78" spans="1:2" x14ac:dyDescent="0.25">
      <c r="A78" t="s">
        <v>174</v>
      </c>
      <c r="B78" t="s">
        <v>37</v>
      </c>
    </row>
    <row r="79" spans="1:2" x14ac:dyDescent="0.25">
      <c r="A79" t="s">
        <v>174</v>
      </c>
      <c r="B79" t="s">
        <v>37</v>
      </c>
    </row>
    <row r="80" spans="1:2" x14ac:dyDescent="0.25">
      <c r="A80" t="s">
        <v>175</v>
      </c>
      <c r="B80" t="s">
        <v>37</v>
      </c>
    </row>
    <row r="81" spans="1:2" x14ac:dyDescent="0.25">
      <c r="A81" t="s">
        <v>176</v>
      </c>
      <c r="B81" t="s">
        <v>37</v>
      </c>
    </row>
    <row r="82" spans="1:2" x14ac:dyDescent="0.25">
      <c r="A82" t="s">
        <v>176</v>
      </c>
      <c r="B82" t="s">
        <v>37</v>
      </c>
    </row>
    <row r="83" spans="1:2" x14ac:dyDescent="0.25">
      <c r="A83" t="s">
        <v>177</v>
      </c>
      <c r="B83" t="s">
        <v>37</v>
      </c>
    </row>
    <row r="84" spans="1:2" x14ac:dyDescent="0.25">
      <c r="A84" t="s">
        <v>177</v>
      </c>
      <c r="B84" t="s">
        <v>37</v>
      </c>
    </row>
    <row r="85" spans="1:2" x14ac:dyDescent="0.25">
      <c r="A85" t="s">
        <v>178</v>
      </c>
      <c r="B85" t="s">
        <v>37</v>
      </c>
    </row>
    <row r="86" spans="1:2" x14ac:dyDescent="0.25">
      <c r="A86" t="s">
        <v>178</v>
      </c>
      <c r="B86" t="s">
        <v>37</v>
      </c>
    </row>
    <row r="87" spans="1:2" x14ac:dyDescent="0.25">
      <c r="A87" t="s">
        <v>179</v>
      </c>
      <c r="B87" t="s">
        <v>37</v>
      </c>
    </row>
    <row r="88" spans="1:2" x14ac:dyDescent="0.25">
      <c r="A88" t="s">
        <v>179</v>
      </c>
      <c r="B88" t="s">
        <v>37</v>
      </c>
    </row>
    <row r="89" spans="1:2" x14ac:dyDescent="0.25">
      <c r="A89" t="s">
        <v>180</v>
      </c>
      <c r="B89" t="s">
        <v>42</v>
      </c>
    </row>
    <row r="90" spans="1:2" x14ac:dyDescent="0.25">
      <c r="A90" t="s">
        <v>180</v>
      </c>
      <c r="B90" t="s">
        <v>42</v>
      </c>
    </row>
    <row r="91" spans="1:2" x14ac:dyDescent="0.25">
      <c r="A91" t="s">
        <v>181</v>
      </c>
      <c r="B91" t="s">
        <v>87</v>
      </c>
    </row>
    <row r="92" spans="1:2" x14ac:dyDescent="0.25">
      <c r="A92" t="s">
        <v>183</v>
      </c>
      <c r="B92" t="s">
        <v>37</v>
      </c>
    </row>
    <row r="93" spans="1:2" x14ac:dyDescent="0.25">
      <c r="A93" t="s">
        <v>183</v>
      </c>
      <c r="B93" t="s">
        <v>37</v>
      </c>
    </row>
    <row r="94" spans="1:2" x14ac:dyDescent="0.25">
      <c r="A94" t="s">
        <v>184</v>
      </c>
      <c r="B94" t="s">
        <v>37</v>
      </c>
    </row>
    <row r="95" spans="1:2" x14ac:dyDescent="0.25">
      <c r="A95" t="s">
        <v>184</v>
      </c>
      <c r="B95" t="s">
        <v>37</v>
      </c>
    </row>
    <row r="96" spans="1:2" x14ac:dyDescent="0.25">
      <c r="A96" t="s">
        <v>187</v>
      </c>
      <c r="B96" t="s">
        <v>37</v>
      </c>
    </row>
    <row r="97" spans="1:2" x14ac:dyDescent="0.25">
      <c r="A97" t="s">
        <v>187</v>
      </c>
      <c r="B97" t="s">
        <v>37</v>
      </c>
    </row>
    <row r="98" spans="1:2" x14ac:dyDescent="0.25">
      <c r="A98" t="s">
        <v>188</v>
      </c>
      <c r="B98" t="s">
        <v>37</v>
      </c>
    </row>
    <row r="99" spans="1:2" x14ac:dyDescent="0.25">
      <c r="A99" t="s">
        <v>188</v>
      </c>
      <c r="B99" t="s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D9D7E-459B-4304-AFE6-BF8FDDBFC251}">
  <sheetPr codeName="Лист2"/>
  <dimension ref="A1:AI44"/>
  <sheetViews>
    <sheetView showGridLines="0" topLeftCell="L1" workbookViewId="0">
      <pane ySplit="1" topLeftCell="A2" activePane="bottomLeft" state="frozen"/>
      <selection pane="bottomLeft" activeCell="AG13" sqref="AG13"/>
    </sheetView>
  </sheetViews>
  <sheetFormatPr defaultRowHeight="15" x14ac:dyDescent="0.25"/>
  <cols>
    <col min="1" max="1" width="38.85546875" style="25" bestFit="1" customWidth="1"/>
    <col min="2" max="2" width="4.5703125" style="26" bestFit="1" customWidth="1"/>
    <col min="3" max="3" width="6.28515625" style="27" bestFit="1" customWidth="1"/>
    <col min="4" max="4" width="9.140625" style="22" customWidth="1"/>
    <col min="5" max="5" width="10.85546875" style="22" bestFit="1" customWidth="1"/>
    <col min="6" max="6" width="91.5703125" style="3" bestFit="1" customWidth="1"/>
    <col min="7" max="7" width="6.85546875" style="3" bestFit="1" customWidth="1"/>
    <col min="8" max="8" width="6.42578125" style="3" bestFit="1" customWidth="1"/>
    <col min="9" max="9" width="14.42578125" style="3" bestFit="1" customWidth="1"/>
    <col min="10" max="10" width="16.140625" style="3" bestFit="1" customWidth="1"/>
    <col min="11" max="11" width="9.5703125" style="3" customWidth="1"/>
    <col min="12" max="12" width="26.140625" style="3" bestFit="1" customWidth="1"/>
    <col min="13" max="13" width="27" style="3" bestFit="1" customWidth="1"/>
    <col min="14" max="14" width="15.7109375" style="3" customWidth="1"/>
    <col min="15" max="15" width="8.85546875" style="3" bestFit="1" customWidth="1"/>
    <col min="16" max="16" width="8" style="3" bestFit="1" customWidth="1"/>
    <col min="17" max="17" width="9.140625" style="21"/>
    <col min="18" max="21" width="9.140625" style="22"/>
    <col min="22" max="27" width="9.140625" style="23"/>
    <col min="28" max="28" width="9.140625" style="24"/>
    <col min="29" max="31" width="9.140625" style="23"/>
    <col min="32" max="32" width="9.5703125" style="23" bestFit="1" customWidth="1"/>
    <col min="33" max="33" width="34.28515625" style="23" customWidth="1"/>
    <col min="34" max="16384" width="9.140625" style="23"/>
  </cols>
  <sheetData>
    <row r="1" spans="1:35" s="30" customFormat="1" ht="15.75" thickBot="1" x14ac:dyDescent="0.3">
      <c r="A1" s="31" t="s">
        <v>0</v>
      </c>
      <c r="B1" s="32" t="s">
        <v>1</v>
      </c>
      <c r="C1" s="33" t="s">
        <v>2</v>
      </c>
      <c r="D1" s="29" t="s">
        <v>4</v>
      </c>
      <c r="E1" s="29" t="s">
        <v>3</v>
      </c>
      <c r="F1" s="28" t="s">
        <v>92</v>
      </c>
      <c r="G1" s="28" t="s">
        <v>1</v>
      </c>
      <c r="H1" s="28" t="s">
        <v>93</v>
      </c>
      <c r="I1" s="28" t="s">
        <v>94</v>
      </c>
      <c r="J1" s="28" t="s">
        <v>95</v>
      </c>
      <c r="K1" s="28" t="s">
        <v>96</v>
      </c>
      <c r="L1" s="28" t="s">
        <v>97</v>
      </c>
      <c r="M1" s="28" t="s">
        <v>98</v>
      </c>
      <c r="N1" s="28" t="s">
        <v>99</v>
      </c>
      <c r="O1" s="28" t="s">
        <v>100</v>
      </c>
      <c r="P1" s="28" t="s">
        <v>5</v>
      </c>
      <c r="Q1" s="17" cm="1">
        <f t="array" ref="Q1:S1">_xlfn.LET(_xlpm.sizeCol,B2:B490,TRANSPOSE(_xlfn._xlws.SORT(_xlfn.UNIQUE(_xlfn._xlws.FILTER(_xlpm.sizeCol,_xlpm.sizeCol&lt;&gt;"","")))))</f>
        <v>57</v>
      </c>
      <c r="R1" s="18">
        <v>58</v>
      </c>
      <c r="S1" s="18" t="str">
        <v>O/S</v>
      </c>
      <c r="T1" s="18"/>
      <c r="U1" s="18"/>
      <c r="V1" s="19"/>
      <c r="W1" s="19"/>
      <c r="X1" s="19"/>
      <c r="Y1" s="19"/>
      <c r="Z1" s="19"/>
      <c r="AA1" s="19"/>
      <c r="AB1" s="20"/>
      <c r="AF1" s="30" t="s">
        <v>235</v>
      </c>
      <c r="AG1" s="34" cm="1">
        <f t="array" ref="AG1:AI1">_xlfn.LET(_xlpm.sizeCol,B2:B490,TRANSPOSE(_xlfn._xlws.SORT(_xlfn.UNIQUE(_xlfn._xlws.FILTER(_xlpm.sizeCol,_xlpm.sizeCol&lt;&gt;"","")))))</f>
        <v>57</v>
      </c>
      <c r="AH1" s="30">
        <v>58</v>
      </c>
      <c r="AI1" s="30" t="str">
        <v>O/S</v>
      </c>
    </row>
    <row r="2" spans="1:35" x14ac:dyDescent="0.25">
      <c r="A2" s="25" t="str">
        <f t="shared" ref="A2:A17" si="0">D2&amp;E2</f>
        <v>10047507NAVY</v>
      </c>
      <c r="B2" s="26" t="s">
        <v>8</v>
      </c>
      <c r="C2" s="27">
        <v>18</v>
      </c>
      <c r="D2" s="22">
        <v>10047507</v>
      </c>
      <c r="E2" s="22" t="s">
        <v>14</v>
      </c>
      <c r="F2" s="3" t="s">
        <v>104</v>
      </c>
      <c r="G2" s="3" t="s">
        <v>43</v>
      </c>
      <c r="H2" s="3" t="s">
        <v>105</v>
      </c>
      <c r="I2" s="3" t="s">
        <v>8</v>
      </c>
      <c r="J2" s="3" t="s">
        <v>106</v>
      </c>
      <c r="K2" s="3">
        <v>18</v>
      </c>
      <c r="L2" s="3" t="s">
        <v>107</v>
      </c>
      <c r="M2" s="3" t="s">
        <v>108</v>
      </c>
      <c r="O2" s="3" t="s">
        <v>109</v>
      </c>
      <c r="P2" s="3">
        <v>1687.44</v>
      </c>
      <c r="S2" s="22">
        <v>24</v>
      </c>
    </row>
    <row r="3" spans="1:35" x14ac:dyDescent="0.25">
      <c r="A3" s="25" t="str">
        <f t="shared" si="0"/>
        <v>10047511OTC</v>
      </c>
      <c r="B3" s="26" t="s">
        <v>8</v>
      </c>
      <c r="C3" s="27">
        <v>6</v>
      </c>
      <c r="D3" s="22">
        <v>10047511</v>
      </c>
      <c r="E3" s="22" t="s">
        <v>11</v>
      </c>
      <c r="F3" s="3" t="s">
        <v>110</v>
      </c>
      <c r="G3" s="3" t="s">
        <v>43</v>
      </c>
      <c r="H3" s="3" t="s">
        <v>105</v>
      </c>
      <c r="I3" s="3" t="s">
        <v>8</v>
      </c>
      <c r="J3" s="3" t="s">
        <v>106</v>
      </c>
      <c r="K3" s="3">
        <v>6</v>
      </c>
      <c r="L3" s="3" t="s">
        <v>107</v>
      </c>
      <c r="M3" s="3" t="s">
        <v>108</v>
      </c>
      <c r="O3" s="3" t="s">
        <v>109</v>
      </c>
      <c r="P3" s="3">
        <v>1442.76</v>
      </c>
      <c r="S3" s="22">
        <v>18</v>
      </c>
    </row>
    <row r="4" spans="1:35" x14ac:dyDescent="0.25">
      <c r="A4" s="25" t="str">
        <f t="shared" si="0"/>
        <v>10047515BLKWHI</v>
      </c>
      <c r="B4" s="26" t="s">
        <v>8</v>
      </c>
      <c r="C4" s="27">
        <v>12</v>
      </c>
      <c r="D4" s="22">
        <v>10047515</v>
      </c>
      <c r="E4" s="22" t="s">
        <v>9</v>
      </c>
      <c r="F4" s="3" t="s">
        <v>111</v>
      </c>
      <c r="G4" s="3" t="s">
        <v>43</v>
      </c>
      <c r="H4" s="3" t="s">
        <v>105</v>
      </c>
      <c r="I4" s="3" t="s">
        <v>8</v>
      </c>
      <c r="J4" s="3" t="s">
        <v>106</v>
      </c>
      <c r="K4" s="3">
        <v>12</v>
      </c>
      <c r="L4" s="3" t="s">
        <v>107</v>
      </c>
      <c r="M4" s="3" t="s">
        <v>108</v>
      </c>
      <c r="N4" s="3" t="s">
        <v>112</v>
      </c>
      <c r="O4" s="3" t="s">
        <v>109</v>
      </c>
      <c r="P4" s="3">
        <v>1349.95</v>
      </c>
      <c r="S4" s="22">
        <v>18</v>
      </c>
    </row>
    <row r="5" spans="1:35" x14ac:dyDescent="0.25">
      <c r="A5" s="25" t="str">
        <f t="shared" si="0"/>
        <v>10047531GM</v>
      </c>
      <c r="B5" s="26" t="s">
        <v>8</v>
      </c>
      <c r="C5" s="27">
        <v>24</v>
      </c>
      <c r="D5" s="22">
        <v>10047531</v>
      </c>
      <c r="E5" s="22" t="s">
        <v>15</v>
      </c>
      <c r="F5" s="3" t="s">
        <v>113</v>
      </c>
      <c r="G5" s="3" t="s">
        <v>43</v>
      </c>
      <c r="H5" s="3" t="s">
        <v>105</v>
      </c>
      <c r="I5" s="3" t="s">
        <v>8</v>
      </c>
      <c r="J5" s="3" t="s">
        <v>106</v>
      </c>
      <c r="K5" s="3">
        <v>24</v>
      </c>
      <c r="L5" s="3" t="s">
        <v>107</v>
      </c>
      <c r="M5" s="3" t="s">
        <v>108</v>
      </c>
      <c r="N5" s="3" t="s">
        <v>114</v>
      </c>
      <c r="O5" s="3" t="s">
        <v>109</v>
      </c>
      <c r="P5" s="3">
        <v>1687.44</v>
      </c>
      <c r="S5" s="22">
        <v>26</v>
      </c>
    </row>
    <row r="6" spans="1:35" s="22" customFormat="1" x14ac:dyDescent="0.25">
      <c r="A6" s="25" t="str">
        <f t="shared" si="0"/>
        <v>10047538NAVY</v>
      </c>
      <c r="B6" s="26" t="s">
        <v>8</v>
      </c>
      <c r="C6" s="27">
        <v>20</v>
      </c>
      <c r="D6" s="22">
        <v>10047538</v>
      </c>
      <c r="E6" s="22" t="s">
        <v>14</v>
      </c>
      <c r="F6" s="3" t="s">
        <v>117</v>
      </c>
      <c r="G6" s="3" t="s">
        <v>43</v>
      </c>
      <c r="H6" s="3" t="s">
        <v>105</v>
      </c>
      <c r="I6" s="3" t="s">
        <v>8</v>
      </c>
      <c r="J6" s="3" t="s">
        <v>106</v>
      </c>
      <c r="K6" s="3">
        <v>20</v>
      </c>
      <c r="L6" s="3" t="s">
        <v>107</v>
      </c>
      <c r="M6" s="3" t="s">
        <v>108</v>
      </c>
      <c r="N6" s="3" t="s">
        <v>118</v>
      </c>
      <c r="O6" s="3" t="s">
        <v>109</v>
      </c>
      <c r="P6" s="3">
        <v>1442.76</v>
      </c>
      <c r="Q6" s="21"/>
      <c r="S6" s="22">
        <v>62</v>
      </c>
      <c r="V6" s="23"/>
      <c r="W6" s="23"/>
      <c r="X6" s="23"/>
      <c r="Y6" s="23"/>
      <c r="Z6" s="23"/>
      <c r="AA6" s="23"/>
      <c r="AB6" s="24"/>
    </row>
    <row r="7" spans="1:35" s="22" customFormat="1" x14ac:dyDescent="0.25">
      <c r="A7" s="25" t="str">
        <f t="shared" si="0"/>
        <v>10047540GRN</v>
      </c>
      <c r="B7" s="26" t="s">
        <v>8</v>
      </c>
      <c r="C7" s="27">
        <v>6</v>
      </c>
      <c r="D7" s="22">
        <v>10047540</v>
      </c>
      <c r="E7" s="22" t="s">
        <v>16</v>
      </c>
      <c r="F7" s="3" t="s">
        <v>119</v>
      </c>
      <c r="G7" s="3" t="s">
        <v>43</v>
      </c>
      <c r="H7" s="3" t="s">
        <v>105</v>
      </c>
      <c r="I7" s="3" t="s">
        <v>8</v>
      </c>
      <c r="J7" s="3" t="s">
        <v>106</v>
      </c>
      <c r="K7" s="3">
        <v>6</v>
      </c>
      <c r="L7" s="3" t="s">
        <v>107</v>
      </c>
      <c r="M7" s="3" t="s">
        <v>108</v>
      </c>
      <c r="N7" s="3" t="s">
        <v>120</v>
      </c>
      <c r="O7" s="3" t="s">
        <v>109</v>
      </c>
      <c r="P7" s="3">
        <v>1442.76</v>
      </c>
      <c r="Q7" s="21"/>
      <c r="S7" s="22">
        <v>30</v>
      </c>
      <c r="V7" s="23"/>
      <c r="W7" s="23"/>
      <c r="X7" s="23"/>
      <c r="Y7" s="23"/>
      <c r="Z7" s="23"/>
      <c r="AA7" s="23"/>
      <c r="AB7" s="24"/>
    </row>
    <row r="8" spans="1:35" s="22" customFormat="1" x14ac:dyDescent="0.25">
      <c r="A8" s="25" t="str">
        <f t="shared" si="0"/>
        <v>10047544OTC</v>
      </c>
      <c r="B8" s="26" t="s">
        <v>8</v>
      </c>
      <c r="C8" s="27">
        <v>3</v>
      </c>
      <c r="D8" s="22">
        <v>10047544</v>
      </c>
      <c r="E8" s="22" t="s">
        <v>11</v>
      </c>
      <c r="F8" s="3" t="s">
        <v>121</v>
      </c>
      <c r="G8" s="3" t="s">
        <v>43</v>
      </c>
      <c r="H8" s="3" t="s">
        <v>105</v>
      </c>
      <c r="I8" s="3" t="s">
        <v>8</v>
      </c>
      <c r="J8" s="3" t="s">
        <v>106</v>
      </c>
      <c r="K8" s="3">
        <v>3</v>
      </c>
      <c r="L8" s="3" t="s">
        <v>107</v>
      </c>
      <c r="M8" s="3" t="s">
        <v>108</v>
      </c>
      <c r="N8" s="3" t="s">
        <v>122</v>
      </c>
      <c r="O8" s="3" t="s">
        <v>109</v>
      </c>
      <c r="P8" s="3">
        <v>1442.76</v>
      </c>
      <c r="Q8" s="21"/>
      <c r="S8" s="22">
        <v>15</v>
      </c>
      <c r="V8" s="23"/>
      <c r="W8" s="23"/>
      <c r="X8" s="23"/>
      <c r="Y8" s="23"/>
      <c r="Z8" s="23"/>
      <c r="AA8" s="23"/>
      <c r="AB8" s="24"/>
    </row>
    <row r="9" spans="1:35" s="22" customFormat="1" x14ac:dyDescent="0.25">
      <c r="A9" s="25" t="str">
        <f t="shared" si="0"/>
        <v>10145636NVYWHT</v>
      </c>
      <c r="B9" s="26">
        <v>58</v>
      </c>
      <c r="C9" s="27">
        <v>15</v>
      </c>
      <c r="D9" s="22">
        <v>10145636</v>
      </c>
      <c r="E9" s="22" t="s">
        <v>17</v>
      </c>
      <c r="F9" s="3" t="s">
        <v>123</v>
      </c>
      <c r="G9" s="3" t="s">
        <v>47</v>
      </c>
      <c r="H9" s="3" t="s">
        <v>124</v>
      </c>
      <c r="I9" s="3">
        <v>58</v>
      </c>
      <c r="J9" s="3" t="s">
        <v>106</v>
      </c>
      <c r="K9" s="3">
        <v>15</v>
      </c>
      <c r="L9" s="3" t="s">
        <v>107</v>
      </c>
      <c r="M9" s="3" t="s">
        <v>125</v>
      </c>
      <c r="N9" s="3" t="s">
        <v>126</v>
      </c>
      <c r="O9" s="3" t="s">
        <v>109</v>
      </c>
      <c r="P9" s="3">
        <v>1489.65</v>
      </c>
      <c r="Q9" s="21">
        <v>15</v>
      </c>
      <c r="R9" s="22">
        <v>20</v>
      </c>
      <c r="V9" s="23"/>
      <c r="W9" s="23"/>
      <c r="X9" s="23"/>
      <c r="Y9" s="23"/>
      <c r="Z9" s="23"/>
      <c r="AA9" s="23"/>
      <c r="AB9" s="24"/>
    </row>
    <row r="10" spans="1:35" s="22" customFormat="1" x14ac:dyDescent="0.25">
      <c r="A10" s="25" t="str">
        <f t="shared" si="0"/>
        <v>10145637BLKBLK</v>
      </c>
      <c r="B10" s="26">
        <v>58</v>
      </c>
      <c r="C10" s="27">
        <v>5</v>
      </c>
      <c r="D10" s="22">
        <v>10145637</v>
      </c>
      <c r="E10" s="22" t="s">
        <v>6</v>
      </c>
      <c r="F10" s="3" t="s">
        <v>129</v>
      </c>
      <c r="G10" s="3" t="s">
        <v>47</v>
      </c>
      <c r="H10" s="3" t="s">
        <v>124</v>
      </c>
      <c r="I10" s="3">
        <v>58</v>
      </c>
      <c r="J10" s="3" t="s">
        <v>106</v>
      </c>
      <c r="K10" s="3">
        <v>5</v>
      </c>
      <c r="L10" s="3" t="s">
        <v>130</v>
      </c>
      <c r="M10" s="3" t="s">
        <v>125</v>
      </c>
      <c r="N10" s="3" t="s">
        <v>126</v>
      </c>
      <c r="O10" s="3" t="s">
        <v>109</v>
      </c>
      <c r="P10" s="3">
        <v>1592.06</v>
      </c>
      <c r="Q10" s="21">
        <v>15</v>
      </c>
      <c r="S10" s="22">
        <v>20</v>
      </c>
      <c r="V10" s="23"/>
      <c r="W10" s="23"/>
      <c r="X10" s="23"/>
      <c r="Y10" s="23"/>
      <c r="Z10" s="23"/>
      <c r="AA10" s="23"/>
      <c r="AB10" s="24"/>
    </row>
    <row r="11" spans="1:35" s="22" customFormat="1" x14ac:dyDescent="0.25">
      <c r="A11" s="25" t="str">
        <f t="shared" si="0"/>
        <v>10145638BLAWHT</v>
      </c>
      <c r="B11" s="26">
        <v>58</v>
      </c>
      <c r="C11" s="27">
        <v>6</v>
      </c>
      <c r="D11" s="22">
        <v>10145638</v>
      </c>
      <c r="E11" s="22" t="s">
        <v>18</v>
      </c>
      <c r="F11" s="3" t="s">
        <v>132</v>
      </c>
      <c r="G11" s="3" t="s">
        <v>47</v>
      </c>
      <c r="H11" s="3" t="s">
        <v>124</v>
      </c>
      <c r="I11" s="3">
        <v>58</v>
      </c>
      <c r="J11" s="3" t="s">
        <v>106</v>
      </c>
      <c r="K11" s="3">
        <v>6</v>
      </c>
      <c r="L11" s="3" t="s">
        <v>107</v>
      </c>
      <c r="M11" s="3" t="s">
        <v>125</v>
      </c>
      <c r="N11" s="3" t="s">
        <v>126</v>
      </c>
      <c r="O11" s="3" t="s">
        <v>109</v>
      </c>
      <c r="P11" s="3">
        <v>1489.65</v>
      </c>
      <c r="Q11" s="21">
        <v>4</v>
      </c>
      <c r="S11" s="22">
        <v>6</v>
      </c>
      <c r="V11" s="23"/>
      <c r="W11" s="23"/>
      <c r="X11" s="23"/>
      <c r="Y11" s="23"/>
      <c r="Z11" s="23"/>
      <c r="AA11" s="23"/>
      <c r="AB11" s="24"/>
    </row>
    <row r="12" spans="1:35" s="22" customFormat="1" x14ac:dyDescent="0.25">
      <c r="A12" s="25" t="str">
        <f t="shared" si="0"/>
        <v>10531939NVYWHI</v>
      </c>
      <c r="B12" s="26" t="s">
        <v>8</v>
      </c>
      <c r="C12" s="27">
        <v>31</v>
      </c>
      <c r="D12" s="22">
        <v>10531939</v>
      </c>
      <c r="E12" s="22" t="s">
        <v>19</v>
      </c>
      <c r="F12" s="3" t="s">
        <v>134</v>
      </c>
      <c r="G12" s="3" t="s">
        <v>43</v>
      </c>
      <c r="H12" s="3" t="s">
        <v>105</v>
      </c>
      <c r="I12" s="3" t="s">
        <v>8</v>
      </c>
      <c r="J12" s="3" t="s">
        <v>106</v>
      </c>
      <c r="K12" s="3">
        <v>31</v>
      </c>
      <c r="L12" s="3" t="s">
        <v>107</v>
      </c>
      <c r="M12" s="3" t="s">
        <v>135</v>
      </c>
      <c r="N12" s="3" t="s">
        <v>136</v>
      </c>
      <c r="O12" s="3" t="s">
        <v>109</v>
      </c>
      <c r="P12" s="3">
        <v>1210.25</v>
      </c>
      <c r="Q12" s="21"/>
      <c r="T12" s="22">
        <v>51</v>
      </c>
      <c r="V12" s="23"/>
      <c r="W12" s="23"/>
      <c r="X12" s="23"/>
      <c r="Y12" s="23"/>
      <c r="Z12" s="23"/>
      <c r="AA12" s="23"/>
      <c r="AB12" s="24"/>
    </row>
    <row r="13" spans="1:35" s="22" customFormat="1" x14ac:dyDescent="0.25">
      <c r="A13" s="25" t="str">
        <f t="shared" si="0"/>
        <v>10531941BLKWHI</v>
      </c>
      <c r="B13" s="26" t="s">
        <v>8</v>
      </c>
      <c r="C13" s="27">
        <v>60</v>
      </c>
      <c r="D13" s="22">
        <v>10531941</v>
      </c>
      <c r="E13" s="22" t="s">
        <v>9</v>
      </c>
      <c r="F13" s="3" t="s">
        <v>137</v>
      </c>
      <c r="G13" s="3" t="s">
        <v>43</v>
      </c>
      <c r="H13" s="3" t="s">
        <v>105</v>
      </c>
      <c r="I13" s="3" t="s">
        <v>8</v>
      </c>
      <c r="J13" s="3" t="s">
        <v>106</v>
      </c>
      <c r="K13" s="3">
        <v>60</v>
      </c>
      <c r="L13" s="3" t="s">
        <v>107</v>
      </c>
      <c r="M13" s="3" t="s">
        <v>135</v>
      </c>
      <c r="N13" s="3" t="s">
        <v>138</v>
      </c>
      <c r="O13" s="3" t="s">
        <v>109</v>
      </c>
      <c r="P13" s="3">
        <v>1210.25</v>
      </c>
      <c r="Q13" s="21"/>
      <c r="T13" s="22">
        <v>90</v>
      </c>
      <c r="V13" s="23"/>
      <c r="W13" s="23"/>
      <c r="X13" s="23"/>
      <c r="Y13" s="23"/>
      <c r="Z13" s="23"/>
      <c r="AA13" s="23"/>
      <c r="AB13" s="24"/>
    </row>
    <row r="14" spans="1:35" s="22" customFormat="1" x14ac:dyDescent="0.25">
      <c r="A14" s="25" t="str">
        <f t="shared" si="0"/>
        <v>10531953NVYWHI</v>
      </c>
      <c r="B14" s="26">
        <v>58</v>
      </c>
      <c r="C14" s="27">
        <v>5</v>
      </c>
      <c r="D14" s="22">
        <v>10531953</v>
      </c>
      <c r="E14" s="22" t="s">
        <v>19</v>
      </c>
      <c r="F14" s="3" t="s">
        <v>139</v>
      </c>
      <c r="G14" s="3" t="s">
        <v>47</v>
      </c>
      <c r="H14" s="3" t="s">
        <v>124</v>
      </c>
      <c r="I14" s="3">
        <v>58</v>
      </c>
      <c r="J14" s="3" t="s">
        <v>106</v>
      </c>
      <c r="K14" s="3">
        <v>5</v>
      </c>
      <c r="L14" s="3" t="s">
        <v>107</v>
      </c>
      <c r="M14" s="3" t="s">
        <v>135</v>
      </c>
      <c r="N14" s="3"/>
      <c r="O14" s="3" t="s">
        <v>109</v>
      </c>
      <c r="P14" s="3">
        <v>1769.05</v>
      </c>
      <c r="Q14" s="21">
        <v>10</v>
      </c>
      <c r="S14" s="22">
        <v>10</v>
      </c>
      <c r="V14" s="23"/>
      <c r="W14" s="23"/>
      <c r="X14" s="23"/>
      <c r="Y14" s="23"/>
      <c r="Z14" s="23"/>
      <c r="AA14" s="23"/>
      <c r="AB14" s="24"/>
    </row>
    <row r="15" spans="1:35" s="22" customFormat="1" x14ac:dyDescent="0.25">
      <c r="A15" s="25" t="str">
        <f t="shared" si="0"/>
        <v>10531954TEAM</v>
      </c>
      <c r="B15" s="26">
        <v>58</v>
      </c>
      <c r="C15" s="27">
        <v>1</v>
      </c>
      <c r="D15" s="22">
        <v>10531954</v>
      </c>
      <c r="E15" s="22" t="s">
        <v>20</v>
      </c>
      <c r="F15" s="3" t="s">
        <v>141</v>
      </c>
      <c r="G15" s="3" t="s">
        <v>47</v>
      </c>
      <c r="H15" s="3" t="s">
        <v>124</v>
      </c>
      <c r="I15" s="3">
        <v>58</v>
      </c>
      <c r="J15" s="3" t="s">
        <v>106</v>
      </c>
      <c r="K15" s="3">
        <v>1</v>
      </c>
      <c r="L15" s="3" t="s">
        <v>107</v>
      </c>
      <c r="M15" s="3" t="s">
        <v>135</v>
      </c>
      <c r="N15" s="3"/>
      <c r="O15" s="3" t="s">
        <v>109</v>
      </c>
      <c r="P15" s="3">
        <v>1890.67</v>
      </c>
      <c r="Q15" s="21">
        <v>5</v>
      </c>
      <c r="S15" s="22">
        <v>6</v>
      </c>
      <c r="V15" s="23"/>
      <c r="W15" s="23"/>
      <c r="X15" s="23"/>
      <c r="Y15" s="23"/>
      <c r="Z15" s="23"/>
      <c r="AA15" s="23"/>
      <c r="AB15" s="24"/>
    </row>
    <row r="16" spans="1:35" s="22" customFormat="1" x14ac:dyDescent="0.25">
      <c r="A16" s="25" t="str">
        <f t="shared" si="0"/>
        <v>10531956TEAM</v>
      </c>
      <c r="B16" s="26">
        <v>58</v>
      </c>
      <c r="C16" s="27">
        <v>4</v>
      </c>
      <c r="D16" s="22">
        <v>10531956</v>
      </c>
      <c r="E16" s="22" t="s">
        <v>20</v>
      </c>
      <c r="F16" s="3" t="s">
        <v>143</v>
      </c>
      <c r="G16" s="3" t="s">
        <v>47</v>
      </c>
      <c r="H16" s="3" t="s">
        <v>124</v>
      </c>
      <c r="I16" s="3">
        <v>58</v>
      </c>
      <c r="J16" s="3" t="s">
        <v>106</v>
      </c>
      <c r="K16" s="3">
        <v>4</v>
      </c>
      <c r="L16" s="3" t="s">
        <v>130</v>
      </c>
      <c r="M16" s="3" t="s">
        <v>135</v>
      </c>
      <c r="N16" s="3" t="s">
        <v>144</v>
      </c>
      <c r="O16" s="3" t="s">
        <v>109</v>
      </c>
      <c r="P16" s="3">
        <v>1890.67</v>
      </c>
      <c r="Q16" s="21">
        <v>7</v>
      </c>
      <c r="S16" s="22">
        <v>10</v>
      </c>
      <c r="V16" s="23"/>
      <c r="W16" s="23"/>
      <c r="X16" s="23"/>
      <c r="Y16" s="23"/>
      <c r="Z16" s="23"/>
      <c r="AA16" s="23"/>
      <c r="AB16" s="24"/>
    </row>
    <row r="17" spans="1:28" s="22" customFormat="1" x14ac:dyDescent="0.25">
      <c r="A17" s="25" t="str">
        <f t="shared" si="0"/>
        <v>10879529BLK</v>
      </c>
      <c r="B17" s="26">
        <v>58</v>
      </c>
      <c r="C17" s="27">
        <v>3</v>
      </c>
      <c r="D17" s="22">
        <v>10879529</v>
      </c>
      <c r="E17" s="22" t="s">
        <v>12</v>
      </c>
      <c r="F17" s="3" t="s">
        <v>146</v>
      </c>
      <c r="G17" s="3" t="s">
        <v>47</v>
      </c>
      <c r="H17" s="3" t="s">
        <v>124</v>
      </c>
      <c r="I17" s="3">
        <v>58</v>
      </c>
      <c r="J17" s="3" t="s">
        <v>106</v>
      </c>
      <c r="K17" s="3">
        <v>3</v>
      </c>
      <c r="L17" s="3" t="s">
        <v>107</v>
      </c>
      <c r="M17" s="3" t="s">
        <v>135</v>
      </c>
      <c r="N17" s="3"/>
      <c r="O17" s="3" t="s">
        <v>109</v>
      </c>
      <c r="P17" s="3">
        <v>1769.05</v>
      </c>
      <c r="Q17" s="21">
        <v>4</v>
      </c>
      <c r="S17" s="22">
        <v>6</v>
      </c>
      <c r="V17" s="23"/>
      <c r="W17" s="23"/>
      <c r="X17" s="23"/>
      <c r="Y17" s="23"/>
      <c r="Z17" s="23"/>
      <c r="AA17" s="23"/>
      <c r="AB17" s="24"/>
    </row>
    <row r="18" spans="1:28" x14ac:dyDescent="0.25">
      <c r="A18" s="25" t="str">
        <f t="shared" ref="A18:A44" si="1">D18&amp;E18</f>
        <v>11157578WHI</v>
      </c>
      <c r="B18" s="26" t="s">
        <v>8</v>
      </c>
      <c r="C18" s="27">
        <v>5</v>
      </c>
      <c r="D18" s="22">
        <v>11157578</v>
      </c>
      <c r="E18" s="22" t="s">
        <v>7</v>
      </c>
      <c r="F18" s="3" t="s">
        <v>148</v>
      </c>
      <c r="G18" s="3" t="s">
        <v>43</v>
      </c>
      <c r="H18" s="3" t="s">
        <v>105</v>
      </c>
      <c r="I18" s="3" t="s">
        <v>8</v>
      </c>
      <c r="J18" s="3" t="s">
        <v>106</v>
      </c>
      <c r="K18" s="3">
        <v>5</v>
      </c>
      <c r="L18" s="3" t="s">
        <v>107</v>
      </c>
      <c r="M18" s="3" t="s">
        <v>135</v>
      </c>
      <c r="N18" s="3" t="s">
        <v>149</v>
      </c>
      <c r="O18" s="3" t="s">
        <v>150</v>
      </c>
      <c r="P18" s="3">
        <v>1293.46</v>
      </c>
      <c r="T18" s="22">
        <v>10</v>
      </c>
    </row>
    <row r="19" spans="1:28" x14ac:dyDescent="0.25">
      <c r="A19" s="25" t="str">
        <f t="shared" si="1"/>
        <v>11157579LRYWHI</v>
      </c>
      <c r="B19" s="26" t="s">
        <v>8</v>
      </c>
      <c r="C19" s="27">
        <v>40</v>
      </c>
      <c r="D19" s="22">
        <v>11157579</v>
      </c>
      <c r="E19" s="22" t="s">
        <v>21</v>
      </c>
      <c r="F19" s="3" t="s">
        <v>151</v>
      </c>
      <c r="G19" s="3" t="s">
        <v>43</v>
      </c>
      <c r="H19" s="3" t="s">
        <v>105</v>
      </c>
      <c r="I19" s="3" t="s">
        <v>8</v>
      </c>
      <c r="J19" s="3" t="s">
        <v>106</v>
      </c>
      <c r="K19" s="3">
        <v>40</v>
      </c>
      <c r="L19" s="3" t="s">
        <v>107</v>
      </c>
      <c r="M19" s="3" t="s">
        <v>135</v>
      </c>
      <c r="N19" s="3" t="s">
        <v>149</v>
      </c>
      <c r="O19" s="3" t="s">
        <v>109</v>
      </c>
      <c r="P19" s="3">
        <v>1210.25</v>
      </c>
      <c r="T19" s="22">
        <v>50</v>
      </c>
    </row>
    <row r="20" spans="1:28" x14ac:dyDescent="0.25">
      <c r="A20" s="25" t="str">
        <f t="shared" si="1"/>
        <v>11180834BLKBLK</v>
      </c>
      <c r="B20" s="26">
        <v>58</v>
      </c>
      <c r="C20" s="27">
        <v>10</v>
      </c>
      <c r="D20" s="22">
        <v>11180834</v>
      </c>
      <c r="E20" s="22" t="s">
        <v>6</v>
      </c>
      <c r="F20" s="3" t="s">
        <v>152</v>
      </c>
      <c r="G20" s="3" t="s">
        <v>47</v>
      </c>
      <c r="H20" s="3" t="s">
        <v>124</v>
      </c>
      <c r="I20" s="3">
        <v>58</v>
      </c>
      <c r="J20" s="3" t="s">
        <v>106</v>
      </c>
      <c r="K20" s="3">
        <v>10</v>
      </c>
      <c r="L20" s="3" t="s">
        <v>107</v>
      </c>
      <c r="M20" s="3" t="s">
        <v>135</v>
      </c>
      <c r="N20" s="3" t="s">
        <v>153</v>
      </c>
      <c r="O20" s="3" t="s">
        <v>109</v>
      </c>
      <c r="P20" s="3">
        <v>1769.05</v>
      </c>
      <c r="Q20" s="21">
        <v>14</v>
      </c>
      <c r="S20" s="22">
        <v>20</v>
      </c>
    </row>
    <row r="21" spans="1:28" x14ac:dyDescent="0.25">
      <c r="A21" s="25" t="str">
        <f t="shared" si="1"/>
        <v>11405497LRYWHI</v>
      </c>
      <c r="B21" s="26" t="s">
        <v>8</v>
      </c>
      <c r="C21" s="27">
        <v>8</v>
      </c>
      <c r="D21" s="22">
        <v>11405497</v>
      </c>
      <c r="E21" s="22" t="s">
        <v>21</v>
      </c>
      <c r="F21" s="3" t="s">
        <v>155</v>
      </c>
      <c r="G21" s="3" t="s">
        <v>43</v>
      </c>
      <c r="H21" s="3" t="s">
        <v>105</v>
      </c>
      <c r="I21" s="3" t="s">
        <v>8</v>
      </c>
      <c r="J21" s="3" t="s">
        <v>106</v>
      </c>
      <c r="K21" s="3">
        <v>8</v>
      </c>
      <c r="L21" s="3" t="s">
        <v>107</v>
      </c>
      <c r="M21" s="3" t="s">
        <v>135</v>
      </c>
      <c r="N21" s="3" t="s">
        <v>156</v>
      </c>
      <c r="O21" s="3" t="s">
        <v>109</v>
      </c>
      <c r="P21" s="3">
        <v>1489.65</v>
      </c>
      <c r="T21" s="22">
        <v>15</v>
      </c>
    </row>
    <row r="22" spans="1:28" x14ac:dyDescent="0.25">
      <c r="A22" s="25" t="str">
        <f t="shared" si="1"/>
        <v>11405614OTC</v>
      </c>
      <c r="B22" s="26" t="s">
        <v>8</v>
      </c>
      <c r="C22" s="27">
        <v>8</v>
      </c>
      <c r="D22" s="22">
        <v>11405614</v>
      </c>
      <c r="E22" s="22" t="s">
        <v>11</v>
      </c>
      <c r="F22" s="3" t="s">
        <v>157</v>
      </c>
      <c r="G22" s="3" t="s">
        <v>43</v>
      </c>
      <c r="H22" s="3" t="s">
        <v>105</v>
      </c>
      <c r="I22" s="3" t="s">
        <v>8</v>
      </c>
      <c r="J22" s="3" t="s">
        <v>106</v>
      </c>
      <c r="K22" s="3">
        <v>8</v>
      </c>
      <c r="L22" s="3" t="s">
        <v>107</v>
      </c>
      <c r="M22" s="3" t="s">
        <v>108</v>
      </c>
      <c r="N22" s="3" t="s">
        <v>158</v>
      </c>
      <c r="O22" s="3" t="s">
        <v>109</v>
      </c>
      <c r="P22" s="3">
        <v>1442.76</v>
      </c>
      <c r="T22" s="22">
        <v>10</v>
      </c>
    </row>
    <row r="23" spans="1:28" x14ac:dyDescent="0.25">
      <c r="A23" s="25" t="str">
        <f t="shared" si="1"/>
        <v>11576724NAVY</v>
      </c>
      <c r="B23" s="26" t="s">
        <v>8</v>
      </c>
      <c r="C23" s="27">
        <v>4</v>
      </c>
      <c r="D23" s="22">
        <v>11576724</v>
      </c>
      <c r="E23" s="22" t="s">
        <v>14</v>
      </c>
      <c r="F23" s="3" t="s">
        <v>159</v>
      </c>
      <c r="G23" s="3" t="s">
        <v>43</v>
      </c>
      <c r="H23" s="3" t="s">
        <v>105</v>
      </c>
      <c r="I23" s="3" t="s">
        <v>8</v>
      </c>
      <c r="J23" s="3" t="s">
        <v>106</v>
      </c>
      <c r="K23" s="3">
        <v>4</v>
      </c>
      <c r="L23" s="3" t="s">
        <v>107</v>
      </c>
      <c r="M23" s="3" t="s">
        <v>108</v>
      </c>
      <c r="O23" s="3" t="s">
        <v>109</v>
      </c>
      <c r="P23" s="3">
        <v>1442.76</v>
      </c>
      <c r="T23" s="22">
        <v>12</v>
      </c>
    </row>
    <row r="24" spans="1:28" x14ac:dyDescent="0.25">
      <c r="A24" s="25" t="str">
        <f t="shared" si="1"/>
        <v>11579473BLK</v>
      </c>
      <c r="B24" s="26" t="s">
        <v>8</v>
      </c>
      <c r="C24" s="27">
        <v>4</v>
      </c>
      <c r="D24" s="22">
        <v>11579473</v>
      </c>
      <c r="E24" s="22" t="s">
        <v>12</v>
      </c>
      <c r="F24" s="3" t="s">
        <v>160</v>
      </c>
      <c r="G24" s="3" t="s">
        <v>43</v>
      </c>
      <c r="H24" s="3" t="s">
        <v>105</v>
      </c>
      <c r="I24" s="3" t="s">
        <v>8</v>
      </c>
      <c r="J24" s="3" t="s">
        <v>106</v>
      </c>
      <c r="K24" s="3">
        <v>4</v>
      </c>
      <c r="L24" s="3" t="s">
        <v>107</v>
      </c>
      <c r="M24" s="3" t="s">
        <v>135</v>
      </c>
      <c r="O24" s="3" t="s">
        <v>109</v>
      </c>
      <c r="P24" s="3">
        <v>1691.6</v>
      </c>
      <c r="T24" s="22">
        <v>36</v>
      </c>
    </row>
    <row r="25" spans="1:28" x14ac:dyDescent="0.25">
      <c r="A25" s="25" t="str">
        <f t="shared" si="1"/>
        <v>11588488SCAWHI</v>
      </c>
      <c r="B25" s="26" t="s">
        <v>8</v>
      </c>
      <c r="C25" s="27">
        <v>2</v>
      </c>
      <c r="D25" s="22">
        <v>11588488</v>
      </c>
      <c r="E25" s="22" t="s">
        <v>22</v>
      </c>
      <c r="F25" s="3" t="s">
        <v>161</v>
      </c>
      <c r="G25" s="3" t="s">
        <v>43</v>
      </c>
      <c r="H25" s="3" t="s">
        <v>105</v>
      </c>
      <c r="I25" s="3" t="s">
        <v>8</v>
      </c>
      <c r="J25" s="3" t="s">
        <v>106</v>
      </c>
      <c r="K25" s="3">
        <v>2</v>
      </c>
      <c r="L25" s="3" t="s">
        <v>107</v>
      </c>
      <c r="M25" s="3" t="s">
        <v>135</v>
      </c>
      <c r="O25" s="3" t="s">
        <v>109</v>
      </c>
      <c r="P25" s="3">
        <v>1592.06</v>
      </c>
      <c r="T25" s="22">
        <v>6</v>
      </c>
    </row>
    <row r="26" spans="1:28" x14ac:dyDescent="0.25">
      <c r="A26" s="25" t="str">
        <f t="shared" si="1"/>
        <v>11588490GRAWHI</v>
      </c>
      <c r="B26" s="26" t="s">
        <v>8</v>
      </c>
      <c r="C26" s="27">
        <v>10</v>
      </c>
      <c r="D26" s="22">
        <v>11588490</v>
      </c>
      <c r="E26" s="22" t="s">
        <v>10</v>
      </c>
      <c r="F26" s="3" t="s">
        <v>162</v>
      </c>
      <c r="G26" s="3" t="s">
        <v>43</v>
      </c>
      <c r="H26" s="3" t="s">
        <v>105</v>
      </c>
      <c r="I26" s="3" t="s">
        <v>8</v>
      </c>
      <c r="J26" s="3" t="s">
        <v>106</v>
      </c>
      <c r="K26" s="3">
        <v>10</v>
      </c>
      <c r="L26" s="3" t="s">
        <v>107</v>
      </c>
      <c r="M26" s="3" t="s">
        <v>135</v>
      </c>
      <c r="O26" s="3" t="s">
        <v>109</v>
      </c>
      <c r="P26" s="3">
        <v>1489.65</v>
      </c>
      <c r="T26" s="22">
        <v>17</v>
      </c>
    </row>
    <row r="27" spans="1:28" x14ac:dyDescent="0.25">
      <c r="A27" s="25" t="str">
        <f t="shared" si="1"/>
        <v>11871279BLKOTC</v>
      </c>
      <c r="B27" s="26">
        <v>58</v>
      </c>
      <c r="C27" s="27">
        <v>9</v>
      </c>
      <c r="D27" s="22">
        <v>11871279</v>
      </c>
      <c r="E27" s="22" t="s">
        <v>23</v>
      </c>
      <c r="F27" s="3" t="s">
        <v>163</v>
      </c>
      <c r="G27" s="3" t="s">
        <v>47</v>
      </c>
      <c r="H27" s="3" t="s">
        <v>124</v>
      </c>
      <c r="I27" s="3">
        <v>58</v>
      </c>
      <c r="J27" s="3" t="s">
        <v>106</v>
      </c>
      <c r="K27" s="3">
        <v>9</v>
      </c>
      <c r="L27" s="3" t="s">
        <v>107</v>
      </c>
      <c r="M27" s="3" t="s">
        <v>164</v>
      </c>
      <c r="O27" s="3" t="s">
        <v>109</v>
      </c>
      <c r="P27" s="3">
        <v>1769.05</v>
      </c>
      <c r="Q27" s="21">
        <v>16</v>
      </c>
      <c r="S27" s="22">
        <v>15</v>
      </c>
    </row>
    <row r="28" spans="1:28" x14ac:dyDescent="0.25">
      <c r="A28" s="25" t="str">
        <f t="shared" si="1"/>
        <v>12051998MNCBLK</v>
      </c>
      <c r="B28" s="26" t="s">
        <v>8</v>
      </c>
      <c r="C28" s="27">
        <v>8</v>
      </c>
      <c r="D28" s="22">
        <v>12051998</v>
      </c>
      <c r="E28" s="22" t="s">
        <v>24</v>
      </c>
      <c r="F28" s="3" t="s">
        <v>166</v>
      </c>
      <c r="G28" s="3" t="s">
        <v>43</v>
      </c>
      <c r="H28" s="3" t="s">
        <v>105</v>
      </c>
      <c r="I28" s="3" t="s">
        <v>8</v>
      </c>
      <c r="J28" s="3" t="s">
        <v>106</v>
      </c>
      <c r="K28" s="3">
        <v>8</v>
      </c>
      <c r="L28" s="3" t="s">
        <v>107</v>
      </c>
      <c r="M28" s="3" t="s">
        <v>135</v>
      </c>
      <c r="N28" s="3" t="s">
        <v>167</v>
      </c>
      <c r="O28" s="3" t="s">
        <v>109</v>
      </c>
      <c r="P28" s="3">
        <v>1293.46</v>
      </c>
      <c r="T28" s="22">
        <v>58</v>
      </c>
    </row>
    <row r="29" spans="1:28" x14ac:dyDescent="0.25">
      <c r="A29" s="25" t="str">
        <f t="shared" si="1"/>
        <v>12052000BLK</v>
      </c>
      <c r="B29" s="26" t="s">
        <v>8</v>
      </c>
      <c r="C29" s="27">
        <v>15</v>
      </c>
      <c r="D29" s="22">
        <v>12052000</v>
      </c>
      <c r="E29" s="22" t="s">
        <v>12</v>
      </c>
      <c r="F29" s="3" t="s">
        <v>168</v>
      </c>
      <c r="G29" s="3" t="s">
        <v>43</v>
      </c>
      <c r="H29" s="3" t="s">
        <v>105</v>
      </c>
      <c r="I29" s="3" t="s">
        <v>8</v>
      </c>
      <c r="J29" s="3" t="s">
        <v>106</v>
      </c>
      <c r="K29" s="3">
        <v>15</v>
      </c>
      <c r="L29" s="3" t="s">
        <v>107</v>
      </c>
      <c r="M29" s="3" t="s">
        <v>135</v>
      </c>
      <c r="N29" s="3" t="s">
        <v>169</v>
      </c>
      <c r="O29" s="3" t="s">
        <v>109</v>
      </c>
      <c r="P29" s="3">
        <v>1293.46</v>
      </c>
      <c r="T29" s="22">
        <v>50</v>
      </c>
    </row>
    <row r="30" spans="1:28" x14ac:dyDescent="0.25">
      <c r="A30" s="25" t="str">
        <f t="shared" si="1"/>
        <v>12122741BLKWHI</v>
      </c>
      <c r="B30" s="26" t="s">
        <v>8</v>
      </c>
      <c r="C30" s="27">
        <v>10</v>
      </c>
      <c r="D30" s="22">
        <v>12122741</v>
      </c>
      <c r="E30" s="22" t="s">
        <v>9</v>
      </c>
      <c r="F30" s="3" t="s">
        <v>170</v>
      </c>
      <c r="G30" s="3" t="s">
        <v>43</v>
      </c>
      <c r="H30" s="3" t="s">
        <v>105</v>
      </c>
      <c r="I30" s="3" t="s">
        <v>8</v>
      </c>
      <c r="J30" s="3" t="s">
        <v>106</v>
      </c>
      <c r="K30" s="3">
        <v>10</v>
      </c>
      <c r="L30" s="3" t="s">
        <v>107</v>
      </c>
      <c r="M30" s="3" t="s">
        <v>135</v>
      </c>
      <c r="O30" s="3" t="s">
        <v>150</v>
      </c>
      <c r="P30" s="3">
        <v>1293.46</v>
      </c>
      <c r="T30" s="22">
        <v>30</v>
      </c>
    </row>
    <row r="31" spans="1:28" x14ac:dyDescent="0.25">
      <c r="A31" s="25" t="str">
        <f t="shared" si="1"/>
        <v>12122742BLKBLK</v>
      </c>
      <c r="B31" s="26" t="s">
        <v>8</v>
      </c>
      <c r="C31" s="27">
        <v>10</v>
      </c>
      <c r="D31" s="22">
        <v>12122742</v>
      </c>
      <c r="E31" s="22" t="s">
        <v>6</v>
      </c>
      <c r="F31" s="3" t="s">
        <v>171</v>
      </c>
      <c r="G31" s="3" t="s">
        <v>43</v>
      </c>
      <c r="H31" s="3" t="s">
        <v>105</v>
      </c>
      <c r="I31" s="3" t="s">
        <v>8</v>
      </c>
      <c r="J31" s="3" t="s">
        <v>106</v>
      </c>
      <c r="K31" s="3">
        <v>10</v>
      </c>
      <c r="L31" s="3" t="s">
        <v>107</v>
      </c>
      <c r="M31" s="3" t="s">
        <v>135</v>
      </c>
      <c r="O31" s="3" t="s">
        <v>150</v>
      </c>
      <c r="P31" s="3">
        <v>1293.46</v>
      </c>
      <c r="T31" s="22">
        <v>40</v>
      </c>
    </row>
    <row r="32" spans="1:28" x14ac:dyDescent="0.25">
      <c r="A32" s="25" t="str">
        <f t="shared" si="1"/>
        <v>12285467WHI</v>
      </c>
      <c r="B32" s="26" t="s">
        <v>8</v>
      </c>
      <c r="C32" s="27">
        <v>10</v>
      </c>
      <c r="D32" s="22">
        <v>12285467</v>
      </c>
      <c r="E32" s="22" t="s">
        <v>7</v>
      </c>
      <c r="F32" s="3" t="s">
        <v>172</v>
      </c>
      <c r="G32" s="3" t="s">
        <v>43</v>
      </c>
      <c r="H32" s="3" t="s">
        <v>105</v>
      </c>
      <c r="I32" s="3" t="s">
        <v>8</v>
      </c>
      <c r="J32" s="3" t="s">
        <v>106</v>
      </c>
      <c r="K32" s="3">
        <v>10</v>
      </c>
      <c r="L32" s="3" t="s">
        <v>107</v>
      </c>
      <c r="M32" s="3" t="s">
        <v>173</v>
      </c>
      <c r="O32" s="3" t="s">
        <v>109</v>
      </c>
      <c r="P32" s="3">
        <v>1592.06</v>
      </c>
      <c r="T32" s="22">
        <v>10</v>
      </c>
    </row>
    <row r="33" spans="1:20" x14ac:dyDescent="0.25">
      <c r="A33" s="25" t="str">
        <f t="shared" si="1"/>
        <v>12380590STN</v>
      </c>
      <c r="B33" s="26" t="s">
        <v>8</v>
      </c>
      <c r="C33" s="27">
        <v>15</v>
      </c>
      <c r="D33" s="22">
        <v>12380590</v>
      </c>
      <c r="E33" s="22" t="s">
        <v>13</v>
      </c>
      <c r="F33" s="3" t="s">
        <v>174</v>
      </c>
      <c r="G33" s="3" t="s">
        <v>43</v>
      </c>
      <c r="H33" s="3" t="s">
        <v>105</v>
      </c>
      <c r="I33" s="3" t="s">
        <v>8</v>
      </c>
      <c r="J33" s="3" t="s">
        <v>106</v>
      </c>
      <c r="K33" s="3">
        <v>15</v>
      </c>
      <c r="L33" s="3" t="s">
        <v>107</v>
      </c>
      <c r="M33" s="3" t="s">
        <v>135</v>
      </c>
      <c r="O33" s="3" t="s">
        <v>109</v>
      </c>
      <c r="P33" s="3">
        <v>1210.25</v>
      </c>
      <c r="T33" s="22">
        <v>25</v>
      </c>
    </row>
    <row r="34" spans="1:20" x14ac:dyDescent="0.25">
      <c r="A34" s="25" t="str">
        <f t="shared" si="1"/>
        <v>12380594BLK</v>
      </c>
      <c r="B34" s="26" t="s">
        <v>8</v>
      </c>
      <c r="C34" s="27">
        <v>2</v>
      </c>
      <c r="D34" s="22">
        <v>12380594</v>
      </c>
      <c r="E34" s="22" t="s">
        <v>12</v>
      </c>
      <c r="F34" s="3" t="s">
        <v>175</v>
      </c>
      <c r="G34" s="3" t="s">
        <v>43</v>
      </c>
      <c r="H34" s="3" t="s">
        <v>105</v>
      </c>
      <c r="I34" s="3" t="s">
        <v>8</v>
      </c>
      <c r="J34" s="3" t="s">
        <v>106</v>
      </c>
      <c r="K34" s="3">
        <v>2</v>
      </c>
      <c r="L34" s="3" t="s">
        <v>107</v>
      </c>
      <c r="M34" s="3" t="s">
        <v>135</v>
      </c>
      <c r="O34" s="3" t="s">
        <v>109</v>
      </c>
      <c r="P34" s="3">
        <v>1210.25</v>
      </c>
      <c r="T34" s="22">
        <v>2</v>
      </c>
    </row>
    <row r="35" spans="1:20" x14ac:dyDescent="0.25">
      <c r="A35" s="25" t="str">
        <f t="shared" si="1"/>
        <v>12380796OTC</v>
      </c>
      <c r="B35" s="26" t="s">
        <v>8</v>
      </c>
      <c r="C35" s="27">
        <v>7</v>
      </c>
      <c r="D35" s="22">
        <v>12380796</v>
      </c>
      <c r="E35" s="22" t="s">
        <v>11</v>
      </c>
      <c r="F35" s="3" t="s">
        <v>176</v>
      </c>
      <c r="G35" s="3" t="s">
        <v>43</v>
      </c>
      <c r="H35" s="3" t="s">
        <v>105</v>
      </c>
      <c r="I35" s="3" t="s">
        <v>8</v>
      </c>
      <c r="J35" s="3" t="s">
        <v>106</v>
      </c>
      <c r="K35" s="3">
        <v>7</v>
      </c>
      <c r="L35" s="3" t="s">
        <v>107</v>
      </c>
      <c r="M35" s="3" t="s">
        <v>173</v>
      </c>
      <c r="O35" s="3" t="s">
        <v>109</v>
      </c>
      <c r="P35" s="3">
        <v>1592.06</v>
      </c>
      <c r="T35" s="22">
        <v>18</v>
      </c>
    </row>
    <row r="36" spans="1:20" x14ac:dyDescent="0.25">
      <c r="A36" s="25" t="str">
        <f t="shared" si="1"/>
        <v>12523893STNWHI</v>
      </c>
      <c r="B36" s="26" t="s">
        <v>8</v>
      </c>
      <c r="C36" s="27">
        <v>12</v>
      </c>
      <c r="D36" s="22">
        <v>12523893</v>
      </c>
      <c r="E36" s="22" t="s">
        <v>25</v>
      </c>
      <c r="F36" s="3" t="s">
        <v>177</v>
      </c>
      <c r="G36" s="3" t="s">
        <v>43</v>
      </c>
      <c r="H36" s="3" t="s">
        <v>105</v>
      </c>
      <c r="I36" s="3" t="s">
        <v>8</v>
      </c>
      <c r="J36" s="3" t="s">
        <v>106</v>
      </c>
      <c r="K36" s="3">
        <v>12</v>
      </c>
      <c r="L36" s="3" t="s">
        <v>107</v>
      </c>
      <c r="M36" s="3" t="s">
        <v>173</v>
      </c>
      <c r="O36" s="3" t="s">
        <v>109</v>
      </c>
      <c r="P36" s="3">
        <v>1489.65</v>
      </c>
      <c r="T36" s="22">
        <v>19</v>
      </c>
    </row>
    <row r="37" spans="1:20" x14ac:dyDescent="0.25">
      <c r="A37" s="25" t="str">
        <f t="shared" si="1"/>
        <v>12523894NOVWHI</v>
      </c>
      <c r="B37" s="26" t="s">
        <v>8</v>
      </c>
      <c r="C37" s="27">
        <v>7</v>
      </c>
      <c r="D37" s="22">
        <v>12523894</v>
      </c>
      <c r="E37" s="22" t="s">
        <v>26</v>
      </c>
      <c r="F37" s="3" t="s">
        <v>178</v>
      </c>
      <c r="G37" s="3" t="s">
        <v>43</v>
      </c>
      <c r="H37" s="3" t="s">
        <v>105</v>
      </c>
      <c r="I37" s="3" t="s">
        <v>8</v>
      </c>
      <c r="J37" s="3" t="s">
        <v>106</v>
      </c>
      <c r="K37" s="3">
        <v>7</v>
      </c>
      <c r="L37" s="3" t="s">
        <v>107</v>
      </c>
      <c r="M37" s="3" t="s">
        <v>173</v>
      </c>
      <c r="O37" s="3" t="s">
        <v>109</v>
      </c>
      <c r="P37" s="3">
        <v>1592.06</v>
      </c>
      <c r="T37" s="22">
        <v>24</v>
      </c>
    </row>
    <row r="38" spans="1:20" x14ac:dyDescent="0.25">
      <c r="A38" s="25" t="str">
        <f t="shared" si="1"/>
        <v>12523903WHIWHI</v>
      </c>
      <c r="B38" s="26" t="s">
        <v>8</v>
      </c>
      <c r="C38" s="27">
        <v>18</v>
      </c>
      <c r="D38" s="22">
        <v>12523903</v>
      </c>
      <c r="E38" s="22" t="s">
        <v>27</v>
      </c>
      <c r="F38" s="3" t="s">
        <v>179</v>
      </c>
      <c r="G38" s="3" t="s">
        <v>43</v>
      </c>
      <c r="H38" s="3" t="s">
        <v>105</v>
      </c>
      <c r="I38" s="3" t="s">
        <v>8</v>
      </c>
      <c r="J38" s="3" t="s">
        <v>106</v>
      </c>
      <c r="K38" s="3">
        <v>18</v>
      </c>
      <c r="L38" s="3" t="s">
        <v>107</v>
      </c>
      <c r="M38" s="3" t="s">
        <v>108</v>
      </c>
      <c r="O38" s="3" t="s">
        <v>109</v>
      </c>
      <c r="P38" s="3">
        <v>1862.06</v>
      </c>
      <c r="T38" s="22">
        <v>24</v>
      </c>
    </row>
    <row r="39" spans="1:20" x14ac:dyDescent="0.25">
      <c r="A39" s="25" t="str">
        <f t="shared" si="1"/>
        <v>12523912BLKBLK</v>
      </c>
      <c r="B39" s="26" t="s">
        <v>8</v>
      </c>
      <c r="C39" s="27">
        <v>10</v>
      </c>
      <c r="D39" s="22">
        <v>12523912</v>
      </c>
      <c r="E39" s="22" t="s">
        <v>6</v>
      </c>
      <c r="F39" s="3" t="s">
        <v>180</v>
      </c>
      <c r="G39" s="3" t="s">
        <v>43</v>
      </c>
      <c r="H39" s="3" t="s">
        <v>105</v>
      </c>
      <c r="I39" s="3" t="s">
        <v>8</v>
      </c>
      <c r="J39" s="3" t="s">
        <v>106</v>
      </c>
      <c r="K39" s="3">
        <v>10</v>
      </c>
      <c r="L39" s="3" t="s">
        <v>107</v>
      </c>
      <c r="M39" s="3" t="s">
        <v>173</v>
      </c>
      <c r="O39" s="3" t="s">
        <v>109</v>
      </c>
      <c r="P39" s="3">
        <v>1592.06</v>
      </c>
      <c r="T39" s="22">
        <v>35</v>
      </c>
    </row>
    <row r="40" spans="1:20" x14ac:dyDescent="0.25">
      <c r="A40" s="25" t="str">
        <f t="shared" si="1"/>
        <v>12572845OTC</v>
      </c>
      <c r="B40" s="26">
        <v>57</v>
      </c>
      <c r="C40" s="27">
        <v>8</v>
      </c>
      <c r="D40" s="22">
        <v>12572845</v>
      </c>
      <c r="E40" s="22" t="s">
        <v>11</v>
      </c>
      <c r="F40" s="3" t="s">
        <v>181</v>
      </c>
      <c r="G40" s="3" t="s">
        <v>182</v>
      </c>
      <c r="H40" s="3">
        <v>57</v>
      </c>
      <c r="I40" s="3">
        <v>57</v>
      </c>
      <c r="J40" s="3" t="s">
        <v>106</v>
      </c>
      <c r="K40" s="3">
        <v>8</v>
      </c>
      <c r="L40" s="3" t="s">
        <v>107</v>
      </c>
      <c r="M40" s="3" t="s">
        <v>108</v>
      </c>
      <c r="O40" s="3" t="s">
        <v>109</v>
      </c>
      <c r="P40" s="3">
        <v>1846.65</v>
      </c>
      <c r="R40" s="22">
        <v>8</v>
      </c>
    </row>
    <row r="41" spans="1:20" x14ac:dyDescent="0.25">
      <c r="A41" s="25" t="str">
        <f t="shared" si="1"/>
        <v>80468932BLK</v>
      </c>
      <c r="B41" s="26" t="s">
        <v>8</v>
      </c>
      <c r="C41" s="27">
        <v>30</v>
      </c>
      <c r="D41" s="22">
        <v>80468932</v>
      </c>
      <c r="E41" s="22" t="s">
        <v>12</v>
      </c>
      <c r="F41" s="3" t="s">
        <v>183</v>
      </c>
      <c r="G41" s="3" t="s">
        <v>43</v>
      </c>
      <c r="H41" s="3" t="s">
        <v>105</v>
      </c>
      <c r="I41" s="3" t="s">
        <v>8</v>
      </c>
      <c r="J41" s="3" t="s">
        <v>106</v>
      </c>
      <c r="K41" s="3">
        <v>30</v>
      </c>
      <c r="L41" s="3" t="s">
        <v>107</v>
      </c>
      <c r="M41" s="3" t="s">
        <v>135</v>
      </c>
      <c r="N41" s="3" t="s">
        <v>167</v>
      </c>
      <c r="O41" s="3" t="s">
        <v>109</v>
      </c>
      <c r="P41" s="3">
        <v>1210.25</v>
      </c>
      <c r="T41" s="22">
        <v>50</v>
      </c>
    </row>
    <row r="42" spans="1:20" x14ac:dyDescent="0.25">
      <c r="A42" s="25" t="str">
        <f t="shared" si="1"/>
        <v>80489231GRAPNK</v>
      </c>
      <c r="B42" s="26" t="s">
        <v>8</v>
      </c>
      <c r="C42" s="27">
        <v>5</v>
      </c>
      <c r="D42" s="22">
        <v>80489231</v>
      </c>
      <c r="E42" s="22" t="s">
        <v>28</v>
      </c>
      <c r="F42" s="3" t="s">
        <v>184</v>
      </c>
      <c r="G42" s="3" t="s">
        <v>43</v>
      </c>
      <c r="H42" s="3" t="s">
        <v>105</v>
      </c>
      <c r="I42" s="3" t="s">
        <v>8</v>
      </c>
      <c r="J42" s="3" t="s">
        <v>106</v>
      </c>
      <c r="K42" s="3">
        <v>5</v>
      </c>
      <c r="L42" s="3" t="s">
        <v>107</v>
      </c>
      <c r="M42" s="3" t="s">
        <v>185</v>
      </c>
      <c r="N42" s="3" t="s">
        <v>186</v>
      </c>
      <c r="O42" s="3" t="s">
        <v>150</v>
      </c>
      <c r="P42" s="3">
        <v>1442.76</v>
      </c>
      <c r="T42" s="22">
        <v>11</v>
      </c>
    </row>
    <row r="43" spans="1:20" x14ac:dyDescent="0.25">
      <c r="A43" s="25" t="str">
        <f t="shared" si="1"/>
        <v>80524868WHI</v>
      </c>
      <c r="B43" s="26" t="s">
        <v>8</v>
      </c>
      <c r="C43" s="27">
        <v>6</v>
      </c>
      <c r="D43" s="22">
        <v>80524868</v>
      </c>
      <c r="E43" s="22" t="s">
        <v>7</v>
      </c>
      <c r="F43" s="3" t="s">
        <v>187</v>
      </c>
      <c r="G43" s="3" t="s">
        <v>43</v>
      </c>
      <c r="H43" s="3" t="s">
        <v>105</v>
      </c>
      <c r="I43" s="3" t="s">
        <v>8</v>
      </c>
      <c r="J43" s="3" t="s">
        <v>106</v>
      </c>
      <c r="K43" s="3">
        <v>6</v>
      </c>
      <c r="L43" s="3" t="s">
        <v>107</v>
      </c>
      <c r="M43" s="3" t="s">
        <v>135</v>
      </c>
      <c r="N43" s="3" t="s">
        <v>186</v>
      </c>
      <c r="O43" s="3" t="s">
        <v>150</v>
      </c>
      <c r="P43" s="3">
        <v>1293.46</v>
      </c>
      <c r="T43" s="22">
        <v>16</v>
      </c>
    </row>
    <row r="44" spans="1:20" x14ac:dyDescent="0.25">
      <c r="A44" s="25" t="str">
        <f t="shared" si="1"/>
        <v>80636012CARWHI</v>
      </c>
      <c r="B44" s="26" t="s">
        <v>8</v>
      </c>
      <c r="C44" s="27">
        <v>10</v>
      </c>
      <c r="D44" s="22">
        <v>80636012</v>
      </c>
      <c r="E44" s="22" t="s">
        <v>29</v>
      </c>
      <c r="F44" s="3" t="s">
        <v>188</v>
      </c>
      <c r="G44" s="3" t="s">
        <v>43</v>
      </c>
      <c r="H44" s="3" t="s">
        <v>105</v>
      </c>
      <c r="I44" s="3" t="s">
        <v>8</v>
      </c>
      <c r="J44" s="3" t="s">
        <v>106</v>
      </c>
      <c r="K44" s="3">
        <v>10</v>
      </c>
      <c r="L44" s="3" t="s">
        <v>107</v>
      </c>
      <c r="M44" s="3" t="s">
        <v>135</v>
      </c>
      <c r="N44" s="3" t="s">
        <v>167</v>
      </c>
      <c r="O44" s="3" t="s">
        <v>109</v>
      </c>
      <c r="P44" s="3">
        <v>1293.46</v>
      </c>
      <c r="T44" s="22">
        <v>15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ОбратноеТранспонирование">
                <anchor moveWithCells="1" sizeWithCells="1">
                  <from>
                    <xdr:col>28</xdr:col>
                    <xdr:colOff>333375</xdr:colOff>
                    <xdr:row>1</xdr:row>
                    <xdr:rowOff>57150</xdr:rowOff>
                  </from>
                  <to>
                    <xdr:col>32</xdr:col>
                    <xdr:colOff>114300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7DB48-8FCF-40CB-8A9D-7117B5058BFD}">
  <sheetPr codeName="Лист5"/>
  <dimension ref="A1:R44"/>
  <sheetViews>
    <sheetView zoomScale="85" zoomScaleNormal="85" workbookViewId="0">
      <pane ySplit="1" topLeftCell="A2" activePane="bottomLeft" state="frozen"/>
      <selection sqref="A1:C1"/>
      <selection pane="bottomLeft" sqref="A1:C1"/>
    </sheetView>
  </sheetViews>
  <sheetFormatPr defaultRowHeight="15" x14ac:dyDescent="0.25"/>
  <cols>
    <col min="1" max="2" width="30.28515625" customWidth="1"/>
    <col min="3" max="3" width="17.85546875" bestFit="1" customWidth="1"/>
    <col min="4" max="4" width="9.5703125" bestFit="1" customWidth="1"/>
    <col min="5" max="5" width="8.85546875" bestFit="1" customWidth="1"/>
    <col min="6" max="6" width="13.85546875" bestFit="1" customWidth="1"/>
    <col min="7" max="7" width="27.140625" bestFit="1" customWidth="1"/>
    <col min="8" max="8" width="27" bestFit="1" customWidth="1"/>
    <col min="9" max="9" width="8.85546875" bestFit="1" customWidth="1"/>
    <col min="10" max="10" width="8" bestFit="1" customWidth="1"/>
    <col min="11" max="11" width="13.85546875" bestFit="1" customWidth="1"/>
    <col min="12" max="12" width="20.42578125" bestFit="1" customWidth="1"/>
    <col min="13" max="13" width="8" bestFit="1" customWidth="1"/>
    <col min="14" max="14" width="9.7109375" style="14" bestFit="1" customWidth="1"/>
    <col min="15" max="18" width="8.5703125" style="14" bestFit="1" customWidth="1"/>
  </cols>
  <sheetData>
    <row r="1" spans="1:18" s="1" customFormat="1" x14ac:dyDescent="0.25">
      <c r="A1" s="7"/>
      <c r="B1" s="7" t="s">
        <v>189</v>
      </c>
      <c r="C1" s="7" t="s">
        <v>0</v>
      </c>
      <c r="D1" s="7" t="s">
        <v>4</v>
      </c>
      <c r="E1" s="7" t="s">
        <v>3</v>
      </c>
      <c r="F1" s="7" t="s">
        <v>95</v>
      </c>
      <c r="G1" s="7" t="s">
        <v>97</v>
      </c>
      <c r="H1" s="7" t="s">
        <v>98</v>
      </c>
      <c r="I1" s="7" t="s">
        <v>100</v>
      </c>
      <c r="J1" s="7" t="s">
        <v>5</v>
      </c>
      <c r="K1" s="7" t="s">
        <v>30</v>
      </c>
      <c r="L1" s="7" t="s">
        <v>101</v>
      </c>
      <c r="M1" s="7" t="s">
        <v>32</v>
      </c>
      <c r="N1" s="8" t="s">
        <v>8</v>
      </c>
      <c r="O1" s="8">
        <v>56</v>
      </c>
      <c r="P1" s="8">
        <v>57</v>
      </c>
      <c r="Q1" s="8">
        <v>58</v>
      </c>
      <c r="R1" s="8" t="s">
        <v>190</v>
      </c>
    </row>
    <row r="2" spans="1:18" ht="180.75" customHeight="1" x14ac:dyDescent="0.25">
      <c r="A2" s="9"/>
      <c r="B2" s="9"/>
      <c r="C2" s="9" t="s">
        <v>191</v>
      </c>
      <c r="D2" s="9">
        <v>10047507</v>
      </c>
      <c r="E2" s="9" t="s">
        <v>14</v>
      </c>
      <c r="F2" s="9" t="s">
        <v>106</v>
      </c>
      <c r="G2" s="9" t="s">
        <v>107</v>
      </c>
      <c r="H2" s="9" t="s">
        <v>108</v>
      </c>
      <c r="I2" s="9" t="s">
        <v>109</v>
      </c>
      <c r="J2" s="9" t="e">
        <f>VLOOKUP(C2,Data!A:P,4,0)</f>
        <v>#N/A</v>
      </c>
      <c r="K2" s="9" t="s">
        <v>85</v>
      </c>
      <c r="L2" s="9" t="s">
        <v>86</v>
      </c>
      <c r="M2" s="9" t="s">
        <v>39</v>
      </c>
      <c r="N2" s="10">
        <v>24</v>
      </c>
      <c r="O2" s="10"/>
      <c r="P2" s="10"/>
      <c r="Q2" s="10"/>
      <c r="R2" s="10" t="e">
        <f>SUM(N2:Q2)*J2</f>
        <v>#N/A</v>
      </c>
    </row>
    <row r="3" spans="1:18" ht="180.75" customHeight="1" x14ac:dyDescent="0.25">
      <c r="A3" s="9"/>
      <c r="B3" s="9"/>
      <c r="C3" s="9" t="s">
        <v>192</v>
      </c>
      <c r="D3" s="9">
        <v>10047511</v>
      </c>
      <c r="E3" s="9" t="s">
        <v>11</v>
      </c>
      <c r="F3" s="9" t="s">
        <v>106</v>
      </c>
      <c r="G3" s="9" t="s">
        <v>107</v>
      </c>
      <c r="H3" s="9" t="s">
        <v>108</v>
      </c>
      <c r="I3" s="9" t="s">
        <v>109</v>
      </c>
      <c r="J3" s="9" t="e">
        <f>VLOOKUP(C3,Data!A:P,4,0)</f>
        <v>#N/A</v>
      </c>
      <c r="K3" s="9" t="s">
        <v>55</v>
      </c>
      <c r="L3" s="9" t="s">
        <v>53</v>
      </c>
      <c r="M3" s="9" t="s">
        <v>39</v>
      </c>
      <c r="N3" s="10">
        <v>18</v>
      </c>
      <c r="O3" s="10"/>
      <c r="P3" s="10"/>
      <c r="Q3" s="10"/>
      <c r="R3" s="10" t="e">
        <f t="shared" ref="R3:R43" si="0">SUM(N3:Q3)*J3</f>
        <v>#N/A</v>
      </c>
    </row>
    <row r="4" spans="1:18" ht="180.75" customHeight="1" x14ac:dyDescent="0.25">
      <c r="A4" s="9"/>
      <c r="B4" s="9"/>
      <c r="C4" s="9" t="s">
        <v>193</v>
      </c>
      <c r="D4" s="9">
        <v>10047515</v>
      </c>
      <c r="E4" s="9" t="s">
        <v>9</v>
      </c>
      <c r="F4" s="9" t="s">
        <v>106</v>
      </c>
      <c r="G4" s="9" t="s">
        <v>107</v>
      </c>
      <c r="H4" s="9" t="s">
        <v>108</v>
      </c>
      <c r="I4" s="9" t="s">
        <v>109</v>
      </c>
      <c r="J4" s="9" t="e">
        <f>VLOOKUP(C4,Data!A:P,4,0)</f>
        <v>#N/A</v>
      </c>
      <c r="K4" s="9" t="s">
        <v>87</v>
      </c>
      <c r="L4" s="9" t="s">
        <v>88</v>
      </c>
      <c r="M4" s="9" t="s">
        <v>39</v>
      </c>
      <c r="N4" s="10">
        <v>18</v>
      </c>
      <c r="O4" s="10"/>
      <c r="P4" s="10"/>
      <c r="Q4" s="10"/>
      <c r="R4" s="10" t="e">
        <f t="shared" si="0"/>
        <v>#N/A</v>
      </c>
    </row>
    <row r="5" spans="1:18" ht="180.75" customHeight="1" x14ac:dyDescent="0.25">
      <c r="A5" s="9"/>
      <c r="B5" s="9"/>
      <c r="C5" s="9" t="s">
        <v>194</v>
      </c>
      <c r="D5" s="9">
        <v>10047531</v>
      </c>
      <c r="E5" s="9" t="s">
        <v>15</v>
      </c>
      <c r="F5" s="9" t="s">
        <v>106</v>
      </c>
      <c r="G5" s="9" t="s">
        <v>107</v>
      </c>
      <c r="H5" s="9" t="s">
        <v>108</v>
      </c>
      <c r="I5" s="9" t="s">
        <v>109</v>
      </c>
      <c r="J5" s="9" t="e">
        <f>VLOOKUP(C5,Data!A:P,4,0)</f>
        <v>#N/A</v>
      </c>
      <c r="K5" s="9" t="s">
        <v>42</v>
      </c>
      <c r="L5" s="9" t="s">
        <v>40</v>
      </c>
      <c r="M5" s="9" t="s">
        <v>39</v>
      </c>
      <c r="N5" s="10">
        <v>26</v>
      </c>
      <c r="O5" s="10"/>
      <c r="P5" s="10"/>
      <c r="Q5" s="10"/>
      <c r="R5" s="10" t="e">
        <f t="shared" si="0"/>
        <v>#N/A</v>
      </c>
    </row>
    <row r="6" spans="1:18" ht="180.75" customHeight="1" x14ac:dyDescent="0.25">
      <c r="A6" s="9"/>
      <c r="B6" s="9"/>
      <c r="C6" s="9" t="s">
        <v>195</v>
      </c>
      <c r="D6" s="9">
        <v>10047538</v>
      </c>
      <c r="E6" s="9" t="s">
        <v>14</v>
      </c>
      <c r="F6" s="9" t="s">
        <v>106</v>
      </c>
      <c r="G6" s="9" t="s">
        <v>107</v>
      </c>
      <c r="H6" s="9" t="s">
        <v>108</v>
      </c>
      <c r="I6" s="9" t="s">
        <v>109</v>
      </c>
      <c r="J6" s="9" t="e">
        <f>VLOOKUP(C6,Data!A:P,4,0)</f>
        <v>#N/A</v>
      </c>
      <c r="K6" s="9" t="s">
        <v>37</v>
      </c>
      <c r="L6" s="9" t="s">
        <v>38</v>
      </c>
      <c r="M6" s="9" t="s">
        <v>39</v>
      </c>
      <c r="N6" s="10">
        <v>62</v>
      </c>
      <c r="O6" s="10"/>
      <c r="P6" s="10"/>
      <c r="Q6" s="10"/>
      <c r="R6" s="10" t="e">
        <f t="shared" si="0"/>
        <v>#N/A</v>
      </c>
    </row>
    <row r="7" spans="1:18" ht="180.75" customHeight="1" x14ac:dyDescent="0.25">
      <c r="A7" s="9"/>
      <c r="B7" s="9"/>
      <c r="C7" s="9" t="s">
        <v>196</v>
      </c>
      <c r="D7" s="9">
        <v>10047540</v>
      </c>
      <c r="E7" s="9" t="s">
        <v>16</v>
      </c>
      <c r="F7" s="9" t="s">
        <v>106</v>
      </c>
      <c r="G7" s="9" t="s">
        <v>107</v>
      </c>
      <c r="H7" s="9" t="s">
        <v>108</v>
      </c>
      <c r="I7" s="9" t="s">
        <v>109</v>
      </c>
      <c r="J7" s="9" t="e">
        <f>VLOOKUP(C7,Data!A:P,4,0)</f>
        <v>#N/A</v>
      </c>
      <c r="K7" s="9" t="s">
        <v>51</v>
      </c>
      <c r="L7" s="9" t="s">
        <v>52</v>
      </c>
      <c r="M7" s="9" t="s">
        <v>39</v>
      </c>
      <c r="N7" s="10">
        <v>30</v>
      </c>
      <c r="O7" s="10"/>
      <c r="P7" s="10"/>
      <c r="Q7" s="10"/>
      <c r="R7" s="10" t="e">
        <f t="shared" si="0"/>
        <v>#N/A</v>
      </c>
    </row>
    <row r="8" spans="1:18" ht="180.75" customHeight="1" x14ac:dyDescent="0.25">
      <c r="A8" s="9"/>
      <c r="B8" s="9"/>
      <c r="C8" s="9" t="s">
        <v>197</v>
      </c>
      <c r="D8" s="9">
        <v>10047544</v>
      </c>
      <c r="E8" s="9" t="s">
        <v>11</v>
      </c>
      <c r="F8" s="9" t="s">
        <v>106</v>
      </c>
      <c r="G8" s="9" t="s">
        <v>107</v>
      </c>
      <c r="H8" s="9" t="s">
        <v>108</v>
      </c>
      <c r="I8" s="9" t="s">
        <v>109</v>
      </c>
      <c r="J8" s="9" t="e">
        <f>VLOOKUP(C8,Data!A:P,4,0)</f>
        <v>#N/A</v>
      </c>
      <c r="K8" s="9" t="s">
        <v>89</v>
      </c>
      <c r="L8" s="9" t="s">
        <v>198</v>
      </c>
      <c r="M8" s="9" t="s">
        <v>39</v>
      </c>
      <c r="N8" s="10">
        <v>15</v>
      </c>
      <c r="O8" s="10"/>
      <c r="P8" s="10"/>
      <c r="Q8" s="10"/>
      <c r="R8" s="10" t="e">
        <f t="shared" si="0"/>
        <v>#N/A</v>
      </c>
    </row>
    <row r="9" spans="1:18" ht="180.75" customHeight="1" x14ac:dyDescent="0.25">
      <c r="A9" s="9"/>
      <c r="B9" s="9"/>
      <c r="C9" s="9" t="s">
        <v>199</v>
      </c>
      <c r="D9" s="9">
        <v>10145636</v>
      </c>
      <c r="E9" s="9" t="s">
        <v>17</v>
      </c>
      <c r="F9" s="9" t="s">
        <v>106</v>
      </c>
      <c r="G9" s="9" t="s">
        <v>107</v>
      </c>
      <c r="H9" s="9" t="s">
        <v>125</v>
      </c>
      <c r="I9" s="9" t="s">
        <v>109</v>
      </c>
      <c r="J9" s="9" t="e">
        <f>VLOOKUP(C9,Data!A:P,4,0)</f>
        <v>#N/A</v>
      </c>
      <c r="K9" s="9" t="s">
        <v>37</v>
      </c>
      <c r="L9" s="9" t="s">
        <v>38</v>
      </c>
      <c r="M9" s="9" t="s">
        <v>39</v>
      </c>
      <c r="N9" s="10"/>
      <c r="O9" s="10">
        <v>15</v>
      </c>
      <c r="P9" s="10"/>
      <c r="Q9" s="10">
        <v>20</v>
      </c>
      <c r="R9" s="10" t="e">
        <f t="shared" si="0"/>
        <v>#N/A</v>
      </c>
    </row>
    <row r="10" spans="1:18" ht="180.75" customHeight="1" x14ac:dyDescent="0.25">
      <c r="A10" s="9"/>
      <c r="B10" s="9"/>
      <c r="C10" s="9" t="s">
        <v>200</v>
      </c>
      <c r="D10" s="9">
        <v>10145637</v>
      </c>
      <c r="E10" s="9" t="s">
        <v>6</v>
      </c>
      <c r="F10" s="9" t="s">
        <v>106</v>
      </c>
      <c r="G10" s="9" t="s">
        <v>130</v>
      </c>
      <c r="H10" s="9" t="s">
        <v>125</v>
      </c>
      <c r="I10" s="9" t="s">
        <v>109</v>
      </c>
      <c r="J10" s="9" t="str">
        <f>VLOOKUP(C10,Data!A:P,4,0)</f>
        <v>10145637-BLKBLK L/XL  Бейсболка 39THIRTY LEAGUE BASIC NEYYAN BLACK/BLACK черный р.L/XL</v>
      </c>
      <c r="K10" s="9" t="s">
        <v>37</v>
      </c>
      <c r="L10" s="9" t="s">
        <v>38</v>
      </c>
      <c r="M10" s="9" t="s">
        <v>39</v>
      </c>
      <c r="N10" s="10"/>
      <c r="O10" s="10">
        <v>15</v>
      </c>
      <c r="P10" s="10"/>
      <c r="Q10" s="10">
        <v>20</v>
      </c>
      <c r="R10" s="10" t="e">
        <f t="shared" si="0"/>
        <v>#VALUE!</v>
      </c>
    </row>
    <row r="11" spans="1:18" ht="171.75" customHeight="1" x14ac:dyDescent="0.25">
      <c r="A11" s="9"/>
      <c r="B11" s="9"/>
      <c r="C11" s="9" t="s">
        <v>201</v>
      </c>
      <c r="D11" s="9">
        <v>10145638</v>
      </c>
      <c r="E11" s="9" t="s">
        <v>18</v>
      </c>
      <c r="F11" s="9" t="s">
        <v>106</v>
      </c>
      <c r="G11" s="9" t="s">
        <v>107</v>
      </c>
      <c r="H11" s="9" t="s">
        <v>125</v>
      </c>
      <c r="I11" s="9" t="s">
        <v>109</v>
      </c>
      <c r="J11" s="9" t="e">
        <f>VLOOKUP(C11,Data!A:P,4,0)</f>
        <v>#N/A</v>
      </c>
      <c r="K11" s="9" t="s">
        <v>37</v>
      </c>
      <c r="L11" s="9" t="s">
        <v>38</v>
      </c>
      <c r="M11" s="9" t="s">
        <v>39</v>
      </c>
      <c r="N11" s="10"/>
      <c r="O11" s="10">
        <v>4</v>
      </c>
      <c r="P11" s="10"/>
      <c r="Q11" s="10">
        <v>6</v>
      </c>
      <c r="R11" s="10" t="e">
        <f t="shared" si="0"/>
        <v>#N/A</v>
      </c>
    </row>
    <row r="12" spans="1:18" ht="180.75" customHeight="1" x14ac:dyDescent="0.25">
      <c r="A12" s="9"/>
      <c r="B12" s="9"/>
      <c r="C12" s="9" t="s">
        <v>202</v>
      </c>
      <c r="D12" s="9">
        <v>10531939</v>
      </c>
      <c r="E12" s="9" t="s">
        <v>19</v>
      </c>
      <c r="F12" s="9" t="s">
        <v>106</v>
      </c>
      <c r="G12" s="9" t="s">
        <v>107</v>
      </c>
      <c r="H12" s="9" t="s">
        <v>135</v>
      </c>
      <c r="I12" s="9" t="s">
        <v>109</v>
      </c>
      <c r="J12" s="9" t="e">
        <f>VLOOKUP(C12,Data!A:P,4,0)</f>
        <v>#N/A</v>
      </c>
      <c r="K12" s="9" t="s">
        <v>37</v>
      </c>
      <c r="L12" s="9" t="s">
        <v>38</v>
      </c>
      <c r="M12" s="9" t="s">
        <v>39</v>
      </c>
      <c r="N12" s="10">
        <v>51</v>
      </c>
      <c r="O12" s="10"/>
      <c r="P12" s="10"/>
      <c r="Q12" s="10"/>
      <c r="R12" s="10" t="e">
        <f t="shared" si="0"/>
        <v>#N/A</v>
      </c>
    </row>
    <row r="13" spans="1:18" ht="180.75" customHeight="1" x14ac:dyDescent="0.25">
      <c r="A13" s="9"/>
      <c r="B13" s="9"/>
      <c r="C13" s="9" t="s">
        <v>203</v>
      </c>
      <c r="D13" s="9">
        <v>10531941</v>
      </c>
      <c r="E13" s="9" t="s">
        <v>9</v>
      </c>
      <c r="F13" s="9" t="s">
        <v>106</v>
      </c>
      <c r="G13" s="9" t="s">
        <v>107</v>
      </c>
      <c r="H13" s="9" t="s">
        <v>135</v>
      </c>
      <c r="I13" s="9" t="s">
        <v>109</v>
      </c>
      <c r="J13" s="9" t="e">
        <f>VLOOKUP(C13,Data!A:P,4,0)</f>
        <v>#N/A</v>
      </c>
      <c r="K13" s="9" t="s">
        <v>37</v>
      </c>
      <c r="L13" s="9" t="s">
        <v>38</v>
      </c>
      <c r="M13" s="9" t="s">
        <v>39</v>
      </c>
      <c r="N13" s="10">
        <v>90</v>
      </c>
      <c r="O13" s="10"/>
      <c r="P13" s="10"/>
      <c r="Q13" s="10"/>
      <c r="R13" s="10" t="e">
        <f t="shared" si="0"/>
        <v>#N/A</v>
      </c>
    </row>
    <row r="14" spans="1:18" ht="180.75" customHeight="1" x14ac:dyDescent="0.25">
      <c r="A14" s="9"/>
      <c r="B14" s="9"/>
      <c r="C14" s="9" t="s">
        <v>204</v>
      </c>
      <c r="D14" s="9">
        <v>10531953</v>
      </c>
      <c r="E14" s="9" t="s">
        <v>19</v>
      </c>
      <c r="F14" s="9" t="s">
        <v>106</v>
      </c>
      <c r="G14" s="9" t="s">
        <v>107</v>
      </c>
      <c r="H14" s="9" t="s">
        <v>135</v>
      </c>
      <c r="I14" s="9" t="s">
        <v>109</v>
      </c>
      <c r="J14" s="9" t="e">
        <f>VLOOKUP(C14,Data!A:P,4,0)</f>
        <v>#N/A</v>
      </c>
      <c r="K14" s="9" t="s">
        <v>37</v>
      </c>
      <c r="L14" s="9" t="s">
        <v>38</v>
      </c>
      <c r="M14" s="9" t="s">
        <v>39</v>
      </c>
      <c r="N14" s="10"/>
      <c r="O14" s="10">
        <v>10</v>
      </c>
      <c r="P14" s="10"/>
      <c r="Q14" s="10">
        <v>10</v>
      </c>
      <c r="R14" s="10" t="e">
        <f t="shared" si="0"/>
        <v>#N/A</v>
      </c>
    </row>
    <row r="15" spans="1:18" ht="180.75" customHeight="1" x14ac:dyDescent="0.25">
      <c r="A15" s="9"/>
      <c r="B15" s="9"/>
      <c r="C15" s="9" t="s">
        <v>205</v>
      </c>
      <c r="D15" s="9">
        <v>10531954</v>
      </c>
      <c r="E15" s="9" t="s">
        <v>20</v>
      </c>
      <c r="F15" s="9" t="s">
        <v>106</v>
      </c>
      <c r="G15" s="9" t="s">
        <v>107</v>
      </c>
      <c r="H15" s="9" t="s">
        <v>135</v>
      </c>
      <c r="I15" s="9" t="s">
        <v>109</v>
      </c>
      <c r="J15" s="9" t="e">
        <f>VLOOKUP(C15,Data!A:P,4,0)</f>
        <v>#N/A</v>
      </c>
      <c r="K15" s="9" t="s">
        <v>42</v>
      </c>
      <c r="L15" s="9" t="s">
        <v>40</v>
      </c>
      <c r="M15" s="9" t="s">
        <v>39</v>
      </c>
      <c r="N15" s="10"/>
      <c r="O15" s="10">
        <v>5</v>
      </c>
      <c r="P15" s="10"/>
      <c r="Q15" s="10">
        <v>6</v>
      </c>
      <c r="R15" s="10" t="e">
        <f t="shared" si="0"/>
        <v>#N/A</v>
      </c>
    </row>
    <row r="16" spans="1:18" ht="180.75" customHeight="1" x14ac:dyDescent="0.25">
      <c r="A16" s="9"/>
      <c r="B16" s="9"/>
      <c r="C16" s="9" t="s">
        <v>206</v>
      </c>
      <c r="D16" s="9">
        <v>10531956</v>
      </c>
      <c r="E16" s="9" t="s">
        <v>20</v>
      </c>
      <c r="F16" s="9" t="s">
        <v>106</v>
      </c>
      <c r="G16" s="9" t="s">
        <v>130</v>
      </c>
      <c r="H16" s="9" t="s">
        <v>135</v>
      </c>
      <c r="I16" s="9" t="s">
        <v>109</v>
      </c>
      <c r="J16" s="9" t="e">
        <f>VLOOKUP(C16,Data!A:P,4,0)</f>
        <v>#N/A</v>
      </c>
      <c r="K16" s="9" t="s">
        <v>55</v>
      </c>
      <c r="L16" s="9" t="s">
        <v>53</v>
      </c>
      <c r="M16" s="9" t="s">
        <v>39</v>
      </c>
      <c r="N16" s="10"/>
      <c r="O16" s="10">
        <v>7</v>
      </c>
      <c r="P16" s="10"/>
      <c r="Q16" s="10">
        <v>10</v>
      </c>
      <c r="R16" s="10" t="e">
        <f t="shared" si="0"/>
        <v>#N/A</v>
      </c>
    </row>
    <row r="17" spans="1:18" ht="180.75" customHeight="1" x14ac:dyDescent="0.25">
      <c r="A17" s="9"/>
      <c r="B17" s="9"/>
      <c r="C17" s="9" t="s">
        <v>207</v>
      </c>
      <c r="D17" s="9">
        <v>10879529</v>
      </c>
      <c r="E17" s="9" t="s">
        <v>12</v>
      </c>
      <c r="F17" s="9" t="s">
        <v>106</v>
      </c>
      <c r="G17" s="9" t="s">
        <v>107</v>
      </c>
      <c r="H17" s="9" t="s">
        <v>135</v>
      </c>
      <c r="I17" s="9" t="s">
        <v>109</v>
      </c>
      <c r="J17" s="9" t="e">
        <f>VLOOKUP(C17,Data!A:P,4,0)</f>
        <v>#N/A</v>
      </c>
      <c r="K17" s="9" t="s">
        <v>67</v>
      </c>
      <c r="L17" s="9" t="s">
        <v>56</v>
      </c>
      <c r="M17" s="9" t="s">
        <v>57</v>
      </c>
      <c r="N17" s="10"/>
      <c r="O17" s="10">
        <v>4</v>
      </c>
      <c r="P17" s="10"/>
      <c r="Q17" s="10">
        <v>6</v>
      </c>
      <c r="R17" s="10" t="e">
        <f t="shared" si="0"/>
        <v>#N/A</v>
      </c>
    </row>
    <row r="18" spans="1:18" ht="180.75" customHeight="1" x14ac:dyDescent="0.25">
      <c r="A18" s="9"/>
      <c r="B18" s="9"/>
      <c r="C18" s="9" t="s">
        <v>208</v>
      </c>
      <c r="D18" s="9">
        <v>11157578</v>
      </c>
      <c r="E18" s="9" t="s">
        <v>7</v>
      </c>
      <c r="F18" s="9" t="s">
        <v>106</v>
      </c>
      <c r="G18" s="9" t="s">
        <v>107</v>
      </c>
      <c r="H18" s="9" t="s">
        <v>135</v>
      </c>
      <c r="I18" s="9" t="s">
        <v>150</v>
      </c>
      <c r="J18" s="9" t="e">
        <f>VLOOKUP(C18,Data!A:P,4,0)</f>
        <v>#N/A</v>
      </c>
      <c r="K18" s="9" t="s">
        <v>37</v>
      </c>
      <c r="L18" s="9" t="s">
        <v>38</v>
      </c>
      <c r="M18" s="9" t="s">
        <v>39</v>
      </c>
      <c r="N18" s="10">
        <v>10</v>
      </c>
      <c r="O18" s="10"/>
      <c r="P18" s="10"/>
      <c r="Q18" s="10"/>
      <c r="R18" s="10" t="e">
        <f t="shared" si="0"/>
        <v>#N/A</v>
      </c>
    </row>
    <row r="19" spans="1:18" ht="180.75" customHeight="1" x14ac:dyDescent="0.25">
      <c r="A19" s="9"/>
      <c r="B19" s="9"/>
      <c r="C19" s="9" t="s">
        <v>209</v>
      </c>
      <c r="D19" s="9">
        <v>11157579</v>
      </c>
      <c r="E19" s="9" t="s">
        <v>21</v>
      </c>
      <c r="F19" s="9" t="s">
        <v>106</v>
      </c>
      <c r="G19" s="9" t="s">
        <v>107</v>
      </c>
      <c r="H19" s="9" t="s">
        <v>135</v>
      </c>
      <c r="I19" s="9" t="s">
        <v>109</v>
      </c>
      <c r="J19" s="9" t="e">
        <f>VLOOKUP(C19,Data!A:P,4,0)</f>
        <v>#N/A</v>
      </c>
      <c r="K19" s="9" t="s">
        <v>37</v>
      </c>
      <c r="L19" s="9" t="s">
        <v>38</v>
      </c>
      <c r="M19" s="9" t="s">
        <v>39</v>
      </c>
      <c r="N19" s="10">
        <v>50</v>
      </c>
      <c r="O19" s="10"/>
      <c r="P19" s="10"/>
      <c r="Q19" s="10"/>
      <c r="R19" s="10" t="e">
        <f t="shared" si="0"/>
        <v>#N/A</v>
      </c>
    </row>
    <row r="20" spans="1:18" ht="179.25" customHeight="1" x14ac:dyDescent="0.25">
      <c r="A20" s="9"/>
      <c r="B20" s="9"/>
      <c r="C20" s="9" t="s">
        <v>210</v>
      </c>
      <c r="D20" s="9">
        <v>11180834</v>
      </c>
      <c r="E20" s="9" t="s">
        <v>6</v>
      </c>
      <c r="F20" s="9" t="s">
        <v>106</v>
      </c>
      <c r="G20" s="9" t="s">
        <v>107</v>
      </c>
      <c r="H20" s="9" t="s">
        <v>135</v>
      </c>
      <c r="I20" s="9" t="s">
        <v>109</v>
      </c>
      <c r="J20" s="9" t="e">
        <f>VLOOKUP(C20,Data!A:P,4,0)</f>
        <v>#N/A</v>
      </c>
      <c r="K20" s="9" t="s">
        <v>37</v>
      </c>
      <c r="L20" s="9" t="s">
        <v>38</v>
      </c>
      <c r="M20" s="9" t="s">
        <v>39</v>
      </c>
      <c r="N20" s="10"/>
      <c r="O20" s="10">
        <v>14</v>
      </c>
      <c r="P20" s="10"/>
      <c r="Q20" s="10">
        <v>20</v>
      </c>
      <c r="R20" s="10" t="e">
        <f t="shared" si="0"/>
        <v>#N/A</v>
      </c>
    </row>
    <row r="21" spans="1:18" ht="180.75" customHeight="1" x14ac:dyDescent="0.25">
      <c r="A21" s="9"/>
      <c r="B21" s="9"/>
      <c r="C21" s="9" t="s">
        <v>211</v>
      </c>
      <c r="D21" s="9">
        <v>11405497</v>
      </c>
      <c r="E21" s="9" t="s">
        <v>21</v>
      </c>
      <c r="F21" s="9" t="s">
        <v>106</v>
      </c>
      <c r="G21" s="9" t="s">
        <v>107</v>
      </c>
      <c r="H21" s="9" t="s">
        <v>135</v>
      </c>
      <c r="I21" s="9" t="s">
        <v>109</v>
      </c>
      <c r="J21" s="9" t="e">
        <f>VLOOKUP(C21,Data!A:P,4,0)</f>
        <v>#N/A</v>
      </c>
      <c r="K21" s="9" t="s">
        <v>42</v>
      </c>
      <c r="L21" s="9" t="s">
        <v>40</v>
      </c>
      <c r="M21" s="9" t="s">
        <v>39</v>
      </c>
      <c r="N21" s="10">
        <v>15</v>
      </c>
      <c r="O21" s="10"/>
      <c r="P21" s="10"/>
      <c r="Q21" s="10"/>
      <c r="R21" s="10" t="e">
        <f t="shared" si="0"/>
        <v>#N/A</v>
      </c>
    </row>
    <row r="22" spans="1:18" ht="180.75" customHeight="1" x14ac:dyDescent="0.25">
      <c r="A22" s="9"/>
      <c r="B22" s="9"/>
      <c r="C22" s="9" t="s">
        <v>212</v>
      </c>
      <c r="D22" s="9">
        <v>11405614</v>
      </c>
      <c r="E22" s="9" t="s">
        <v>11</v>
      </c>
      <c r="F22" s="9" t="s">
        <v>106</v>
      </c>
      <c r="G22" s="9" t="s">
        <v>107</v>
      </c>
      <c r="H22" s="9" t="s">
        <v>108</v>
      </c>
      <c r="I22" s="9" t="s">
        <v>109</v>
      </c>
      <c r="J22" s="9" t="e">
        <f>VLOOKUP(C22,Data!A:P,4,0)</f>
        <v>#N/A</v>
      </c>
      <c r="K22" s="9" t="s">
        <v>44</v>
      </c>
      <c r="L22" s="9" t="s">
        <v>45</v>
      </c>
      <c r="M22" s="9" t="s">
        <v>46</v>
      </c>
      <c r="N22" s="10">
        <v>10</v>
      </c>
      <c r="O22" s="10"/>
      <c r="P22" s="10"/>
      <c r="Q22" s="10"/>
      <c r="R22" s="10" t="e">
        <f t="shared" si="0"/>
        <v>#N/A</v>
      </c>
    </row>
    <row r="23" spans="1:18" ht="180.75" customHeight="1" x14ac:dyDescent="0.25">
      <c r="A23" s="9"/>
      <c r="B23" s="9"/>
      <c r="C23" s="9" t="s">
        <v>213</v>
      </c>
      <c r="D23" s="9">
        <v>11576724</v>
      </c>
      <c r="E23" s="9" t="s">
        <v>14</v>
      </c>
      <c r="F23" s="9" t="s">
        <v>106</v>
      </c>
      <c r="G23" s="9" t="s">
        <v>107</v>
      </c>
      <c r="H23" s="9" t="s">
        <v>108</v>
      </c>
      <c r="I23" s="9" t="s">
        <v>109</v>
      </c>
      <c r="J23" s="9" t="e">
        <f>VLOOKUP(C23,Data!A:P,4,0)</f>
        <v>#N/A</v>
      </c>
      <c r="K23" s="9"/>
      <c r="L23" s="9"/>
      <c r="M23" s="9"/>
      <c r="N23" s="10">
        <v>12</v>
      </c>
      <c r="O23" s="10"/>
      <c r="P23" s="10"/>
      <c r="Q23" s="10"/>
      <c r="R23" s="10" t="e">
        <f t="shared" si="0"/>
        <v>#N/A</v>
      </c>
    </row>
    <row r="24" spans="1:18" ht="180.75" customHeight="1" x14ac:dyDescent="0.25">
      <c r="A24" s="9"/>
      <c r="B24" s="9"/>
      <c r="C24" s="9" t="s">
        <v>214</v>
      </c>
      <c r="D24" s="9">
        <v>11579473</v>
      </c>
      <c r="E24" s="9" t="s">
        <v>12</v>
      </c>
      <c r="F24" s="9" t="s">
        <v>106</v>
      </c>
      <c r="G24" s="9" t="s">
        <v>107</v>
      </c>
      <c r="H24" s="9" t="s">
        <v>135</v>
      </c>
      <c r="I24" s="9" t="s">
        <v>109</v>
      </c>
      <c r="J24" s="9" t="e">
        <f>VLOOKUP(C24,Data!A:P,4,0)</f>
        <v>#N/A</v>
      </c>
      <c r="K24" s="9" t="s">
        <v>37</v>
      </c>
      <c r="L24" s="9" t="s">
        <v>38</v>
      </c>
      <c r="M24" s="9" t="s">
        <v>39</v>
      </c>
      <c r="N24" s="10">
        <v>36</v>
      </c>
      <c r="O24" s="10"/>
      <c r="P24" s="10"/>
      <c r="Q24" s="10"/>
      <c r="R24" s="10" t="e">
        <f t="shared" si="0"/>
        <v>#N/A</v>
      </c>
    </row>
    <row r="25" spans="1:18" ht="180.75" customHeight="1" x14ac:dyDescent="0.25">
      <c r="A25" s="9"/>
      <c r="B25" s="9"/>
      <c r="C25" s="9" t="s">
        <v>215</v>
      </c>
      <c r="D25" s="9">
        <v>11588488</v>
      </c>
      <c r="E25" s="9" t="s">
        <v>22</v>
      </c>
      <c r="F25" s="9" t="s">
        <v>106</v>
      </c>
      <c r="G25" s="9" t="s">
        <v>107</v>
      </c>
      <c r="H25" s="9" t="s">
        <v>135</v>
      </c>
      <c r="I25" s="9" t="s">
        <v>109</v>
      </c>
      <c r="J25" s="9" t="e">
        <f>VLOOKUP(C25,Data!A:P,4,0)</f>
        <v>#N/A</v>
      </c>
      <c r="K25" s="9" t="s">
        <v>37</v>
      </c>
      <c r="L25" s="9" t="s">
        <v>38</v>
      </c>
      <c r="M25" s="9" t="s">
        <v>39</v>
      </c>
      <c r="N25" s="10">
        <v>6</v>
      </c>
      <c r="O25" s="10"/>
      <c r="P25" s="10"/>
      <c r="Q25" s="10"/>
      <c r="R25" s="10" t="e">
        <f t="shared" si="0"/>
        <v>#N/A</v>
      </c>
    </row>
    <row r="26" spans="1:18" ht="180.75" customHeight="1" x14ac:dyDescent="0.25">
      <c r="A26" s="9"/>
      <c r="B26" s="9"/>
      <c r="C26" s="9" t="s">
        <v>216</v>
      </c>
      <c r="D26" s="9">
        <v>11588490</v>
      </c>
      <c r="E26" s="9" t="s">
        <v>10</v>
      </c>
      <c r="F26" s="9" t="s">
        <v>106</v>
      </c>
      <c r="G26" s="9" t="s">
        <v>107</v>
      </c>
      <c r="H26" s="9" t="s">
        <v>135</v>
      </c>
      <c r="I26" s="9" t="s">
        <v>109</v>
      </c>
      <c r="J26" s="9" t="e">
        <f>VLOOKUP(C26,Data!A:P,4,0)</f>
        <v>#N/A</v>
      </c>
      <c r="K26" s="9" t="s">
        <v>37</v>
      </c>
      <c r="L26" s="9" t="s">
        <v>38</v>
      </c>
      <c r="M26" s="9" t="s">
        <v>39</v>
      </c>
      <c r="N26" s="10">
        <v>17</v>
      </c>
      <c r="O26" s="10"/>
      <c r="P26" s="10"/>
      <c r="Q26" s="10"/>
      <c r="R26" s="10" t="e">
        <f t="shared" si="0"/>
        <v>#N/A</v>
      </c>
    </row>
    <row r="27" spans="1:18" ht="175.5" customHeight="1" x14ac:dyDescent="0.25">
      <c r="A27" s="9"/>
      <c r="B27" s="9"/>
      <c r="C27" s="9" t="s">
        <v>217</v>
      </c>
      <c r="D27" s="9">
        <v>11871279</v>
      </c>
      <c r="E27" s="9" t="s">
        <v>23</v>
      </c>
      <c r="F27" s="9" t="s">
        <v>106</v>
      </c>
      <c r="G27" s="9" t="s">
        <v>107</v>
      </c>
      <c r="H27" s="9" t="s">
        <v>164</v>
      </c>
      <c r="I27" s="9" t="s">
        <v>109</v>
      </c>
      <c r="J27" s="9" t="e">
        <f>VLOOKUP(C27,Data!A:P,4,0)</f>
        <v>#N/A</v>
      </c>
      <c r="K27" s="9" t="s">
        <v>37</v>
      </c>
      <c r="L27" s="9" t="s">
        <v>38</v>
      </c>
      <c r="M27" s="9" t="s">
        <v>39</v>
      </c>
      <c r="N27" s="10"/>
      <c r="O27" s="10">
        <v>16</v>
      </c>
      <c r="P27" s="10"/>
      <c r="Q27" s="10">
        <v>15</v>
      </c>
      <c r="R27" s="10" t="e">
        <f t="shared" si="0"/>
        <v>#N/A</v>
      </c>
    </row>
    <row r="28" spans="1:18" ht="180.75" customHeight="1" x14ac:dyDescent="0.25">
      <c r="A28" s="9"/>
      <c r="B28" s="9"/>
      <c r="C28" s="9" t="s">
        <v>218</v>
      </c>
      <c r="D28" s="9">
        <v>12051998</v>
      </c>
      <c r="E28" s="9" t="s">
        <v>24</v>
      </c>
      <c r="F28" s="9" t="s">
        <v>106</v>
      </c>
      <c r="G28" s="9" t="s">
        <v>107</v>
      </c>
      <c r="H28" s="9" t="s">
        <v>135</v>
      </c>
      <c r="I28" s="9" t="s">
        <v>109</v>
      </c>
      <c r="J28" s="9" t="e">
        <f>VLOOKUP(C28,Data!A:P,4,0)</f>
        <v>#N/A</v>
      </c>
      <c r="K28" s="9" t="s">
        <v>37</v>
      </c>
      <c r="L28" s="9" t="s">
        <v>38</v>
      </c>
      <c r="M28" s="9" t="s">
        <v>39</v>
      </c>
      <c r="N28" s="10">
        <v>58</v>
      </c>
      <c r="O28" s="10"/>
      <c r="P28" s="10"/>
      <c r="Q28" s="10"/>
      <c r="R28" s="10" t="e">
        <f t="shared" si="0"/>
        <v>#N/A</v>
      </c>
    </row>
    <row r="29" spans="1:18" ht="180.75" customHeight="1" x14ac:dyDescent="0.25">
      <c r="A29" s="9"/>
      <c r="B29" s="9"/>
      <c r="C29" s="9" t="s">
        <v>219</v>
      </c>
      <c r="D29" s="9">
        <v>12052000</v>
      </c>
      <c r="E29" s="9" t="s">
        <v>12</v>
      </c>
      <c r="F29" s="9" t="s">
        <v>106</v>
      </c>
      <c r="G29" s="9" t="s">
        <v>107</v>
      </c>
      <c r="H29" s="9" t="s">
        <v>135</v>
      </c>
      <c r="I29" s="9" t="s">
        <v>109</v>
      </c>
      <c r="J29" s="9" t="e">
        <f>VLOOKUP(C29,Data!A:P,4,0)</f>
        <v>#N/A</v>
      </c>
      <c r="K29" s="9" t="s">
        <v>42</v>
      </c>
      <c r="L29" s="9" t="s">
        <v>40</v>
      </c>
      <c r="M29" s="9" t="s">
        <v>39</v>
      </c>
      <c r="N29" s="10">
        <v>50</v>
      </c>
      <c r="O29" s="10"/>
      <c r="P29" s="10"/>
      <c r="Q29" s="10"/>
      <c r="R29" s="10" t="e">
        <f t="shared" si="0"/>
        <v>#N/A</v>
      </c>
    </row>
    <row r="30" spans="1:18" ht="180.75" customHeight="1" x14ac:dyDescent="0.25">
      <c r="A30" s="9"/>
      <c r="B30" s="9"/>
      <c r="C30" s="9" t="s">
        <v>220</v>
      </c>
      <c r="D30" s="9">
        <v>12122741</v>
      </c>
      <c r="E30" s="9" t="s">
        <v>9</v>
      </c>
      <c r="F30" s="9" t="s">
        <v>106</v>
      </c>
      <c r="G30" s="9" t="s">
        <v>107</v>
      </c>
      <c r="H30" s="9" t="s">
        <v>135</v>
      </c>
      <c r="I30" s="9" t="s">
        <v>150</v>
      </c>
      <c r="J30" s="9" t="e">
        <f>VLOOKUP(C30,Data!A:P,4,0)</f>
        <v>#N/A</v>
      </c>
      <c r="K30" s="9" t="s">
        <v>37</v>
      </c>
      <c r="L30" s="9" t="s">
        <v>38</v>
      </c>
      <c r="M30" s="9" t="s">
        <v>39</v>
      </c>
      <c r="N30" s="10">
        <v>30</v>
      </c>
      <c r="O30" s="10"/>
      <c r="P30" s="10"/>
      <c r="Q30" s="10"/>
      <c r="R30" s="10" t="e">
        <f t="shared" si="0"/>
        <v>#N/A</v>
      </c>
    </row>
    <row r="31" spans="1:18" ht="180.75" customHeight="1" x14ac:dyDescent="0.25">
      <c r="A31" s="9"/>
      <c r="B31" s="9"/>
      <c r="C31" s="9" t="s">
        <v>221</v>
      </c>
      <c r="D31" s="9">
        <v>12122742</v>
      </c>
      <c r="E31" s="9" t="s">
        <v>6</v>
      </c>
      <c r="F31" s="9" t="s">
        <v>106</v>
      </c>
      <c r="G31" s="9" t="s">
        <v>107</v>
      </c>
      <c r="H31" s="9" t="s">
        <v>135</v>
      </c>
      <c r="I31" s="9" t="s">
        <v>150</v>
      </c>
      <c r="J31" s="9" t="e">
        <f>VLOOKUP(C31,Data!A:P,4,0)</f>
        <v>#N/A</v>
      </c>
      <c r="K31" s="9" t="s">
        <v>37</v>
      </c>
      <c r="L31" s="9" t="s">
        <v>38</v>
      </c>
      <c r="M31" s="9" t="s">
        <v>39</v>
      </c>
      <c r="N31" s="10">
        <v>40</v>
      </c>
      <c r="O31" s="10"/>
      <c r="P31" s="10"/>
      <c r="Q31" s="10"/>
      <c r="R31" s="10" t="e">
        <f t="shared" si="0"/>
        <v>#N/A</v>
      </c>
    </row>
    <row r="32" spans="1:18" s="13" customFormat="1" x14ac:dyDescent="0.25">
      <c r="A32" s="11"/>
      <c r="B32" s="11"/>
      <c r="C32" s="11" t="s">
        <v>222</v>
      </c>
      <c r="D32" s="11">
        <v>12285467</v>
      </c>
      <c r="E32" s="11" t="s">
        <v>7</v>
      </c>
      <c r="F32" s="11" t="s">
        <v>106</v>
      </c>
      <c r="G32" s="11" t="s">
        <v>107</v>
      </c>
      <c r="H32" s="11" t="s">
        <v>173</v>
      </c>
      <c r="I32" s="11" t="s">
        <v>109</v>
      </c>
      <c r="J32" s="9" t="e">
        <f>VLOOKUP(C32,Data!A:P,4,0)</f>
        <v>#N/A</v>
      </c>
      <c r="K32" s="11" t="s">
        <v>37</v>
      </c>
      <c r="L32" s="11" t="s">
        <v>38</v>
      </c>
      <c r="M32" s="11" t="s">
        <v>39</v>
      </c>
      <c r="N32" s="12">
        <v>10</v>
      </c>
      <c r="O32" s="12"/>
      <c r="P32" s="12"/>
      <c r="Q32" s="12"/>
      <c r="R32" s="12" t="e">
        <f t="shared" si="0"/>
        <v>#N/A</v>
      </c>
    </row>
    <row r="33" spans="1:18" ht="180.75" customHeight="1" x14ac:dyDescent="0.25">
      <c r="A33" s="9"/>
      <c r="B33" s="9"/>
      <c r="C33" s="9" t="s">
        <v>223</v>
      </c>
      <c r="D33" s="9">
        <v>12380590</v>
      </c>
      <c r="E33" s="9" t="s">
        <v>13</v>
      </c>
      <c r="F33" s="9" t="s">
        <v>106</v>
      </c>
      <c r="G33" s="9" t="s">
        <v>107</v>
      </c>
      <c r="H33" s="9" t="s">
        <v>135</v>
      </c>
      <c r="I33" s="9" t="s">
        <v>109</v>
      </c>
      <c r="J33" s="9" t="e">
        <f>VLOOKUP(C33,Data!A:P,4,0)</f>
        <v>#N/A</v>
      </c>
      <c r="K33" s="9" t="s">
        <v>37</v>
      </c>
      <c r="L33" s="9" t="s">
        <v>38</v>
      </c>
      <c r="M33" s="9" t="s">
        <v>39</v>
      </c>
      <c r="N33" s="10">
        <v>25</v>
      </c>
      <c r="O33" s="10"/>
      <c r="P33" s="10"/>
      <c r="Q33" s="10"/>
      <c r="R33" s="10" t="e">
        <f t="shared" si="0"/>
        <v>#N/A</v>
      </c>
    </row>
    <row r="34" spans="1:18" ht="180.75" customHeight="1" x14ac:dyDescent="0.25">
      <c r="A34" s="9"/>
      <c r="B34" s="9"/>
      <c r="C34" s="9" t="s">
        <v>224</v>
      </c>
      <c r="D34" s="9">
        <v>12380594</v>
      </c>
      <c r="E34" s="9" t="s">
        <v>12</v>
      </c>
      <c r="F34" s="9" t="s">
        <v>106</v>
      </c>
      <c r="G34" s="9" t="s">
        <v>107</v>
      </c>
      <c r="H34" s="9" t="s">
        <v>135</v>
      </c>
      <c r="I34" s="9" t="s">
        <v>109</v>
      </c>
      <c r="J34" s="9" t="e">
        <f>VLOOKUP(C34,Data!A:P,4,0)</f>
        <v>#N/A</v>
      </c>
      <c r="K34" s="9" t="s">
        <v>37</v>
      </c>
      <c r="L34" s="9" t="s">
        <v>38</v>
      </c>
      <c r="M34" s="9" t="s">
        <v>39</v>
      </c>
      <c r="N34" s="10">
        <v>2</v>
      </c>
      <c r="O34" s="10"/>
      <c r="P34" s="10"/>
      <c r="Q34" s="10"/>
      <c r="R34" s="10" t="e">
        <f t="shared" si="0"/>
        <v>#N/A</v>
      </c>
    </row>
    <row r="35" spans="1:18" ht="180.75" customHeight="1" x14ac:dyDescent="0.25">
      <c r="A35" s="9"/>
      <c r="B35" s="9"/>
      <c r="C35" s="9" t="s">
        <v>225</v>
      </c>
      <c r="D35" s="9">
        <v>12380796</v>
      </c>
      <c r="E35" s="9" t="s">
        <v>11</v>
      </c>
      <c r="F35" s="9" t="s">
        <v>106</v>
      </c>
      <c r="G35" s="9" t="s">
        <v>107</v>
      </c>
      <c r="H35" s="9" t="s">
        <v>173</v>
      </c>
      <c r="I35" s="9" t="s">
        <v>109</v>
      </c>
      <c r="J35" s="9" t="e">
        <f>VLOOKUP(C35,Data!A:P,4,0)</f>
        <v>#N/A</v>
      </c>
      <c r="K35" s="9" t="s">
        <v>37</v>
      </c>
      <c r="L35" s="9" t="s">
        <v>38</v>
      </c>
      <c r="M35" s="9" t="s">
        <v>39</v>
      </c>
      <c r="N35" s="10">
        <v>18</v>
      </c>
      <c r="O35" s="10"/>
      <c r="P35" s="10"/>
      <c r="Q35" s="10"/>
      <c r="R35" s="10" t="e">
        <f t="shared" si="0"/>
        <v>#N/A</v>
      </c>
    </row>
    <row r="36" spans="1:18" ht="180.75" customHeight="1" x14ac:dyDescent="0.25">
      <c r="A36" s="9"/>
      <c r="B36" s="9"/>
      <c r="C36" s="9" t="s">
        <v>226</v>
      </c>
      <c r="D36" s="9">
        <v>12523893</v>
      </c>
      <c r="E36" s="9" t="s">
        <v>25</v>
      </c>
      <c r="F36" s="9" t="s">
        <v>106</v>
      </c>
      <c r="G36" s="9" t="s">
        <v>107</v>
      </c>
      <c r="H36" s="9" t="s">
        <v>173</v>
      </c>
      <c r="I36" s="9" t="s">
        <v>109</v>
      </c>
      <c r="J36" s="9" t="e">
        <f>VLOOKUP(C36,Data!A:P,4,0)</f>
        <v>#N/A</v>
      </c>
      <c r="K36" s="9" t="s">
        <v>37</v>
      </c>
      <c r="L36" s="9" t="s">
        <v>38</v>
      </c>
      <c r="M36" s="9" t="s">
        <v>39</v>
      </c>
      <c r="N36" s="10">
        <v>19</v>
      </c>
      <c r="O36" s="10"/>
      <c r="P36" s="10"/>
      <c r="Q36" s="10"/>
      <c r="R36" s="10" t="e">
        <f t="shared" si="0"/>
        <v>#N/A</v>
      </c>
    </row>
    <row r="37" spans="1:18" ht="180.75" customHeight="1" x14ac:dyDescent="0.25">
      <c r="A37" s="9"/>
      <c r="B37" s="9"/>
      <c r="C37" s="9" t="s">
        <v>227</v>
      </c>
      <c r="D37" s="9">
        <v>12523894</v>
      </c>
      <c r="E37" s="9" t="s">
        <v>26</v>
      </c>
      <c r="F37" s="9" t="s">
        <v>106</v>
      </c>
      <c r="G37" s="9" t="s">
        <v>107</v>
      </c>
      <c r="H37" s="9" t="s">
        <v>173</v>
      </c>
      <c r="I37" s="9" t="s">
        <v>109</v>
      </c>
      <c r="J37" s="9" t="e">
        <f>VLOOKUP(C37,Data!A:P,4,0)</f>
        <v>#N/A</v>
      </c>
      <c r="K37" s="9" t="s">
        <v>37</v>
      </c>
      <c r="L37" s="9" t="s">
        <v>38</v>
      </c>
      <c r="M37" s="9" t="s">
        <v>39</v>
      </c>
      <c r="N37" s="10">
        <v>24</v>
      </c>
      <c r="O37" s="10"/>
      <c r="P37" s="10"/>
      <c r="Q37" s="10"/>
      <c r="R37" s="10" t="e">
        <f t="shared" si="0"/>
        <v>#N/A</v>
      </c>
    </row>
    <row r="38" spans="1:18" ht="180.75" customHeight="1" x14ac:dyDescent="0.25">
      <c r="A38" s="9"/>
      <c r="B38" s="9"/>
      <c r="C38" s="9" t="s">
        <v>228</v>
      </c>
      <c r="D38" s="9">
        <v>12523903</v>
      </c>
      <c r="E38" s="9" t="s">
        <v>27</v>
      </c>
      <c r="F38" s="9" t="s">
        <v>106</v>
      </c>
      <c r="G38" s="9" t="s">
        <v>107</v>
      </c>
      <c r="H38" s="9" t="s">
        <v>108</v>
      </c>
      <c r="I38" s="9" t="s">
        <v>109</v>
      </c>
      <c r="J38" s="9" t="e">
        <f>VLOOKUP(C38,Data!A:P,4,0)</f>
        <v>#N/A</v>
      </c>
      <c r="K38" s="9" t="s">
        <v>37</v>
      </c>
      <c r="L38" s="9" t="s">
        <v>38</v>
      </c>
      <c r="M38" s="9" t="s">
        <v>39</v>
      </c>
      <c r="N38" s="10">
        <v>24</v>
      </c>
      <c r="O38" s="10"/>
      <c r="P38" s="10"/>
      <c r="Q38" s="10"/>
      <c r="R38" s="10" t="e">
        <f t="shared" si="0"/>
        <v>#N/A</v>
      </c>
    </row>
    <row r="39" spans="1:18" ht="180.75" customHeight="1" x14ac:dyDescent="0.25">
      <c r="A39" s="9"/>
      <c r="B39" s="9"/>
      <c r="C39" s="9" t="s">
        <v>229</v>
      </c>
      <c r="D39" s="9">
        <v>12523912</v>
      </c>
      <c r="E39" s="9" t="s">
        <v>6</v>
      </c>
      <c r="F39" s="9" t="s">
        <v>106</v>
      </c>
      <c r="G39" s="9" t="s">
        <v>107</v>
      </c>
      <c r="H39" s="9" t="s">
        <v>173</v>
      </c>
      <c r="I39" s="9" t="s">
        <v>109</v>
      </c>
      <c r="J39" s="9" t="e">
        <f>VLOOKUP(C39,Data!A:P,4,0)</f>
        <v>#N/A</v>
      </c>
      <c r="K39" s="9" t="s">
        <v>42</v>
      </c>
      <c r="L39" s="9" t="s">
        <v>40</v>
      </c>
      <c r="M39" s="9" t="s">
        <v>39</v>
      </c>
      <c r="N39" s="10">
        <v>35</v>
      </c>
      <c r="O39" s="10"/>
      <c r="P39" s="10"/>
      <c r="Q39" s="10"/>
      <c r="R39" s="10" t="e">
        <f t="shared" si="0"/>
        <v>#N/A</v>
      </c>
    </row>
    <row r="40" spans="1:18" ht="180.75" customHeight="1" x14ac:dyDescent="0.25">
      <c r="A40" s="9"/>
      <c r="B40" s="9"/>
      <c r="C40" s="9" t="s">
        <v>230</v>
      </c>
      <c r="D40" s="9">
        <v>12572845</v>
      </c>
      <c r="E40" s="9" t="s">
        <v>11</v>
      </c>
      <c r="F40" s="9" t="s">
        <v>106</v>
      </c>
      <c r="G40" s="9" t="s">
        <v>107</v>
      </c>
      <c r="H40" s="9" t="s">
        <v>108</v>
      </c>
      <c r="I40" s="9" t="s">
        <v>109</v>
      </c>
      <c r="J40" s="9" t="e">
        <f>VLOOKUP(C40,Data!A:P,4,0)</f>
        <v>#N/A</v>
      </c>
      <c r="K40" s="9" t="s">
        <v>87</v>
      </c>
      <c r="L40" s="9" t="s">
        <v>88</v>
      </c>
      <c r="M40" s="9" t="s">
        <v>39</v>
      </c>
      <c r="N40" s="10"/>
      <c r="O40" s="10"/>
      <c r="P40" s="10">
        <v>8</v>
      </c>
      <c r="Q40" s="10"/>
      <c r="R40" s="10" t="e">
        <f t="shared" si="0"/>
        <v>#N/A</v>
      </c>
    </row>
    <row r="41" spans="1:18" ht="179.25" customHeight="1" x14ac:dyDescent="0.25">
      <c r="A41" s="9"/>
      <c r="B41" s="9"/>
      <c r="C41" s="9" t="s">
        <v>231</v>
      </c>
      <c r="D41" s="9">
        <v>80468932</v>
      </c>
      <c r="E41" s="9" t="s">
        <v>12</v>
      </c>
      <c r="F41" s="9" t="s">
        <v>106</v>
      </c>
      <c r="G41" s="9" t="s">
        <v>107</v>
      </c>
      <c r="H41" s="9" t="s">
        <v>135</v>
      </c>
      <c r="I41" s="9" t="s">
        <v>109</v>
      </c>
      <c r="J41" s="9" t="e">
        <f>VLOOKUP(C41,Data!A:P,4,0)</f>
        <v>#N/A</v>
      </c>
      <c r="K41" s="9" t="s">
        <v>37</v>
      </c>
      <c r="L41" s="9" t="s">
        <v>38</v>
      </c>
      <c r="M41" s="9" t="s">
        <v>39</v>
      </c>
      <c r="N41" s="10">
        <v>50</v>
      </c>
      <c r="O41" s="10"/>
      <c r="P41" s="10"/>
      <c r="Q41" s="10"/>
      <c r="R41" s="10" t="e">
        <f t="shared" si="0"/>
        <v>#N/A</v>
      </c>
    </row>
    <row r="42" spans="1:18" ht="180.75" customHeight="1" x14ac:dyDescent="0.25">
      <c r="A42" s="9"/>
      <c r="B42" s="9"/>
      <c r="C42" s="9" t="s">
        <v>232</v>
      </c>
      <c r="D42" s="9">
        <v>80489231</v>
      </c>
      <c r="E42" s="9" t="s">
        <v>28</v>
      </c>
      <c r="F42" s="9" t="s">
        <v>106</v>
      </c>
      <c r="G42" s="9" t="s">
        <v>107</v>
      </c>
      <c r="H42" s="9" t="s">
        <v>185</v>
      </c>
      <c r="I42" s="9" t="s">
        <v>150</v>
      </c>
      <c r="J42" s="9" t="e">
        <f>VLOOKUP(C42,Data!A:P,4,0)</f>
        <v>#N/A</v>
      </c>
      <c r="K42" s="9" t="s">
        <v>37</v>
      </c>
      <c r="L42" s="9" t="s">
        <v>38</v>
      </c>
      <c r="M42" s="9" t="s">
        <v>39</v>
      </c>
      <c r="N42" s="10">
        <v>11</v>
      </c>
      <c r="O42" s="10"/>
      <c r="P42" s="10"/>
      <c r="Q42" s="10"/>
      <c r="R42" s="10" t="e">
        <f t="shared" si="0"/>
        <v>#N/A</v>
      </c>
    </row>
    <row r="43" spans="1:18" ht="180.75" customHeight="1" x14ac:dyDescent="0.25">
      <c r="A43" s="9"/>
      <c r="B43" s="9"/>
      <c r="C43" s="9" t="s">
        <v>233</v>
      </c>
      <c r="D43" s="9">
        <v>80524868</v>
      </c>
      <c r="E43" s="9" t="s">
        <v>7</v>
      </c>
      <c r="F43" s="9" t="s">
        <v>106</v>
      </c>
      <c r="G43" s="9" t="s">
        <v>107</v>
      </c>
      <c r="H43" s="9" t="s">
        <v>135</v>
      </c>
      <c r="I43" s="9" t="s">
        <v>150</v>
      </c>
      <c r="J43" s="9" t="e">
        <f>VLOOKUP(C43,Data!A:P,4,0)</f>
        <v>#N/A</v>
      </c>
      <c r="K43" s="9" t="s">
        <v>37</v>
      </c>
      <c r="L43" s="9" t="s">
        <v>38</v>
      </c>
      <c r="M43" s="9" t="s">
        <v>39</v>
      </c>
      <c r="N43" s="10">
        <v>16</v>
      </c>
      <c r="O43" s="10"/>
      <c r="P43" s="10"/>
      <c r="Q43" s="10"/>
      <c r="R43" s="10" t="e">
        <f t="shared" si="0"/>
        <v>#N/A</v>
      </c>
    </row>
    <row r="44" spans="1:18" ht="180.75" customHeight="1" x14ac:dyDescent="0.25">
      <c r="A44" s="9"/>
      <c r="B44" s="9"/>
      <c r="C44" s="9" t="s">
        <v>234</v>
      </c>
      <c r="D44" s="9">
        <v>80636012</v>
      </c>
      <c r="E44" s="9" t="s">
        <v>29</v>
      </c>
      <c r="F44" s="9" t="s">
        <v>106</v>
      </c>
      <c r="G44" s="9" t="s">
        <v>107</v>
      </c>
      <c r="H44" s="9" t="s">
        <v>135</v>
      </c>
      <c r="I44" s="9" t="s">
        <v>109</v>
      </c>
      <c r="J44" s="9" t="e">
        <f>VLOOKUP(C44,Data!A:P,4,0)</f>
        <v>#N/A</v>
      </c>
      <c r="K44" s="9" t="s">
        <v>37</v>
      </c>
      <c r="L44" s="9" t="s">
        <v>38</v>
      </c>
      <c r="M44" s="9" t="s">
        <v>39</v>
      </c>
      <c r="N44" s="10">
        <v>15</v>
      </c>
      <c r="O44" s="10"/>
      <c r="P44" s="10"/>
      <c r="Q44" s="10"/>
      <c r="R44" s="10" t="e">
        <f>SUM(N44:Q44)*J44</f>
        <v>#N/A</v>
      </c>
    </row>
  </sheetData>
  <autoFilter ref="B1:Q44" xr:uid="{A67EDA83-0A66-4259-A28B-23FB20048171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Справочник</vt:lpstr>
      <vt:lpstr>Data</vt:lpstr>
      <vt:lpstr>КомандыИзНазвания</vt:lpstr>
      <vt:lpstr>Транспонирование</vt:lpstr>
      <vt:lpstr>Transposed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2022-05-11T08:43:27Z</dcterms:created>
  <dcterms:modified xsi:type="dcterms:W3CDTF">2022-06-28T07:19:50Z</dcterms:modified>
</cp:coreProperties>
</file>