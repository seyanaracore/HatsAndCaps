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15\"/>
    </mc:Choice>
  </mc:AlternateContent>
  <xr:revisionPtr revIDLastSave="0" documentId="13_ncr:1_{2B43D516-CF4E-48F6-B809-9394F6748D11}" xr6:coauthVersionLast="47" xr6:coauthVersionMax="47" xr10:uidLastSave="{00000000-0000-0000-0000-000000000000}"/>
  <bookViews>
    <workbookView xWindow="-120" yWindow="-120" windowWidth="29040" windowHeight="15840" xr2:uid="{3A48B2BB-835E-4247-BB6E-D08F5B3ED053}"/>
  </bookViews>
  <sheets>
    <sheet name="Транспонирование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3" i="1" l="1"/>
  <c r="A134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2" i="1"/>
</calcChain>
</file>

<file path=xl/sharedStrings.xml><?xml version="1.0" encoding="utf-8"?>
<sst xmlns="http://schemas.openxmlformats.org/spreadsheetml/2006/main" count="1456" uniqueCount="291">
  <si>
    <t>Style/Color</t>
  </si>
  <si>
    <t>Size</t>
  </si>
  <si>
    <t>Count</t>
  </si>
  <si>
    <t>Color</t>
  </si>
  <si>
    <t>Style</t>
  </si>
  <si>
    <t>Name</t>
  </si>
  <si>
    <t>Рос</t>
  </si>
  <si>
    <t>Страна по ГТД</t>
  </si>
  <si>
    <t>ГТД</t>
  </si>
  <si>
    <t>Состав</t>
  </si>
  <si>
    <t>Пол</t>
  </si>
  <si>
    <t>Цена</t>
  </si>
  <si>
    <t>Код команды</t>
  </si>
  <si>
    <t>Команда</t>
  </si>
  <si>
    <t>Лига</t>
  </si>
  <si>
    <t>BLKBLK</t>
  </si>
  <si>
    <t>10145637-BLKBLK L/XL  Бейсболка 39THIRTY LEAGUE BASIC NEYYAN BLACK/BLACK черный р.L/XL</t>
  </si>
  <si>
    <t>L/XL</t>
  </si>
  <si>
    <t>60-63</t>
  </si>
  <si>
    <t>БАНГЛАДЕШ</t>
  </si>
  <si>
    <t>10702070/060921/0281005/1</t>
  </si>
  <si>
    <t>97% Хлопок - 3% Эластан</t>
  </si>
  <si>
    <t>М</t>
  </si>
  <si>
    <t>NEYYAN</t>
  </si>
  <si>
    <t>New York Yankees</t>
  </si>
  <si>
    <t>MLB</t>
  </si>
  <si>
    <t>WHI</t>
  </si>
  <si>
    <t>11179831-WHI o/s  Бейсболка NE BASIC 9FORTY NEW ERA NVYWHI черный р. o/s</t>
  </si>
  <si>
    <t>o/s</t>
  </si>
  <si>
    <t>Б/р</t>
  </si>
  <si>
    <t>O/S</t>
  </si>
  <si>
    <t>КИТАЙ</t>
  </si>
  <si>
    <t>10013160/190522/3256520/1</t>
  </si>
  <si>
    <t>100% Хлопок</t>
  </si>
  <si>
    <t/>
  </si>
  <si>
    <t>GRAPWHI</t>
  </si>
  <si>
    <t>11179834-GRAPWHI o/s  Бейсболка NE BASIC 9FORTY NEW ERA GRHWHI серый р. o/s</t>
  </si>
  <si>
    <t>BLKWHI</t>
  </si>
  <si>
    <t>11179866-BLKWHI o/s  Бейсболка NE BASIC 9FORTY NEW ERA BLKWHI черный р. o/s</t>
  </si>
  <si>
    <t>МЖ</t>
  </si>
  <si>
    <t>GRAWHI</t>
  </si>
  <si>
    <t>11179873-GRAWHI M/L  Бейсболка NE BASIC 39THIRTY NEW ERA GRAWHI серый р. M/L</t>
  </si>
  <si>
    <t>M/L</t>
  </si>
  <si>
    <t>57-60</t>
  </si>
  <si>
    <t>95% Полиэстер - 5% Эластан</t>
  </si>
  <si>
    <t>11179873-GRAWHI S/M  Бейсболка NE BASIC 39THIRTY NEW ERA GRAWHI серый р. S/M</t>
  </si>
  <si>
    <t>S/M</t>
  </si>
  <si>
    <t>54-57</t>
  </si>
  <si>
    <t>NVYRIG</t>
  </si>
  <si>
    <t>11277642-NVYRIG o/s  Шапка Contrast Cuff Bobble Hat синий/зелёный р.o/s</t>
  </si>
  <si>
    <t>10702070/150721/0216063/3</t>
  </si>
  <si>
    <t>100% Акрил</t>
  </si>
  <si>
    <t>WHT</t>
  </si>
  <si>
    <t>11379840-WHT o/s  Бейсболка CORE 940 TRUCKER LOSDOD белый р. o/s</t>
  </si>
  <si>
    <t>10013160/200422/3213662/1</t>
  </si>
  <si>
    <t>100% хлопок</t>
  </si>
  <si>
    <t>LOSDOD</t>
  </si>
  <si>
    <t>Los Angeles Dodgers</t>
  </si>
  <si>
    <t>OTC</t>
  </si>
  <si>
    <t>11448329-OTC o/s Шапка MLB HEATHER BOBBLE NEYYAN HGROTC серый/синий р. o/s</t>
  </si>
  <si>
    <t>10702070/220720/0164196/3</t>
  </si>
  <si>
    <t>100% акрил</t>
  </si>
  <si>
    <t>11448330-OTC o/s Шапка MLB HEATHER BOBBLE LOSDOD HGRMRN серый/бордовый р. o/s</t>
  </si>
  <si>
    <t>BLU</t>
  </si>
  <si>
    <t>11448333-BLU o/s Шапка CUFF KNIT NEYGIA ROYAL BLUE синий р. o/s</t>
  </si>
  <si>
    <t>NEYGIA</t>
  </si>
  <si>
    <t>New York Giants</t>
  </si>
  <si>
    <t>NFL</t>
  </si>
  <si>
    <t>GRH</t>
  </si>
  <si>
    <t>11600974-GRH o/s  Шапка Tonal Bobble Knit Hat серый р.o/s</t>
  </si>
  <si>
    <t>NVYGRY</t>
  </si>
  <si>
    <t>11601006-NVYGRY o/s  Шапка Contrast Cuff Bobble Hat синий р.o/s</t>
  </si>
  <si>
    <t>HNV</t>
  </si>
  <si>
    <t>11601067-HNV o/s Шапка CUFF KNIT BOBBLE NE NAVY синий р. o/s</t>
  </si>
  <si>
    <t>10702070/180820/0191959/1</t>
  </si>
  <si>
    <t>NAV</t>
  </si>
  <si>
    <t>12033074-NAV o/s  Шапка Wide Cuff Patch Knit Hat синий р.o/s</t>
  </si>
  <si>
    <t>10013160/310821/0534183/1</t>
  </si>
  <si>
    <t>BLK</t>
  </si>
  <si>
    <t>12033078-BLK o/s  Шапка Wide Cuff Patch Knit Hat черный р.o/s</t>
  </si>
  <si>
    <t>NOV</t>
  </si>
  <si>
    <t>12033099-NOV o/s Шапка CUFF KNIT NE NAVY LIC 915 зелёный р. o/s</t>
  </si>
  <si>
    <t>12033103-BLK o/s Шапка CUFF KNIT NE BLACK LIC 915 черный р. o/s</t>
  </si>
  <si>
    <t>12033128-BLK o/s  Шапка NYC Emb Knit Hat черный р.o/s</t>
  </si>
  <si>
    <t>10013160/310821/0534183/3</t>
  </si>
  <si>
    <t>12033266-LOSDOD o/s Шапка CUFF KNIT LOSOD DARK ROYAL LIC 805 синий р. o/s</t>
  </si>
  <si>
    <t>12122729-BLKBLK o/s  Шапка MLB ESSENTIAL CUFF KNIT NEYYAN BLKBLK Hat черный р.o/s</t>
  </si>
  <si>
    <t>10013160/130921/0561488/2</t>
  </si>
  <si>
    <t>12156075-OTC o/s  Шапка NBA ESSENTIAL KNIT CUFF CHIBUL BLKOTC Hat черный р.o/s</t>
  </si>
  <si>
    <t>CHIBUL</t>
  </si>
  <si>
    <t>Chicago Bulls</t>
  </si>
  <si>
    <t>NBA</t>
  </si>
  <si>
    <t>12162668-BLK o/s  Бейсболка HEART RATE TRUCKER черный р. o/s</t>
  </si>
  <si>
    <t>10702070/070421/0094616/1</t>
  </si>
  <si>
    <t>12285245-BLK S/M  Бейсболка TONAL BLACK 950 SS CHIBUL BLK чёрный р. S/M</t>
  </si>
  <si>
    <t>10702070/300322/3112884/1</t>
  </si>
  <si>
    <t>12292584-BLK o/s  Бейсболка NBA ESSENTIAL OUTLINE 940 LOSLAK BLK чёрный р. o/s</t>
  </si>
  <si>
    <t>LOSLAK</t>
  </si>
  <si>
    <t>Los Angeles Lakers</t>
  </si>
  <si>
    <t>12292586-BLK o/s  Бейсболка NBA ESSENTIAL OUTLINE 940 CHIBUL BLK чёрный р. o/s</t>
  </si>
  <si>
    <t>NOL</t>
  </si>
  <si>
    <t>12309046-NOL o/s  Бейсболка NEW ERA RUBBER LOGO TRUCKER оливковый р. o/s</t>
  </si>
  <si>
    <t>GRAWHT</t>
  </si>
  <si>
    <t>12489434-GRAWHT o/s  Шапка Wide Cuff Patch Knit Hat серый р.o/s</t>
  </si>
  <si>
    <t>BURWHT</t>
  </si>
  <si>
    <t>12489435-BURWHT o/s  Шапка Wide Cuff Patch Knit Hat бордовый р.o/s</t>
  </si>
  <si>
    <t>PNK</t>
  </si>
  <si>
    <t>12489441-PNK o/s Шапка CUFF KNIT PINK/CARDINA розовый р. o/s</t>
  </si>
  <si>
    <t>NVY</t>
  </si>
  <si>
    <t>12489454-NVY o/s Шапка CUFF KNIT OAKATH NAVY LIC 805 синий р. o/s</t>
  </si>
  <si>
    <t>OAKATH</t>
  </si>
  <si>
    <t>Oakland Athletics</t>
  </si>
  <si>
    <t>12489459-NVY o/s Шапка CUFF KNIT BOBBLE MLB NEYYAN NVYWHI синий р. o/s</t>
  </si>
  <si>
    <t>12489460-BLK o/s Шапка CUFF KNIT BOBBLE NEYYAN BLACK LIC 1500 черный р. o/s</t>
  </si>
  <si>
    <t>MRN</t>
  </si>
  <si>
    <t>12489461-MRN o/s Шапка CUFF KNIT BOBBLE LOSDOD MAROON LIC 1500 бордовый р. o/s</t>
  </si>
  <si>
    <t>NVYSCA</t>
  </si>
  <si>
    <t>12505744-NVYSCA o/s Шапка TEAM POM LIC 12027 KNIT BOSRED NVYSCA серый р. o/s</t>
  </si>
  <si>
    <t>10216170/210820/0217228/2</t>
  </si>
  <si>
    <t>BOSRED</t>
  </si>
  <si>
    <t>Boston Red Sox</t>
  </si>
  <si>
    <t>12505771-NOV o/s Шапка NE FLECK CUFF LIC 1505 KNIT NOV оливковый р. o/s</t>
  </si>
  <si>
    <t>10% хлопок - 10% шерсть - 25% нейлон - 55% акрил</t>
  </si>
  <si>
    <t>12505772-MRN o/s Шапка NE FLECK CUFF LIC 1505 KNIT MRN бордовый р. o/s</t>
  </si>
  <si>
    <t>10702070/170820/0191945/1</t>
  </si>
  <si>
    <t>12505779-BLK o/s  Шапка NE Essential Cuff Knit чёрный р. o/s</t>
  </si>
  <si>
    <t>AGD</t>
  </si>
  <si>
    <t>12505780-AGD o/s  Шапка NE Essential Cuff Knit желтый р. o/s</t>
  </si>
  <si>
    <t>GRHWHI</t>
  </si>
  <si>
    <t>12523896-GRHWHI o/s  Бейсболка JERSEY 9FORTY NEYYAN GRHWHI серый р. o/s</t>
  </si>
  <si>
    <t>10013160/151121/0716257/16</t>
  </si>
  <si>
    <t>MRNWHI</t>
  </si>
  <si>
    <t>12523908-MRNWHI L/XL  Бейсболка DIAMOND ERA 3930 NEYYAN MRNWHI Baseball cap бордовый р.L/XL</t>
  </si>
  <si>
    <t>10702070/291121/3005284/1</t>
  </si>
  <si>
    <t>100% Полиэстер</t>
  </si>
  <si>
    <t>12573358-WHI o/s  Бейсболка F AND L 940 AFRAME WHI белый р. o/s</t>
  </si>
  <si>
    <t>10702070/140521/0137129/2</t>
  </si>
  <si>
    <t>12881461-BLK o/s  Бейсболка FL 15TH A CASUAL CLASSIC BLK черный р. o/s</t>
  </si>
  <si>
    <t>10013160/051121/0692639/3</t>
  </si>
  <si>
    <t>100%  полиэстер</t>
  </si>
  <si>
    <t>60102591-OTC o/s Шапка NBA20 CITY OFF KNIT LOSCLI OTCLOS ANGELES CLIPPERS серый р. o/s</t>
  </si>
  <si>
    <t>10013160/081220/0707623/1</t>
  </si>
  <si>
    <t>LOSCLI</t>
  </si>
  <si>
    <t>Los Angeles Clippers</t>
  </si>
  <si>
    <t>60102707-OTC o/s Шапка NBA20 CITY ALT KNIT BRONET OTCBROOKLYN NETS серый р. o/s</t>
  </si>
  <si>
    <t>OTCBROOKLYN</t>
  </si>
  <si>
    <t>Brooklyn Nets</t>
  </si>
  <si>
    <t>60102809-OTC o/s Шапка NBA20 CITY ALT KNIT MIAHEA OTCMIAMI HEAT серый р. o/s</t>
  </si>
  <si>
    <t>MIAHEA</t>
  </si>
  <si>
    <t>Miami Heat</t>
  </si>
  <si>
    <t>60102842-OTC o/s Шапка NBA20 CITY ALT KNIT CHIBUL OTCCHICAGO BULLS серый р. o/s</t>
  </si>
  <si>
    <t>CDT</t>
  </si>
  <si>
    <t>60137461-CDT M/L  Бейсболка LEAGUE ESSENTIAL 9FIFTY LOSDOD  CDT синий р. M/L</t>
  </si>
  <si>
    <t>10216170/190521/0143312/1</t>
  </si>
  <si>
    <t>60137461-CDT S/M  Бейсболка LEAGUE ESSENTIAL 9FIFTY LOSDOD  CDT синий р. S/M</t>
  </si>
  <si>
    <t>60137517-BLK M/L  Бейсболка TEAM COLOUR 9FIFTY STSP LASRAI  BLK черный р. M/L</t>
  </si>
  <si>
    <t>10216170/110222/3041742/1</t>
  </si>
  <si>
    <t>LASRAI</t>
  </si>
  <si>
    <t>Las Vegas Raiders</t>
  </si>
  <si>
    <t>60137517-BLK S/M  Бейсболка TEAM COLOUR 9FIFTY STSP LASRAI  BLK черный р. S/M</t>
  </si>
  <si>
    <t>10013160/290621/0394074/1</t>
  </si>
  <si>
    <t>60137527-NVYSCA 7 1/2  Бейсболка LEAGUE ESSENTIAL 59FIFTY NEYYAN  NVYSCA синий р. 7 1/2</t>
  </si>
  <si>
    <t>7 1/2</t>
  </si>
  <si>
    <t>TRP</t>
  </si>
  <si>
    <t>60137571-TRP M/L  Бейсболка TEAM COLOUR 9FIFTY STSP LOSLAK  TRP фиолетовый р. M/L</t>
  </si>
  <si>
    <t>60137571-TRP S/M  Бейсболка TEAM COLOUR 9FIFTY STSP LOSLAK  TRP фиолетовый р. S/M</t>
  </si>
  <si>
    <t>FDR</t>
  </si>
  <si>
    <t>60137572-FDR M/L  Бейсболка TEAM COLOUR 9FIFTY STSP CHIBUL  FDR красный р. M/L</t>
  </si>
  <si>
    <t>60137572-FDR S/M  Бейсболка TEAM COLOUR 9FIFTY STSP CHIBUL  FDR красный р. S/M</t>
  </si>
  <si>
    <t>60141477-. L  Панама NE ESSENTIAL TAPERED BUCKET   BLK черный р. L</t>
  </si>
  <si>
    <t>L</t>
  </si>
  <si>
    <t>10013160/240921/0589703/3</t>
  </si>
  <si>
    <t>60141477-. M  Панама NE ESSENTIAL TAPERED BUCKET   BLK черный р. M</t>
  </si>
  <si>
    <t>M</t>
  </si>
  <si>
    <t>60141477-. S  Панама NE ESSENTIAL TAPERED BUCKET   BLK черный р. S</t>
  </si>
  <si>
    <t>S</t>
  </si>
  <si>
    <t>GRA</t>
  </si>
  <si>
    <t>60141518-. o/s  Шапка TEAM WAFFLE KNIT LOSLAK  GRA серый р. o/s</t>
  </si>
  <si>
    <t>10013160/051021/0615618/1</t>
  </si>
  <si>
    <t>ORG</t>
  </si>
  <si>
    <t>60141613-. o/s  Шапка LEAGUE ESS CUFF KNIT DETTIG  ORG оранжевый р. o/s</t>
  </si>
  <si>
    <t>IND</t>
  </si>
  <si>
    <t>60141649-. o/s  Шапка NE POP SHORT CUFF KNIT   IND синий р. o/s</t>
  </si>
  <si>
    <t>10702070/270721/0229785/3</t>
  </si>
  <si>
    <t>60141650-. o/s  Шапка NE POP SHORT CUFF KNIT   NOV оливковый р. o/s</t>
  </si>
  <si>
    <t>STN</t>
  </si>
  <si>
    <t>60141694-. o/s  Шапка LEAGUE ESS CUFF KNIT NEYYAN  STN песочный р. o/s</t>
  </si>
  <si>
    <t>BLKFUR</t>
  </si>
  <si>
    <t>60141713-. o/s  Шапка LEAGUE ESS CUFF KNIT NEYYAN  BLKFUR черный р. o/s</t>
  </si>
  <si>
    <t>BLKTEL</t>
  </si>
  <si>
    <t>60141714-. o/s  Шапка LEAGUE ESS CUFF KNIT NEYYAN  BLKTEL черный р. o/s</t>
  </si>
  <si>
    <t>60141872-. o/s  Шапка TEAM CUFF BEANIE NEYYAN  MRN бордовый р. o/s</t>
  </si>
  <si>
    <t>60141873-. o/s  Шапка TEAM CUFF BEANIE NEYYAN  WHT коричневый р. o/s</t>
  </si>
  <si>
    <t>DRYWHI</t>
  </si>
  <si>
    <t>60142926-. o/s  Бейсболка RUBBER LOGO 940 TRUCKER ATHMAD  DRYWHI синий р. o/s</t>
  </si>
  <si>
    <t>10013160/180821/0507560/1</t>
  </si>
  <si>
    <t>LTCKGR</t>
  </si>
  <si>
    <t>60142978-. o/s  Бейсболка POP VISOR 940 FAI  LTCKGR белый, зелёный р. o/s</t>
  </si>
  <si>
    <t>FAI</t>
  </si>
  <si>
    <t>FA Ireland</t>
  </si>
  <si>
    <t>UEFA</t>
  </si>
  <si>
    <t>LNV</t>
  </si>
  <si>
    <t>60143362-. o/s  Шапка WORDMARK STRIPE CUFF BOBBLE CHELFC  LNV синий р. o/s</t>
  </si>
  <si>
    <t>10013160/151121/0716257/17</t>
  </si>
  <si>
    <t>CHELFC</t>
  </si>
  <si>
    <t>Chelsea</t>
  </si>
  <si>
    <t>EPL</t>
  </si>
  <si>
    <t>CAB</t>
  </si>
  <si>
    <t>60143365-. o/s  Шапка HERITAGE 50s CUFF KNIT CHELFC  CAB синий р. o/s</t>
  </si>
  <si>
    <t>60143369-. o/s  Бейсболка FADE 940 CHELFC  WHI синий р. o/s</t>
  </si>
  <si>
    <t>10013160/021221/3005264/1</t>
  </si>
  <si>
    <t>100% полиэстер</t>
  </si>
  <si>
    <t>60143379-. o/s  Бейсболка COTTON 940 EFTRUCKER CHELFC  CAB синий р. o/s</t>
  </si>
  <si>
    <t>SCA</t>
  </si>
  <si>
    <t>60143386-. o/s  Бейсболка RUBBER PATCH 940 MANUTD  SCA красный р. o/s</t>
  </si>
  <si>
    <t>MANUTD</t>
  </si>
  <si>
    <t>Manchester United</t>
  </si>
  <si>
    <t>60143387-. o/s  Бейсболка RIPSTOP 9FORTY MANUTD  BLK черный р. o/s</t>
  </si>
  <si>
    <t>60143388-. o/s  Бейсболка DEVIL LINE PRINT 940 TRUCKER MANUTD BLK черный р. o/s</t>
  </si>
  <si>
    <t>60143391-. o/s  Бейсболка CORD PATCH 9FORTY MANUTD  SCA красный р. o/s</t>
  </si>
  <si>
    <t>81% хлопок - 19% вискоза</t>
  </si>
  <si>
    <t>GRABLK</t>
  </si>
  <si>
    <t>60143393-. o/s  Шапка WORDMARK BOBBLE CUFF KNIT MANUTD  GRABLK серый р. o/s</t>
  </si>
  <si>
    <t>BLKSCA</t>
  </si>
  <si>
    <t>60143394-. o/s  Шапка STRIPE SKULL KNIT MANUTD  BLKSCA красный р. o/s</t>
  </si>
  <si>
    <t>60143400-. o/s  Бейсболка PATCH 9FORTY MANUTD  NVY тёмно-синий р. o/s</t>
  </si>
  <si>
    <t>60143408-. o/s  Шапка WORDMARK BOBBLE CUFF KNIT MANUTD  BLKSCA красный р. o/s</t>
  </si>
  <si>
    <t>60143421-. o/s  Бейсболка RUBBER PATCH 9FORTY TOTHOT  WHI белый р. o/s</t>
  </si>
  <si>
    <t>60143425-. o/s  Шапка STRIPE SKULL KNIT TOTHOT  LNV тёмно-синий р. o/s</t>
  </si>
  <si>
    <t>60144009-BLU o/s  Шапка Womens MLB Cuff Knit голубой р. o/s</t>
  </si>
  <si>
    <t>Ж</t>
  </si>
  <si>
    <t>GRP</t>
  </si>
  <si>
    <t>60144011-GRP o/s  Шапка Womens MLB Cuff Knit серый р. o/s</t>
  </si>
  <si>
    <t>60179011-. o/s  Бейсболка ESSENTIAL COTTON 920 CRYPAL  NVY тёмно-синий р. o/s</t>
  </si>
  <si>
    <t>60221462-BLK o/s  Бейсболка SEASONAL 9FORTY MANUTD  BLK черный р. o/s</t>
  </si>
  <si>
    <t>10013160/040522/3231169/16</t>
  </si>
  <si>
    <t>10216170/010422/3077636/1</t>
  </si>
  <si>
    <t>60222226-NOV L  Панама NE ESSENTIAL TAPERED BUCKET NEWERA  NOV зеленый р. L</t>
  </si>
  <si>
    <t>10216170/040522/3090058/2</t>
  </si>
  <si>
    <t>60222226-NOV M  Панама NE ESSENTIAL TAPERED BUCKET NEWERA  NOV зеленый р. M</t>
  </si>
  <si>
    <t>60222226-NOV S  Панама NE ESSENTIAL TAPERED BUCKET NEWERA  NOV зеленый р. S</t>
  </si>
  <si>
    <t>60222227-STN L  Панама NE ESSENTIAL TAPERED BUCKET NEWERA  STN бежевый р. L</t>
  </si>
  <si>
    <t>10216170/170322/3071306/2</t>
  </si>
  <si>
    <t>60222227-STN M  Панама NE ESSENTIAL TAPERED BUCKET NEWERA  STN бежевый р. M</t>
  </si>
  <si>
    <t>10013160/050522/3233670/16</t>
  </si>
  <si>
    <t>ATB</t>
  </si>
  <si>
    <t>60222249-ATB L  Панама NE ESSENTIAL TAPERED BUCKET NEWERA  ATB синий р. L</t>
  </si>
  <si>
    <t>60222249-ATB M  Панама NE ESSENTIAL TAPERED BUCKET NEWERA  ATB синий р. M</t>
  </si>
  <si>
    <t>60222249-ATB S  Панама NE ESSENTIAL TAPERED BUCKET NEWERA  ATB синий р. S</t>
  </si>
  <si>
    <t>URC</t>
  </si>
  <si>
    <t>60222255-URC L  Панама PATTERNED TAPERED BUCKET NEWERA  URC белый р. L</t>
  </si>
  <si>
    <t>10013160/130422/3203188/5</t>
  </si>
  <si>
    <t>60222255-URC M  Панама PATTERNED TAPERED BUCKET NEWERA  URC белый р. M</t>
  </si>
  <si>
    <t>60222255-URC S  Панама PATTERNED TAPERED BUCKET NEWERA  URC белый р. S</t>
  </si>
  <si>
    <t>10013160/060522/3236120/3</t>
  </si>
  <si>
    <t>DKG</t>
  </si>
  <si>
    <t>60222258-DKG o/s  Бейсболка NE HERITAGE TRUCKER NEWERA  DKG зеленый р. o/s</t>
  </si>
  <si>
    <t>10013160/060522/3236120/1</t>
  </si>
  <si>
    <t>60222310-NVY L  Панама TEAM TAB TAPERED BUCKET NEYYAN  NVY синий р. L</t>
  </si>
  <si>
    <t>60222310-NVY S  Панама TEAM TAB TAPERED BUCKET NEYYAN  NVY синий р. S</t>
  </si>
  <si>
    <t>10216170/010322/3061554/1</t>
  </si>
  <si>
    <t>60222327-BLK M  Панама NE ESSENTIAL TAPERED BUCKET NEWERA  BLK черный р. M</t>
  </si>
  <si>
    <t>60222332-BLK L  Панама NE TRI PATCH BUCKET NEWERA  BLK черный р. L</t>
  </si>
  <si>
    <t>60222332-BLK M  Панама NE TRI PATCH BUCKET NEWERA  BLK черный р. M</t>
  </si>
  <si>
    <t>60222332-BLK S  Панама NE TRI PATCH BUCKET NEWERA  BLK черный р. S</t>
  </si>
  <si>
    <t>CAR</t>
  </si>
  <si>
    <t>60222375-CAR o/s  Бейсболка NE HERITAGE 9FORTY NEWERA  CAR красный р. o/s</t>
  </si>
  <si>
    <t>60222382-GRP L  Панама PATTERNED TAPERED BUCKET NEWERA  GRP серый р. L</t>
  </si>
  <si>
    <t>60222382-GRP M  Панама PATTERNED TAPERED BUCKET NEWERA  GRP серый р. M</t>
  </si>
  <si>
    <t>60222382-GRP S  Панама PATTERNED TAPERED BUCKET NEWERA  GRP серый р. S</t>
  </si>
  <si>
    <t>PLM</t>
  </si>
  <si>
    <t>60222405-PLM o/s  Бейсболка WMNS JERSEY 9FORTY NEYYAN  PLM розовый р. o/s</t>
  </si>
  <si>
    <t>SGR</t>
  </si>
  <si>
    <t>60222423-SGR o/s  Бейсболка TEAM ARCH 9FORTY LASRAI  SGR серый р. o/s</t>
  </si>
  <si>
    <t>60222449-PNK L  Панама WMNS AOP BUCKET NEWERA  PNK розовый р. L</t>
  </si>
  <si>
    <t>60222449-PNK M  Панама WMNS AOP BUCKET NEWERA  PNK розовый р. M</t>
  </si>
  <si>
    <t>60222449-PNK S  Панама WMNS AOP BUCKET NEWERA  PNK розовый р. S</t>
  </si>
  <si>
    <t>60222488-NVY o/s  Бейсболка WORDMARK GRAPHIC TRUCKER NEYYAN  NVY синий р. o/s</t>
  </si>
  <si>
    <t>60222489-GRA o/s  Бейсболка WORDMARK GRAPHIC TRUCKER LOSLAK  GRA серый р. o/s</t>
  </si>
  <si>
    <t>60222496-BLK o/s  Бейсболка BLACK WHITE 9FORTY LOSDOD  BLK черный р. o/s</t>
  </si>
  <si>
    <t>BSK</t>
  </si>
  <si>
    <t>60222498-BSK L  Панама WMNS NE ESSENTIAL BUCKET NEWERA  BSK розовый р. L</t>
  </si>
  <si>
    <t>10013160/120522/3244619/16</t>
  </si>
  <si>
    <t>60222498-BSK M  Панама WMNS NE ESSENTIAL BUCKET NEWERA  BSK розовый р. M</t>
  </si>
  <si>
    <t>60222505-BLK L  Панама TEAM TAB TAPERED BUCKET CHIBUL  BLK черный р. L</t>
  </si>
  <si>
    <t>60222506-GRA L  Панама TEAM TAB TAPERED BUCKET NEYYAN  GRA серый р. L</t>
  </si>
  <si>
    <t>60222506-GRA S  Панама TEAM TAB TAPERED BUCKET NEYYAN  GRA серый р. S</t>
  </si>
  <si>
    <t>60222551-BLK o/s  Бейсболка CALI 9FORTY NEWERA  BLK черный р. o/s</t>
  </si>
  <si>
    <t>IRF</t>
  </si>
  <si>
    <t>60222553-IRF L  Панама WMNS NE ESSENTIAL BUCKET NEWERA  IRF синий р. L</t>
  </si>
  <si>
    <t>60222553-IRF M  Панама WMNS NE ESSENTIAL BUCKET NEWERA  IRF синий р.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</si>
</sst>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2" borderId="1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6EA8-1ED9-4A2E-8811-B0FC1DEB83D7}">
  <sheetPr codeName="Лист1"/>
  <dimension ref="A1:Y134"/>
  <sheetViews>
    <sheetView showGridLines="0" tabSelected="1" workbookViewId="0">
      <pane ySplit="1" topLeftCell="A2" activePane="bottomLeft" state="frozen"/>
      <selection pane="bottomLeft" activeCell="W3" sqref="W3"/>
    </sheetView>
  </sheetViews>
  <sheetFormatPr defaultRowHeight="15" x14ac:dyDescent="0.25"/>
  <cols>
    <col min="1" max="1" width="38.85546875" style="2" bestFit="1" customWidth="1"/>
    <col min="2" max="2" width="4.5703125" style="9" bestFit="1" customWidth="1"/>
    <col min="3" max="3" width="6.28515625" style="11" bestFit="1" customWidth="1"/>
    <col min="4" max="4" width="31.5703125" style="6" bestFit="1" customWidth="1"/>
    <col min="5" max="5" width="10.85546875" style="6" bestFit="1" customWidth="1"/>
    <col min="6" max="6" width="6" style="6" bestFit="1" customWidth="1"/>
    <col min="7" max="8" width="6" style="6" customWidth="1"/>
    <col min="9" max="9" width="7.140625" style="6" bestFit="1" customWidth="1"/>
    <col min="10" max="10" width="7" style="6" bestFit="1" customWidth="1"/>
    <col min="11" max="11" width="7.140625" style="6" bestFit="1" customWidth="1"/>
    <col min="12" max="12" width="11.85546875" style="6" bestFit="1" customWidth="1"/>
    <col min="13" max="13" width="7" style="6" bestFit="1" customWidth="1"/>
    <col min="14" max="14" width="7.140625" style="6" bestFit="1" customWidth="1"/>
    <col min="15" max="15" width="11.85546875" style="6" bestFit="1" customWidth="1"/>
    <col min="16" max="16" width="7" style="6" bestFit="1" customWidth="1"/>
    <col min="17" max="17" width="5.28515625" style="6" customWidth="1"/>
    <col min="18" max="18" width="4.28515625" style="6" bestFit="1" customWidth="1"/>
    <col min="19" max="23" width="3" style="6" bestFit="1" customWidth="1"/>
    <col min="24" max="25" width="3" style="7" bestFit="1" customWidth="1"/>
    <col min="26" max="26" width="3" bestFit="1" customWidth="1"/>
  </cols>
  <sheetData>
    <row r="1" spans="1:25" s="1" customFormat="1" x14ac:dyDescent="0.25">
      <c r="A1" s="3" t="s">
        <v>0</v>
      </c>
      <c r="B1" s="8" t="s">
        <v>1</v>
      </c>
      <c r="C1" s="10" t="s">
        <v>2</v>
      </c>
      <c r="D1" s="4" t="s">
        <v>4</v>
      </c>
      <c r="E1" s="4" t="s">
        <v>3</v>
      </c>
      <c r="F1" s="4" t="s">
        <v>5</v>
      </c>
      <c r="G1" s="4" t="s">
        <v>1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30</v>
      </c>
      <c r="R1" s="4">
        <v>55</v>
      </c>
      <c r="S1" s="4">
        <v>56</v>
      </c>
      <c r="T1" s="4">
        <v>57</v>
      </c>
      <c r="U1" s="4">
        <v>58</v>
      </c>
      <c r="V1" s="4">
        <v>59</v>
      </c>
      <c r="W1" s="4">
        <v>60</v>
      </c>
      <c r="X1" s="5"/>
      <c r="Y1" s="5"/>
    </row>
    <row r="2" spans="1:25" x14ac:dyDescent="0.25">
      <c r="A2" s="2" t="str">
        <f>D2&amp;E2</f>
        <v>10145637BLKBLK</v>
      </c>
      <c r="B2" s="9">
        <v>60</v>
      </c>
      <c r="C2" s="11">
        <v>2</v>
      </c>
      <c r="D2" s="6">
        <v>10145637</v>
      </c>
      <c r="E2" s="6" t="s">
        <v>15</v>
      </c>
      <c r="F2" s="6" t="s">
        <v>16</v>
      </c>
      <c r="G2" s="6" t="s">
        <v>17</v>
      </c>
      <c r="H2" s="6" t="s">
        <v>18</v>
      </c>
      <c r="I2" s="6" t="s">
        <v>19</v>
      </c>
      <c r="J2" s="6" t="s">
        <v>20</v>
      </c>
      <c r="K2" s="6" t="s">
        <v>21</v>
      </c>
      <c r="L2" s="6" t="s">
        <v>22</v>
      </c>
      <c r="M2" s="6">
        <v>1489.65</v>
      </c>
      <c r="N2" s="6" t="s">
        <v>23</v>
      </c>
      <c r="O2" s="6" t="s">
        <v>24</v>
      </c>
      <c r="P2" s="6" t="s">
        <v>25</v>
      </c>
    </row>
    <row r="3" spans="1:25" x14ac:dyDescent="0.25">
      <c r="A3" s="2" t="str">
        <f t="shared" ref="A3:A66" si="0">D3&amp;E3</f>
        <v>11179831WHI</v>
      </c>
      <c r="B3" s="9" t="s">
        <v>30</v>
      </c>
      <c r="C3" s="11">
        <v>20</v>
      </c>
      <c r="D3" s="6">
        <v>11179831</v>
      </c>
      <c r="E3" s="6" t="s">
        <v>26</v>
      </c>
      <c r="F3" s="6" t="s">
        <v>27</v>
      </c>
      <c r="G3" s="6" t="s">
        <v>28</v>
      </c>
      <c r="H3" s="6" t="s">
        <v>29</v>
      </c>
      <c r="I3" s="6" t="s">
        <v>31</v>
      </c>
      <c r="J3" s="6" t="s">
        <v>32</v>
      </c>
      <c r="K3" s="6" t="s">
        <v>33</v>
      </c>
      <c r="L3" s="6" t="s">
        <v>22</v>
      </c>
      <c r="M3" s="6">
        <v>1163.57</v>
      </c>
      <c r="O3" s="6" t="s">
        <v>34</v>
      </c>
      <c r="P3" s="6" t="s">
        <v>34</v>
      </c>
    </row>
    <row r="4" spans="1:25" x14ac:dyDescent="0.25">
      <c r="A4" s="2" t="str">
        <f t="shared" si="0"/>
        <v>11179834GRAPWHI</v>
      </c>
      <c r="B4" s="9" t="s">
        <v>30</v>
      </c>
      <c r="C4" s="11">
        <v>20</v>
      </c>
      <c r="D4" s="6">
        <v>11179834</v>
      </c>
      <c r="E4" s="6" t="s">
        <v>35</v>
      </c>
      <c r="F4" s="6" t="s">
        <v>36</v>
      </c>
      <c r="G4" s="6" t="s">
        <v>28</v>
      </c>
      <c r="H4" s="6" t="s">
        <v>29</v>
      </c>
      <c r="I4" s="6" t="s">
        <v>31</v>
      </c>
      <c r="J4" s="6" t="s">
        <v>32</v>
      </c>
      <c r="K4" s="6" t="s">
        <v>33</v>
      </c>
      <c r="L4" s="6" t="s">
        <v>22</v>
      </c>
      <c r="M4" s="6">
        <v>1163.57</v>
      </c>
      <c r="O4" s="6" t="s">
        <v>34</v>
      </c>
      <c r="P4" s="6" t="s">
        <v>34</v>
      </c>
    </row>
    <row r="5" spans="1:25" x14ac:dyDescent="0.25">
      <c r="A5" s="2" t="str">
        <f t="shared" si="0"/>
        <v>11179866BLKWHI</v>
      </c>
      <c r="B5" s="9" t="s">
        <v>30</v>
      </c>
      <c r="C5" s="11">
        <v>20</v>
      </c>
      <c r="D5" s="6">
        <v>11179866</v>
      </c>
      <c r="E5" s="6" t="s">
        <v>37</v>
      </c>
      <c r="F5" s="6" t="s">
        <v>38</v>
      </c>
      <c r="G5" s="6" t="s">
        <v>28</v>
      </c>
      <c r="H5" s="6" t="s">
        <v>29</v>
      </c>
      <c r="I5" s="6" t="s">
        <v>31</v>
      </c>
      <c r="J5" s="6" t="s">
        <v>32</v>
      </c>
      <c r="K5" s="6" t="s">
        <v>33</v>
      </c>
      <c r="L5" s="6" t="s">
        <v>39</v>
      </c>
      <c r="M5" s="6">
        <v>1163.57</v>
      </c>
      <c r="O5" s="6" t="s">
        <v>34</v>
      </c>
      <c r="P5" s="6" t="s">
        <v>34</v>
      </c>
    </row>
    <row r="6" spans="1:25" x14ac:dyDescent="0.25">
      <c r="A6" s="2" t="str">
        <f t="shared" si="0"/>
        <v>11179873GRAWHI</v>
      </c>
      <c r="B6" s="9">
        <v>58</v>
      </c>
      <c r="C6" s="11">
        <v>2</v>
      </c>
      <c r="D6" s="6">
        <v>11179873</v>
      </c>
      <c r="E6" s="6" t="s">
        <v>40</v>
      </c>
      <c r="F6" s="6" t="s">
        <v>41</v>
      </c>
      <c r="G6" s="6" t="s">
        <v>42</v>
      </c>
      <c r="H6" s="6" t="s">
        <v>43</v>
      </c>
      <c r="I6" s="6" t="s">
        <v>31</v>
      </c>
      <c r="J6" s="6" t="s">
        <v>32</v>
      </c>
      <c r="K6" s="6" t="s">
        <v>44</v>
      </c>
      <c r="L6" s="6" t="s">
        <v>22</v>
      </c>
      <c r="M6" s="6">
        <v>1117.1199999999999</v>
      </c>
      <c r="O6" s="6" t="s">
        <v>34</v>
      </c>
      <c r="P6" s="6" t="s">
        <v>34</v>
      </c>
    </row>
    <row r="7" spans="1:25" x14ac:dyDescent="0.25">
      <c r="A7" s="2" t="str">
        <f t="shared" si="0"/>
        <v>11179873GRAWHI</v>
      </c>
      <c r="B7" s="9">
        <v>56</v>
      </c>
      <c r="C7" s="11">
        <v>2</v>
      </c>
      <c r="D7" s="6">
        <v>11179873</v>
      </c>
      <c r="E7" s="6" t="s">
        <v>40</v>
      </c>
      <c r="F7" s="6" t="s">
        <v>45</v>
      </c>
      <c r="G7" s="6" t="s">
        <v>46</v>
      </c>
      <c r="H7" s="6" t="s">
        <v>47</v>
      </c>
      <c r="I7" s="6" t="s">
        <v>31</v>
      </c>
      <c r="J7" s="6" t="s">
        <v>32</v>
      </c>
      <c r="K7" s="6" t="s">
        <v>44</v>
      </c>
      <c r="L7" s="6" t="s">
        <v>22</v>
      </c>
      <c r="M7" s="6">
        <v>1117.1199999999999</v>
      </c>
      <c r="O7" s="6" t="s">
        <v>34</v>
      </c>
      <c r="P7" s="6" t="s">
        <v>34</v>
      </c>
    </row>
    <row r="8" spans="1:25" x14ac:dyDescent="0.25">
      <c r="A8" s="2" t="str">
        <f t="shared" si="0"/>
        <v>11277642NVYRIG</v>
      </c>
      <c r="B8" s="9" t="s">
        <v>30</v>
      </c>
      <c r="C8" s="11">
        <v>6</v>
      </c>
      <c r="D8" s="6">
        <v>11277642</v>
      </c>
      <c r="E8" s="6" t="s">
        <v>48</v>
      </c>
      <c r="F8" s="6" t="s">
        <v>49</v>
      </c>
      <c r="G8" s="6" t="s">
        <v>28</v>
      </c>
      <c r="H8" s="6" t="s">
        <v>29</v>
      </c>
      <c r="I8" s="6" t="s">
        <v>31</v>
      </c>
      <c r="J8" s="6" t="s">
        <v>50</v>
      </c>
      <c r="K8" s="6" t="s">
        <v>51</v>
      </c>
      <c r="L8" s="6" t="s">
        <v>39</v>
      </c>
      <c r="M8" s="6">
        <v>465.2</v>
      </c>
      <c r="O8" s="6" t="s">
        <v>34</v>
      </c>
      <c r="P8" s="6" t="s">
        <v>34</v>
      </c>
    </row>
    <row r="9" spans="1:25" x14ac:dyDescent="0.25">
      <c r="A9" s="2" t="str">
        <f t="shared" si="0"/>
        <v>11379840WHT</v>
      </c>
      <c r="B9" s="9" t="s">
        <v>30</v>
      </c>
      <c r="C9" s="11">
        <v>6</v>
      </c>
      <c r="D9" s="6">
        <v>11379840</v>
      </c>
      <c r="E9" s="6" t="s">
        <v>52</v>
      </c>
      <c r="F9" s="6" t="s">
        <v>53</v>
      </c>
      <c r="G9" s="6" t="s">
        <v>28</v>
      </c>
      <c r="H9" s="6" t="s">
        <v>29</v>
      </c>
      <c r="I9" s="6" t="s">
        <v>31</v>
      </c>
      <c r="J9" s="6" t="s">
        <v>54</v>
      </c>
      <c r="K9" s="6" t="s">
        <v>55</v>
      </c>
      <c r="L9" s="6" t="s">
        <v>39</v>
      </c>
      <c r="M9" s="6">
        <v>750.95</v>
      </c>
      <c r="N9" s="6" t="s">
        <v>56</v>
      </c>
      <c r="O9" s="6" t="s">
        <v>57</v>
      </c>
      <c r="P9" s="6" t="s">
        <v>25</v>
      </c>
    </row>
    <row r="10" spans="1:25" x14ac:dyDescent="0.25">
      <c r="A10" s="2" t="str">
        <f t="shared" si="0"/>
        <v>11448329OTC</v>
      </c>
      <c r="B10" s="9" t="s">
        <v>30</v>
      </c>
      <c r="C10" s="11">
        <v>4</v>
      </c>
      <c r="D10" s="6">
        <v>11448329</v>
      </c>
      <c r="E10" s="6" t="s">
        <v>58</v>
      </c>
      <c r="F10" s="6" t="s">
        <v>59</v>
      </c>
      <c r="G10" s="6" t="s">
        <v>28</v>
      </c>
      <c r="H10" s="6" t="s">
        <v>29</v>
      </c>
      <c r="I10" s="6" t="s">
        <v>31</v>
      </c>
      <c r="J10" s="6" t="s">
        <v>60</v>
      </c>
      <c r="K10" s="6" t="s">
        <v>61</v>
      </c>
      <c r="L10" s="6" t="s">
        <v>39</v>
      </c>
      <c r="M10" s="6">
        <v>756.12</v>
      </c>
      <c r="N10" s="6" t="s">
        <v>23</v>
      </c>
      <c r="O10" s="6" t="s">
        <v>24</v>
      </c>
      <c r="P10" s="6" t="s">
        <v>25</v>
      </c>
    </row>
    <row r="11" spans="1:25" x14ac:dyDescent="0.25">
      <c r="A11" s="2" t="str">
        <f t="shared" si="0"/>
        <v>11448330OTC</v>
      </c>
      <c r="B11" s="9" t="s">
        <v>30</v>
      </c>
      <c r="C11" s="11">
        <v>4</v>
      </c>
      <c r="D11" s="6">
        <v>11448330</v>
      </c>
      <c r="E11" s="6" t="s">
        <v>58</v>
      </c>
      <c r="F11" s="6" t="s">
        <v>62</v>
      </c>
      <c r="G11" s="6" t="s">
        <v>28</v>
      </c>
      <c r="H11" s="6" t="s">
        <v>29</v>
      </c>
      <c r="I11" s="6" t="s">
        <v>31</v>
      </c>
      <c r="J11" s="6" t="s">
        <v>60</v>
      </c>
      <c r="K11" s="6" t="s">
        <v>61</v>
      </c>
      <c r="L11" s="6" t="s">
        <v>39</v>
      </c>
      <c r="M11" s="6">
        <v>756.12</v>
      </c>
      <c r="N11" s="6" t="s">
        <v>56</v>
      </c>
      <c r="O11" s="6" t="s">
        <v>57</v>
      </c>
      <c r="P11" s="6" t="s">
        <v>25</v>
      </c>
    </row>
    <row r="12" spans="1:25" x14ac:dyDescent="0.25">
      <c r="A12" s="2" t="str">
        <f t="shared" si="0"/>
        <v>11448333BLU</v>
      </c>
      <c r="B12" s="9" t="s">
        <v>30</v>
      </c>
      <c r="C12" s="11">
        <v>3</v>
      </c>
      <c r="D12" s="6">
        <v>11448333</v>
      </c>
      <c r="E12" s="6" t="s">
        <v>63</v>
      </c>
      <c r="F12" s="6" t="s">
        <v>64</v>
      </c>
      <c r="G12" s="6" t="s">
        <v>28</v>
      </c>
      <c r="H12" s="6" t="s">
        <v>29</v>
      </c>
      <c r="I12" s="6" t="s">
        <v>31</v>
      </c>
      <c r="J12" s="6" t="s">
        <v>60</v>
      </c>
      <c r="K12" s="6" t="s">
        <v>61</v>
      </c>
      <c r="L12" s="6" t="s">
        <v>39</v>
      </c>
      <c r="M12" s="6">
        <v>581.5</v>
      </c>
      <c r="N12" s="6" t="s">
        <v>65</v>
      </c>
      <c r="O12" s="6" t="s">
        <v>66</v>
      </c>
      <c r="P12" s="6" t="s">
        <v>67</v>
      </c>
    </row>
    <row r="13" spans="1:25" x14ac:dyDescent="0.25">
      <c r="A13" s="2" t="str">
        <f t="shared" si="0"/>
        <v>11600974GRH</v>
      </c>
      <c r="B13" s="9" t="s">
        <v>30</v>
      </c>
      <c r="C13" s="11">
        <v>9</v>
      </c>
      <c r="D13" s="6">
        <v>11600974</v>
      </c>
      <c r="E13" s="6" t="s">
        <v>68</v>
      </c>
      <c r="F13" s="6" t="s">
        <v>69</v>
      </c>
      <c r="G13" s="6" t="s">
        <v>28</v>
      </c>
      <c r="H13" s="6" t="s">
        <v>29</v>
      </c>
      <c r="I13" s="6" t="s">
        <v>31</v>
      </c>
      <c r="J13" s="6" t="s">
        <v>50</v>
      </c>
      <c r="K13" s="6" t="s">
        <v>51</v>
      </c>
      <c r="L13" s="6" t="s">
        <v>39</v>
      </c>
      <c r="M13" s="6">
        <v>465.2</v>
      </c>
      <c r="O13" s="6" t="s">
        <v>34</v>
      </c>
      <c r="P13" s="6" t="s">
        <v>34</v>
      </c>
    </row>
    <row r="14" spans="1:25" x14ac:dyDescent="0.25">
      <c r="A14" s="2" t="str">
        <f t="shared" si="0"/>
        <v>11601006NVYGRY</v>
      </c>
      <c r="B14" s="9" t="s">
        <v>30</v>
      </c>
      <c r="C14" s="11">
        <v>7</v>
      </c>
      <c r="D14" s="6">
        <v>11601006</v>
      </c>
      <c r="E14" s="6" t="s">
        <v>70</v>
      </c>
      <c r="F14" s="6" t="s">
        <v>71</v>
      </c>
      <c r="G14" s="6" t="s">
        <v>28</v>
      </c>
      <c r="H14" s="6" t="s">
        <v>29</v>
      </c>
      <c r="I14" s="6" t="s">
        <v>31</v>
      </c>
      <c r="J14" s="6" t="s">
        <v>50</v>
      </c>
      <c r="K14" s="6" t="s">
        <v>61</v>
      </c>
      <c r="L14" s="6" t="s">
        <v>39</v>
      </c>
      <c r="M14" s="6">
        <v>465.2</v>
      </c>
      <c r="O14" s="6" t="s">
        <v>34</v>
      </c>
      <c r="P14" s="6" t="s">
        <v>34</v>
      </c>
    </row>
    <row r="15" spans="1:25" x14ac:dyDescent="0.25">
      <c r="A15" s="2" t="str">
        <f t="shared" si="0"/>
        <v>11601067HNV</v>
      </c>
      <c r="B15" s="9" t="s">
        <v>30</v>
      </c>
      <c r="C15" s="11">
        <v>7</v>
      </c>
      <c r="D15" s="6">
        <v>11601067</v>
      </c>
      <c r="E15" s="6" t="s">
        <v>72</v>
      </c>
      <c r="F15" s="6" t="s">
        <v>73</v>
      </c>
      <c r="G15" s="6" t="s">
        <v>28</v>
      </c>
      <c r="H15" s="6" t="s">
        <v>29</v>
      </c>
      <c r="I15" s="6" t="s">
        <v>31</v>
      </c>
      <c r="J15" s="6" t="s">
        <v>74</v>
      </c>
      <c r="K15" s="6" t="s">
        <v>51</v>
      </c>
      <c r="L15" s="6" t="s">
        <v>39</v>
      </c>
      <c r="M15" s="6">
        <v>465.2</v>
      </c>
      <c r="O15" s="6" t="s">
        <v>34</v>
      </c>
      <c r="P15" s="6" t="s">
        <v>34</v>
      </c>
    </row>
    <row r="16" spans="1:25" x14ac:dyDescent="0.25">
      <c r="A16" s="2" t="str">
        <f t="shared" si="0"/>
        <v>12033074NAV</v>
      </c>
      <c r="B16" s="9" t="s">
        <v>30</v>
      </c>
      <c r="C16" s="11">
        <v>20</v>
      </c>
      <c r="D16" s="6">
        <v>12033074</v>
      </c>
      <c r="E16" s="6" t="s">
        <v>75</v>
      </c>
      <c r="F16" s="6" t="s">
        <v>76</v>
      </c>
      <c r="G16" s="6" t="s">
        <v>28</v>
      </c>
      <c r="H16" s="6" t="s">
        <v>29</v>
      </c>
      <c r="I16" s="6" t="s">
        <v>31</v>
      </c>
      <c r="J16" s="6" t="s">
        <v>77</v>
      </c>
      <c r="K16" s="6" t="s">
        <v>61</v>
      </c>
      <c r="L16" s="6" t="s">
        <v>22</v>
      </c>
      <c r="M16" s="6">
        <v>744.59</v>
      </c>
      <c r="O16" s="6" t="s">
        <v>34</v>
      </c>
      <c r="P16" s="6" t="s">
        <v>34</v>
      </c>
    </row>
    <row r="17" spans="1:16" x14ac:dyDescent="0.25">
      <c r="A17" s="2" t="str">
        <f t="shared" si="0"/>
        <v>12033078BLK</v>
      </c>
      <c r="B17" s="9" t="s">
        <v>30</v>
      </c>
      <c r="C17" s="11">
        <v>30</v>
      </c>
      <c r="D17" s="6">
        <v>12033078</v>
      </c>
      <c r="E17" s="6" t="s">
        <v>78</v>
      </c>
      <c r="F17" s="6" t="s">
        <v>79</v>
      </c>
      <c r="G17" s="6" t="s">
        <v>28</v>
      </c>
      <c r="H17" s="6" t="s">
        <v>29</v>
      </c>
      <c r="I17" s="6" t="s">
        <v>31</v>
      </c>
      <c r="J17" s="6" t="s">
        <v>77</v>
      </c>
      <c r="K17" s="6" t="s">
        <v>61</v>
      </c>
      <c r="L17" s="6" t="s">
        <v>22</v>
      </c>
      <c r="M17" s="6">
        <v>744.59</v>
      </c>
      <c r="O17" s="6" t="s">
        <v>34</v>
      </c>
      <c r="P17" s="6" t="s">
        <v>34</v>
      </c>
    </row>
    <row r="18" spans="1:16" x14ac:dyDescent="0.25">
      <c r="A18" s="2" t="str">
        <f t="shared" si="0"/>
        <v>12033099NOV</v>
      </c>
      <c r="B18" s="9" t="s">
        <v>30</v>
      </c>
      <c r="C18" s="11">
        <v>2</v>
      </c>
      <c r="D18" s="6">
        <v>12033099</v>
      </c>
      <c r="E18" s="6" t="s">
        <v>80</v>
      </c>
      <c r="F18" s="6" t="s">
        <v>81</v>
      </c>
      <c r="G18" s="6" t="s">
        <v>28</v>
      </c>
      <c r="H18" s="6" t="s">
        <v>29</v>
      </c>
      <c r="I18" s="6" t="s">
        <v>31</v>
      </c>
      <c r="J18" s="6" t="s">
        <v>74</v>
      </c>
      <c r="K18" s="6" t="s">
        <v>61</v>
      </c>
      <c r="L18" s="6" t="s">
        <v>22</v>
      </c>
      <c r="M18" s="6">
        <v>581.5</v>
      </c>
      <c r="O18" s="6" t="s">
        <v>34</v>
      </c>
      <c r="P18" s="6" t="s">
        <v>34</v>
      </c>
    </row>
    <row r="19" spans="1:16" x14ac:dyDescent="0.25">
      <c r="A19" s="2" t="str">
        <f t="shared" si="0"/>
        <v>12033103BLK</v>
      </c>
      <c r="B19" s="9" t="s">
        <v>30</v>
      </c>
      <c r="C19" s="11">
        <v>4</v>
      </c>
      <c r="D19" s="6">
        <v>12033103</v>
      </c>
      <c r="E19" s="6" t="s">
        <v>78</v>
      </c>
      <c r="F19" s="6" t="s">
        <v>82</v>
      </c>
      <c r="G19" s="6" t="s">
        <v>28</v>
      </c>
      <c r="H19" s="6" t="s">
        <v>29</v>
      </c>
      <c r="I19" s="6" t="s">
        <v>31</v>
      </c>
      <c r="J19" s="6" t="s">
        <v>60</v>
      </c>
      <c r="K19" s="6" t="s">
        <v>61</v>
      </c>
      <c r="L19" s="6" t="s">
        <v>22</v>
      </c>
      <c r="M19" s="6">
        <v>581.5</v>
      </c>
      <c r="O19" s="6" t="s">
        <v>34</v>
      </c>
      <c r="P19" s="6" t="s">
        <v>34</v>
      </c>
    </row>
    <row r="20" spans="1:16" x14ac:dyDescent="0.25">
      <c r="A20" s="2" t="str">
        <f t="shared" si="0"/>
        <v>12033128BLK</v>
      </c>
      <c r="B20" s="9" t="s">
        <v>30</v>
      </c>
      <c r="C20" s="11">
        <v>5</v>
      </c>
      <c r="D20" s="6">
        <v>12033128</v>
      </c>
      <c r="E20" s="6" t="s">
        <v>78</v>
      </c>
      <c r="F20" s="6" t="s">
        <v>83</v>
      </c>
      <c r="G20" s="6" t="s">
        <v>28</v>
      </c>
      <c r="H20" s="6" t="s">
        <v>29</v>
      </c>
      <c r="I20" s="6" t="s">
        <v>31</v>
      </c>
      <c r="J20" s="6" t="s">
        <v>84</v>
      </c>
      <c r="K20" s="6" t="s">
        <v>61</v>
      </c>
      <c r="L20" s="6" t="s">
        <v>22</v>
      </c>
      <c r="M20" s="6">
        <v>750.95</v>
      </c>
      <c r="O20" s="6" t="s">
        <v>34</v>
      </c>
      <c r="P20" s="6" t="s">
        <v>34</v>
      </c>
    </row>
    <row r="21" spans="1:16" x14ac:dyDescent="0.25">
      <c r="A21" s="2" t="str">
        <f t="shared" si="0"/>
        <v>12033266LOSDOD</v>
      </c>
      <c r="B21" s="9" t="s">
        <v>30</v>
      </c>
      <c r="C21" s="11">
        <v>2</v>
      </c>
      <c r="D21" s="6">
        <v>12033266</v>
      </c>
      <c r="E21" s="6" t="s">
        <v>56</v>
      </c>
      <c r="F21" s="6" t="s">
        <v>85</v>
      </c>
      <c r="G21" s="6" t="s">
        <v>28</v>
      </c>
      <c r="H21" s="6" t="s">
        <v>29</v>
      </c>
      <c r="I21" s="6" t="s">
        <v>31</v>
      </c>
      <c r="J21" s="6" t="s">
        <v>60</v>
      </c>
      <c r="K21" s="6" t="s">
        <v>61</v>
      </c>
      <c r="L21" s="6" t="s">
        <v>22</v>
      </c>
      <c r="M21" s="6">
        <v>581.5</v>
      </c>
      <c r="N21" s="6" t="s">
        <v>56</v>
      </c>
      <c r="O21" s="6" t="s">
        <v>57</v>
      </c>
      <c r="P21" s="6" t="s">
        <v>25</v>
      </c>
    </row>
    <row r="22" spans="1:16" x14ac:dyDescent="0.25">
      <c r="A22" s="2" t="str">
        <f t="shared" si="0"/>
        <v>12122729BLKBLK</v>
      </c>
      <c r="B22" s="9" t="s">
        <v>30</v>
      </c>
      <c r="C22" s="11">
        <v>11</v>
      </c>
      <c r="D22" s="6">
        <v>12122729</v>
      </c>
      <c r="E22" s="6" t="s">
        <v>15</v>
      </c>
      <c r="F22" s="6" t="s">
        <v>86</v>
      </c>
      <c r="G22" s="6" t="s">
        <v>28</v>
      </c>
      <c r="H22" s="6" t="s">
        <v>29</v>
      </c>
      <c r="I22" s="6" t="s">
        <v>31</v>
      </c>
      <c r="J22" s="6" t="s">
        <v>87</v>
      </c>
      <c r="K22" s="6" t="s">
        <v>61</v>
      </c>
      <c r="L22" s="6" t="s">
        <v>39</v>
      </c>
      <c r="M22" s="6">
        <v>1396.52</v>
      </c>
      <c r="N22" s="6" t="s">
        <v>23</v>
      </c>
      <c r="O22" s="6" t="s">
        <v>24</v>
      </c>
      <c r="P22" s="6" t="s">
        <v>25</v>
      </c>
    </row>
    <row r="23" spans="1:16" x14ac:dyDescent="0.25">
      <c r="A23" s="2" t="str">
        <f t="shared" si="0"/>
        <v>12156075OTC</v>
      </c>
      <c r="B23" s="9" t="s">
        <v>30</v>
      </c>
      <c r="C23" s="11">
        <v>7</v>
      </c>
      <c r="D23" s="6">
        <v>12156075</v>
      </c>
      <c r="E23" s="6" t="s">
        <v>58</v>
      </c>
      <c r="F23" s="6" t="s">
        <v>88</v>
      </c>
      <c r="G23" s="6" t="s">
        <v>28</v>
      </c>
      <c r="H23" s="6" t="s">
        <v>29</v>
      </c>
      <c r="I23" s="6" t="s">
        <v>31</v>
      </c>
      <c r="J23" s="6" t="s">
        <v>87</v>
      </c>
      <c r="K23" s="6" t="s">
        <v>61</v>
      </c>
      <c r="L23" s="6" t="s">
        <v>39</v>
      </c>
      <c r="M23" s="6">
        <v>1396.52</v>
      </c>
      <c r="N23" s="6" t="s">
        <v>89</v>
      </c>
      <c r="O23" s="6" t="s">
        <v>90</v>
      </c>
      <c r="P23" s="6" t="s">
        <v>91</v>
      </c>
    </row>
    <row r="24" spans="1:16" x14ac:dyDescent="0.25">
      <c r="A24" s="2" t="str">
        <f t="shared" si="0"/>
        <v>12162668BLK</v>
      </c>
      <c r="B24" s="9" t="s">
        <v>30</v>
      </c>
      <c r="C24" s="11">
        <v>3</v>
      </c>
      <c r="D24" s="6">
        <v>12162668</v>
      </c>
      <c r="E24" s="6" t="s">
        <v>78</v>
      </c>
      <c r="F24" s="6" t="s">
        <v>92</v>
      </c>
      <c r="G24" s="6" t="s">
        <v>28</v>
      </c>
      <c r="H24" s="6" t="s">
        <v>29</v>
      </c>
      <c r="I24" s="6" t="s">
        <v>31</v>
      </c>
      <c r="J24" s="6" t="s">
        <v>93</v>
      </c>
      <c r="K24" s="6" t="s">
        <v>55</v>
      </c>
      <c r="L24" s="6" t="s">
        <v>39</v>
      </c>
      <c r="M24" s="6">
        <v>791.16</v>
      </c>
      <c r="O24" s="6" t="s">
        <v>34</v>
      </c>
      <c r="P24" s="6" t="s">
        <v>34</v>
      </c>
    </row>
    <row r="25" spans="1:16" x14ac:dyDescent="0.25">
      <c r="A25" s="2" t="str">
        <f t="shared" si="0"/>
        <v>12285245BLK</v>
      </c>
      <c r="B25" s="9">
        <v>56</v>
      </c>
      <c r="C25" s="11">
        <v>4</v>
      </c>
      <c r="D25" s="6">
        <v>12285245</v>
      </c>
      <c r="E25" s="6" t="s">
        <v>78</v>
      </c>
      <c r="F25" s="6" t="s">
        <v>94</v>
      </c>
      <c r="G25" s="6" t="s">
        <v>46</v>
      </c>
      <c r="H25" s="6" t="s">
        <v>47</v>
      </c>
      <c r="I25" s="6" t="s">
        <v>31</v>
      </c>
      <c r="J25" s="6" t="s">
        <v>95</v>
      </c>
      <c r="K25" s="6" t="s">
        <v>21</v>
      </c>
      <c r="L25" s="6" t="s">
        <v>22</v>
      </c>
      <c r="M25" s="6">
        <v>1769.05</v>
      </c>
      <c r="N25" s="6" t="s">
        <v>89</v>
      </c>
      <c r="O25" s="6" t="s">
        <v>90</v>
      </c>
      <c r="P25" s="6" t="s">
        <v>91</v>
      </c>
    </row>
    <row r="26" spans="1:16" x14ac:dyDescent="0.25">
      <c r="A26" s="2" t="str">
        <f t="shared" si="0"/>
        <v>12292584BLK</v>
      </c>
      <c r="B26" s="9" t="s">
        <v>30</v>
      </c>
      <c r="C26" s="11">
        <v>13</v>
      </c>
      <c r="D26" s="6">
        <v>12292584</v>
      </c>
      <c r="E26" s="6" t="s">
        <v>78</v>
      </c>
      <c r="F26" s="6" t="s">
        <v>96</v>
      </c>
      <c r="G26" s="6" t="s">
        <v>28</v>
      </c>
      <c r="H26" s="6" t="s">
        <v>29</v>
      </c>
      <c r="I26" s="6" t="s">
        <v>31</v>
      </c>
      <c r="J26" s="6" t="s">
        <v>32</v>
      </c>
      <c r="K26" s="6" t="s">
        <v>55</v>
      </c>
      <c r="L26" s="6" t="s">
        <v>22</v>
      </c>
      <c r="M26" s="6">
        <v>1210.25</v>
      </c>
      <c r="N26" s="6" t="s">
        <v>97</v>
      </c>
      <c r="O26" s="6" t="s">
        <v>98</v>
      </c>
      <c r="P26" s="6" t="s">
        <v>91</v>
      </c>
    </row>
    <row r="27" spans="1:16" x14ac:dyDescent="0.25">
      <c r="A27" s="2" t="str">
        <f t="shared" si="0"/>
        <v>12292586BLK</v>
      </c>
      <c r="B27" s="9" t="s">
        <v>30</v>
      </c>
      <c r="C27" s="11">
        <v>11</v>
      </c>
      <c r="D27" s="6">
        <v>12292586</v>
      </c>
      <c r="E27" s="6" t="s">
        <v>78</v>
      </c>
      <c r="F27" s="6" t="s">
        <v>99</v>
      </c>
      <c r="G27" s="6" t="s">
        <v>28</v>
      </c>
      <c r="H27" s="6" t="s">
        <v>29</v>
      </c>
      <c r="I27" s="6" t="s">
        <v>31</v>
      </c>
      <c r="J27" s="6" t="s">
        <v>32</v>
      </c>
      <c r="K27" s="6" t="s">
        <v>55</v>
      </c>
      <c r="L27" s="6" t="s">
        <v>22</v>
      </c>
      <c r="M27" s="6">
        <v>1210.25</v>
      </c>
      <c r="N27" s="6" t="s">
        <v>89</v>
      </c>
      <c r="O27" s="6" t="s">
        <v>90</v>
      </c>
      <c r="P27" s="6" t="s">
        <v>91</v>
      </c>
    </row>
    <row r="28" spans="1:16" x14ac:dyDescent="0.25">
      <c r="A28" s="2" t="str">
        <f t="shared" si="0"/>
        <v>12309046NOL</v>
      </c>
      <c r="B28" s="9" t="s">
        <v>30</v>
      </c>
      <c r="C28" s="11">
        <v>3</v>
      </c>
      <c r="D28" s="6">
        <v>12309046</v>
      </c>
      <c r="E28" s="6" t="s">
        <v>100</v>
      </c>
      <c r="F28" s="6" t="s">
        <v>101</v>
      </c>
      <c r="G28" s="6" t="s">
        <v>28</v>
      </c>
      <c r="H28" s="6" t="s">
        <v>29</v>
      </c>
      <c r="I28" s="6" t="s">
        <v>31</v>
      </c>
      <c r="J28" s="6" t="s">
        <v>93</v>
      </c>
      <c r="K28" s="6" t="s">
        <v>55</v>
      </c>
      <c r="L28" s="6" t="s">
        <v>39</v>
      </c>
      <c r="M28" s="6">
        <v>997.4</v>
      </c>
      <c r="O28" s="6" t="s">
        <v>34</v>
      </c>
      <c r="P28" s="6" t="s">
        <v>34</v>
      </c>
    </row>
    <row r="29" spans="1:16" x14ac:dyDescent="0.25">
      <c r="A29" s="2" t="str">
        <f t="shared" si="0"/>
        <v>12489434GRAWHT</v>
      </c>
      <c r="B29" s="9" t="s">
        <v>30</v>
      </c>
      <c r="C29" s="11">
        <v>9</v>
      </c>
      <c r="D29" s="6">
        <v>12489434</v>
      </c>
      <c r="E29" s="6" t="s">
        <v>102</v>
      </c>
      <c r="F29" s="6" t="s">
        <v>103</v>
      </c>
      <c r="G29" s="6" t="s">
        <v>28</v>
      </c>
      <c r="H29" s="6" t="s">
        <v>29</v>
      </c>
      <c r="I29" s="6" t="s">
        <v>31</v>
      </c>
      <c r="J29" s="6" t="s">
        <v>77</v>
      </c>
      <c r="K29" s="6" t="s">
        <v>61</v>
      </c>
      <c r="L29" s="6" t="s">
        <v>39</v>
      </c>
      <c r="M29" s="6">
        <v>744.59</v>
      </c>
      <c r="O29" s="6" t="s">
        <v>34</v>
      </c>
      <c r="P29" s="6" t="s">
        <v>34</v>
      </c>
    </row>
    <row r="30" spans="1:16" x14ac:dyDescent="0.25">
      <c r="A30" s="2" t="str">
        <f t="shared" si="0"/>
        <v>12489435BURWHT</v>
      </c>
      <c r="B30" s="9" t="s">
        <v>30</v>
      </c>
      <c r="C30" s="11">
        <v>6</v>
      </c>
      <c r="D30" s="6">
        <v>12489435</v>
      </c>
      <c r="E30" s="6" t="s">
        <v>104</v>
      </c>
      <c r="F30" s="6" t="s">
        <v>105</v>
      </c>
      <c r="G30" s="6" t="s">
        <v>28</v>
      </c>
      <c r="H30" s="6" t="s">
        <v>29</v>
      </c>
      <c r="I30" s="6" t="s">
        <v>31</v>
      </c>
      <c r="J30" s="6" t="s">
        <v>77</v>
      </c>
      <c r="K30" s="6" t="s">
        <v>61</v>
      </c>
      <c r="L30" s="6" t="s">
        <v>39</v>
      </c>
      <c r="M30" s="6">
        <v>558.33000000000004</v>
      </c>
      <c r="O30" s="6" t="s">
        <v>34</v>
      </c>
      <c r="P30" s="6" t="s">
        <v>34</v>
      </c>
    </row>
    <row r="31" spans="1:16" x14ac:dyDescent="0.25">
      <c r="A31" s="2" t="str">
        <f t="shared" si="0"/>
        <v>12489441PNK</v>
      </c>
      <c r="B31" s="9" t="s">
        <v>30</v>
      </c>
      <c r="C31" s="11">
        <v>4</v>
      </c>
      <c r="D31" s="6">
        <v>12489441</v>
      </c>
      <c r="E31" s="6" t="s">
        <v>106</v>
      </c>
      <c r="F31" s="6" t="s">
        <v>107</v>
      </c>
      <c r="G31" s="6" t="s">
        <v>28</v>
      </c>
      <c r="H31" s="6" t="s">
        <v>29</v>
      </c>
      <c r="I31" s="6" t="s">
        <v>31</v>
      </c>
      <c r="J31" s="6" t="s">
        <v>60</v>
      </c>
      <c r="K31" s="6" t="s">
        <v>61</v>
      </c>
      <c r="L31" s="6" t="s">
        <v>22</v>
      </c>
      <c r="M31" s="6">
        <v>581.5</v>
      </c>
      <c r="O31" s="6" t="s">
        <v>34</v>
      </c>
      <c r="P31" s="6" t="s">
        <v>34</v>
      </c>
    </row>
    <row r="32" spans="1:16" x14ac:dyDescent="0.25">
      <c r="A32" s="2" t="str">
        <f t="shared" si="0"/>
        <v>12489454NVY</v>
      </c>
      <c r="B32" s="9" t="s">
        <v>30</v>
      </c>
      <c r="C32" s="11">
        <v>4</v>
      </c>
      <c r="D32" s="6">
        <v>12489454</v>
      </c>
      <c r="E32" s="6" t="s">
        <v>108</v>
      </c>
      <c r="F32" s="6" t="s">
        <v>109</v>
      </c>
      <c r="G32" s="6" t="s">
        <v>28</v>
      </c>
      <c r="H32" s="6" t="s">
        <v>29</v>
      </c>
      <c r="I32" s="6" t="s">
        <v>31</v>
      </c>
      <c r="J32" s="6" t="s">
        <v>60</v>
      </c>
      <c r="K32" s="6" t="s">
        <v>61</v>
      </c>
      <c r="L32" s="6" t="s">
        <v>39</v>
      </c>
      <c r="M32" s="6">
        <v>581.5</v>
      </c>
      <c r="N32" s="6" t="s">
        <v>110</v>
      </c>
      <c r="O32" s="6" t="s">
        <v>111</v>
      </c>
      <c r="P32" s="6" t="s">
        <v>25</v>
      </c>
    </row>
    <row r="33" spans="1:16" x14ac:dyDescent="0.25">
      <c r="A33" s="2" t="str">
        <f t="shared" si="0"/>
        <v>12489459NVY</v>
      </c>
      <c r="B33" s="9" t="s">
        <v>30</v>
      </c>
      <c r="C33" s="11">
        <v>2</v>
      </c>
      <c r="D33" s="6">
        <v>12489459</v>
      </c>
      <c r="E33" s="6" t="s">
        <v>108</v>
      </c>
      <c r="F33" s="6" t="s">
        <v>112</v>
      </c>
      <c r="G33" s="6" t="s">
        <v>28</v>
      </c>
      <c r="H33" s="6" t="s">
        <v>29</v>
      </c>
      <c r="I33" s="6" t="s">
        <v>31</v>
      </c>
      <c r="J33" s="6" t="s">
        <v>60</v>
      </c>
      <c r="K33" s="6" t="s">
        <v>61</v>
      </c>
      <c r="L33" s="6" t="s">
        <v>39</v>
      </c>
      <c r="M33" s="6">
        <v>756.12</v>
      </c>
      <c r="N33" s="6" t="s">
        <v>23</v>
      </c>
      <c r="O33" s="6" t="s">
        <v>24</v>
      </c>
      <c r="P33" s="6" t="s">
        <v>25</v>
      </c>
    </row>
    <row r="34" spans="1:16" x14ac:dyDescent="0.25">
      <c r="A34" s="2" t="str">
        <f t="shared" si="0"/>
        <v>12489460BLK</v>
      </c>
      <c r="B34" s="9" t="s">
        <v>30</v>
      </c>
      <c r="C34" s="11">
        <v>4</v>
      </c>
      <c r="D34" s="6">
        <v>12489460</v>
      </c>
      <c r="E34" s="6" t="s">
        <v>78</v>
      </c>
      <c r="F34" s="6" t="s">
        <v>113</v>
      </c>
      <c r="G34" s="6" t="s">
        <v>28</v>
      </c>
      <c r="H34" s="6" t="s">
        <v>29</v>
      </c>
      <c r="I34" s="6" t="s">
        <v>31</v>
      </c>
      <c r="J34" s="6" t="s">
        <v>60</v>
      </c>
      <c r="K34" s="6" t="s">
        <v>61</v>
      </c>
      <c r="L34" s="6" t="s">
        <v>39</v>
      </c>
      <c r="M34" s="6">
        <v>756.12</v>
      </c>
      <c r="N34" s="6" t="s">
        <v>23</v>
      </c>
      <c r="O34" s="6" t="s">
        <v>24</v>
      </c>
      <c r="P34" s="6" t="s">
        <v>25</v>
      </c>
    </row>
    <row r="35" spans="1:16" x14ac:dyDescent="0.25">
      <c r="A35" s="2" t="str">
        <f t="shared" si="0"/>
        <v>12489461MRN</v>
      </c>
      <c r="B35" s="9" t="s">
        <v>30</v>
      </c>
      <c r="C35" s="11">
        <v>4</v>
      </c>
      <c r="D35" s="6">
        <v>12489461</v>
      </c>
      <c r="E35" s="6" t="s">
        <v>114</v>
      </c>
      <c r="F35" s="6" t="s">
        <v>115</v>
      </c>
      <c r="G35" s="6" t="s">
        <v>28</v>
      </c>
      <c r="H35" s="6" t="s">
        <v>29</v>
      </c>
      <c r="I35" s="6" t="s">
        <v>31</v>
      </c>
      <c r="J35" s="6" t="s">
        <v>60</v>
      </c>
      <c r="K35" s="6" t="s">
        <v>61</v>
      </c>
      <c r="L35" s="6" t="s">
        <v>39</v>
      </c>
      <c r="M35" s="6">
        <v>756.12</v>
      </c>
      <c r="N35" s="6" t="s">
        <v>56</v>
      </c>
      <c r="O35" s="6" t="s">
        <v>57</v>
      </c>
      <c r="P35" s="6" t="s">
        <v>25</v>
      </c>
    </row>
    <row r="36" spans="1:16" x14ac:dyDescent="0.25">
      <c r="A36" s="2" t="str">
        <f t="shared" si="0"/>
        <v>12505744NVYSCA</v>
      </c>
      <c r="B36" s="9" t="s">
        <v>30</v>
      </c>
      <c r="C36" s="11">
        <v>4</v>
      </c>
      <c r="D36" s="6">
        <v>12505744</v>
      </c>
      <c r="E36" s="6" t="s">
        <v>116</v>
      </c>
      <c r="F36" s="6" t="s">
        <v>117</v>
      </c>
      <c r="G36" s="6" t="s">
        <v>28</v>
      </c>
      <c r="H36" s="6" t="s">
        <v>29</v>
      </c>
      <c r="I36" s="6" t="s">
        <v>31</v>
      </c>
      <c r="J36" s="6" t="s">
        <v>118</v>
      </c>
      <c r="K36" s="6" t="s">
        <v>61</v>
      </c>
      <c r="L36" s="6" t="s">
        <v>39</v>
      </c>
      <c r="M36" s="6">
        <v>698.03</v>
      </c>
      <c r="N36" s="6" t="s">
        <v>119</v>
      </c>
      <c r="O36" s="6" t="s">
        <v>120</v>
      </c>
      <c r="P36" s="6" t="s">
        <v>25</v>
      </c>
    </row>
    <row r="37" spans="1:16" x14ac:dyDescent="0.25">
      <c r="A37" s="2" t="str">
        <f t="shared" si="0"/>
        <v>12505771NOV</v>
      </c>
      <c r="B37" s="9" t="s">
        <v>30</v>
      </c>
      <c r="C37" s="11">
        <v>4</v>
      </c>
      <c r="D37" s="6">
        <v>12505771</v>
      </c>
      <c r="E37" s="6" t="s">
        <v>80</v>
      </c>
      <c r="F37" s="6" t="s">
        <v>121</v>
      </c>
      <c r="G37" s="6" t="s">
        <v>28</v>
      </c>
      <c r="H37" s="6" t="s">
        <v>29</v>
      </c>
      <c r="I37" s="6" t="s">
        <v>31</v>
      </c>
      <c r="J37" s="6" t="s">
        <v>60</v>
      </c>
      <c r="K37" s="6" t="s">
        <v>122</v>
      </c>
      <c r="L37" s="6" t="s">
        <v>39</v>
      </c>
      <c r="M37" s="6">
        <v>581.5</v>
      </c>
      <c r="O37" s="6" t="s">
        <v>34</v>
      </c>
      <c r="P37" s="6" t="s">
        <v>34</v>
      </c>
    </row>
    <row r="38" spans="1:16" x14ac:dyDescent="0.25">
      <c r="A38" s="2" t="str">
        <f t="shared" si="0"/>
        <v>12505772MRN</v>
      </c>
      <c r="B38" s="9" t="s">
        <v>30</v>
      </c>
      <c r="C38" s="11">
        <v>4</v>
      </c>
      <c r="D38" s="6">
        <v>12505772</v>
      </c>
      <c r="E38" s="6" t="s">
        <v>114</v>
      </c>
      <c r="F38" s="6" t="s">
        <v>123</v>
      </c>
      <c r="G38" s="6" t="s">
        <v>28</v>
      </c>
      <c r="H38" s="6" t="s">
        <v>29</v>
      </c>
      <c r="I38" s="6" t="s">
        <v>31</v>
      </c>
      <c r="J38" s="6" t="s">
        <v>124</v>
      </c>
      <c r="K38" s="6" t="s">
        <v>122</v>
      </c>
      <c r="L38" s="6" t="s">
        <v>39</v>
      </c>
      <c r="M38" s="6">
        <v>581.5</v>
      </c>
      <c r="O38" s="6" t="s">
        <v>34</v>
      </c>
      <c r="P38" s="6" t="s">
        <v>34</v>
      </c>
    </row>
    <row r="39" spans="1:16" x14ac:dyDescent="0.25">
      <c r="A39" s="2" t="str">
        <f t="shared" si="0"/>
        <v>12505779BLK</v>
      </c>
      <c r="B39" s="9" t="s">
        <v>30</v>
      </c>
      <c r="C39" s="11">
        <v>12</v>
      </c>
      <c r="D39" s="6">
        <v>12505779</v>
      </c>
      <c r="E39" s="6" t="s">
        <v>78</v>
      </c>
      <c r="F39" s="6" t="s">
        <v>125</v>
      </c>
      <c r="G39" s="6" t="s">
        <v>28</v>
      </c>
      <c r="H39" s="6" t="s">
        <v>29</v>
      </c>
      <c r="I39" s="6" t="s">
        <v>31</v>
      </c>
      <c r="J39" s="6" t="s">
        <v>50</v>
      </c>
      <c r="K39" s="6" t="s">
        <v>61</v>
      </c>
      <c r="L39" s="6" t="s">
        <v>39</v>
      </c>
      <c r="M39" s="6">
        <v>744.59</v>
      </c>
      <c r="O39" s="6" t="s">
        <v>34</v>
      </c>
      <c r="P39" s="6" t="s">
        <v>34</v>
      </c>
    </row>
    <row r="40" spans="1:16" x14ac:dyDescent="0.25">
      <c r="A40" s="2" t="str">
        <f t="shared" si="0"/>
        <v>12505780AGD</v>
      </c>
      <c r="B40" s="9" t="s">
        <v>30</v>
      </c>
      <c r="C40" s="11">
        <v>7</v>
      </c>
      <c r="D40" s="6">
        <v>12505780</v>
      </c>
      <c r="E40" s="6" t="s">
        <v>126</v>
      </c>
      <c r="F40" s="6" t="s">
        <v>127</v>
      </c>
      <c r="G40" s="6" t="s">
        <v>28</v>
      </c>
      <c r="H40" s="6" t="s">
        <v>29</v>
      </c>
      <c r="I40" s="6" t="s">
        <v>31</v>
      </c>
      <c r="J40" s="6" t="s">
        <v>50</v>
      </c>
      <c r="K40" s="6" t="s">
        <v>61</v>
      </c>
      <c r="L40" s="6" t="s">
        <v>39</v>
      </c>
      <c r="M40" s="6">
        <v>558.33000000000004</v>
      </c>
      <c r="O40" s="6" t="s">
        <v>34</v>
      </c>
      <c r="P40" s="6" t="s">
        <v>34</v>
      </c>
    </row>
    <row r="41" spans="1:16" x14ac:dyDescent="0.25">
      <c r="A41" s="2" t="str">
        <f t="shared" si="0"/>
        <v>12523896GRHWHI</v>
      </c>
      <c r="B41" s="9" t="s">
        <v>30</v>
      </c>
      <c r="C41" s="11">
        <v>13</v>
      </c>
      <c r="D41" s="6">
        <v>12523896</v>
      </c>
      <c r="E41" s="6" t="s">
        <v>128</v>
      </c>
      <c r="F41" s="6" t="s">
        <v>129</v>
      </c>
      <c r="G41" s="6" t="s">
        <v>28</v>
      </c>
      <c r="H41" s="6" t="s">
        <v>29</v>
      </c>
      <c r="I41" s="6" t="s">
        <v>31</v>
      </c>
      <c r="J41" s="6" t="s">
        <v>130</v>
      </c>
      <c r="K41" s="6" t="s">
        <v>33</v>
      </c>
      <c r="L41" s="6" t="s">
        <v>22</v>
      </c>
      <c r="M41" s="6">
        <v>1687.44</v>
      </c>
      <c r="N41" s="6" t="s">
        <v>23</v>
      </c>
      <c r="O41" s="6" t="s">
        <v>24</v>
      </c>
      <c r="P41" s="6" t="s">
        <v>25</v>
      </c>
    </row>
    <row r="42" spans="1:16" x14ac:dyDescent="0.25">
      <c r="A42" s="2" t="str">
        <f t="shared" si="0"/>
        <v>12523908MRNWHI</v>
      </c>
      <c r="B42" s="9">
        <v>60</v>
      </c>
      <c r="C42" s="11">
        <v>6</v>
      </c>
      <c r="D42" s="6">
        <v>12523908</v>
      </c>
      <c r="E42" s="6" t="s">
        <v>131</v>
      </c>
      <c r="F42" s="6" t="s">
        <v>132</v>
      </c>
      <c r="G42" s="6" t="s">
        <v>17</v>
      </c>
      <c r="H42" s="6" t="s">
        <v>18</v>
      </c>
      <c r="I42" s="6" t="s">
        <v>19</v>
      </c>
      <c r="J42" s="6" t="s">
        <v>133</v>
      </c>
      <c r="K42" s="6" t="s">
        <v>134</v>
      </c>
      <c r="L42" s="6" t="s">
        <v>22</v>
      </c>
      <c r="M42" s="6">
        <v>1722.48</v>
      </c>
      <c r="N42" s="6" t="s">
        <v>23</v>
      </c>
      <c r="O42" s="6" t="s">
        <v>24</v>
      </c>
      <c r="P42" s="6" t="s">
        <v>25</v>
      </c>
    </row>
    <row r="43" spans="1:16" x14ac:dyDescent="0.25">
      <c r="A43" s="2" t="str">
        <f t="shared" si="0"/>
        <v>12573358WHI</v>
      </c>
      <c r="B43" s="9" t="s">
        <v>30</v>
      </c>
      <c r="C43" s="11">
        <v>6</v>
      </c>
      <c r="D43" s="6">
        <v>12573358</v>
      </c>
      <c r="E43" s="6" t="s">
        <v>26</v>
      </c>
      <c r="F43" s="6" t="s">
        <v>135</v>
      </c>
      <c r="G43" s="6" t="s">
        <v>28</v>
      </c>
      <c r="H43" s="6" t="s">
        <v>29</v>
      </c>
      <c r="I43" s="6" t="s">
        <v>31</v>
      </c>
      <c r="J43" s="6" t="s">
        <v>136</v>
      </c>
      <c r="K43" s="6" t="s">
        <v>55</v>
      </c>
      <c r="L43" s="6" t="s">
        <v>39</v>
      </c>
      <c r="M43" s="6">
        <v>1978.48</v>
      </c>
      <c r="O43" s="6" t="s">
        <v>34</v>
      </c>
      <c r="P43" s="6" t="s">
        <v>34</v>
      </c>
    </row>
    <row r="44" spans="1:16" x14ac:dyDescent="0.25">
      <c r="A44" s="2" t="str">
        <f t="shared" si="0"/>
        <v>12881461BLK</v>
      </c>
      <c r="B44" s="9" t="s">
        <v>30</v>
      </c>
      <c r="C44" s="11">
        <v>12</v>
      </c>
      <c r="D44" s="6">
        <v>12881461</v>
      </c>
      <c r="E44" s="6" t="s">
        <v>78</v>
      </c>
      <c r="F44" s="6" t="s">
        <v>137</v>
      </c>
      <c r="G44" s="6" t="s">
        <v>28</v>
      </c>
      <c r="H44" s="6" t="s">
        <v>29</v>
      </c>
      <c r="I44" s="6" t="s">
        <v>31</v>
      </c>
      <c r="J44" s="6" t="s">
        <v>138</v>
      </c>
      <c r="K44" s="6" t="s">
        <v>139</v>
      </c>
      <c r="L44" s="6" t="s">
        <v>39</v>
      </c>
      <c r="M44" s="6">
        <v>1978.48</v>
      </c>
      <c r="O44" s="6" t="s">
        <v>34</v>
      </c>
      <c r="P44" s="6" t="s">
        <v>34</v>
      </c>
    </row>
    <row r="45" spans="1:16" x14ac:dyDescent="0.25">
      <c r="A45" s="2" t="str">
        <f t="shared" si="0"/>
        <v>60102591OTC</v>
      </c>
      <c r="B45" s="9" t="s">
        <v>30</v>
      </c>
      <c r="C45" s="11">
        <v>3</v>
      </c>
      <c r="D45" s="6">
        <v>60102591</v>
      </c>
      <c r="E45" s="6" t="s">
        <v>58</v>
      </c>
      <c r="F45" s="6" t="s">
        <v>140</v>
      </c>
      <c r="G45" s="6" t="s">
        <v>28</v>
      </c>
      <c r="H45" s="6" t="s">
        <v>29</v>
      </c>
      <c r="I45" s="6" t="s">
        <v>31</v>
      </c>
      <c r="J45" s="6" t="s">
        <v>141</v>
      </c>
      <c r="K45" s="6" t="s">
        <v>61</v>
      </c>
      <c r="L45" s="6" t="s">
        <v>22</v>
      </c>
      <c r="M45" s="6">
        <v>1454.61</v>
      </c>
      <c r="N45" s="6" t="s">
        <v>142</v>
      </c>
      <c r="O45" s="6" t="s">
        <v>143</v>
      </c>
      <c r="P45" s="6" t="s">
        <v>91</v>
      </c>
    </row>
    <row r="46" spans="1:16" x14ac:dyDescent="0.25">
      <c r="A46" s="2" t="str">
        <f t="shared" si="0"/>
        <v>60102707OTC</v>
      </c>
      <c r="B46" s="9" t="s">
        <v>30</v>
      </c>
      <c r="C46" s="11">
        <v>3</v>
      </c>
      <c r="D46" s="6">
        <v>60102707</v>
      </c>
      <c r="E46" s="6" t="s">
        <v>58</v>
      </c>
      <c r="F46" s="6" t="s">
        <v>144</v>
      </c>
      <c r="G46" s="6" t="s">
        <v>28</v>
      </c>
      <c r="H46" s="6" t="s">
        <v>29</v>
      </c>
      <c r="I46" s="6" t="s">
        <v>31</v>
      </c>
      <c r="J46" s="6" t="s">
        <v>141</v>
      </c>
      <c r="K46" s="6" t="s">
        <v>61</v>
      </c>
      <c r="L46" s="6" t="s">
        <v>22</v>
      </c>
      <c r="M46" s="6">
        <v>1454.61</v>
      </c>
      <c r="N46" s="6" t="s">
        <v>145</v>
      </c>
      <c r="O46" s="6" t="s">
        <v>146</v>
      </c>
      <c r="P46" s="6" t="s">
        <v>91</v>
      </c>
    </row>
    <row r="47" spans="1:16" x14ac:dyDescent="0.25">
      <c r="A47" s="2" t="str">
        <f t="shared" si="0"/>
        <v>60102809OTC</v>
      </c>
      <c r="B47" s="9" t="s">
        <v>30</v>
      </c>
      <c r="C47" s="11">
        <v>3</v>
      </c>
      <c r="D47" s="6">
        <v>60102809</v>
      </c>
      <c r="E47" s="6" t="s">
        <v>58</v>
      </c>
      <c r="F47" s="6" t="s">
        <v>147</v>
      </c>
      <c r="G47" s="6" t="s">
        <v>28</v>
      </c>
      <c r="H47" s="6" t="s">
        <v>29</v>
      </c>
      <c r="I47" s="6" t="s">
        <v>31</v>
      </c>
      <c r="J47" s="6" t="s">
        <v>141</v>
      </c>
      <c r="K47" s="6" t="s">
        <v>61</v>
      </c>
      <c r="L47" s="6" t="s">
        <v>22</v>
      </c>
      <c r="M47" s="6">
        <v>1454.61</v>
      </c>
      <c r="N47" s="6" t="s">
        <v>148</v>
      </c>
      <c r="O47" s="6" t="s">
        <v>149</v>
      </c>
      <c r="P47" s="6" t="s">
        <v>91</v>
      </c>
    </row>
    <row r="48" spans="1:16" x14ac:dyDescent="0.25">
      <c r="A48" s="2" t="str">
        <f t="shared" si="0"/>
        <v>60102842OTC</v>
      </c>
      <c r="B48" s="9" t="s">
        <v>30</v>
      </c>
      <c r="C48" s="11">
        <v>7</v>
      </c>
      <c r="D48" s="6">
        <v>60102842</v>
      </c>
      <c r="E48" s="6" t="s">
        <v>58</v>
      </c>
      <c r="F48" s="6" t="s">
        <v>150</v>
      </c>
      <c r="G48" s="6" t="s">
        <v>28</v>
      </c>
      <c r="H48" s="6" t="s">
        <v>29</v>
      </c>
      <c r="I48" s="6" t="s">
        <v>31</v>
      </c>
      <c r="J48" s="6" t="s">
        <v>141</v>
      </c>
      <c r="K48" s="6" t="s">
        <v>61</v>
      </c>
      <c r="L48" s="6" t="s">
        <v>22</v>
      </c>
      <c r="M48" s="6">
        <v>1454.61</v>
      </c>
      <c r="N48" s="6" t="s">
        <v>89</v>
      </c>
      <c r="O48" s="6" t="s">
        <v>90</v>
      </c>
      <c r="P48" s="6" t="s">
        <v>91</v>
      </c>
    </row>
    <row r="49" spans="1:16" x14ac:dyDescent="0.25">
      <c r="A49" s="2" t="str">
        <f t="shared" si="0"/>
        <v>60137461CDT</v>
      </c>
      <c r="B49" s="9">
        <v>58</v>
      </c>
      <c r="C49" s="11">
        <v>3</v>
      </c>
      <c r="D49" s="6">
        <v>60137461</v>
      </c>
      <c r="E49" s="6" t="s">
        <v>151</v>
      </c>
      <c r="F49" s="6" t="s">
        <v>152</v>
      </c>
      <c r="G49" s="6" t="s">
        <v>42</v>
      </c>
      <c r="H49" s="6" t="s">
        <v>43</v>
      </c>
      <c r="I49" s="6" t="s">
        <v>19</v>
      </c>
      <c r="J49" s="6" t="s">
        <v>153</v>
      </c>
      <c r="K49" s="6" t="s">
        <v>55</v>
      </c>
      <c r="L49" s="6" t="s">
        <v>22</v>
      </c>
      <c r="M49" s="6">
        <v>1256.82</v>
      </c>
      <c r="N49" s="6" t="s">
        <v>56</v>
      </c>
      <c r="O49" s="6" t="s">
        <v>57</v>
      </c>
      <c r="P49" s="6" t="s">
        <v>25</v>
      </c>
    </row>
    <row r="50" spans="1:16" x14ac:dyDescent="0.25">
      <c r="A50" s="2" t="str">
        <f t="shared" si="0"/>
        <v>60137461CDT</v>
      </c>
      <c r="B50" s="9">
        <v>56</v>
      </c>
      <c r="C50" s="11">
        <v>3</v>
      </c>
      <c r="D50" s="6">
        <v>60137461</v>
      </c>
      <c r="E50" s="6" t="s">
        <v>151</v>
      </c>
      <c r="F50" s="6" t="s">
        <v>154</v>
      </c>
      <c r="G50" s="6" t="s">
        <v>46</v>
      </c>
      <c r="H50" s="6" t="s">
        <v>47</v>
      </c>
      <c r="I50" s="6" t="s">
        <v>19</v>
      </c>
      <c r="J50" s="6" t="s">
        <v>153</v>
      </c>
      <c r="K50" s="6" t="s">
        <v>55</v>
      </c>
      <c r="L50" s="6" t="s">
        <v>22</v>
      </c>
      <c r="M50" s="6">
        <v>1256.82</v>
      </c>
      <c r="N50" s="6" t="s">
        <v>56</v>
      </c>
      <c r="O50" s="6" t="s">
        <v>57</v>
      </c>
      <c r="P50" s="6" t="s">
        <v>25</v>
      </c>
    </row>
    <row r="51" spans="1:16" x14ac:dyDescent="0.25">
      <c r="A51" s="2" t="str">
        <f t="shared" si="0"/>
        <v>60137517BLK</v>
      </c>
      <c r="B51" s="9">
        <v>58</v>
      </c>
      <c r="C51" s="11">
        <v>2</v>
      </c>
      <c r="D51" s="6">
        <v>60137517</v>
      </c>
      <c r="E51" s="6" t="s">
        <v>78</v>
      </c>
      <c r="F51" s="6" t="s">
        <v>155</v>
      </c>
      <c r="G51" s="6" t="s">
        <v>42</v>
      </c>
      <c r="H51" s="6" t="s">
        <v>43</v>
      </c>
      <c r="I51" s="6" t="s">
        <v>31</v>
      </c>
      <c r="J51" s="6" t="s">
        <v>156</v>
      </c>
      <c r="K51" s="6" t="s">
        <v>21</v>
      </c>
      <c r="L51" s="6" t="s">
        <v>22</v>
      </c>
      <c r="M51" s="6">
        <v>1769.05</v>
      </c>
      <c r="N51" s="6" t="s">
        <v>157</v>
      </c>
      <c r="O51" s="6" t="s">
        <v>158</v>
      </c>
      <c r="P51" s="6" t="s">
        <v>67</v>
      </c>
    </row>
    <row r="52" spans="1:16" x14ac:dyDescent="0.25">
      <c r="A52" s="2" t="str">
        <f t="shared" si="0"/>
        <v>60137517BLK</v>
      </c>
      <c r="B52" s="9">
        <v>56</v>
      </c>
      <c r="C52" s="11">
        <v>1</v>
      </c>
      <c r="D52" s="6">
        <v>60137517</v>
      </c>
      <c r="E52" s="6" t="s">
        <v>78</v>
      </c>
      <c r="F52" s="6" t="s">
        <v>159</v>
      </c>
      <c r="G52" s="6" t="s">
        <v>46</v>
      </c>
      <c r="H52" s="6" t="s">
        <v>47</v>
      </c>
      <c r="I52" s="6" t="s">
        <v>31</v>
      </c>
      <c r="J52" s="6" t="s">
        <v>160</v>
      </c>
      <c r="K52" s="6" t="s">
        <v>21</v>
      </c>
      <c r="L52" s="6" t="s">
        <v>22</v>
      </c>
      <c r="M52" s="6">
        <v>1769.05</v>
      </c>
      <c r="N52" s="6" t="s">
        <v>157</v>
      </c>
      <c r="O52" s="6" t="s">
        <v>158</v>
      </c>
      <c r="P52" s="6" t="s">
        <v>67</v>
      </c>
    </row>
    <row r="53" spans="1:16" x14ac:dyDescent="0.25">
      <c r="A53" s="2" t="str">
        <f t="shared" si="0"/>
        <v>60137517BLK</v>
      </c>
      <c r="B53" s="9">
        <v>56</v>
      </c>
      <c r="C53" s="11">
        <v>1</v>
      </c>
      <c r="D53" s="6">
        <v>60137517</v>
      </c>
      <c r="E53" s="6" t="s">
        <v>78</v>
      </c>
      <c r="F53" s="6" t="s">
        <v>159</v>
      </c>
      <c r="G53" s="6" t="s">
        <v>46</v>
      </c>
      <c r="H53" s="6" t="s">
        <v>47</v>
      </c>
      <c r="I53" s="6" t="s">
        <v>31</v>
      </c>
      <c r="J53" s="6" t="s">
        <v>156</v>
      </c>
      <c r="K53" s="6" t="s">
        <v>21</v>
      </c>
      <c r="L53" s="6" t="s">
        <v>22</v>
      </c>
      <c r="M53" s="6">
        <v>1769.05</v>
      </c>
      <c r="N53" s="6" t="s">
        <v>157</v>
      </c>
      <c r="O53" s="6" t="s">
        <v>158</v>
      </c>
      <c r="P53" s="6" t="s">
        <v>67</v>
      </c>
    </row>
    <row r="54" spans="1:16" x14ac:dyDescent="0.25">
      <c r="A54" s="2" t="str">
        <f t="shared" si="0"/>
        <v>60137527NVYSCA</v>
      </c>
      <c r="B54" s="9">
        <v>60</v>
      </c>
      <c r="C54" s="11">
        <v>2</v>
      </c>
      <c r="D54" s="6">
        <v>60137527</v>
      </c>
      <c r="E54" s="6" t="s">
        <v>116</v>
      </c>
      <c r="F54" s="6" t="s">
        <v>161</v>
      </c>
      <c r="G54" s="6" t="s">
        <v>162</v>
      </c>
      <c r="H54" s="6">
        <v>60</v>
      </c>
      <c r="I54" s="6" t="s">
        <v>19</v>
      </c>
      <c r="J54" s="6" t="s">
        <v>153</v>
      </c>
      <c r="K54" s="6" t="s">
        <v>55</v>
      </c>
      <c r="L54" s="6" t="s">
        <v>22</v>
      </c>
      <c r="M54" s="6">
        <v>1303.3900000000001</v>
      </c>
      <c r="N54" s="6" t="s">
        <v>23</v>
      </c>
      <c r="O54" s="6" t="s">
        <v>24</v>
      </c>
      <c r="P54" s="6" t="s">
        <v>25</v>
      </c>
    </row>
    <row r="55" spans="1:16" x14ac:dyDescent="0.25">
      <c r="A55" s="2" t="str">
        <f t="shared" si="0"/>
        <v>60137571TRP</v>
      </c>
      <c r="B55" s="9">
        <v>58</v>
      </c>
      <c r="C55" s="11">
        <v>5</v>
      </c>
      <c r="D55" s="6">
        <v>60137571</v>
      </c>
      <c r="E55" s="6" t="s">
        <v>163</v>
      </c>
      <c r="F55" s="6" t="s">
        <v>164</v>
      </c>
      <c r="G55" s="6" t="s">
        <v>42</v>
      </c>
      <c r="H55" s="6" t="s">
        <v>43</v>
      </c>
      <c r="I55" s="6" t="s">
        <v>31</v>
      </c>
      <c r="J55" s="6" t="s">
        <v>156</v>
      </c>
      <c r="K55" s="6" t="s">
        <v>21</v>
      </c>
      <c r="L55" s="6" t="s">
        <v>22</v>
      </c>
      <c r="M55" s="6">
        <v>1769.05</v>
      </c>
      <c r="N55" s="6" t="s">
        <v>97</v>
      </c>
      <c r="O55" s="6" t="s">
        <v>98</v>
      </c>
      <c r="P55" s="6" t="s">
        <v>91</v>
      </c>
    </row>
    <row r="56" spans="1:16" x14ac:dyDescent="0.25">
      <c r="A56" s="2" t="str">
        <f t="shared" si="0"/>
        <v>60137571TRP</v>
      </c>
      <c r="B56" s="9">
        <v>56</v>
      </c>
      <c r="C56" s="11">
        <v>5</v>
      </c>
      <c r="D56" s="6">
        <v>60137571</v>
      </c>
      <c r="E56" s="6" t="s">
        <v>163</v>
      </c>
      <c r="F56" s="6" t="s">
        <v>165</v>
      </c>
      <c r="G56" s="6" t="s">
        <v>46</v>
      </c>
      <c r="H56" s="6" t="s">
        <v>47</v>
      </c>
      <c r="I56" s="6" t="s">
        <v>31</v>
      </c>
      <c r="J56" s="6" t="s">
        <v>156</v>
      </c>
      <c r="K56" s="6" t="s">
        <v>21</v>
      </c>
      <c r="L56" s="6" t="s">
        <v>22</v>
      </c>
      <c r="M56" s="6">
        <v>1769.05</v>
      </c>
      <c r="N56" s="6" t="s">
        <v>97</v>
      </c>
      <c r="O56" s="6" t="s">
        <v>98</v>
      </c>
      <c r="P56" s="6" t="s">
        <v>91</v>
      </c>
    </row>
    <row r="57" spans="1:16" x14ac:dyDescent="0.25">
      <c r="A57" s="2" t="str">
        <f t="shared" si="0"/>
        <v>60137572FDR</v>
      </c>
      <c r="B57" s="9">
        <v>58</v>
      </c>
      <c r="C57" s="11">
        <v>1</v>
      </c>
      <c r="D57" s="6">
        <v>60137572</v>
      </c>
      <c r="E57" s="6" t="s">
        <v>166</v>
      </c>
      <c r="F57" s="6" t="s">
        <v>167</v>
      </c>
      <c r="G57" s="6" t="s">
        <v>42</v>
      </c>
      <c r="H57" s="6" t="s">
        <v>43</v>
      </c>
      <c r="I57" s="6" t="s">
        <v>31</v>
      </c>
      <c r="J57" s="6" t="s">
        <v>156</v>
      </c>
      <c r="K57" s="6" t="s">
        <v>21</v>
      </c>
      <c r="L57" s="6" t="s">
        <v>22</v>
      </c>
      <c r="M57" s="6">
        <v>1769.05</v>
      </c>
      <c r="N57" s="6" t="s">
        <v>89</v>
      </c>
      <c r="O57" s="6" t="s">
        <v>90</v>
      </c>
      <c r="P57" s="6" t="s">
        <v>91</v>
      </c>
    </row>
    <row r="58" spans="1:16" x14ac:dyDescent="0.25">
      <c r="A58" s="2" t="str">
        <f t="shared" si="0"/>
        <v>60137572FDR</v>
      </c>
      <c r="B58" s="9">
        <v>58</v>
      </c>
      <c r="C58" s="11">
        <v>3</v>
      </c>
      <c r="D58" s="6">
        <v>60137572</v>
      </c>
      <c r="E58" s="6" t="s">
        <v>166</v>
      </c>
      <c r="F58" s="6" t="s">
        <v>167</v>
      </c>
      <c r="G58" s="6" t="s">
        <v>42</v>
      </c>
      <c r="H58" s="6" t="s">
        <v>43</v>
      </c>
      <c r="I58" s="6" t="s">
        <v>31</v>
      </c>
      <c r="J58" s="6" t="s">
        <v>160</v>
      </c>
      <c r="K58" s="6" t="s">
        <v>21</v>
      </c>
      <c r="L58" s="6" t="s">
        <v>22</v>
      </c>
      <c r="M58" s="6">
        <v>1769.05</v>
      </c>
      <c r="N58" s="6" t="s">
        <v>89</v>
      </c>
      <c r="O58" s="6" t="s">
        <v>90</v>
      </c>
      <c r="P58" s="6" t="s">
        <v>91</v>
      </c>
    </row>
    <row r="59" spans="1:16" x14ac:dyDescent="0.25">
      <c r="A59" s="2" t="str">
        <f t="shared" si="0"/>
        <v>60137572FDR</v>
      </c>
      <c r="B59" s="9">
        <v>56</v>
      </c>
      <c r="C59" s="11">
        <v>1</v>
      </c>
      <c r="D59" s="6">
        <v>60137572</v>
      </c>
      <c r="E59" s="6" t="s">
        <v>166</v>
      </c>
      <c r="F59" s="6" t="s">
        <v>168</v>
      </c>
      <c r="G59" s="6" t="s">
        <v>46</v>
      </c>
      <c r="H59" s="6" t="s">
        <v>47</v>
      </c>
      <c r="I59" s="6" t="s">
        <v>31</v>
      </c>
      <c r="J59" s="6" t="s">
        <v>156</v>
      </c>
      <c r="K59" s="6" t="s">
        <v>21</v>
      </c>
      <c r="L59" s="6" t="s">
        <v>22</v>
      </c>
      <c r="M59" s="6">
        <v>1769.05</v>
      </c>
      <c r="N59" s="6" t="s">
        <v>89</v>
      </c>
      <c r="O59" s="6" t="s">
        <v>90</v>
      </c>
      <c r="P59" s="6" t="s">
        <v>91</v>
      </c>
    </row>
    <row r="60" spans="1:16" x14ac:dyDescent="0.25">
      <c r="A60" s="2" t="str">
        <f t="shared" si="0"/>
        <v>60137572FDR</v>
      </c>
      <c r="B60" s="9">
        <v>56</v>
      </c>
      <c r="C60" s="11">
        <v>3</v>
      </c>
      <c r="D60" s="6">
        <v>60137572</v>
      </c>
      <c r="E60" s="6" t="s">
        <v>166</v>
      </c>
      <c r="F60" s="6" t="s">
        <v>168</v>
      </c>
      <c r="G60" s="6" t="s">
        <v>46</v>
      </c>
      <c r="H60" s="6" t="s">
        <v>47</v>
      </c>
      <c r="I60" s="6" t="s">
        <v>31</v>
      </c>
      <c r="J60" s="6" t="s">
        <v>160</v>
      </c>
      <c r="K60" s="6" t="s">
        <v>21</v>
      </c>
      <c r="L60" s="6" t="s">
        <v>22</v>
      </c>
      <c r="M60" s="6">
        <v>1769.05</v>
      </c>
      <c r="N60" s="6" t="s">
        <v>89</v>
      </c>
      <c r="O60" s="6" t="s">
        <v>90</v>
      </c>
      <c r="P60" s="6" t="s">
        <v>91</v>
      </c>
    </row>
    <row r="61" spans="1:16" x14ac:dyDescent="0.25">
      <c r="A61" s="2" t="str">
        <f t="shared" si="0"/>
        <v>60141477BLK</v>
      </c>
      <c r="B61" s="9">
        <v>59</v>
      </c>
      <c r="C61" s="11">
        <v>2</v>
      </c>
      <c r="D61" s="6">
        <v>60141477</v>
      </c>
      <c r="E61" s="6" t="s">
        <v>78</v>
      </c>
      <c r="F61" s="6" t="s">
        <v>169</v>
      </c>
      <c r="G61" s="6" t="s">
        <v>170</v>
      </c>
      <c r="H61" s="6">
        <v>60</v>
      </c>
      <c r="I61" s="6" t="s">
        <v>31</v>
      </c>
      <c r="J61" s="6" t="s">
        <v>171</v>
      </c>
      <c r="K61" s="6" t="s">
        <v>55</v>
      </c>
      <c r="L61" s="6" t="s">
        <v>39</v>
      </c>
      <c r="M61" s="6">
        <v>1117.1199999999999</v>
      </c>
      <c r="O61" s="6" t="s">
        <v>34</v>
      </c>
      <c r="P61" s="6" t="s">
        <v>34</v>
      </c>
    </row>
    <row r="62" spans="1:16" x14ac:dyDescent="0.25">
      <c r="A62" s="2" t="str">
        <f t="shared" si="0"/>
        <v>60141477BLK</v>
      </c>
      <c r="B62" s="9">
        <v>57</v>
      </c>
      <c r="C62" s="11">
        <v>3</v>
      </c>
      <c r="D62" s="6">
        <v>60141477</v>
      </c>
      <c r="E62" s="6" t="s">
        <v>78</v>
      </c>
      <c r="F62" s="6" t="s">
        <v>172</v>
      </c>
      <c r="G62" s="6" t="s">
        <v>173</v>
      </c>
      <c r="H62" s="6">
        <v>57</v>
      </c>
      <c r="I62" s="6" t="s">
        <v>31</v>
      </c>
      <c r="J62" s="6" t="s">
        <v>171</v>
      </c>
      <c r="K62" s="6" t="s">
        <v>55</v>
      </c>
      <c r="L62" s="6" t="s">
        <v>39</v>
      </c>
      <c r="M62" s="6">
        <v>1117.1199999999999</v>
      </c>
      <c r="O62" s="6" t="s">
        <v>34</v>
      </c>
      <c r="P62" s="6" t="s">
        <v>34</v>
      </c>
    </row>
    <row r="63" spans="1:16" x14ac:dyDescent="0.25">
      <c r="A63" s="2" t="str">
        <f t="shared" si="0"/>
        <v>60141477BLK</v>
      </c>
      <c r="B63" s="9">
        <v>55</v>
      </c>
      <c r="C63" s="11">
        <v>2</v>
      </c>
      <c r="D63" s="6">
        <v>60141477</v>
      </c>
      <c r="E63" s="6" t="s">
        <v>78</v>
      </c>
      <c r="F63" s="6" t="s">
        <v>174</v>
      </c>
      <c r="G63" s="6" t="s">
        <v>175</v>
      </c>
      <c r="H63" s="6">
        <v>54</v>
      </c>
      <c r="I63" s="6" t="s">
        <v>31</v>
      </c>
      <c r="J63" s="6" t="s">
        <v>171</v>
      </c>
      <c r="K63" s="6" t="s">
        <v>55</v>
      </c>
      <c r="L63" s="6" t="s">
        <v>39</v>
      </c>
      <c r="M63" s="6">
        <v>1117.1199999999999</v>
      </c>
      <c r="O63" s="6" t="s">
        <v>34</v>
      </c>
      <c r="P63" s="6" t="s">
        <v>34</v>
      </c>
    </row>
    <row r="64" spans="1:16" x14ac:dyDescent="0.25">
      <c r="A64" s="2" t="str">
        <f t="shared" si="0"/>
        <v>60141518GRA</v>
      </c>
      <c r="B64" s="9" t="s">
        <v>30</v>
      </c>
      <c r="C64" s="11">
        <v>6</v>
      </c>
      <c r="D64" s="6">
        <v>60141518</v>
      </c>
      <c r="E64" s="6" t="s">
        <v>176</v>
      </c>
      <c r="F64" s="6" t="s">
        <v>177</v>
      </c>
      <c r="G64" s="6" t="s">
        <v>28</v>
      </c>
      <c r="H64" s="6" t="s">
        <v>29</v>
      </c>
      <c r="I64" s="6" t="s">
        <v>31</v>
      </c>
      <c r="J64" s="6" t="s">
        <v>178</v>
      </c>
      <c r="K64" s="6" t="s">
        <v>61</v>
      </c>
      <c r="L64" s="6" t="s">
        <v>39</v>
      </c>
      <c r="M64" s="6">
        <v>1536.22</v>
      </c>
      <c r="N64" s="6" t="s">
        <v>97</v>
      </c>
      <c r="O64" s="6" t="s">
        <v>98</v>
      </c>
      <c r="P64" s="6" t="s">
        <v>91</v>
      </c>
    </row>
    <row r="65" spans="1:16" x14ac:dyDescent="0.25">
      <c r="A65" s="2" t="str">
        <f t="shared" si="0"/>
        <v>60141613ORG</v>
      </c>
      <c r="B65" s="9" t="s">
        <v>30</v>
      </c>
      <c r="C65" s="11">
        <v>2</v>
      </c>
      <c r="D65" s="6">
        <v>60141613</v>
      </c>
      <c r="E65" s="6" t="s">
        <v>179</v>
      </c>
      <c r="F65" s="6" t="s">
        <v>180</v>
      </c>
      <c r="G65" s="6" t="s">
        <v>28</v>
      </c>
      <c r="H65" s="6" t="s">
        <v>29</v>
      </c>
      <c r="I65" s="6" t="s">
        <v>31</v>
      </c>
      <c r="J65" s="6" t="s">
        <v>178</v>
      </c>
      <c r="K65" s="6" t="s">
        <v>61</v>
      </c>
      <c r="L65" s="6" t="s">
        <v>39</v>
      </c>
      <c r="M65" s="6">
        <v>1070.56</v>
      </c>
      <c r="O65" s="6" t="s">
        <v>34</v>
      </c>
      <c r="P65" s="6" t="s">
        <v>34</v>
      </c>
    </row>
    <row r="66" spans="1:16" x14ac:dyDescent="0.25">
      <c r="A66" s="2" t="str">
        <f t="shared" si="0"/>
        <v>60141649IND</v>
      </c>
      <c r="B66" s="9" t="s">
        <v>30</v>
      </c>
      <c r="C66" s="11">
        <v>8</v>
      </c>
      <c r="D66" s="6">
        <v>60141649</v>
      </c>
      <c r="E66" s="6" t="s">
        <v>181</v>
      </c>
      <c r="F66" s="6" t="s">
        <v>182</v>
      </c>
      <c r="G66" s="6" t="s">
        <v>28</v>
      </c>
      <c r="H66" s="6" t="s">
        <v>29</v>
      </c>
      <c r="I66" s="6" t="s">
        <v>31</v>
      </c>
      <c r="J66" s="6" t="s">
        <v>183</v>
      </c>
      <c r="K66" s="6" t="s">
        <v>61</v>
      </c>
      <c r="L66" s="6" t="s">
        <v>39</v>
      </c>
      <c r="M66" s="6">
        <v>930.86</v>
      </c>
      <c r="O66" s="6" t="s">
        <v>34</v>
      </c>
      <c r="P66" s="6" t="s">
        <v>34</v>
      </c>
    </row>
    <row r="67" spans="1:16" x14ac:dyDescent="0.25">
      <c r="A67" s="2" t="str">
        <f t="shared" ref="A67:A130" si="1">D67&amp;E67</f>
        <v>60141650NOV</v>
      </c>
      <c r="B67" s="9" t="s">
        <v>30</v>
      </c>
      <c r="C67" s="11">
        <v>8</v>
      </c>
      <c r="D67" s="6">
        <v>60141650</v>
      </c>
      <c r="E67" s="6" t="s">
        <v>80</v>
      </c>
      <c r="F67" s="6" t="s">
        <v>184</v>
      </c>
      <c r="G67" s="6" t="s">
        <v>28</v>
      </c>
      <c r="H67" s="6" t="s">
        <v>29</v>
      </c>
      <c r="I67" s="6" t="s">
        <v>31</v>
      </c>
      <c r="J67" s="6" t="s">
        <v>183</v>
      </c>
      <c r="K67" s="6" t="s">
        <v>61</v>
      </c>
      <c r="L67" s="6" t="s">
        <v>39</v>
      </c>
      <c r="M67" s="6">
        <v>930.86</v>
      </c>
      <c r="O67" s="6" t="s">
        <v>34</v>
      </c>
      <c r="P67" s="6" t="s">
        <v>34</v>
      </c>
    </row>
    <row r="68" spans="1:16" x14ac:dyDescent="0.25">
      <c r="A68" s="2" t="str">
        <f t="shared" si="1"/>
        <v>60141694STN</v>
      </c>
      <c r="B68" s="9" t="s">
        <v>30</v>
      </c>
      <c r="C68" s="11">
        <v>2</v>
      </c>
      <c r="D68" s="6">
        <v>60141694</v>
      </c>
      <c r="E68" s="6" t="s">
        <v>185</v>
      </c>
      <c r="F68" s="6" t="s">
        <v>186</v>
      </c>
      <c r="G68" s="6" t="s">
        <v>28</v>
      </c>
      <c r="H68" s="6" t="s">
        <v>29</v>
      </c>
      <c r="I68" s="6" t="s">
        <v>31</v>
      </c>
      <c r="J68" s="6" t="s">
        <v>183</v>
      </c>
      <c r="K68" s="6" t="s">
        <v>61</v>
      </c>
      <c r="L68" s="6" t="s">
        <v>39</v>
      </c>
      <c r="M68" s="6">
        <v>1396.52</v>
      </c>
      <c r="N68" s="6" t="s">
        <v>23</v>
      </c>
      <c r="O68" s="6" t="s">
        <v>24</v>
      </c>
      <c r="P68" s="6" t="s">
        <v>25</v>
      </c>
    </row>
    <row r="69" spans="1:16" x14ac:dyDescent="0.25">
      <c r="A69" s="2" t="str">
        <f t="shared" si="1"/>
        <v>60141713BLKFUR</v>
      </c>
      <c r="B69" s="9" t="s">
        <v>30</v>
      </c>
      <c r="C69" s="11">
        <v>9</v>
      </c>
      <c r="D69" s="6">
        <v>60141713</v>
      </c>
      <c r="E69" s="6" t="s">
        <v>187</v>
      </c>
      <c r="F69" s="6" t="s">
        <v>188</v>
      </c>
      <c r="G69" s="6" t="s">
        <v>28</v>
      </c>
      <c r="H69" s="6" t="s">
        <v>29</v>
      </c>
      <c r="I69" s="6" t="s">
        <v>31</v>
      </c>
      <c r="J69" s="6" t="s">
        <v>183</v>
      </c>
      <c r="K69" s="6" t="s">
        <v>61</v>
      </c>
      <c r="L69" s="6" t="s">
        <v>39</v>
      </c>
      <c r="M69" s="6">
        <v>1396.52</v>
      </c>
      <c r="N69" s="6" t="s">
        <v>23</v>
      </c>
      <c r="O69" s="6" t="s">
        <v>24</v>
      </c>
      <c r="P69" s="6" t="s">
        <v>25</v>
      </c>
    </row>
    <row r="70" spans="1:16" x14ac:dyDescent="0.25">
      <c r="A70" s="2" t="str">
        <f t="shared" si="1"/>
        <v>60141714BLKTEL</v>
      </c>
      <c r="B70" s="9" t="s">
        <v>30</v>
      </c>
      <c r="C70" s="11">
        <v>11</v>
      </c>
      <c r="D70" s="6">
        <v>60141714</v>
      </c>
      <c r="E70" s="6" t="s">
        <v>189</v>
      </c>
      <c r="F70" s="6" t="s">
        <v>190</v>
      </c>
      <c r="G70" s="6" t="s">
        <v>28</v>
      </c>
      <c r="H70" s="6" t="s">
        <v>29</v>
      </c>
      <c r="I70" s="6" t="s">
        <v>31</v>
      </c>
      <c r="J70" s="6" t="s">
        <v>183</v>
      </c>
      <c r="K70" s="6" t="s">
        <v>61</v>
      </c>
      <c r="L70" s="6" t="s">
        <v>39</v>
      </c>
      <c r="M70" s="6">
        <v>1396.52</v>
      </c>
      <c r="N70" s="6" t="s">
        <v>23</v>
      </c>
      <c r="O70" s="6" t="s">
        <v>24</v>
      </c>
      <c r="P70" s="6" t="s">
        <v>25</v>
      </c>
    </row>
    <row r="71" spans="1:16" x14ac:dyDescent="0.25">
      <c r="A71" s="2" t="str">
        <f t="shared" si="1"/>
        <v>60141872MRN</v>
      </c>
      <c r="B71" s="9" t="s">
        <v>30</v>
      </c>
      <c r="C71" s="11">
        <v>13</v>
      </c>
      <c r="D71" s="6">
        <v>60141872</v>
      </c>
      <c r="E71" s="6" t="s">
        <v>114</v>
      </c>
      <c r="F71" s="6" t="s">
        <v>191</v>
      </c>
      <c r="G71" s="6" t="s">
        <v>28</v>
      </c>
      <c r="H71" s="6" t="s">
        <v>29</v>
      </c>
      <c r="I71" s="6" t="s">
        <v>31</v>
      </c>
      <c r="J71" s="6" t="s">
        <v>183</v>
      </c>
      <c r="K71" s="6" t="s">
        <v>61</v>
      </c>
      <c r="L71" s="6" t="s">
        <v>39</v>
      </c>
      <c r="M71" s="6">
        <v>1117.1199999999999</v>
      </c>
      <c r="N71" s="6" t="s">
        <v>23</v>
      </c>
      <c r="O71" s="6" t="s">
        <v>24</v>
      </c>
      <c r="P71" s="6" t="s">
        <v>25</v>
      </c>
    </row>
    <row r="72" spans="1:16" x14ac:dyDescent="0.25">
      <c r="A72" s="2" t="str">
        <f t="shared" si="1"/>
        <v>60141873WHT</v>
      </c>
      <c r="B72" s="9" t="s">
        <v>30</v>
      </c>
      <c r="C72" s="11">
        <v>8</v>
      </c>
      <c r="D72" s="6">
        <v>60141873</v>
      </c>
      <c r="E72" s="6" t="s">
        <v>52</v>
      </c>
      <c r="F72" s="6" t="s">
        <v>192</v>
      </c>
      <c r="G72" s="6" t="s">
        <v>28</v>
      </c>
      <c r="H72" s="6" t="s">
        <v>29</v>
      </c>
      <c r="I72" s="6" t="s">
        <v>31</v>
      </c>
      <c r="J72" s="6" t="s">
        <v>183</v>
      </c>
      <c r="K72" s="6" t="s">
        <v>61</v>
      </c>
      <c r="L72" s="6" t="s">
        <v>39</v>
      </c>
      <c r="M72" s="6">
        <v>1117.1199999999999</v>
      </c>
      <c r="N72" s="6" t="s">
        <v>23</v>
      </c>
      <c r="O72" s="6" t="s">
        <v>24</v>
      </c>
      <c r="P72" s="6" t="s">
        <v>25</v>
      </c>
    </row>
    <row r="73" spans="1:16" x14ac:dyDescent="0.25">
      <c r="A73" s="2" t="str">
        <f t="shared" si="1"/>
        <v>60142926DRYWHI</v>
      </c>
      <c r="B73" s="9" t="s">
        <v>30</v>
      </c>
      <c r="C73" s="11">
        <v>6</v>
      </c>
      <c r="D73" s="6">
        <v>60142926</v>
      </c>
      <c r="E73" s="6" t="s">
        <v>193</v>
      </c>
      <c r="F73" s="6" t="s">
        <v>194</v>
      </c>
      <c r="G73" s="6" t="s">
        <v>28</v>
      </c>
      <c r="H73" s="6" t="s">
        <v>29</v>
      </c>
      <c r="I73" s="6" t="s">
        <v>31</v>
      </c>
      <c r="J73" s="6" t="s">
        <v>195</v>
      </c>
      <c r="K73" s="6" t="s">
        <v>55</v>
      </c>
      <c r="L73" s="6" t="s">
        <v>39</v>
      </c>
      <c r="M73" s="6">
        <v>1070.56</v>
      </c>
      <c r="O73" s="6" t="s">
        <v>34</v>
      </c>
      <c r="P73" s="6" t="s">
        <v>34</v>
      </c>
    </row>
    <row r="74" spans="1:16" x14ac:dyDescent="0.25">
      <c r="A74" s="2" t="str">
        <f t="shared" si="1"/>
        <v>60142978LTCKGR</v>
      </c>
      <c r="B74" s="9" t="s">
        <v>30</v>
      </c>
      <c r="C74" s="11">
        <v>3</v>
      </c>
      <c r="D74" s="6">
        <v>60142978</v>
      </c>
      <c r="E74" s="6" t="s">
        <v>196</v>
      </c>
      <c r="F74" s="6" t="s">
        <v>197</v>
      </c>
      <c r="G74" s="6" t="s">
        <v>28</v>
      </c>
      <c r="H74" s="6" t="s">
        <v>29</v>
      </c>
      <c r="I74" s="6" t="s">
        <v>31</v>
      </c>
      <c r="J74" s="6" t="s">
        <v>130</v>
      </c>
      <c r="K74" s="6" t="s">
        <v>55</v>
      </c>
      <c r="L74" s="6" t="s">
        <v>39</v>
      </c>
      <c r="M74" s="6">
        <v>884.29</v>
      </c>
      <c r="N74" s="6" t="s">
        <v>198</v>
      </c>
      <c r="O74" s="6" t="s">
        <v>199</v>
      </c>
      <c r="P74" s="6" t="s">
        <v>200</v>
      </c>
    </row>
    <row r="75" spans="1:16" x14ac:dyDescent="0.25">
      <c r="A75" s="2" t="str">
        <f t="shared" si="1"/>
        <v>60143362LNV</v>
      </c>
      <c r="B75" s="9" t="s">
        <v>30</v>
      </c>
      <c r="C75" s="11">
        <v>3</v>
      </c>
      <c r="D75" s="6">
        <v>60143362</v>
      </c>
      <c r="E75" s="6" t="s">
        <v>201</v>
      </c>
      <c r="F75" s="6" t="s">
        <v>202</v>
      </c>
      <c r="G75" s="6" t="s">
        <v>28</v>
      </c>
      <c r="H75" s="6" t="s">
        <v>29</v>
      </c>
      <c r="I75" s="6" t="s">
        <v>31</v>
      </c>
      <c r="J75" s="6" t="s">
        <v>203</v>
      </c>
      <c r="K75" s="6" t="s">
        <v>61</v>
      </c>
      <c r="L75" s="6" t="s">
        <v>39</v>
      </c>
      <c r="M75" s="6">
        <v>1163.69</v>
      </c>
      <c r="N75" s="6" t="s">
        <v>204</v>
      </c>
      <c r="O75" s="6" t="s">
        <v>205</v>
      </c>
      <c r="P75" s="6" t="s">
        <v>206</v>
      </c>
    </row>
    <row r="76" spans="1:16" x14ac:dyDescent="0.25">
      <c r="A76" s="2" t="str">
        <f t="shared" si="1"/>
        <v>60143365CAB</v>
      </c>
      <c r="B76" s="9" t="s">
        <v>30</v>
      </c>
      <c r="C76" s="11">
        <v>9</v>
      </c>
      <c r="D76" s="6">
        <v>60143365</v>
      </c>
      <c r="E76" s="6" t="s">
        <v>207</v>
      </c>
      <c r="F76" s="6" t="s">
        <v>208</v>
      </c>
      <c r="G76" s="6" t="s">
        <v>28</v>
      </c>
      <c r="H76" s="6" t="s">
        <v>29</v>
      </c>
      <c r="I76" s="6" t="s">
        <v>31</v>
      </c>
      <c r="J76" s="6" t="s">
        <v>203</v>
      </c>
      <c r="K76" s="6" t="s">
        <v>61</v>
      </c>
      <c r="L76" s="6" t="s">
        <v>39</v>
      </c>
      <c r="M76" s="6">
        <v>1070.56</v>
      </c>
      <c r="N76" s="6" t="s">
        <v>204</v>
      </c>
      <c r="O76" s="6" t="s">
        <v>205</v>
      </c>
      <c r="P76" s="6" t="s">
        <v>206</v>
      </c>
    </row>
    <row r="77" spans="1:16" x14ac:dyDescent="0.25">
      <c r="A77" s="2" t="str">
        <f t="shared" si="1"/>
        <v>60143369WHI</v>
      </c>
      <c r="B77" s="9" t="s">
        <v>30</v>
      </c>
      <c r="C77" s="11">
        <v>12</v>
      </c>
      <c r="D77" s="6">
        <v>60143369</v>
      </c>
      <c r="E77" s="6" t="s">
        <v>26</v>
      </c>
      <c r="F77" s="6" t="s">
        <v>209</v>
      </c>
      <c r="G77" s="6" t="s">
        <v>28</v>
      </c>
      <c r="H77" s="6" t="s">
        <v>29</v>
      </c>
      <c r="I77" s="6" t="s">
        <v>31</v>
      </c>
      <c r="J77" s="6" t="s">
        <v>210</v>
      </c>
      <c r="K77" s="6" t="s">
        <v>211</v>
      </c>
      <c r="L77" s="6" t="s">
        <v>39</v>
      </c>
      <c r="M77" s="6">
        <v>1070.56</v>
      </c>
      <c r="N77" s="6" t="s">
        <v>204</v>
      </c>
      <c r="O77" s="6" t="s">
        <v>205</v>
      </c>
      <c r="P77" s="6" t="s">
        <v>206</v>
      </c>
    </row>
    <row r="78" spans="1:16" x14ac:dyDescent="0.25">
      <c r="A78" s="2" t="str">
        <f t="shared" si="1"/>
        <v>60143379CAB</v>
      </c>
      <c r="B78" s="9" t="s">
        <v>30</v>
      </c>
      <c r="C78" s="11">
        <v>12</v>
      </c>
      <c r="D78" s="6">
        <v>60143379</v>
      </c>
      <c r="E78" s="6" t="s">
        <v>207</v>
      </c>
      <c r="F78" s="6" t="s">
        <v>212</v>
      </c>
      <c r="G78" s="6" t="s">
        <v>28</v>
      </c>
      <c r="H78" s="6" t="s">
        <v>29</v>
      </c>
      <c r="I78" s="6" t="s">
        <v>31</v>
      </c>
      <c r="J78" s="6" t="s">
        <v>130</v>
      </c>
      <c r="K78" s="6" t="s">
        <v>55</v>
      </c>
      <c r="L78" s="6" t="s">
        <v>39</v>
      </c>
      <c r="M78" s="6">
        <v>1070.56</v>
      </c>
      <c r="N78" s="6" t="s">
        <v>204</v>
      </c>
      <c r="O78" s="6" t="s">
        <v>205</v>
      </c>
      <c r="P78" s="6" t="s">
        <v>206</v>
      </c>
    </row>
    <row r="79" spans="1:16" x14ac:dyDescent="0.25">
      <c r="A79" s="2" t="str">
        <f t="shared" si="1"/>
        <v>60143386SCA</v>
      </c>
      <c r="B79" s="9" t="s">
        <v>30</v>
      </c>
      <c r="C79" s="11">
        <v>6</v>
      </c>
      <c r="D79" s="6">
        <v>60143386</v>
      </c>
      <c r="E79" s="6" t="s">
        <v>213</v>
      </c>
      <c r="F79" s="6" t="s">
        <v>214</v>
      </c>
      <c r="G79" s="6" t="s">
        <v>28</v>
      </c>
      <c r="H79" s="6" t="s">
        <v>29</v>
      </c>
      <c r="I79" s="6" t="s">
        <v>31</v>
      </c>
      <c r="J79" s="6" t="s">
        <v>130</v>
      </c>
      <c r="K79" s="6" t="s">
        <v>211</v>
      </c>
      <c r="L79" s="6" t="s">
        <v>39</v>
      </c>
      <c r="M79" s="6">
        <v>1163.69</v>
      </c>
      <c r="N79" s="6" t="s">
        <v>215</v>
      </c>
      <c r="O79" s="6" t="s">
        <v>216</v>
      </c>
      <c r="P79" s="6" t="s">
        <v>206</v>
      </c>
    </row>
    <row r="80" spans="1:16" x14ac:dyDescent="0.25">
      <c r="A80" s="2" t="str">
        <f t="shared" si="1"/>
        <v>60143387BLK</v>
      </c>
      <c r="B80" s="9" t="s">
        <v>30</v>
      </c>
      <c r="C80" s="11">
        <v>12</v>
      </c>
      <c r="D80" s="6">
        <v>60143387</v>
      </c>
      <c r="E80" s="6" t="s">
        <v>78</v>
      </c>
      <c r="F80" s="6" t="s">
        <v>217</v>
      </c>
      <c r="G80" s="6" t="s">
        <v>28</v>
      </c>
      <c r="H80" s="6" t="s">
        <v>29</v>
      </c>
      <c r="I80" s="6" t="s">
        <v>31</v>
      </c>
      <c r="J80" s="6" t="s">
        <v>210</v>
      </c>
      <c r="K80" s="6" t="s">
        <v>211</v>
      </c>
      <c r="L80" s="6" t="s">
        <v>39</v>
      </c>
      <c r="M80" s="6">
        <v>1070.56</v>
      </c>
      <c r="N80" s="6" t="s">
        <v>215</v>
      </c>
      <c r="O80" s="6" t="s">
        <v>216</v>
      </c>
      <c r="P80" s="6" t="s">
        <v>206</v>
      </c>
    </row>
    <row r="81" spans="1:16" x14ac:dyDescent="0.25">
      <c r="A81" s="2" t="str">
        <f t="shared" si="1"/>
        <v>60143388BLK</v>
      </c>
      <c r="B81" s="9" t="s">
        <v>30</v>
      </c>
      <c r="C81" s="11">
        <v>12</v>
      </c>
      <c r="D81" s="6">
        <v>60143388</v>
      </c>
      <c r="E81" s="6" t="s">
        <v>78</v>
      </c>
      <c r="F81" s="6" t="s">
        <v>218</v>
      </c>
      <c r="G81" s="6" t="s">
        <v>28</v>
      </c>
      <c r="H81" s="6" t="s">
        <v>29</v>
      </c>
      <c r="I81" s="6" t="s">
        <v>31</v>
      </c>
      <c r="J81" s="6" t="s">
        <v>210</v>
      </c>
      <c r="K81" s="6" t="s">
        <v>55</v>
      </c>
      <c r="L81" s="6" t="s">
        <v>39</v>
      </c>
      <c r="M81" s="6">
        <v>1210.25</v>
      </c>
      <c r="N81" s="6" t="s">
        <v>215</v>
      </c>
      <c r="O81" s="6" t="s">
        <v>216</v>
      </c>
      <c r="P81" s="6" t="s">
        <v>206</v>
      </c>
    </row>
    <row r="82" spans="1:16" x14ac:dyDescent="0.25">
      <c r="A82" s="2" t="str">
        <f t="shared" si="1"/>
        <v>60143391SCA</v>
      </c>
      <c r="B82" s="9" t="s">
        <v>30</v>
      </c>
      <c r="C82" s="11">
        <v>6</v>
      </c>
      <c r="D82" s="6">
        <v>60143391</v>
      </c>
      <c r="E82" s="6" t="s">
        <v>213</v>
      </c>
      <c r="F82" s="6" t="s">
        <v>219</v>
      </c>
      <c r="G82" s="6" t="s">
        <v>28</v>
      </c>
      <c r="H82" s="6" t="s">
        <v>29</v>
      </c>
      <c r="I82" s="6" t="s">
        <v>31</v>
      </c>
      <c r="J82" s="6" t="s">
        <v>130</v>
      </c>
      <c r="K82" s="6" t="s">
        <v>220</v>
      </c>
      <c r="L82" s="6" t="s">
        <v>39</v>
      </c>
      <c r="M82" s="6">
        <v>1163.69</v>
      </c>
      <c r="N82" s="6" t="s">
        <v>215</v>
      </c>
      <c r="O82" s="6" t="s">
        <v>216</v>
      </c>
      <c r="P82" s="6" t="s">
        <v>206</v>
      </c>
    </row>
    <row r="83" spans="1:16" x14ac:dyDescent="0.25">
      <c r="A83" s="2" t="str">
        <f t="shared" si="1"/>
        <v>60143393GRABLK</v>
      </c>
      <c r="B83" s="9" t="s">
        <v>30</v>
      </c>
      <c r="C83" s="11">
        <v>6</v>
      </c>
      <c r="D83" s="6">
        <v>60143393</v>
      </c>
      <c r="E83" s="6" t="s">
        <v>221</v>
      </c>
      <c r="F83" s="6" t="s">
        <v>222</v>
      </c>
      <c r="G83" s="6" t="s">
        <v>28</v>
      </c>
      <c r="H83" s="6" t="s">
        <v>29</v>
      </c>
      <c r="I83" s="6" t="s">
        <v>31</v>
      </c>
      <c r="J83" s="6" t="s">
        <v>203</v>
      </c>
      <c r="K83" s="6" t="s">
        <v>61</v>
      </c>
      <c r="L83" s="6" t="s">
        <v>39</v>
      </c>
      <c r="M83" s="6">
        <v>1163.69</v>
      </c>
      <c r="N83" s="6" t="s">
        <v>215</v>
      </c>
      <c r="O83" s="6" t="s">
        <v>216</v>
      </c>
      <c r="P83" s="6" t="s">
        <v>206</v>
      </c>
    </row>
    <row r="84" spans="1:16" x14ac:dyDescent="0.25">
      <c r="A84" s="2" t="str">
        <f t="shared" si="1"/>
        <v>60143394BLKSCA</v>
      </c>
      <c r="B84" s="9" t="s">
        <v>30</v>
      </c>
      <c r="C84" s="11">
        <v>6</v>
      </c>
      <c r="D84" s="6">
        <v>60143394</v>
      </c>
      <c r="E84" s="6" t="s">
        <v>223</v>
      </c>
      <c r="F84" s="6" t="s">
        <v>224</v>
      </c>
      <c r="G84" s="6" t="s">
        <v>28</v>
      </c>
      <c r="H84" s="6" t="s">
        <v>29</v>
      </c>
      <c r="I84" s="6" t="s">
        <v>31</v>
      </c>
      <c r="J84" s="6" t="s">
        <v>203</v>
      </c>
      <c r="K84" s="6" t="s">
        <v>61</v>
      </c>
      <c r="L84" s="6" t="s">
        <v>39</v>
      </c>
      <c r="M84" s="6">
        <v>884.29</v>
      </c>
      <c r="N84" s="6" t="s">
        <v>215</v>
      </c>
      <c r="O84" s="6" t="s">
        <v>216</v>
      </c>
      <c r="P84" s="6" t="s">
        <v>206</v>
      </c>
    </row>
    <row r="85" spans="1:16" x14ac:dyDescent="0.25">
      <c r="A85" s="2" t="str">
        <f t="shared" si="1"/>
        <v>60143400NVY</v>
      </c>
      <c r="B85" s="9" t="s">
        <v>30</v>
      </c>
      <c r="C85" s="11">
        <v>9</v>
      </c>
      <c r="D85" s="6">
        <v>60143400</v>
      </c>
      <c r="E85" s="6" t="s">
        <v>108</v>
      </c>
      <c r="F85" s="6" t="s">
        <v>225</v>
      </c>
      <c r="G85" s="6" t="s">
        <v>28</v>
      </c>
      <c r="H85" s="6" t="s">
        <v>29</v>
      </c>
      <c r="I85" s="6" t="s">
        <v>31</v>
      </c>
      <c r="J85" s="6" t="s">
        <v>210</v>
      </c>
      <c r="K85" s="6" t="s">
        <v>33</v>
      </c>
      <c r="L85" s="6" t="s">
        <v>39</v>
      </c>
      <c r="M85" s="6">
        <v>1582.78</v>
      </c>
      <c r="N85" s="6" t="s">
        <v>215</v>
      </c>
      <c r="O85" s="6" t="s">
        <v>216</v>
      </c>
      <c r="P85" s="6" t="s">
        <v>206</v>
      </c>
    </row>
    <row r="86" spans="1:16" x14ac:dyDescent="0.25">
      <c r="A86" s="2" t="str">
        <f t="shared" si="1"/>
        <v>60143408BLKSCA</v>
      </c>
      <c r="B86" s="9" t="s">
        <v>30</v>
      </c>
      <c r="C86" s="11">
        <v>9</v>
      </c>
      <c r="D86" s="6">
        <v>60143408</v>
      </c>
      <c r="E86" s="6" t="s">
        <v>223</v>
      </c>
      <c r="F86" s="6" t="s">
        <v>226</v>
      </c>
      <c r="G86" s="6" t="s">
        <v>28</v>
      </c>
      <c r="H86" s="6" t="s">
        <v>29</v>
      </c>
      <c r="I86" s="6" t="s">
        <v>31</v>
      </c>
      <c r="J86" s="6" t="s">
        <v>203</v>
      </c>
      <c r="K86" s="6" t="s">
        <v>61</v>
      </c>
      <c r="L86" s="6" t="s">
        <v>39</v>
      </c>
      <c r="M86" s="6">
        <v>1163.69</v>
      </c>
      <c r="N86" s="6" t="s">
        <v>215</v>
      </c>
      <c r="O86" s="6" t="s">
        <v>216</v>
      </c>
      <c r="P86" s="6" t="s">
        <v>206</v>
      </c>
    </row>
    <row r="87" spans="1:16" x14ac:dyDescent="0.25">
      <c r="A87" s="2" t="str">
        <f t="shared" si="1"/>
        <v>60143421WHI</v>
      </c>
      <c r="B87" s="9" t="s">
        <v>30</v>
      </c>
      <c r="C87" s="11">
        <v>10</v>
      </c>
      <c r="D87" s="6">
        <v>60143421</v>
      </c>
      <c r="E87" s="6" t="s">
        <v>26</v>
      </c>
      <c r="F87" s="6" t="s">
        <v>227</v>
      </c>
      <c r="G87" s="6" t="s">
        <v>28</v>
      </c>
      <c r="H87" s="6" t="s">
        <v>29</v>
      </c>
      <c r="I87" s="6" t="s">
        <v>31</v>
      </c>
      <c r="J87" s="6" t="s">
        <v>130</v>
      </c>
      <c r="K87" s="6" t="s">
        <v>211</v>
      </c>
      <c r="L87" s="6" t="s">
        <v>39</v>
      </c>
      <c r="M87" s="6">
        <v>1163.69</v>
      </c>
      <c r="O87" s="6" t="s">
        <v>34</v>
      </c>
      <c r="P87" s="6" t="s">
        <v>34</v>
      </c>
    </row>
    <row r="88" spans="1:16" x14ac:dyDescent="0.25">
      <c r="A88" s="2" t="str">
        <f t="shared" si="1"/>
        <v>60143425LNV</v>
      </c>
      <c r="B88" s="9" t="s">
        <v>30</v>
      </c>
      <c r="C88" s="11">
        <v>6</v>
      </c>
      <c r="D88" s="6">
        <v>60143425</v>
      </c>
      <c r="E88" s="6" t="s">
        <v>201</v>
      </c>
      <c r="F88" s="6" t="s">
        <v>228</v>
      </c>
      <c r="G88" s="6" t="s">
        <v>28</v>
      </c>
      <c r="H88" s="6" t="s">
        <v>29</v>
      </c>
      <c r="I88" s="6" t="s">
        <v>31</v>
      </c>
      <c r="J88" s="6" t="s">
        <v>203</v>
      </c>
      <c r="K88" s="6" t="s">
        <v>61</v>
      </c>
      <c r="L88" s="6" t="s">
        <v>39</v>
      </c>
      <c r="M88" s="6">
        <v>884.29</v>
      </c>
      <c r="O88" s="6" t="s">
        <v>34</v>
      </c>
      <c r="P88" s="6" t="s">
        <v>34</v>
      </c>
    </row>
    <row r="89" spans="1:16" x14ac:dyDescent="0.25">
      <c r="A89" s="2" t="str">
        <f t="shared" si="1"/>
        <v>60144009BLU</v>
      </c>
      <c r="B89" s="9" t="s">
        <v>30</v>
      </c>
      <c r="C89" s="11">
        <v>2</v>
      </c>
      <c r="D89" s="6">
        <v>60144009</v>
      </c>
      <c r="E89" s="6" t="s">
        <v>63</v>
      </c>
      <c r="F89" s="6" t="s">
        <v>229</v>
      </c>
      <c r="G89" s="6" t="s">
        <v>28</v>
      </c>
      <c r="H89" s="6" t="s">
        <v>29</v>
      </c>
      <c r="I89" s="6" t="s">
        <v>31</v>
      </c>
      <c r="J89" s="6" t="s">
        <v>50</v>
      </c>
      <c r="K89" s="6" t="s">
        <v>61</v>
      </c>
      <c r="L89" s="6" t="s">
        <v>230</v>
      </c>
      <c r="M89" s="6">
        <v>558.33000000000004</v>
      </c>
      <c r="O89" s="6" t="s">
        <v>34</v>
      </c>
      <c r="P89" s="6" t="s">
        <v>34</v>
      </c>
    </row>
    <row r="90" spans="1:16" x14ac:dyDescent="0.25">
      <c r="A90" s="2" t="str">
        <f t="shared" si="1"/>
        <v>60144011GRP</v>
      </c>
      <c r="B90" s="9" t="s">
        <v>30</v>
      </c>
      <c r="C90" s="11">
        <v>10</v>
      </c>
      <c r="D90" s="6">
        <v>60144011</v>
      </c>
      <c r="E90" s="6" t="s">
        <v>231</v>
      </c>
      <c r="F90" s="6" t="s">
        <v>232</v>
      </c>
      <c r="G90" s="6" t="s">
        <v>28</v>
      </c>
      <c r="H90" s="6" t="s">
        <v>29</v>
      </c>
      <c r="I90" s="6" t="s">
        <v>31</v>
      </c>
      <c r="J90" s="6" t="s">
        <v>50</v>
      </c>
      <c r="K90" s="6" t="s">
        <v>61</v>
      </c>
      <c r="L90" s="6" t="s">
        <v>230</v>
      </c>
      <c r="M90" s="6">
        <v>744.59</v>
      </c>
      <c r="O90" s="6" t="s">
        <v>34</v>
      </c>
      <c r="P90" s="6" t="s">
        <v>34</v>
      </c>
    </row>
    <row r="91" spans="1:16" x14ac:dyDescent="0.25">
      <c r="A91" s="2" t="str">
        <f t="shared" si="1"/>
        <v>60179011NVY</v>
      </c>
      <c r="B91" s="9" t="s">
        <v>30</v>
      </c>
      <c r="C91" s="11">
        <v>10</v>
      </c>
      <c r="D91" s="6">
        <v>60179011</v>
      </c>
      <c r="E91" s="6" t="s">
        <v>108</v>
      </c>
      <c r="F91" s="6" t="s">
        <v>233</v>
      </c>
      <c r="G91" s="6" t="s">
        <v>28</v>
      </c>
      <c r="H91" s="6" t="s">
        <v>29</v>
      </c>
      <c r="I91" s="6" t="s">
        <v>31</v>
      </c>
      <c r="J91" s="6" t="s">
        <v>210</v>
      </c>
      <c r="K91" s="6" t="s">
        <v>55</v>
      </c>
      <c r="L91" s="6" t="s">
        <v>39</v>
      </c>
      <c r="M91" s="6">
        <v>884.29</v>
      </c>
      <c r="O91" s="6" t="s">
        <v>34</v>
      </c>
      <c r="P91" s="6" t="s">
        <v>34</v>
      </c>
    </row>
    <row r="92" spans="1:16" x14ac:dyDescent="0.25">
      <c r="A92" s="2" t="str">
        <f t="shared" si="1"/>
        <v>60221462BLK</v>
      </c>
      <c r="B92" s="9" t="s">
        <v>30</v>
      </c>
      <c r="C92" s="11">
        <v>6</v>
      </c>
      <c r="D92" s="6">
        <v>60221462</v>
      </c>
      <c r="E92" s="6" t="s">
        <v>78</v>
      </c>
      <c r="F92" s="6" t="s">
        <v>234</v>
      </c>
      <c r="G92" s="6" t="s">
        <v>28</v>
      </c>
      <c r="H92" s="6" t="s">
        <v>29</v>
      </c>
      <c r="I92" s="6" t="s">
        <v>19</v>
      </c>
      <c r="J92" s="6" t="s">
        <v>235</v>
      </c>
      <c r="K92" s="6" t="s">
        <v>33</v>
      </c>
      <c r="L92" s="6" t="s">
        <v>22</v>
      </c>
      <c r="M92" s="6">
        <v>1512.82</v>
      </c>
      <c r="N92" s="6" t="s">
        <v>215</v>
      </c>
      <c r="O92" s="6" t="s">
        <v>216</v>
      </c>
      <c r="P92" s="6" t="s">
        <v>206</v>
      </c>
    </row>
    <row r="93" spans="1:16" x14ac:dyDescent="0.25">
      <c r="A93" s="2" t="str">
        <f t="shared" si="1"/>
        <v>60221462BLK</v>
      </c>
      <c r="B93" s="9" t="s">
        <v>30</v>
      </c>
      <c r="C93" s="11">
        <v>6</v>
      </c>
      <c r="D93" s="6">
        <v>60221462</v>
      </c>
      <c r="E93" s="6" t="s">
        <v>78</v>
      </c>
      <c r="F93" s="6" t="s">
        <v>234</v>
      </c>
      <c r="G93" s="6" t="s">
        <v>28</v>
      </c>
      <c r="H93" s="6" t="s">
        <v>29</v>
      </c>
      <c r="I93" s="6" t="s">
        <v>19</v>
      </c>
      <c r="J93" s="6" t="s">
        <v>236</v>
      </c>
      <c r="K93" s="6" t="s">
        <v>33</v>
      </c>
      <c r="L93" s="6" t="s">
        <v>22</v>
      </c>
      <c r="M93" s="6">
        <v>1512.82</v>
      </c>
      <c r="N93" s="6" t="s">
        <v>215</v>
      </c>
      <c r="O93" s="6" t="s">
        <v>216</v>
      </c>
      <c r="P93" s="6" t="s">
        <v>206</v>
      </c>
    </row>
    <row r="94" spans="1:16" x14ac:dyDescent="0.25">
      <c r="A94" s="2" t="str">
        <f t="shared" si="1"/>
        <v>60222226NOV</v>
      </c>
      <c r="B94" s="9">
        <v>59</v>
      </c>
      <c r="C94" s="11">
        <v>3</v>
      </c>
      <c r="D94" s="6">
        <v>60222226</v>
      </c>
      <c r="E94" s="6" t="s">
        <v>80</v>
      </c>
      <c r="F94" s="6" t="s">
        <v>237</v>
      </c>
      <c r="G94" s="6" t="s">
        <v>170</v>
      </c>
      <c r="H94" s="6">
        <v>60</v>
      </c>
      <c r="I94" s="6" t="s">
        <v>19</v>
      </c>
      <c r="J94" s="6" t="s">
        <v>238</v>
      </c>
      <c r="K94" s="6" t="s">
        <v>33</v>
      </c>
      <c r="L94" s="6" t="s">
        <v>22</v>
      </c>
      <c r="M94" s="6">
        <v>1862.06</v>
      </c>
      <c r="O94" s="6" t="s">
        <v>34</v>
      </c>
      <c r="P94" s="6" t="s">
        <v>34</v>
      </c>
    </row>
    <row r="95" spans="1:16" x14ac:dyDescent="0.25">
      <c r="A95" s="2" t="str">
        <f t="shared" si="1"/>
        <v>60222226NOV</v>
      </c>
      <c r="B95" s="9">
        <v>57</v>
      </c>
      <c r="C95" s="11">
        <v>3</v>
      </c>
      <c r="D95" s="6">
        <v>60222226</v>
      </c>
      <c r="E95" s="6" t="s">
        <v>80</v>
      </c>
      <c r="F95" s="6" t="s">
        <v>239</v>
      </c>
      <c r="G95" s="6" t="s">
        <v>173</v>
      </c>
      <c r="H95" s="6">
        <v>57</v>
      </c>
      <c r="I95" s="6" t="s">
        <v>19</v>
      </c>
      <c r="J95" s="6" t="s">
        <v>238</v>
      </c>
      <c r="K95" s="6" t="s">
        <v>33</v>
      </c>
      <c r="L95" s="6" t="s">
        <v>22</v>
      </c>
      <c r="M95" s="6">
        <v>1862.06</v>
      </c>
      <c r="O95" s="6" t="s">
        <v>34</v>
      </c>
      <c r="P95" s="6" t="s">
        <v>34</v>
      </c>
    </row>
    <row r="96" spans="1:16" x14ac:dyDescent="0.25">
      <c r="A96" s="2" t="str">
        <f t="shared" si="1"/>
        <v>60222226NOV</v>
      </c>
      <c r="B96" s="9">
        <v>55</v>
      </c>
      <c r="C96" s="11">
        <v>2</v>
      </c>
      <c r="D96" s="6">
        <v>60222226</v>
      </c>
      <c r="E96" s="6" t="s">
        <v>80</v>
      </c>
      <c r="F96" s="6" t="s">
        <v>240</v>
      </c>
      <c r="G96" s="6" t="s">
        <v>175</v>
      </c>
      <c r="H96" s="6">
        <v>54</v>
      </c>
      <c r="I96" s="6" t="s">
        <v>19</v>
      </c>
      <c r="J96" s="6" t="s">
        <v>238</v>
      </c>
      <c r="K96" s="6" t="s">
        <v>33</v>
      </c>
      <c r="L96" s="6" t="s">
        <v>22</v>
      </c>
      <c r="M96" s="6">
        <v>1862.06</v>
      </c>
      <c r="O96" s="6" t="s">
        <v>34</v>
      </c>
      <c r="P96" s="6" t="s">
        <v>34</v>
      </c>
    </row>
    <row r="97" spans="1:16" x14ac:dyDescent="0.25">
      <c r="A97" s="2" t="str">
        <f t="shared" si="1"/>
        <v>60222227STN</v>
      </c>
      <c r="B97" s="9">
        <v>59</v>
      </c>
      <c r="C97" s="11">
        <v>3</v>
      </c>
      <c r="D97" s="6">
        <v>60222227</v>
      </c>
      <c r="E97" s="6" t="s">
        <v>185</v>
      </c>
      <c r="F97" s="6" t="s">
        <v>241</v>
      </c>
      <c r="G97" s="6" t="s">
        <v>170</v>
      </c>
      <c r="H97" s="6">
        <v>60</v>
      </c>
      <c r="I97" s="6" t="s">
        <v>19</v>
      </c>
      <c r="J97" s="6" t="s">
        <v>242</v>
      </c>
      <c r="K97" s="6" t="s">
        <v>33</v>
      </c>
      <c r="L97" s="6" t="s">
        <v>22</v>
      </c>
      <c r="M97" s="6">
        <v>1862.06</v>
      </c>
      <c r="O97" s="6" t="s">
        <v>34</v>
      </c>
      <c r="P97" s="6" t="s">
        <v>34</v>
      </c>
    </row>
    <row r="98" spans="1:16" x14ac:dyDescent="0.25">
      <c r="A98" s="2" t="str">
        <f t="shared" si="1"/>
        <v>60222227STN</v>
      </c>
      <c r="B98" s="9">
        <v>57</v>
      </c>
      <c r="C98" s="11">
        <v>3</v>
      </c>
      <c r="D98" s="6">
        <v>60222227</v>
      </c>
      <c r="E98" s="6" t="s">
        <v>185</v>
      </c>
      <c r="F98" s="6" t="s">
        <v>243</v>
      </c>
      <c r="G98" s="6" t="s">
        <v>173</v>
      </c>
      <c r="H98" s="6">
        <v>57</v>
      </c>
      <c r="I98" s="6" t="s">
        <v>19</v>
      </c>
      <c r="J98" s="6" t="s">
        <v>244</v>
      </c>
      <c r="K98" s="6" t="s">
        <v>33</v>
      </c>
      <c r="L98" s="6" t="s">
        <v>22</v>
      </c>
      <c r="M98" s="6">
        <v>1862.06</v>
      </c>
      <c r="O98" s="6" t="s">
        <v>34</v>
      </c>
      <c r="P98" s="6" t="s">
        <v>34</v>
      </c>
    </row>
    <row r="99" spans="1:16" x14ac:dyDescent="0.25">
      <c r="A99" s="2" t="str">
        <f t="shared" si="1"/>
        <v>60222249ATB</v>
      </c>
      <c r="B99" s="9">
        <v>59</v>
      </c>
      <c r="C99" s="11">
        <v>2</v>
      </c>
      <c r="D99" s="6">
        <v>60222249</v>
      </c>
      <c r="E99" s="6" t="s">
        <v>245</v>
      </c>
      <c r="F99" s="6" t="s">
        <v>246</v>
      </c>
      <c r="G99" s="6" t="s">
        <v>170</v>
      </c>
      <c r="H99" s="6">
        <v>60</v>
      </c>
      <c r="I99" s="6" t="s">
        <v>19</v>
      </c>
      <c r="J99" s="6" t="s">
        <v>238</v>
      </c>
      <c r="K99" s="6" t="s">
        <v>33</v>
      </c>
      <c r="L99" s="6" t="s">
        <v>22</v>
      </c>
      <c r="M99" s="6">
        <v>1862.06</v>
      </c>
      <c r="O99" s="6" t="s">
        <v>34</v>
      </c>
      <c r="P99" s="6" t="s">
        <v>34</v>
      </c>
    </row>
    <row r="100" spans="1:16" x14ac:dyDescent="0.25">
      <c r="A100" s="2" t="str">
        <f t="shared" si="1"/>
        <v>60222249ATB</v>
      </c>
      <c r="B100" s="9">
        <v>57</v>
      </c>
      <c r="C100" s="11">
        <v>3</v>
      </c>
      <c r="D100" s="6">
        <v>60222249</v>
      </c>
      <c r="E100" s="6" t="s">
        <v>245</v>
      </c>
      <c r="F100" s="6" t="s">
        <v>247</v>
      </c>
      <c r="G100" s="6" t="s">
        <v>173</v>
      </c>
      <c r="H100" s="6">
        <v>57</v>
      </c>
      <c r="I100" s="6" t="s">
        <v>19</v>
      </c>
      <c r="J100" s="6" t="s">
        <v>238</v>
      </c>
      <c r="K100" s="6" t="s">
        <v>33</v>
      </c>
      <c r="L100" s="6" t="s">
        <v>22</v>
      </c>
      <c r="M100" s="6">
        <v>1862.06</v>
      </c>
      <c r="O100" s="6" t="s">
        <v>34</v>
      </c>
      <c r="P100" s="6" t="s">
        <v>34</v>
      </c>
    </row>
    <row r="101" spans="1:16" x14ac:dyDescent="0.25">
      <c r="A101" s="2" t="str">
        <f t="shared" si="1"/>
        <v>60222249ATB</v>
      </c>
      <c r="B101" s="9">
        <v>55</v>
      </c>
      <c r="C101" s="11">
        <v>2</v>
      </c>
      <c r="D101" s="6">
        <v>60222249</v>
      </c>
      <c r="E101" s="6" t="s">
        <v>245</v>
      </c>
      <c r="F101" s="6" t="s">
        <v>248</v>
      </c>
      <c r="G101" s="6" t="s">
        <v>175</v>
      </c>
      <c r="H101" s="6">
        <v>54</v>
      </c>
      <c r="I101" s="6" t="s">
        <v>19</v>
      </c>
      <c r="J101" s="6" t="s">
        <v>238</v>
      </c>
      <c r="K101" s="6" t="s">
        <v>33</v>
      </c>
      <c r="L101" s="6" t="s">
        <v>22</v>
      </c>
      <c r="M101" s="6">
        <v>1862.06</v>
      </c>
      <c r="O101" s="6" t="s">
        <v>34</v>
      </c>
      <c r="P101" s="6" t="s">
        <v>34</v>
      </c>
    </row>
    <row r="102" spans="1:16" x14ac:dyDescent="0.25">
      <c r="A102" s="2" t="str">
        <f t="shared" si="1"/>
        <v>60222255URC</v>
      </c>
      <c r="B102" s="9">
        <v>59</v>
      </c>
      <c r="C102" s="11">
        <v>3</v>
      </c>
      <c r="D102" s="6">
        <v>60222255</v>
      </c>
      <c r="E102" s="6" t="s">
        <v>249</v>
      </c>
      <c r="F102" s="6" t="s">
        <v>250</v>
      </c>
      <c r="G102" s="6" t="s">
        <v>170</v>
      </c>
      <c r="H102" s="6">
        <v>60</v>
      </c>
      <c r="I102" s="6" t="s">
        <v>31</v>
      </c>
      <c r="J102" s="6" t="s">
        <v>251</v>
      </c>
      <c r="K102" s="6" t="s">
        <v>33</v>
      </c>
      <c r="L102" s="6" t="s">
        <v>22</v>
      </c>
      <c r="M102" s="6">
        <v>1978.48</v>
      </c>
      <c r="O102" s="6" t="s">
        <v>34</v>
      </c>
      <c r="P102" s="6" t="s">
        <v>34</v>
      </c>
    </row>
    <row r="103" spans="1:16" x14ac:dyDescent="0.25">
      <c r="A103" s="2" t="str">
        <f t="shared" si="1"/>
        <v>60222255URC</v>
      </c>
      <c r="B103" s="9">
        <v>57</v>
      </c>
      <c r="C103" s="11">
        <v>3</v>
      </c>
      <c r="D103" s="6">
        <v>60222255</v>
      </c>
      <c r="E103" s="6" t="s">
        <v>249</v>
      </c>
      <c r="F103" s="6" t="s">
        <v>252</v>
      </c>
      <c r="G103" s="6" t="s">
        <v>173</v>
      </c>
      <c r="H103" s="6">
        <v>57</v>
      </c>
      <c r="I103" s="6" t="s">
        <v>31</v>
      </c>
      <c r="J103" s="6" t="s">
        <v>251</v>
      </c>
      <c r="K103" s="6" t="s">
        <v>33</v>
      </c>
      <c r="L103" s="6" t="s">
        <v>22</v>
      </c>
      <c r="M103" s="6">
        <v>1978.48</v>
      </c>
      <c r="O103" s="6" t="s">
        <v>34</v>
      </c>
      <c r="P103" s="6" t="s">
        <v>34</v>
      </c>
    </row>
    <row r="104" spans="1:16" x14ac:dyDescent="0.25">
      <c r="A104" s="2" t="str">
        <f t="shared" si="1"/>
        <v>60222255URC</v>
      </c>
      <c r="B104" s="9">
        <v>55</v>
      </c>
      <c r="C104" s="11">
        <v>2</v>
      </c>
      <c r="D104" s="6">
        <v>60222255</v>
      </c>
      <c r="E104" s="6" t="s">
        <v>249</v>
      </c>
      <c r="F104" s="6" t="s">
        <v>253</v>
      </c>
      <c r="G104" s="6" t="s">
        <v>175</v>
      </c>
      <c r="H104" s="6">
        <v>54</v>
      </c>
      <c r="I104" s="6" t="s">
        <v>31</v>
      </c>
      <c r="J104" s="6" t="s">
        <v>254</v>
      </c>
      <c r="K104" s="6" t="s">
        <v>33</v>
      </c>
      <c r="L104" s="6" t="s">
        <v>22</v>
      </c>
      <c r="M104" s="6">
        <v>1978.48</v>
      </c>
      <c r="O104" s="6" t="s">
        <v>34</v>
      </c>
      <c r="P104" s="6" t="s">
        <v>34</v>
      </c>
    </row>
    <row r="105" spans="1:16" x14ac:dyDescent="0.25">
      <c r="A105" s="2" t="str">
        <f t="shared" si="1"/>
        <v>60222258DKG</v>
      </c>
      <c r="B105" s="9" t="s">
        <v>30</v>
      </c>
      <c r="C105" s="11">
        <v>8</v>
      </c>
      <c r="D105" s="6">
        <v>60222258</v>
      </c>
      <c r="E105" s="6" t="s">
        <v>255</v>
      </c>
      <c r="F105" s="6" t="s">
        <v>256</v>
      </c>
      <c r="G105" s="6" t="s">
        <v>28</v>
      </c>
      <c r="H105" s="6" t="s">
        <v>29</v>
      </c>
      <c r="I105" s="6" t="s">
        <v>31</v>
      </c>
      <c r="J105" s="6" t="s">
        <v>257</v>
      </c>
      <c r="K105" s="6" t="s">
        <v>55</v>
      </c>
      <c r="L105" s="6" t="s">
        <v>22</v>
      </c>
      <c r="M105" s="6">
        <v>1978.48</v>
      </c>
      <c r="O105" s="6" t="s">
        <v>34</v>
      </c>
      <c r="P105" s="6" t="s">
        <v>34</v>
      </c>
    </row>
    <row r="106" spans="1:16" x14ac:dyDescent="0.25">
      <c r="A106" s="2" t="str">
        <f t="shared" si="1"/>
        <v>60222310NVY</v>
      </c>
      <c r="B106" s="9">
        <v>59</v>
      </c>
      <c r="C106" s="11">
        <v>1</v>
      </c>
      <c r="D106" s="6">
        <v>60222310</v>
      </c>
      <c r="E106" s="6" t="s">
        <v>108</v>
      </c>
      <c r="F106" s="6" t="s">
        <v>258</v>
      </c>
      <c r="G106" s="6" t="s">
        <v>170</v>
      </c>
      <c r="H106" s="6">
        <v>60</v>
      </c>
      <c r="I106" s="6" t="s">
        <v>19</v>
      </c>
      <c r="J106" s="6" t="s">
        <v>244</v>
      </c>
      <c r="K106" s="6" t="s">
        <v>33</v>
      </c>
      <c r="L106" s="6" t="s">
        <v>22</v>
      </c>
      <c r="M106" s="6">
        <v>1978.48</v>
      </c>
      <c r="N106" s="6" t="s">
        <v>23</v>
      </c>
      <c r="O106" s="6" t="s">
        <v>24</v>
      </c>
      <c r="P106" s="6" t="s">
        <v>25</v>
      </c>
    </row>
    <row r="107" spans="1:16" x14ac:dyDescent="0.25">
      <c r="A107" s="2" t="str">
        <f t="shared" si="1"/>
        <v>60222310NVY</v>
      </c>
      <c r="B107" s="9">
        <v>59</v>
      </c>
      <c r="C107" s="11">
        <v>1</v>
      </c>
      <c r="D107" s="6">
        <v>60222310</v>
      </c>
      <c r="E107" s="6" t="s">
        <v>108</v>
      </c>
      <c r="F107" s="6" t="s">
        <v>258</v>
      </c>
      <c r="G107" s="6" t="s">
        <v>170</v>
      </c>
      <c r="H107" s="6">
        <v>60</v>
      </c>
      <c r="I107" s="6" t="s">
        <v>19</v>
      </c>
      <c r="J107" s="6" t="s">
        <v>242</v>
      </c>
      <c r="K107" s="6" t="s">
        <v>33</v>
      </c>
      <c r="L107" s="6" t="s">
        <v>22</v>
      </c>
      <c r="M107" s="6">
        <v>1978.48</v>
      </c>
      <c r="N107" s="6" t="s">
        <v>23</v>
      </c>
      <c r="O107" s="6" t="s">
        <v>24</v>
      </c>
      <c r="P107" s="6" t="s">
        <v>25</v>
      </c>
    </row>
    <row r="108" spans="1:16" x14ac:dyDescent="0.25">
      <c r="A108" s="2" t="str">
        <f t="shared" si="1"/>
        <v>60222310NVY</v>
      </c>
      <c r="B108" s="9">
        <v>55</v>
      </c>
      <c r="C108" s="11">
        <v>2</v>
      </c>
      <c r="D108" s="6">
        <v>60222310</v>
      </c>
      <c r="E108" s="6" t="s">
        <v>108</v>
      </c>
      <c r="F108" s="6" t="s">
        <v>259</v>
      </c>
      <c r="G108" s="6" t="s">
        <v>175</v>
      </c>
      <c r="H108" s="6">
        <v>54</v>
      </c>
      <c r="I108" s="6" t="s">
        <v>19</v>
      </c>
      <c r="J108" s="6" t="s">
        <v>260</v>
      </c>
      <c r="K108" s="6" t="s">
        <v>33</v>
      </c>
      <c r="L108" s="6" t="s">
        <v>22</v>
      </c>
      <c r="M108" s="6">
        <v>1978.48</v>
      </c>
      <c r="N108" s="6" t="s">
        <v>23</v>
      </c>
      <c r="O108" s="6" t="s">
        <v>24</v>
      </c>
      <c r="P108" s="6" t="s">
        <v>25</v>
      </c>
    </row>
    <row r="109" spans="1:16" x14ac:dyDescent="0.25">
      <c r="A109" s="2" t="str">
        <f t="shared" si="1"/>
        <v>60222327BLK</v>
      </c>
      <c r="B109" s="9">
        <v>57</v>
      </c>
      <c r="C109" s="11">
        <v>6</v>
      </c>
      <c r="D109" s="6">
        <v>60222327</v>
      </c>
      <c r="E109" s="6" t="s">
        <v>78</v>
      </c>
      <c r="F109" s="6" t="s">
        <v>261</v>
      </c>
      <c r="G109" s="6" t="s">
        <v>173</v>
      </c>
      <c r="H109" s="6">
        <v>57</v>
      </c>
      <c r="I109" s="6" t="s">
        <v>19</v>
      </c>
      <c r="J109" s="6" t="s">
        <v>244</v>
      </c>
      <c r="K109" s="6" t="s">
        <v>33</v>
      </c>
      <c r="L109" s="6" t="s">
        <v>22</v>
      </c>
      <c r="M109" s="6">
        <v>1862.06</v>
      </c>
      <c r="O109" s="6" t="s">
        <v>34</v>
      </c>
      <c r="P109" s="6" t="s">
        <v>34</v>
      </c>
    </row>
    <row r="110" spans="1:16" x14ac:dyDescent="0.25">
      <c r="A110" s="2" t="str">
        <f t="shared" si="1"/>
        <v>60222332BLK</v>
      </c>
      <c r="B110" s="9">
        <v>59</v>
      </c>
      <c r="C110" s="11">
        <v>3</v>
      </c>
      <c r="D110" s="6">
        <v>60222332</v>
      </c>
      <c r="E110" s="6" t="s">
        <v>78</v>
      </c>
      <c r="F110" s="6" t="s">
        <v>262</v>
      </c>
      <c r="G110" s="6" t="s">
        <v>170</v>
      </c>
      <c r="H110" s="6">
        <v>60</v>
      </c>
      <c r="I110" s="6" t="s">
        <v>31</v>
      </c>
      <c r="J110" s="6" t="s">
        <v>254</v>
      </c>
      <c r="K110" s="6" t="s">
        <v>134</v>
      </c>
      <c r="L110" s="6" t="s">
        <v>22</v>
      </c>
      <c r="M110" s="6">
        <v>1978.48</v>
      </c>
      <c r="O110" s="6" t="s">
        <v>34</v>
      </c>
      <c r="P110" s="6" t="s">
        <v>34</v>
      </c>
    </row>
    <row r="111" spans="1:16" x14ac:dyDescent="0.25">
      <c r="A111" s="2" t="str">
        <f t="shared" si="1"/>
        <v>60222332BLK</v>
      </c>
      <c r="B111" s="9">
        <v>57</v>
      </c>
      <c r="C111" s="11">
        <v>3</v>
      </c>
      <c r="D111" s="6">
        <v>60222332</v>
      </c>
      <c r="E111" s="6" t="s">
        <v>78</v>
      </c>
      <c r="F111" s="6" t="s">
        <v>263</v>
      </c>
      <c r="G111" s="6" t="s">
        <v>173</v>
      </c>
      <c r="H111" s="6">
        <v>57</v>
      </c>
      <c r="I111" s="6" t="s">
        <v>31</v>
      </c>
      <c r="J111" s="6" t="s">
        <v>254</v>
      </c>
      <c r="K111" s="6" t="s">
        <v>134</v>
      </c>
      <c r="L111" s="6" t="s">
        <v>22</v>
      </c>
      <c r="M111" s="6">
        <v>1978.48</v>
      </c>
      <c r="O111" s="6" t="s">
        <v>34</v>
      </c>
      <c r="P111" s="6" t="s">
        <v>34</v>
      </c>
    </row>
    <row r="112" spans="1:16" x14ac:dyDescent="0.25">
      <c r="A112" s="2" t="str">
        <f t="shared" si="1"/>
        <v>60222332BLK</v>
      </c>
      <c r="B112" s="9">
        <v>55</v>
      </c>
      <c r="C112" s="11">
        <v>2</v>
      </c>
      <c r="D112" s="6">
        <v>60222332</v>
      </c>
      <c r="E112" s="6" t="s">
        <v>78</v>
      </c>
      <c r="F112" s="6" t="s">
        <v>264</v>
      </c>
      <c r="G112" s="6" t="s">
        <v>175</v>
      </c>
      <c r="H112" s="6">
        <v>54</v>
      </c>
      <c r="I112" s="6" t="s">
        <v>31</v>
      </c>
      <c r="J112" s="6" t="s">
        <v>254</v>
      </c>
      <c r="K112" s="6" t="s">
        <v>134</v>
      </c>
      <c r="L112" s="6" t="s">
        <v>22</v>
      </c>
      <c r="M112" s="6">
        <v>1978.48</v>
      </c>
      <c r="O112" s="6" t="s">
        <v>34</v>
      </c>
      <c r="P112" s="6" t="s">
        <v>34</v>
      </c>
    </row>
    <row r="113" spans="1:16" x14ac:dyDescent="0.25">
      <c r="A113" s="2" t="str">
        <f t="shared" si="1"/>
        <v>60222375CAR</v>
      </c>
      <c r="B113" s="9" t="s">
        <v>30</v>
      </c>
      <c r="C113" s="11">
        <v>6</v>
      </c>
      <c r="D113" s="6">
        <v>60222375</v>
      </c>
      <c r="E113" s="6" t="s">
        <v>265</v>
      </c>
      <c r="F113" s="6" t="s">
        <v>266</v>
      </c>
      <c r="G113" s="6" t="s">
        <v>28</v>
      </c>
      <c r="H113" s="6" t="s">
        <v>29</v>
      </c>
      <c r="I113" s="6" t="s">
        <v>31</v>
      </c>
      <c r="J113" s="6" t="s">
        <v>257</v>
      </c>
      <c r="K113" s="6" t="s">
        <v>33</v>
      </c>
      <c r="L113" s="6" t="s">
        <v>22</v>
      </c>
      <c r="M113" s="6">
        <v>1687.44</v>
      </c>
      <c r="O113" s="6" t="s">
        <v>34</v>
      </c>
      <c r="P113" s="6" t="s">
        <v>34</v>
      </c>
    </row>
    <row r="114" spans="1:16" x14ac:dyDescent="0.25">
      <c r="A114" s="2" t="str">
        <f t="shared" si="1"/>
        <v>60222382GRP</v>
      </c>
      <c r="B114" s="9">
        <v>59</v>
      </c>
      <c r="C114" s="11">
        <v>3</v>
      </c>
      <c r="D114" s="6">
        <v>60222382</v>
      </c>
      <c r="E114" s="6" t="s">
        <v>231</v>
      </c>
      <c r="F114" s="6" t="s">
        <v>267</v>
      </c>
      <c r="G114" s="6" t="s">
        <v>170</v>
      </c>
      <c r="H114" s="6">
        <v>60</v>
      </c>
      <c r="I114" s="6" t="s">
        <v>31</v>
      </c>
      <c r="J114" s="6" t="s">
        <v>254</v>
      </c>
      <c r="K114" s="6" t="s">
        <v>33</v>
      </c>
      <c r="L114" s="6" t="s">
        <v>22</v>
      </c>
      <c r="M114" s="6">
        <v>1978.48</v>
      </c>
      <c r="O114" s="6" t="s">
        <v>34</v>
      </c>
      <c r="P114" s="6" t="s">
        <v>34</v>
      </c>
    </row>
    <row r="115" spans="1:16" x14ac:dyDescent="0.25">
      <c r="A115" s="2" t="str">
        <f t="shared" si="1"/>
        <v>60222382GRP</v>
      </c>
      <c r="B115" s="9">
        <v>57</v>
      </c>
      <c r="C115" s="11">
        <v>3</v>
      </c>
      <c r="D115" s="6">
        <v>60222382</v>
      </c>
      <c r="E115" s="6" t="s">
        <v>231</v>
      </c>
      <c r="F115" s="6" t="s">
        <v>268</v>
      </c>
      <c r="G115" s="6" t="s">
        <v>173</v>
      </c>
      <c r="H115" s="6">
        <v>57</v>
      </c>
      <c r="I115" s="6" t="s">
        <v>31</v>
      </c>
      <c r="J115" s="6" t="s">
        <v>254</v>
      </c>
      <c r="K115" s="6" t="s">
        <v>33</v>
      </c>
      <c r="L115" s="6" t="s">
        <v>22</v>
      </c>
      <c r="M115" s="6">
        <v>1978.48</v>
      </c>
      <c r="O115" s="6" t="s">
        <v>34</v>
      </c>
      <c r="P115" s="6" t="s">
        <v>34</v>
      </c>
    </row>
    <row r="116" spans="1:16" x14ac:dyDescent="0.25">
      <c r="A116" s="2" t="str">
        <f t="shared" si="1"/>
        <v>60222382GRP</v>
      </c>
      <c r="B116" s="9">
        <v>55</v>
      </c>
      <c r="C116" s="11">
        <v>1</v>
      </c>
      <c r="D116" s="6">
        <v>60222382</v>
      </c>
      <c r="E116" s="6" t="s">
        <v>231</v>
      </c>
      <c r="F116" s="6" t="s">
        <v>269</v>
      </c>
      <c r="G116" s="6" t="s">
        <v>175</v>
      </c>
      <c r="H116" s="6">
        <v>54</v>
      </c>
      <c r="I116" s="6" t="s">
        <v>31</v>
      </c>
      <c r="J116" s="6" t="s">
        <v>254</v>
      </c>
      <c r="K116" s="6" t="s">
        <v>33</v>
      </c>
      <c r="L116" s="6" t="s">
        <v>22</v>
      </c>
      <c r="M116" s="6">
        <v>1978.48</v>
      </c>
      <c r="O116" s="6" t="s">
        <v>34</v>
      </c>
      <c r="P116" s="6" t="s">
        <v>34</v>
      </c>
    </row>
    <row r="117" spans="1:16" x14ac:dyDescent="0.25">
      <c r="A117" s="2" t="str">
        <f t="shared" si="1"/>
        <v>60222405PLM</v>
      </c>
      <c r="B117" s="9" t="s">
        <v>30</v>
      </c>
      <c r="C117" s="11">
        <v>8</v>
      </c>
      <c r="D117" s="6">
        <v>60222405</v>
      </c>
      <c r="E117" s="6" t="s">
        <v>270</v>
      </c>
      <c r="F117" s="6" t="s">
        <v>271</v>
      </c>
      <c r="G117" s="6" t="s">
        <v>28</v>
      </c>
      <c r="H117" s="6" t="s">
        <v>29</v>
      </c>
      <c r="I117" s="6" t="s">
        <v>31</v>
      </c>
      <c r="J117" s="6" t="s">
        <v>257</v>
      </c>
      <c r="K117" s="6" t="s">
        <v>33</v>
      </c>
      <c r="L117" s="6" t="s">
        <v>230</v>
      </c>
      <c r="M117" s="6">
        <v>1687.44</v>
      </c>
      <c r="N117" s="6" t="s">
        <v>23</v>
      </c>
      <c r="O117" s="6" t="s">
        <v>24</v>
      </c>
      <c r="P117" s="6" t="s">
        <v>25</v>
      </c>
    </row>
    <row r="118" spans="1:16" x14ac:dyDescent="0.25">
      <c r="A118" s="2" t="str">
        <f t="shared" si="1"/>
        <v>60222423SGR</v>
      </c>
      <c r="B118" s="9" t="s">
        <v>30</v>
      </c>
      <c r="C118" s="11">
        <v>6</v>
      </c>
      <c r="D118" s="6">
        <v>60222423</v>
      </c>
      <c r="E118" s="6" t="s">
        <v>272</v>
      </c>
      <c r="F118" s="6" t="s">
        <v>273</v>
      </c>
      <c r="G118" s="6" t="s">
        <v>28</v>
      </c>
      <c r="H118" s="6" t="s">
        <v>29</v>
      </c>
      <c r="I118" s="6" t="s">
        <v>31</v>
      </c>
      <c r="J118" s="6" t="s">
        <v>257</v>
      </c>
      <c r="K118" s="6" t="s">
        <v>134</v>
      </c>
      <c r="L118" s="6" t="s">
        <v>22</v>
      </c>
      <c r="M118" s="6">
        <v>1978.48</v>
      </c>
      <c r="N118" s="6" t="s">
        <v>157</v>
      </c>
      <c r="O118" s="6" t="s">
        <v>158</v>
      </c>
      <c r="P118" s="6" t="s">
        <v>67</v>
      </c>
    </row>
    <row r="119" spans="1:16" x14ac:dyDescent="0.25">
      <c r="A119" s="2" t="str">
        <f t="shared" si="1"/>
        <v>60222449PNK</v>
      </c>
      <c r="B119" s="9">
        <v>59</v>
      </c>
      <c r="C119" s="11">
        <v>3</v>
      </c>
      <c r="D119" s="6">
        <v>60222449</v>
      </c>
      <c r="E119" s="6" t="s">
        <v>106</v>
      </c>
      <c r="F119" s="6" t="s">
        <v>274</v>
      </c>
      <c r="G119" s="6" t="s">
        <v>170</v>
      </c>
      <c r="H119" s="6">
        <v>60</v>
      </c>
      <c r="I119" s="6" t="s">
        <v>31</v>
      </c>
      <c r="J119" s="6" t="s">
        <v>254</v>
      </c>
      <c r="K119" s="6" t="s">
        <v>33</v>
      </c>
      <c r="L119" s="6" t="s">
        <v>230</v>
      </c>
      <c r="M119" s="6">
        <v>1978.48</v>
      </c>
      <c r="O119" s="6" t="s">
        <v>34</v>
      </c>
      <c r="P119" s="6" t="s">
        <v>34</v>
      </c>
    </row>
    <row r="120" spans="1:16" x14ac:dyDescent="0.25">
      <c r="A120" s="2" t="str">
        <f t="shared" si="1"/>
        <v>60222449PNK</v>
      </c>
      <c r="B120" s="9">
        <v>57</v>
      </c>
      <c r="C120" s="11">
        <v>5</v>
      </c>
      <c r="D120" s="6">
        <v>60222449</v>
      </c>
      <c r="E120" s="6" t="s">
        <v>106</v>
      </c>
      <c r="F120" s="6" t="s">
        <v>275</v>
      </c>
      <c r="G120" s="6" t="s">
        <v>173</v>
      </c>
      <c r="H120" s="6">
        <v>57</v>
      </c>
      <c r="I120" s="6" t="s">
        <v>31</v>
      </c>
      <c r="J120" s="6" t="s">
        <v>254</v>
      </c>
      <c r="K120" s="6" t="s">
        <v>33</v>
      </c>
      <c r="L120" s="6" t="s">
        <v>230</v>
      </c>
      <c r="M120" s="6">
        <v>1978.48</v>
      </c>
      <c r="O120" s="6" t="s">
        <v>34</v>
      </c>
      <c r="P120" s="6" t="s">
        <v>34</v>
      </c>
    </row>
    <row r="121" spans="1:16" x14ac:dyDescent="0.25">
      <c r="A121" s="2" t="str">
        <f t="shared" si="1"/>
        <v>60222449PNK</v>
      </c>
      <c r="B121" s="9">
        <v>57</v>
      </c>
      <c r="C121" s="11">
        <v>1</v>
      </c>
      <c r="D121" s="6">
        <v>60222449</v>
      </c>
      <c r="E121" s="6" t="s">
        <v>106</v>
      </c>
      <c r="F121" s="6" t="s">
        <v>275</v>
      </c>
      <c r="G121" s="6" t="s">
        <v>173</v>
      </c>
      <c r="H121" s="6">
        <v>57</v>
      </c>
      <c r="I121" s="6" t="s">
        <v>31</v>
      </c>
      <c r="J121" s="6" t="s">
        <v>251</v>
      </c>
      <c r="K121" s="6" t="s">
        <v>33</v>
      </c>
      <c r="L121" s="6" t="s">
        <v>230</v>
      </c>
      <c r="M121" s="6">
        <v>1978.48</v>
      </c>
      <c r="O121" s="6" t="s">
        <v>34</v>
      </c>
      <c r="P121" s="6" t="s">
        <v>34</v>
      </c>
    </row>
    <row r="122" spans="1:16" x14ac:dyDescent="0.25">
      <c r="A122" s="2" t="str">
        <f t="shared" si="1"/>
        <v>60222449PNK</v>
      </c>
      <c r="B122" s="9">
        <v>55</v>
      </c>
      <c r="C122" s="11">
        <v>3</v>
      </c>
      <c r="D122" s="6">
        <v>60222449</v>
      </c>
      <c r="E122" s="6" t="s">
        <v>106</v>
      </c>
      <c r="F122" s="6" t="s">
        <v>276</v>
      </c>
      <c r="G122" s="6" t="s">
        <v>175</v>
      </c>
      <c r="H122" s="6">
        <v>54</v>
      </c>
      <c r="I122" s="6" t="s">
        <v>31</v>
      </c>
      <c r="J122" s="6" t="s">
        <v>254</v>
      </c>
      <c r="K122" s="6" t="s">
        <v>33</v>
      </c>
      <c r="L122" s="6" t="s">
        <v>230</v>
      </c>
      <c r="M122" s="6">
        <v>1978.48</v>
      </c>
      <c r="O122" s="6" t="s">
        <v>34</v>
      </c>
      <c r="P122" s="6" t="s">
        <v>34</v>
      </c>
    </row>
    <row r="123" spans="1:16" x14ac:dyDescent="0.25">
      <c r="A123" s="2" t="str">
        <f t="shared" si="1"/>
        <v>60222488NVY</v>
      </c>
      <c r="B123" s="9" t="s">
        <v>30</v>
      </c>
      <c r="C123" s="11">
        <v>9</v>
      </c>
      <c r="D123" s="6">
        <v>60222488</v>
      </c>
      <c r="E123" s="6" t="s">
        <v>108</v>
      </c>
      <c r="F123" s="6" t="s">
        <v>277</v>
      </c>
      <c r="G123" s="6" t="s">
        <v>28</v>
      </c>
      <c r="H123" s="6" t="s">
        <v>29</v>
      </c>
      <c r="I123" s="6" t="s">
        <v>31</v>
      </c>
      <c r="J123" s="6" t="s">
        <v>257</v>
      </c>
      <c r="K123" s="6" t="s">
        <v>55</v>
      </c>
      <c r="L123" s="6" t="s">
        <v>22</v>
      </c>
      <c r="M123" s="6">
        <v>1862.06</v>
      </c>
      <c r="N123" s="6" t="s">
        <v>23</v>
      </c>
      <c r="O123" s="6" t="s">
        <v>24</v>
      </c>
      <c r="P123" s="6" t="s">
        <v>25</v>
      </c>
    </row>
    <row r="124" spans="1:16" x14ac:dyDescent="0.25">
      <c r="A124" s="2" t="str">
        <f t="shared" si="1"/>
        <v>60222489GRA</v>
      </c>
      <c r="B124" s="9" t="s">
        <v>30</v>
      </c>
      <c r="C124" s="11">
        <v>6</v>
      </c>
      <c r="D124" s="6">
        <v>60222489</v>
      </c>
      <c r="E124" s="6" t="s">
        <v>176</v>
      </c>
      <c r="F124" s="6" t="s">
        <v>278</v>
      </c>
      <c r="G124" s="6" t="s">
        <v>28</v>
      </c>
      <c r="H124" s="6" t="s">
        <v>29</v>
      </c>
      <c r="I124" s="6" t="s">
        <v>31</v>
      </c>
      <c r="J124" s="6" t="s">
        <v>257</v>
      </c>
      <c r="K124" s="6" t="s">
        <v>55</v>
      </c>
      <c r="L124" s="6" t="s">
        <v>22</v>
      </c>
      <c r="M124" s="6">
        <v>1862.06</v>
      </c>
      <c r="N124" s="6" t="s">
        <v>97</v>
      </c>
      <c r="O124" s="6" t="s">
        <v>98</v>
      </c>
      <c r="P124" s="6" t="s">
        <v>91</v>
      </c>
    </row>
    <row r="125" spans="1:16" x14ac:dyDescent="0.25">
      <c r="A125" s="2" t="str">
        <f t="shared" si="1"/>
        <v>60222496BLK</v>
      </c>
      <c r="B125" s="9" t="s">
        <v>30</v>
      </c>
      <c r="C125" s="11">
        <v>12</v>
      </c>
      <c r="D125" s="6">
        <v>60222496</v>
      </c>
      <c r="E125" s="6" t="s">
        <v>78</v>
      </c>
      <c r="F125" s="6" t="s">
        <v>279</v>
      </c>
      <c r="G125" s="6" t="s">
        <v>28</v>
      </c>
      <c r="H125" s="6" t="s">
        <v>29</v>
      </c>
      <c r="I125" s="6" t="s">
        <v>31</v>
      </c>
      <c r="J125" s="6" t="s">
        <v>257</v>
      </c>
      <c r="K125" s="6" t="s">
        <v>134</v>
      </c>
      <c r="L125" s="6" t="s">
        <v>22</v>
      </c>
      <c r="M125" s="6">
        <v>2153.1</v>
      </c>
      <c r="N125" s="6" t="s">
        <v>56</v>
      </c>
      <c r="O125" s="6" t="s">
        <v>57</v>
      </c>
      <c r="P125" s="6" t="s">
        <v>25</v>
      </c>
    </row>
    <row r="126" spans="1:16" x14ac:dyDescent="0.25">
      <c r="A126" s="2" t="str">
        <f t="shared" si="1"/>
        <v>60222498BSK</v>
      </c>
      <c r="B126" s="9">
        <v>59</v>
      </c>
      <c r="C126" s="11">
        <v>1</v>
      </c>
      <c r="D126" s="6">
        <v>60222498</v>
      </c>
      <c r="E126" s="6" t="s">
        <v>280</v>
      </c>
      <c r="F126" s="6" t="s">
        <v>281</v>
      </c>
      <c r="G126" s="6" t="s">
        <v>170</v>
      </c>
      <c r="H126" s="6">
        <v>60</v>
      </c>
      <c r="I126" s="6" t="s">
        <v>19</v>
      </c>
      <c r="J126" s="6" t="s">
        <v>260</v>
      </c>
      <c r="K126" s="6" t="s">
        <v>33</v>
      </c>
      <c r="L126" s="6" t="s">
        <v>230</v>
      </c>
      <c r="M126" s="6">
        <v>1920.27</v>
      </c>
      <c r="O126" s="6" t="s">
        <v>34</v>
      </c>
      <c r="P126" s="6" t="s">
        <v>34</v>
      </c>
    </row>
    <row r="127" spans="1:16" x14ac:dyDescent="0.25">
      <c r="A127" s="2" t="str">
        <f t="shared" si="1"/>
        <v>60222498BSK</v>
      </c>
      <c r="B127" s="9">
        <v>59</v>
      </c>
      <c r="C127" s="11">
        <v>2</v>
      </c>
      <c r="D127" s="6">
        <v>60222498</v>
      </c>
      <c r="E127" s="6" t="s">
        <v>280</v>
      </c>
      <c r="F127" s="6" t="s">
        <v>281</v>
      </c>
      <c r="G127" s="6" t="s">
        <v>170</v>
      </c>
      <c r="H127" s="6">
        <v>60</v>
      </c>
      <c r="I127" s="6" t="s">
        <v>19</v>
      </c>
      <c r="J127" s="6" t="s">
        <v>282</v>
      </c>
      <c r="K127" s="6" t="s">
        <v>33</v>
      </c>
      <c r="L127" s="6" t="s">
        <v>230</v>
      </c>
      <c r="M127" s="6">
        <v>1920.27</v>
      </c>
      <c r="O127" s="6" t="s">
        <v>34</v>
      </c>
      <c r="P127" s="6" t="s">
        <v>34</v>
      </c>
    </row>
    <row r="128" spans="1:16" x14ac:dyDescent="0.25">
      <c r="A128" s="2" t="str">
        <f t="shared" si="1"/>
        <v>60222498BSK</v>
      </c>
      <c r="B128" s="9">
        <v>57</v>
      </c>
      <c r="C128" s="11">
        <v>6</v>
      </c>
      <c r="D128" s="6">
        <v>60222498</v>
      </c>
      <c r="E128" s="6" t="s">
        <v>280</v>
      </c>
      <c r="F128" s="6" t="s">
        <v>283</v>
      </c>
      <c r="G128" s="6" t="s">
        <v>173</v>
      </c>
      <c r="H128" s="6">
        <v>57</v>
      </c>
      <c r="I128" s="6" t="s">
        <v>19</v>
      </c>
      <c r="J128" s="6" t="s">
        <v>260</v>
      </c>
      <c r="K128" s="6" t="s">
        <v>33</v>
      </c>
      <c r="L128" s="6" t="s">
        <v>230</v>
      </c>
      <c r="M128" s="6">
        <v>1920.27</v>
      </c>
      <c r="O128" s="6" t="s">
        <v>34</v>
      </c>
      <c r="P128" s="6" t="s">
        <v>34</v>
      </c>
    </row>
    <row r="129" spans="1:16" x14ac:dyDescent="0.25">
      <c r="A129" s="2" t="str">
        <f t="shared" si="1"/>
        <v>60222505BLK</v>
      </c>
      <c r="B129" s="9">
        <v>59</v>
      </c>
      <c r="C129" s="11">
        <v>3</v>
      </c>
      <c r="D129" s="6">
        <v>60222505</v>
      </c>
      <c r="E129" s="6" t="s">
        <v>78</v>
      </c>
      <c r="F129" s="6" t="s">
        <v>284</v>
      </c>
      <c r="G129" s="6" t="s">
        <v>170</v>
      </c>
      <c r="H129" s="6">
        <v>60</v>
      </c>
      <c r="I129" s="6" t="s">
        <v>19</v>
      </c>
      <c r="J129" s="6" t="s">
        <v>242</v>
      </c>
      <c r="K129" s="6" t="s">
        <v>33</v>
      </c>
      <c r="L129" s="6" t="s">
        <v>22</v>
      </c>
      <c r="M129" s="6">
        <v>1978.48</v>
      </c>
      <c r="N129" s="6" t="s">
        <v>89</v>
      </c>
      <c r="O129" s="6" t="s">
        <v>90</v>
      </c>
      <c r="P129" s="6" t="s">
        <v>91</v>
      </c>
    </row>
    <row r="130" spans="1:16" x14ac:dyDescent="0.25">
      <c r="A130" s="2" t="str">
        <f t="shared" si="1"/>
        <v>60222506GRA</v>
      </c>
      <c r="B130" s="9">
        <v>59</v>
      </c>
      <c r="C130" s="11">
        <v>2</v>
      </c>
      <c r="D130" s="6">
        <v>60222506</v>
      </c>
      <c r="E130" s="6" t="s">
        <v>176</v>
      </c>
      <c r="F130" s="6" t="s">
        <v>285</v>
      </c>
      <c r="G130" s="6" t="s">
        <v>170</v>
      </c>
      <c r="H130" s="6">
        <v>60</v>
      </c>
      <c r="I130" s="6" t="s">
        <v>19</v>
      </c>
      <c r="J130" s="6" t="s">
        <v>238</v>
      </c>
      <c r="K130" s="6" t="s">
        <v>33</v>
      </c>
      <c r="L130" s="6" t="s">
        <v>22</v>
      </c>
      <c r="M130" s="6">
        <v>1978.48</v>
      </c>
      <c r="N130" s="6" t="s">
        <v>23</v>
      </c>
      <c r="O130" s="6" t="s">
        <v>24</v>
      </c>
      <c r="P130" s="6" t="s">
        <v>25</v>
      </c>
    </row>
    <row r="131" spans="1:16" x14ac:dyDescent="0.25">
      <c r="A131" s="2" t="str">
        <f t="shared" ref="A131:A134" si="2">D131&amp;E131</f>
        <v>60222506GRA</v>
      </c>
      <c r="B131" s="9">
        <v>55</v>
      </c>
      <c r="C131" s="11">
        <v>2</v>
      </c>
      <c r="D131" s="6">
        <v>60222506</v>
      </c>
      <c r="E131" s="6" t="s">
        <v>176</v>
      </c>
      <c r="F131" s="6" t="s">
        <v>286</v>
      </c>
      <c r="G131" s="6" t="s">
        <v>175</v>
      </c>
      <c r="H131" s="6">
        <v>54</v>
      </c>
      <c r="I131" s="6" t="s">
        <v>19</v>
      </c>
      <c r="J131" s="6" t="s">
        <v>238</v>
      </c>
      <c r="K131" s="6" t="s">
        <v>33</v>
      </c>
      <c r="L131" s="6" t="s">
        <v>22</v>
      </c>
      <c r="M131" s="6">
        <v>1978.48</v>
      </c>
      <c r="N131" s="6" t="s">
        <v>23</v>
      </c>
      <c r="O131" s="6" t="s">
        <v>24</v>
      </c>
      <c r="P131" s="6" t="s">
        <v>25</v>
      </c>
    </row>
    <row r="132" spans="1:16" x14ac:dyDescent="0.25">
      <c r="A132" s="2" t="str">
        <f t="shared" si="2"/>
        <v>60222551BLK</v>
      </c>
      <c r="B132" s="9" t="s">
        <v>30</v>
      </c>
      <c r="C132" s="11">
        <v>3</v>
      </c>
      <c r="D132" s="6">
        <v>60222551</v>
      </c>
      <c r="E132" s="6" t="s">
        <v>78</v>
      </c>
      <c r="F132" s="6" t="s">
        <v>287</v>
      </c>
      <c r="G132" s="6" t="s">
        <v>28</v>
      </c>
      <c r="H132" s="6" t="s">
        <v>29</v>
      </c>
      <c r="I132" s="6" t="s">
        <v>19</v>
      </c>
      <c r="J132" s="6" t="s">
        <v>235</v>
      </c>
      <c r="K132" s="6" t="s">
        <v>33</v>
      </c>
      <c r="L132" s="6" t="s">
        <v>22</v>
      </c>
      <c r="M132" s="6">
        <v>1512.82</v>
      </c>
      <c r="O132" s="6" t="s">
        <v>34</v>
      </c>
      <c r="P132" s="6" t="s">
        <v>34</v>
      </c>
    </row>
    <row r="133" spans="1:16" x14ac:dyDescent="0.25">
      <c r="A133" s="2" t="str">
        <f t="shared" si="2"/>
        <v>60222553IRF</v>
      </c>
      <c r="B133" s="9">
        <v>59</v>
      </c>
      <c r="C133" s="11">
        <v>3</v>
      </c>
      <c r="D133" s="6">
        <v>60222553</v>
      </c>
      <c r="E133" s="6" t="s">
        <v>288</v>
      </c>
      <c r="F133" s="6" t="s">
        <v>289</v>
      </c>
      <c r="G133" s="6" t="s">
        <v>170</v>
      </c>
      <c r="H133" s="6">
        <v>60</v>
      </c>
      <c r="I133" s="6" t="s">
        <v>19</v>
      </c>
      <c r="J133" s="6" t="s">
        <v>238</v>
      </c>
      <c r="K133" s="6" t="s">
        <v>33</v>
      </c>
      <c r="L133" s="6" t="s">
        <v>230</v>
      </c>
      <c r="M133" s="6">
        <v>1920.27</v>
      </c>
      <c r="O133" s="6" t="s">
        <v>34</v>
      </c>
      <c r="P133" s="6" t="s">
        <v>34</v>
      </c>
    </row>
    <row r="134" spans="1:16" x14ac:dyDescent="0.25">
      <c r="A134" s="2" t="str">
        <f t="shared" si="2"/>
        <v>60222553IRF</v>
      </c>
      <c r="B134" s="9">
        <v>57</v>
      </c>
      <c r="C134" s="11">
        <v>6</v>
      </c>
      <c r="D134" s="6">
        <v>60222553</v>
      </c>
      <c r="E134" s="6" t="s">
        <v>288</v>
      </c>
      <c r="F134" s="6" t="s">
        <v>290</v>
      </c>
      <c r="G134" s="6" t="s">
        <v>173</v>
      </c>
      <c r="H134" s="6">
        <v>57</v>
      </c>
      <c r="I134" s="6" t="s">
        <v>19</v>
      </c>
      <c r="J134" s="6" t="s">
        <v>238</v>
      </c>
      <c r="K134" s="6" t="s">
        <v>33</v>
      </c>
      <c r="L134" s="6" t="s">
        <v>230</v>
      </c>
      <c r="M134" s="6">
        <v>1920.27</v>
      </c>
      <c r="O134" s="6" t="s">
        <v>34</v>
      </c>
      <c r="P134" s="6" t="s">
        <v>34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Транспонирование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2022-06-16T10:52:37Z</dcterms:modified>
</cp:coreProperties>
</file>