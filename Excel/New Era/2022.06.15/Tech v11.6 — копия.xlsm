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15\"/>
    </mc:Choice>
  </mc:AlternateContent>
  <xr:revisionPtr revIDLastSave="0" documentId="13_ncr:1_{ED026145-9C52-440D-B8F2-40C1ACCC139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Table!$A$1:$BG$136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A48" i="8" s="1"/>
  <c r="W49" i="8"/>
  <c r="A49" i="8" s="1"/>
  <c r="W50" i="8"/>
  <c r="A50" i="8" s="1"/>
  <c r="W51" i="8"/>
  <c r="A51" i="8" s="1"/>
  <c r="W52" i="8"/>
  <c r="A52" i="8" s="1"/>
  <c r="W53" i="8"/>
  <c r="A53" i="8" s="1"/>
  <c r="W54" i="8"/>
  <c r="A54" i="8" s="1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V9454" i="8" s="1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7" i="8"/>
  <c r="V9323" i="8"/>
  <c r="V9382" i="8"/>
  <c r="V9406" i="8"/>
  <c r="V9518" i="8"/>
  <c r="V9526" i="8"/>
  <c r="V9532" i="8"/>
  <c r="V9718" i="8"/>
  <c r="V97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376" i="8" l="1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X48" i="8"/>
  <c r="X49" i="8"/>
  <c r="X51" i="8"/>
  <c r="X52" i="8"/>
  <c r="X53" i="8"/>
  <c r="X54" i="8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269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X50" i="8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<sst xmlns="http://schemas.openxmlformats.org/spreadsheetml/2006/main" count="5193" uniqueCount="1206">
  <si>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</si>
  <si>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</si>
  <si>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</si>
  <si>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</si>
  <si>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</si>
  <si>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</si>
  <si>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</si>
  <si>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</si>
  <si>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</si>
  <si>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</si>
  <si>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</si>
  <si>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</si>
  <si>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</si>
  <si>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</si>
  <si>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</si>
  <si>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</si>
  <si>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</si>
  <si>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</si>
  <si>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</si>
  <si>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</si>
  <si>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</si>
  <si>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</si>
  <si>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</si>
  <si>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</si>
  <si>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</si>
  <si>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</si>
  <si>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</si>
  <si>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</si>
  <si>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</si>
  <si>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</si>
  <si>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</si>
  <si>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</si>
  <si>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</si>
  <si>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</si>
  <si>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</si>
  <si>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</si>
  <si>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</si>
  <si>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</si>
  <si>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</si>
  <si>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</si>
  <si>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</si>
  <si>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</si>
  <si>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</si>
  <si>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</si>
  <si>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</si>
  <si>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</si>
  <si>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</si>
  <si>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</si>
  <si>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</si>
  <si>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</si>
  <si>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</si>
  <si>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</si>
  <si>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</si>
  <si>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</si>
  <si>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</si>
  <si>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</si>
  <si>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</si>
  <si>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</si>
  <si>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</si>
  <si>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</si>
  <si>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</si>
  <si>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</si>
  <si>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</si>
  <si>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</si>
  <si>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</si>
  <si>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</si>
  <si>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</si>
  <si>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</si>
  <si>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</si>
  <si>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</si>
  <si>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</si>
  <si>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</si>
  <si>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</si>
  <si>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</si>
  <si>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</si>
  <si>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</si>
  <si>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</si>
  <si>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</si>
  <si>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</si>
  <si>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</si>
  <si>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</si>
  <si>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</si>
  <si>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</si>
  <si>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</si>
  <si>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</si>
  <si>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</si>
  <si>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</si>
  <si>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</si>
  <si>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</si>
  <si>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</si>
  <si>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</si>
  <si>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</si>
  <si>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</si>
  <si>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</si>
  <si>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</si>
  <si>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</si>
  <si>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</si>
  <si>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</si>
  <si>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</si>
  <si>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</si>
  <si>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</si>
  <si>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</si>
  <si>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</si>
  <si>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</si>
  <si>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</si>
  <si>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</si>
  <si>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</si>
  <si>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</si>
  <si>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</si>
  <si>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</si>
  <si>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</si>
  <si>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</si>
  <si>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</si>
  <si>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</si>
  <si>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</si>
  <si>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</si>
  <si>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</si>
  <si>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</si>
  <si>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</si>
  <si>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</si>
  <si>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</si>
  <si>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</si>
  <si>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</si>
  <si>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</si>
  <si>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</si>
  <si>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</si>
  <si>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</si>
  <si>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</si>
  <si>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</si>
  <si>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</si>
  <si>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</si>
  <si>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</si>
  <si>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</si>
  <si>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</si>
  <si>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</si>
  <si>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</si>
  <si>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</si>
  <si>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</si>
  <si>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</si>
  <si>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</si>
  <si>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</si>
  <si>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</si>
  <si>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</si>
  <si>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</si>
  <si>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</si>
  <si>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</si>
  <si>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</si>
  <si>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</si>
  <si>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</si>
  <si>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</si>
  <si>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</si>
  <si>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</si>
  <si>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</si>
  <si>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</si>
  <si>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</si>
  <si>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</si>
  <si>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</si>
  <si>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</si>
  <si>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</si>
  <si>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</si>
  <si>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</si>
  <si>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</si>
  <si>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</si>
  <si>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</si>
  <si>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</si>
  <si>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</si>
  <si>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</si>
  <si>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</si>
  <si>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</si>
  <si>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</si>
  <si>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</si>
  <si>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</si>
  <si>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</si>
  <si>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</si>
  <si>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</si>
  <si>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</si>
  <si>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</si>
  <si>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</si>
  <si>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</si>
  <si>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</si>
  <si>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</si>
  <si>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</si>
  <si>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</si>
  <si>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</si>
  <si>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</si>
  <si>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</si>
  <si>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</si>
  <si>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</si>
  <si>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</si>
  <si>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</si>
  <si>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</si>
  <si>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</si>
  <si>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</si>
  <si>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</si>
  <si>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</si>
  <si>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</si>
  <si>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</si>
  <si>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</si>
  <si>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</si>
  <si>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</si>
  <si>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</si>
  <si>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</si>
  <si>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</si>
  <si>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</si>
  <si>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</si>
  <si>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</si>
  <si>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</si>
  <si>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</si>
  <si>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</si>
  <si>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</si>
  <si>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</si>
  <si>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</si>
  <si>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</si>
  <si>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</si>
  <si>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</si>
  <si>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</si>
  <si>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</si>
  <si>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</si>
  <si>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</si>
  <si>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</si>
  <si>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</si>
  <si>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</si>
  <si>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</si>
  <si>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</si>
  <si>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</si>
  <si>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</si>
  <si>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</si>
  <si>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</si>
  <si>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</si>
  <si>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</si>
  <si>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</si>
  <si>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</si>
  <si>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</si>
  <si>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</si>
  <si>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</si>
  <si>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</si>
  <si>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</si>
  <si>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</si>
  <si>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</si>
  <si>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</si>
  <si>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</si>
  <si>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</si>
  <si>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</si>
  <si>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</si>
  <si>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</si>
  <si>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</si>
  <si>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</si>
  <si>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</si>
  <si>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</si>
  <si>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</si>
  <si>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</si>
  <si>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</si>
  <si>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</si>
  <si>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</si>
  <si>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</si>
  <si>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</si>
  <si>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</si>
  <si>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</si>
  <si>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</si>
  <si>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</si>
  <si>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</si>
  <si>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</si>
  <si>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</si>
  <si>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</si>
  <si>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</si>
  <si>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</si>
  <si>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</si>
  <si>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</si>
  <si>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</si>
  <si>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</si>
  <si>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</si>
  <si>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</si>
  <si>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</si>
  <si>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</si>
  <si>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</si>
  <si>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</si>
  <si>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</si>
  <si>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</si>
  <si>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</si>
  <si>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</si>
  <si>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</si>
  <si>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</si>
  <si>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</si>
  <si>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</si>
  <si>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</si>
  <si>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</si>
  <si>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</si>
  <si>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</si>
  <si>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</si>
  <si>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</si>
  <si>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</si>
  <si>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</si>
  <si>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</si>
  <si>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</si>
  <si>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</si>
  <si>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</si>
  <si>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</si>
  <si>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</si>
  <si>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</si>
  <si>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</si>
  <si>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</si>
  <si>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</si>
  <si>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</si>
  <si>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</si>
  <si>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</si>
  <si>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</si>
  <si>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</si>
  <si>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</si>
  <si>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</si>
  <si>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</si>
  <si>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</si>
  <si>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</si>
  <si>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</si>
  <si>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</si>
  <si>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</si>
  <si>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</si>
  <si>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</si>
  <si>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</si>
  <si>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</si>
  <si>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</si>
  <si>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</si>
  <si>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</si>
  <si>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</si>
  <si>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</si>
  <si>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</si>
  <si>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</si>
  <si>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</si>
  <si>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</si>
  <si>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</si>
  <si>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</si>
  <si>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</si>
  <si>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</si>
  <si>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</si>
  <si>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</si>
  <si>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</si>
  <si>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</si>
  <si>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</si>
  <si>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</si>
  <si>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</si>
  <si>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</si>
  <si>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</si>
  <si>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</si>
  <si>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</si>
  <si>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</si>
  <si>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</si>
  <si>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</si>
  <si>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</si>
  <si>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</si>
  <si>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</si>
  <si>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</si>
  <si>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</si>
  <si>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</si>
  <si>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</si>
  <si>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</si>
  <si>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</si>
  <si>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</si>
  <si>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</si>
  <si>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</si>
  <si>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</si>
  <si>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</si>
  <si>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</si>
  <si>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</si>
  <si>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</si>
  <si>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</si>
  <si>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</si>
  <si>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</si>
  <si>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</si>
  <si>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</si>
  <si>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</si>
  <si>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</si>
  <si>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</si>
  <si>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</si>
  <si>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</si>
  <si>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</si>
  <si>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</si>
  <si>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</si>
  <si>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</si>
  <si>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</si>
  <si>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</si>
  <si>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</si>
  <si>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</si>
  <si>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</si>
  <si>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</si>
  <si>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</si>
  <si>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</si>
  <si>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</si>
  <si>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</si>
  <si>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</si>
  <si>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</si>
  <si>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</si>
  <si>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</si>
  <si>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</si>
  <si>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</si>
  <si>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</si>
  <si>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</si>
  <si>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</si>
  <si>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</si>
  <si>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</si>
  <si>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</si>
  <si>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</si>
  <si>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</si>
  <si>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</si>
  <si>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</si>
  <si>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</si>
  <si>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</si>
  <si>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</si>
  <si>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</si>
  <si>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</si>
  <si>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</si>
  <si>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</si>
  <si>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</si>
  <si>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</si>
  <si>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</si>
  <si>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</si>
  <si>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</si>
  <si>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</si>
  <si>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</si>
  <si>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</si>
  <si>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</si>
  <si>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</si>
  <si>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</si>
  <si>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</si>
  <si>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</si>
  <si>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</si>
  <si>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</si>
  <si>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</si>
  <si>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</si>
  <si>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</si>
  <si>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</si>
  <si>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</si>
  <si>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</si>
  <si>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</si>
  <si>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</si>
  <si>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</si>
  <si>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</si>
  <si>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</si>
  <si>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</si>
  <si>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</si>
  <si>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</si>
  <si>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</si>
  <si>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</si>
  <si>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</si>
  <si>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</si>
  <si>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</si>
  <si>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</si>
  <si>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</si>
  <si>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</si>
  <si>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</si>
  <si>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</si>
  <si>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</si>
  <si>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</si>
  <si>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</si>
  <si>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</si>
  <si>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</si>
  <si>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</si>
  <si>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</si>
  <si>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</si>
  <si>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</si>
  <si>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</si>
  <si>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</si>
  <si>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</si>
  <si>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</si>
  <si>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</si>
  <si>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</si>
  <si>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</si>
  <si>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</si>
  <si>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</si>
  <si>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</si>
  <si>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</si>
  <si>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</si>
  <si>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</si>
  <si>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</si>
  <si>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</si>
  <si>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</si>
  <si>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</si>
  <si>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</si>
  <si>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</si>
  <si>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</si>
  <si>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</si>
  <si>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</si>
  <si>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</si>
  <si>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</si>
  <si>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</si>
  <si>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</si>
  <si>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</si>
  <si>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</si>
  <si>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</si>
  <si>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</si>
  <si>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</si>
  <si>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</si>
  <si>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</si>
  <si>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</si>
  <si>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</si>
  <si>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</si>
  <si>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</si>
  <si>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</si>
  <si>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</si>
  <si>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</si>
  <si>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</si>
  <si>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</si>
  <si>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</si>
  <si>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</si>
  <si>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</si>
  <si>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</si>
  <si>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</si>
  <si>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</si>
  <si>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</si>
  <si>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</si>
  <si>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</si>
  <si>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</si>
  <si>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</si>
  <si>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</si>
  <si>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</si>
  <si>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</si>
  <si>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</si>
  <si>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</si>
  <si>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</si>
  <si>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</si>
  <si>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</si>
  <si>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</si>
  <si>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</si>
  <si>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</si>
  <si>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</si>
  <si>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</si>
  <si>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</si>
  <si>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</si>
  <si>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</si>
  <si>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</si>
  <si>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</si>
  <si>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</si>
  <si>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</si>
  <si>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</si>
  <si>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</si>
  <si>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</si>
  <si>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</si>
  <si>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</si>
  <si>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</si>
  <si>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</si>
  <si>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</si>
  <si>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</si>
  <si>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</si>
  <si>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</si>
  <si>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</si>
  <si>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</si>
  <si>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</si>
  <si>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</si>
  <si>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</si>
  <si>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</si>
  <si>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</si>
  <si>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</si>
  <si>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</si>
  <si>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</si>
  <si>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</si>
  <si>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</si>
  <si>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</si>
  <si>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</si>
  <si>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</si>
  <si>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</si>
  <si>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</si>
  <si>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</si>
  <si>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</si>
  <si>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</si>
  <si>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</si>
  <si>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</si>
  <si>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</si>
  <si>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</si>
  <si>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</si>
  <si>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</si>
  <si>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</si>
  <si>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</si>
  <si>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</si>
  <si>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</si>
  <si>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</si>
  <si>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</si>
  <si>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</si>
  <si>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</si>
  <si>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</si>
  <si>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</si>
  <si>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</si>
  <si>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</si>
  <si>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</si>
  <si>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</si>
  <si>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</si>
  <si>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</si>
  <si>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</si>
  <si>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</si>
  <si>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</si>
  <si>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</si>
  <si>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</si>
  <si>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</si>
  <si>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</si>
  <si>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</si>
  <si>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</si>
  <si>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</si>
  <si>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</si>
  <si>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</si>
  <si>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</si>
  <si>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</si>
  <si>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</si>
  <si>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</si>
  <si>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</si>
  <si>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</si>
  <si>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</si>
  <si>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</si>
  <si>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</si>
  <si>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</si>
  <si>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</si>
  <si>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</si>
  <si>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</si>
  <si>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</si>
  <si>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</si>
  <si>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</si>
  <si>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</si>
  <si>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</si>
  <si>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</si>
  <si>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</si>
  <si>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</si>
  <si>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</si>
  <si>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</si>
  <si>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</si>
  <si>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</si>
  <si>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</si>
  <si>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</si>
  <si>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</si>
  <si>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</si>
  <si>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</si>
  <si>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</si>
  <si>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</si>
  <si>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</si>
  <si>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</si>
  <si>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</si>
  <si>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</si>
  <si>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</si>
  <si>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</si>
  <si>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</si>
  <si>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</si>
  <si>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</si>
  <si>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</si>
  <si>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</si>
  <si>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</si>
  <si>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</si>
  <si>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</si>
  <si>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</si>
  <si>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</si>
  <si>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</si>
  <si>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</si>
  <si>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</si>
  <si>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</si>
  <si>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</si>
  <si>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</si>
  <si>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</si>
  <si>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</si>
  <si>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</si>
  <si>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</si>
  <si>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</si>
  <si>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</si>
  <si>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</si>
  <si>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</si>
  <si>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</si>
  <si>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</si>
  <si>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</si>
  <si>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</si>
  <si>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</si>
  <si>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</si>
  <si>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</si>
  <si>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</si>
  <si>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</si>
  <si>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</si>
  <si>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</si>
  <si>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</si>
  <si>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</si>
  <si>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</si>
  <si>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</si>
  <si>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</si>
  <si>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</si>
  <si>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</si>
  <si>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</si>
  <si>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</si>
  <si>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</si>
  <si>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</si>
  <si>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</si>
  <si>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</si>
  <si>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</si>
  <si>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</si>
  <si>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</si>
  <si>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</si>
  <si>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</si>
  <si>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</si>
  <si>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</si>
  <si>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</si>
  <si>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</si>
  <si>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</si>
  <si>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</si>
  <si>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</si>
  <si>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</si>
  <si>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</si>
  <si>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</si>
  <si>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</si>
  <si>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</si>
  <si>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</si>
  <si>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</si>
  <si>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</si>
  <si>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</si>
  <si>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</si>
  <si>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</si>
  <si>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</si>
  <si>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</si>
  <si>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</si>
  <si>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</si>
  <si>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</si>
  <si>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</si>
  <si>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</si>
  <si>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</si>
  <si>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</si>
  <si>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</si>
  <si>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</si>
  <si>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</si>
  <si>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</si>
  <si>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</si>
  <si>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</si>
  <si>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</si>
  <si>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</si>
  <si>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</si>
  <si>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</si>
  <si>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</si>
  <si>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</si>
  <si>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</si>
  <si>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</si>
  <si>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</si>
  <si>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</si>
  <si>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</si>
  <si>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</si>
  <si>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</si>
  <si>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</si>
  <si>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</si>
  <si>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</si>
  <si>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</si>
  <si>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</si>
  <si>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</si>
  <si>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</si>
  <si>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</si>
  <si>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</si>
  <si>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</si>
  <si>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</si>
  <si>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</si>
  <si>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</si>
  <si>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</si>
  <si>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</si>
  <si>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</si>
  <si>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</si>
  <si>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</si>
  <si>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</si>
  <si>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</si>
  <si>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</si>
  <si>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</si>
  <si>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</si>
  <si>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</si>
  <si>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</si>
  <si>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</si>
  <si>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</si>
  <si>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</si>
  <si>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</si>
  <si>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</si>
  <si>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</si>
  <si>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</si>
  <si>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</si>
  <si>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</si>
  <si>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</si>
  <si>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</si>
  <si>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</si>
  <si>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</si>
  <si>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</si>
  <si>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</si>
  <si>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</si>
  <si>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</si>
  <si>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</si>
  <si>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</si>
  <si>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</si>
  <si>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</si>
  <si>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</si>
  <si>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</si>
  <si>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</si>
  <si>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</si>
  <si>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</si>
  <si>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</si>
  <si>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</si>
  <si>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</si>
  <si>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</si>
  <si>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</si>
  <si>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</si>
  <si>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</si>
  <si>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</si>
  <si>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</si>
  <si>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</si>
  <si>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</si>
  <si>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</si>
  <si>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</si>
  <si>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</si>
  <si>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</si>
  <si>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</si>
  <si>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</si>
  <si>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</si>
  <si>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</si>
  <si>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</si>
  <si>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</si>
  <si>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</si>
  <si>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</si>
  <si>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</si>
  <si>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</si>
  <si>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</si>
  <si>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</si>
  <si>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</si>
  <si>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</si>
  <si>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</si>
  <si>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</si>
  <si>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</si>
  <si>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</si>
  <si>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</si>
  <si>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</si>
  <si>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</si>
  <si>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</si>
  <si>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</si>
  <si>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</si>
  <si>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</si>
  <si>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</si>
  <si>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</si>
  <si>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</si>
  <si>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</si>
  <si>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</si>
  <si>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</si>
  <si>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</si>
  <si>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</si>
  <si>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</si>
  <si>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</si>
  <si>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</si>
  <si>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</si>
  <si>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</si>
  <si>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</si>
  <si>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</si>
  <si>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</si>
  <si>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</si>
  <si>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</si>
  <si>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</si>
  <si>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</si>
  <si>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</si>
  <si>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</si>
  <si>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</si>
  <si>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</si>
  <si>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</si>
  <si>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</si>
  <si>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</si>
  <si>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</si>
  <si>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</si>
  <si>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</si>
  <si>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</si>
  <si>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</si>
  <si>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</si>
  <si>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</si>
  <si>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</si>
  <si>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</si>
  <si>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</si>
  <si>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</si>
  <si>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</si>
  <si>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</si>
  <si>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</si>
  <si>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</si>
  <si>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</si>
  <si>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</si>
  <si>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</si>
  <si>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</si>
  <si>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</si>
  <si>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</si>
  <si>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</si>
  <si>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</si>
  <si>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</si>
  <si>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</si>
  <si>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</si>
  <si>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</si>
  <si>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</si>
  <si>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</si>
  <si>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</si>
  <si>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</si>
  <si>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</si>
  <si>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</si>
  <si>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</si>
  <si>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</si>
  <si>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</si>
  <si>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</si>
  <si>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</si>
  <si>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</si>
  <si>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</si>
  <si>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</si>
  <si>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</si>
  <si>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</si>
  <si>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</si>
  <si>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</si>
  <si>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</si>
  <si>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</si>
  <si>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</si>
  <si>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</si>
  <si>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</si>
  <si>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</si>
  <si>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</si>
  <si>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</si>
  <si>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</si>
  <si>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</si>
  <si>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</si>
  <si>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</si>
  <si>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</si>
  <si>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</si>
  <si>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</si>
  <si>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MLB</t>
  </si>
  <si>
    <t>Los Angeles Dodgers</t>
  </si>
  <si>
    <t>жесткая форма</t>
  </si>
  <si>
    <t>New York Yankees</t>
  </si>
  <si>
    <t>Boston Red Sox</t>
  </si>
  <si>
    <t>100% полиэстер</t>
  </si>
  <si>
    <t>96-013-80-00</t>
  </si>
  <si>
    <t>Бейсболка NEW ERA арт. 60112610 New York Yankees MLB (рыжий) {tofwhi}</t>
  </si>
  <si>
    <t>60112610 New York Yankees MLB</t>
  </si>
  <si>
    <t>New Era Cap Company Ltd; 1st Floor East, CBX 2, Midsummer Boulevard, Milton Keynes MK9 2EA, United Kingdom</t>
  </si>
  <si>
    <t>tofwhi</t>
  </si>
  <si>
    <t>96-012-80-00</t>
  </si>
  <si>
    <t>Бейсболка NEW ERA арт. 80489231 New York Yankees MLB (серый / розовый) {grapnk}</t>
  </si>
  <si>
    <t>80489231 New York Yankees MLB</t>
  </si>
  <si>
    <t>grapnk</t>
  </si>
  <si>
    <t>96-011-03-00</t>
  </si>
  <si>
    <t>Бейсболка NEW ERA арт. 60222546 New York Yankees MLB (оливковый) {nov}</t>
  </si>
  <si>
    <t>60222546 New York Yankees MLB</t>
  </si>
  <si>
    <t>nov</t>
  </si>
  <si>
    <t>96-010-34-00</t>
  </si>
  <si>
    <t>Бейсболка NEW ERA арт. 60222525 Los Angeles Dodgers MLB (черный / розовый) {pnk}</t>
  </si>
  <si>
    <t>60222525 Los Angeles Dodgers MLB</t>
  </si>
  <si>
    <t>pnk</t>
  </si>
  <si>
    <t>96-009-17-00</t>
  </si>
  <si>
    <t>Бейсболка NEW ERA арт. 60222523 New York Yankees MLB (светло-серый) {whi}</t>
  </si>
  <si>
    <t>60222523 New York Yankees MLB</t>
  </si>
  <si>
    <t>whi</t>
  </si>
  <si>
    <t>96-008-13-00</t>
  </si>
  <si>
    <t>Бейсболка NEW ERA арт. 60222457 New York Yankees MLB (оранжевый) {rgd}</t>
  </si>
  <si>
    <t>60222457 New York Yankees MLB</t>
  </si>
  <si>
    <t>rgd</t>
  </si>
  <si>
    <t>96-007-06-00</t>
  </si>
  <si>
    <t>Бейсболка NEW ERA арт. 60222456 New York Yankees MLB (синий) {irf}</t>
  </si>
  <si>
    <t>60222456 New York Yankees MLB</t>
  </si>
  <si>
    <t>irf</t>
  </si>
  <si>
    <t>96-006-09-00</t>
  </si>
  <si>
    <t>Бейсболка NEW ERA арт. 60222444 New York Yankees MLB (черный) {blk}</t>
  </si>
  <si>
    <t>60222444 New York Yankees MLB</t>
  </si>
  <si>
    <t>blk</t>
  </si>
  <si>
    <t>96-005-17-00</t>
  </si>
  <si>
    <t>Бейсболка NEW ERA арт. 60222351 New York Yankees MLB (бирюзовый) {whi}</t>
  </si>
  <si>
    <t>60222351 New York Yankees MLB</t>
  </si>
  <si>
    <t>96-004-06-00</t>
  </si>
  <si>
    <t>Бейсболка NEW ERA арт. 60222348 Los Angeles Dodgers MLB (темно-синий) {nvy}</t>
  </si>
  <si>
    <t>60222348 Los Angeles Dodgers MLB</t>
  </si>
  <si>
    <t>nvy</t>
  </si>
  <si>
    <t>96-003-14-00</t>
  </si>
  <si>
    <t>Бейсболка NEW ERA арт. 60222321 New York Yankees MLB (черный / коричневый) {tof}</t>
  </si>
  <si>
    <t>60222321 New York Yankees MLB</t>
  </si>
  <si>
    <t>tof</t>
  </si>
  <si>
    <t>96-002-06-00</t>
  </si>
  <si>
    <t>Бейсболка NEW ERA арт. 60222282 Los Angeles Dodgers MLB (синий) {irf}</t>
  </si>
  <si>
    <t>60222282 Los Angeles Dodgers MLB</t>
  </si>
  <si>
    <t>96-001-18-58</t>
  </si>
  <si>
    <t>Бейсболка NEW ERA арт. 10531954 Los Angeles Dodgers MLB (синий) {team}</t>
  </si>
  <si>
    <t>58 M/L</t>
  </si>
  <si>
    <t>10531954 Los Angeles Dodgers MLB</t>
  </si>
  <si>
    <t>team</t>
  </si>
  <si>
    <t>96-001-18-56</t>
  </si>
  <si>
    <t>56 S/M</t>
  </si>
  <si>
    <t>96-020-72-00</t>
  </si>
  <si>
    <t>Бейсболка NEW ERA арт. 11405493 Los Angeles Dodgers MLB (черный) {blkwhi}</t>
  </si>
  <si>
    <t>11405493 Los Angeles Dodgers MLB</t>
  </si>
  <si>
    <t>blkwhi</t>
  </si>
  <si>
    <t>96-019-09-00</t>
  </si>
  <si>
    <t>Бейсболка NEW ERA арт. 11579474 New York Yankees MLB (черный) {blk}</t>
  </si>
  <si>
    <t>11579474 New York Yankees MLB</t>
  </si>
  <si>
    <t>96-018-03-00</t>
  </si>
  <si>
    <t>Бейсболка NEW ERA арт. 80636010 New York Yankees MLB (оливковый) {nov}</t>
  </si>
  <si>
    <t>80636010 New York Yankees MLB</t>
  </si>
  <si>
    <t>96-017-94-00</t>
  </si>
  <si>
    <t>Бейсболка NEW ERA арт. 80489299 New York Yankees MLB (розовый) {plm}</t>
  </si>
  <si>
    <t>80489299 New York Yankees MLB</t>
  </si>
  <si>
    <t>plm</t>
  </si>
  <si>
    <t>96-016-10-00</t>
  </si>
  <si>
    <t>Бейсболка NEW ERA арт. 12523913 Chicago Bulls NBA (черный) {blkblk}</t>
  </si>
  <si>
    <t>12523913 Chicago Bulls NBA</t>
  </si>
  <si>
    <t>NBA</t>
  </si>
  <si>
    <t>Chicago Bulls</t>
  </si>
  <si>
    <t>blkblk</t>
  </si>
  <si>
    <t>96-015-10-00</t>
  </si>
  <si>
    <t>Бейсболка NEW ERA арт. 12523911 Los Angeles Lakers NBA (черный) {blkblk}</t>
  </si>
  <si>
    <t>12523911 Los Angeles Lakers NBA</t>
  </si>
  <si>
    <t>Los Angeles Lakers</t>
  </si>
  <si>
    <t>96-014-18-00</t>
  </si>
  <si>
    <t>Бейсболка NEW ERA арт. 10531938 New York Yankees MLB (красный) {scawhi}</t>
  </si>
  <si>
    <t>10531938 New York Yankees MLB</t>
  </si>
  <si>
    <t>scawhi</t>
  </si>
  <si>
    <t>96-046-09-00</t>
  </si>
  <si>
    <t>Бейсболка NEW ERA арт. 60112702 Boston Red Sox (черный) {blk}</t>
  </si>
  <si>
    <t>60112702 Boston Red Sox</t>
  </si>
  <si>
    <t>96-045-35-00</t>
  </si>
  <si>
    <t>Бейсболка NEW ERA арт. 60222526 New York Yankees (персиковый / белый) {whi}</t>
  </si>
  <si>
    <t>60222526 New York Yankees</t>
  </si>
  <si>
    <t>персиковый / белый</t>
  </si>
  <si>
    <t>96-044-32-00</t>
  </si>
  <si>
    <t>Бейсболка NEW ERA арт. 60222524 New York Yankees (сиреневый / белый) {whi}</t>
  </si>
  <si>
    <t>60222524 New York Yankees</t>
  </si>
  <si>
    <t>сиреневый / белый</t>
  </si>
  <si>
    <t>96-043-72-00</t>
  </si>
  <si>
    <t>Бейсболка NEW ERA арт. 60222496 Los Angeles Dodgers (черный / белый) {blk}</t>
  </si>
  <si>
    <t>60222496 Los Angeles Dodgers</t>
  </si>
  <si>
    <t>96-042-72-00</t>
  </si>
  <si>
    <t>Бейсболка NEW ERA арт. 60222493 Los Angeles Lakers (черный / белый) {blk}</t>
  </si>
  <si>
    <t>60222493 Los Angeles Lakers</t>
  </si>
  <si>
    <t>96-041-72-00</t>
  </si>
  <si>
    <t>Бейсболка NEW ERA арт. 60222486 Chicago Bulls (черный / белый) {blk}</t>
  </si>
  <si>
    <t>60222486 Chicago Bulls</t>
  </si>
  <si>
    <t>96-040-06-00</t>
  </si>
  <si>
    <t>Бейсболка NEW ERA арт. 60222480 New York Yankees (синий) {atbirf}</t>
  </si>
  <si>
    <t>60222480 New York Yankees</t>
  </si>
  <si>
    <t>atbirf</t>
  </si>
  <si>
    <t>96-039-11-00</t>
  </si>
  <si>
    <t>Бейсболка NEW ERA арт. 60222459 New York Yankees (зеленый / белый) {blt}</t>
  </si>
  <si>
    <t>60222459 New York Yankees</t>
  </si>
  <si>
    <t>74,7% хлопок - 25,3% целлюлоза</t>
  </si>
  <si>
    <t>blt</t>
  </si>
  <si>
    <t>96-038-50-00</t>
  </si>
  <si>
    <t>Бейсболка NEW ERA арт. 60222458 New York Yankees (серый / белый) {gra}</t>
  </si>
  <si>
    <t>60222458 New York Yankees</t>
  </si>
  <si>
    <t>gra</t>
  </si>
  <si>
    <t>96-037-12-00</t>
  </si>
  <si>
    <t>Бейсболка NEW ERA арт. 60222441 New York Yankees (зеленый / камуфляж) {wht}</t>
  </si>
  <si>
    <t>60222441 New York Yankees</t>
  </si>
  <si>
    <t>зеленый / камуфляж</t>
  </si>
  <si>
    <t>wht</t>
  </si>
  <si>
    <t>96-036-95-00</t>
  </si>
  <si>
    <t>Бейсболка NEW ERA арт. 60222436 Los Angeles Dodgers (синий / белый) {atb}</t>
  </si>
  <si>
    <t>60222436 Los Angeles Dodgers</t>
  </si>
  <si>
    <t>100% хлопок / сетка 100% полиэстер</t>
  </si>
  <si>
    <t>atb</t>
  </si>
  <si>
    <t>96-035-15-00</t>
  </si>
  <si>
    <t>Бейсболка NEW ERA арт. 60222426 Los Angeles Dodgers (рыжий / камуфляж) {tof}</t>
  </si>
  <si>
    <t>60222426 Los Angeles Dodgers</t>
  </si>
  <si>
    <t>рыжий / камуфляж</t>
  </si>
  <si>
    <t>96-034-65-00</t>
  </si>
  <si>
    <t>Бейсболка NEW ERA арт. 60222424 New York Yankees (темно-синий / белый) {whi}</t>
  </si>
  <si>
    <t>60222424 New York Yankees</t>
  </si>
  <si>
    <t>96-033-47-00</t>
  </si>
  <si>
    <t>Бейсболка NEW ERA арт. 60222423 Las Vegas Raiders (серый / черный) {sgr}</t>
  </si>
  <si>
    <t>60222423 Las Vegas Raiders</t>
  </si>
  <si>
    <t>NFL</t>
  </si>
  <si>
    <t>Las Vegas Raiders</t>
  </si>
  <si>
    <t>sgr</t>
  </si>
  <si>
    <t>96-032-13-00</t>
  </si>
  <si>
    <t>Бейсболка NEW ERA арт. 60222402 New York Yankees (рыжий / белый) {tof}</t>
  </si>
  <si>
    <t>60222402 New York Yankees</t>
  </si>
  <si>
    <t>96-031-75-00</t>
  </si>
  <si>
    <t>Бейсболка NEW ERA арт. 60222361 Boston Red Sox (черный / камуфляж) {nvymnc}</t>
  </si>
  <si>
    <t>60222361 Boston Red Sox</t>
  </si>
  <si>
    <t>nvymnc</t>
  </si>
  <si>
    <t>96-030-34-00</t>
  </si>
  <si>
    <t>Бейсболка NEW ERA арт. 60222360 New York Yankees (розовый / белый) {pnk}</t>
  </si>
  <si>
    <t>60222360 New York Yankees</t>
  </si>
  <si>
    <t>96-029-11-00</t>
  </si>
  <si>
    <t>Бейсболка NEW ERA арт. 60222329 New York Yankees (зеленый / белый) {ilg}</t>
  </si>
  <si>
    <t>60222329 New York Yankees</t>
  </si>
  <si>
    <t>ilg</t>
  </si>
  <si>
    <t>96-028-09-00</t>
  </si>
  <si>
    <t>Бейсболка NEW ERA арт. 60222308 New York Yankees (черный) {blk}</t>
  </si>
  <si>
    <t>60222308 New York Yankees</t>
  </si>
  <si>
    <t>96-027-06-00</t>
  </si>
  <si>
    <t>Бейсболка NEW ERA арт. 60222306 Los Angeles Dodgers (синий) {lry}</t>
  </si>
  <si>
    <t>60222306 Los Angeles Dodgers</t>
  </si>
  <si>
    <t>lry</t>
  </si>
  <si>
    <t>96-026-40-00</t>
  </si>
  <si>
    <t>Бейсболка NEW ERA арт. 60222284 Los Angeles Dodgers (черный / розовый) {brr}</t>
  </si>
  <si>
    <t>60222284 Los Angeles Dodgers</t>
  </si>
  <si>
    <t>brr</t>
  </si>
  <si>
    <t>96-025-16-00</t>
  </si>
  <si>
    <t>Бейсболка NEW ERA арт. 60222283 Boston Red Sox (темно-синий / рыжий) {tof}</t>
  </si>
  <si>
    <t>60222283 Boston Red Sox</t>
  </si>
  <si>
    <t>96-024-72-00</t>
  </si>
  <si>
    <t>Бейсболка NEW ERA арт. 60222271 Chicago Bulls (черный / красный) {fdr}</t>
  </si>
  <si>
    <t>60222271 Chicago Bulls</t>
  </si>
  <si>
    <t>fdr</t>
  </si>
  <si>
    <t>96-023-00-00</t>
  </si>
  <si>
    <t>Бейсболка NEW ERA арт. 60222240 New York Yankees (камуфляж / белый) {grh}</t>
  </si>
  <si>
    <t>60222240 New York Yankees</t>
  </si>
  <si>
    <t>grh</t>
  </si>
  <si>
    <t>96-022-09-00</t>
  </si>
  <si>
    <t>Бейсболка NEW ERA арт. 60222238 New York Yankees (черный / желтый) {rgd}</t>
  </si>
  <si>
    <t>60222238 New York Yankees</t>
  </si>
  <si>
    <t>96-021-13-00</t>
  </si>
  <si>
    <t>Бейсболка NEW ERA арт. 60222230 New York Yankees (рыжий / белый) {tof}</t>
  </si>
  <si>
    <t>60222230 New York Yankees</t>
  </si>
  <si>
    <t>BLKBLK</t>
  </si>
  <si>
    <t>WHI</t>
  </si>
  <si>
    <t>GRAPWHI</t>
  </si>
  <si>
    <t>BLKWHI</t>
  </si>
  <si>
    <t>GRAWHI</t>
  </si>
  <si>
    <t>NVYRIG</t>
  </si>
  <si>
    <t>WHT</t>
  </si>
  <si>
    <t>OTC</t>
  </si>
  <si>
    <t>BLU</t>
  </si>
  <si>
    <t>GRH</t>
  </si>
  <si>
    <t>NVYGRY</t>
  </si>
  <si>
    <t>HNV</t>
  </si>
  <si>
    <t>NAV</t>
  </si>
  <si>
    <t>BLK</t>
  </si>
  <si>
    <t>NOV</t>
  </si>
  <si>
    <t>LOSDOD</t>
  </si>
  <si>
    <t>NOL</t>
  </si>
  <si>
    <t>GRAWHT</t>
  </si>
  <si>
    <t>BURWHT</t>
  </si>
  <si>
    <t>PNK</t>
  </si>
  <si>
    <t>NVY</t>
  </si>
  <si>
    <t>MRN</t>
  </si>
  <si>
    <t>NVYSCA</t>
  </si>
  <si>
    <t>AGD</t>
  </si>
  <si>
    <t>GRHWHI</t>
  </si>
  <si>
    <t>MRNWHI</t>
  </si>
  <si>
    <t>CDT</t>
  </si>
  <si>
    <t>TRP</t>
  </si>
  <si>
    <t>FDR</t>
  </si>
  <si>
    <t>GRA</t>
  </si>
  <si>
    <t>ORG</t>
  </si>
  <si>
    <t>IND</t>
  </si>
  <si>
    <t>STN</t>
  </si>
  <si>
    <t>BLKFUR</t>
  </si>
  <si>
    <t>BLKTEL</t>
  </si>
  <si>
    <t>DRYWHI</t>
  </si>
  <si>
    <t>LTCKGR</t>
  </si>
  <si>
    <t>LNV</t>
  </si>
  <si>
    <t>CAB</t>
  </si>
  <si>
    <t>SCA</t>
  </si>
  <si>
    <t>GRABLK</t>
  </si>
  <si>
    <t>BLKSCA</t>
  </si>
  <si>
    <t>GRP</t>
  </si>
  <si>
    <t>ATB</t>
  </si>
  <si>
    <t>URC</t>
  </si>
  <si>
    <t>DKG</t>
  </si>
  <si>
    <t>CAR</t>
  </si>
  <si>
    <t>PLM</t>
  </si>
  <si>
    <t>SGR</t>
  </si>
  <si>
    <t>BSK</t>
  </si>
  <si>
    <t>IRF</t>
  </si>
  <si>
    <t>97% Хлопок - 3% Эластан</t>
  </si>
  <si>
    <t>100% Хлопок</t>
  </si>
  <si>
    <t>95% Полиэстер - 5% Эластан</t>
  </si>
  <si>
    <t>100% Акрил</t>
  </si>
  <si>
    <t>100% акрил</t>
  </si>
  <si>
    <t>10% хлопок - 10% шерсть - 25% нейлон - 55% акрил</t>
  </si>
  <si>
    <t>100% Полиэстер</t>
  </si>
  <si>
    <t>100%  полиэстер</t>
  </si>
  <si>
    <t>81% хлопок - 19% вискоза</t>
  </si>
  <si>
    <t>10702070/060921/0281005/1</t>
  </si>
  <si>
    <t>10013160/190522/3256520/1</t>
  </si>
  <si>
    <t>10702070/150721/0216063/3</t>
  </si>
  <si>
    <t>10013160/200422/3213662/1</t>
  </si>
  <si>
    <t>10702070/220720/0164196/3</t>
  </si>
  <si>
    <t>10702070/180820/0191959/1</t>
  </si>
  <si>
    <t>10013160/310821/0534183/1</t>
  </si>
  <si>
    <t>10013160/310821/0534183/3</t>
  </si>
  <si>
    <t>10013160/130921/0561488/2</t>
  </si>
  <si>
    <t>10702070/070421/0094616/1</t>
  </si>
  <si>
    <t>10702070/300322/3112884/1</t>
  </si>
  <si>
    <t>10216170/210820/0217228/2</t>
  </si>
  <si>
    <t>10702070/170820/0191945/1</t>
  </si>
  <si>
    <t>10013160/151121/0716257/16</t>
  </si>
  <si>
    <t>10702070/291121/3005284/1</t>
  </si>
  <si>
    <t>10702070/140521/0137129/2</t>
  </si>
  <si>
    <t>10013160/051121/0692639/3</t>
  </si>
  <si>
    <t>10013160/081220/0707623/1</t>
  </si>
  <si>
    <t>10216170/190521/0143312/1</t>
  </si>
  <si>
    <t>10216170/110222/3041742/1</t>
  </si>
  <si>
    <t>10013160/240921/0589703/3</t>
  </si>
  <si>
    <t>10013160/051021/0615618/1</t>
  </si>
  <si>
    <t>10702070/270721/0229785/3</t>
  </si>
  <si>
    <t>10013160/180821/0507560/1</t>
  </si>
  <si>
    <t>10013160/151121/0716257/17</t>
  </si>
  <si>
    <t>10013160/021221/3005264/1</t>
  </si>
  <si>
    <t>10013160/040522/3231169/16</t>
  </si>
  <si>
    <t>10216170/040522/3090058/2</t>
  </si>
  <si>
    <t>10216170/170322/3071306/2</t>
  </si>
  <si>
    <t>10013160/130422/3203188/5</t>
  </si>
  <si>
    <t>10013160/060522/3236120/1</t>
  </si>
  <si>
    <t>10013160/050522/3233670/16</t>
  </si>
  <si>
    <t>10013160/060522/3236120/3</t>
  </si>
  <si>
    <t>10216170/010322/3061554/1</t>
  </si>
  <si>
    <t>New York Giants</t>
  </si>
  <si>
    <t>Oakland Athletics</t>
  </si>
  <si>
    <t>Los Angeles Clippers</t>
  </si>
  <si>
    <t>Brooklyn Nets</t>
  </si>
  <si>
    <t>Miami Heat</t>
  </si>
  <si>
    <t>UEFA</t>
  </si>
  <si>
    <t>FA Ireland</t>
  </si>
  <si>
    <t>EPL</t>
  </si>
  <si>
    <t>Chelsea</t>
  </si>
  <si>
    <t>Manchester United</t>
  </si>
  <si>
    <t>темно-синий / зеленый</t>
  </si>
  <si>
    <t>зелёный</t>
  </si>
  <si>
    <t>бейсболка с сеточкой</t>
  </si>
  <si>
    <t>Шапка т помпоном</t>
  </si>
  <si>
    <t>бейсболка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</si>
</sst>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6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49" fontId="9" fillId="0" borderId="0" xfId="0" quotePrefix="1" applyNumberFormat="1" applyFont="1" applyFill="1" applyAlignment="1" applyProtection="1">
      <alignment horizontal="center" vertical="center" wrapText="1"/>
      <protection locked="0" hidden="1"/>
    </xf>
    <xf numFmtId="49" fontId="9" fillId="0" borderId="0" xfId="0" quotePrefix="1" applyNumberFormat="1" applyFont="1" applyAlignment="1" applyProtection="1">
      <alignment horizontal="center" vertical="center" wrapText="1"/>
      <protection locked="0" hidden="1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" fontId="11" fillId="17" borderId="26" xfId="39" applyNumberFormat="1" applyFont="1" applyFill="1" applyBorder="1" applyAlignment="1">
      <alignment horizontal="right" vertical="top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locked="0" hidden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G187"/>
  <sheetViews>
    <sheetView tabSelected="1" zoomScale="65" zoomScaleNormal="65" workbookViewId="0">
      <pane ySplit="1" topLeftCell="A3" activePane="bottomLeft" state="frozen"/>
      <selection pane="bottomLeft" activeCell="I3" sqref="I3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12" style="106" bestFit="1" customWidth="1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1"/>
    <col min="12" max="12" width="9" style="119"/>
    <col min="13" max="13" width="9" style="107"/>
    <col min="14" max="15" width="6.7109375" style="107" customWidth="1"/>
    <col min="16" max="16" width="11.28515625" style="107" customWidth="1"/>
    <col min="17" max="17" width="13.7109375" style="121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5"/>
    <col min="47" max="47" width="9" style="106"/>
    <col min="48" max="48" width="16.5703125" style="112" bestFit="1" customWidth="1"/>
    <col min="49" max="49" width="9.7109375" style="112" customWidth="1"/>
    <col min="50" max="50" width="9" style="116" customWidth="1"/>
    <col min="51" max="51" width="9.85546875" style="112" customWidth="1"/>
    <col min="52" max="53" width="10" style="112" customWidth="1"/>
    <col min="54" max="54" width="14" style="117" bestFit="1" customWidth="1"/>
    <col min="55" max="55" width="16.5703125" style="117" customWidth="1"/>
    <col min="56" max="56" width="9" style="105"/>
    <col min="57" max="57" width="9" style="122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3" t="s">
        <v>462</v>
      </c>
      <c r="C1" s="124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5" t="s">
        <v>479</v>
      </c>
      <c r="L1" s="126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4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64" t="s">
        <v>820</v>
      </c>
      <c r="AK1" s="164" t="s">
        <v>821</v>
      </c>
      <c r="AL1" s="164" t="s">
        <v>822</v>
      </c>
      <c r="AM1" s="164" t="s">
        <v>823</v>
      </c>
      <c r="AN1" s="164" t="s">
        <v>824</v>
      </c>
      <c r="AO1" s="164" t="s">
        <v>825</v>
      </c>
      <c r="AP1" s="164" t="s">
        <v>826</v>
      </c>
      <c r="AQ1" s="164" t="s">
        <v>827</v>
      </c>
      <c r="AR1" s="164" t="s">
        <v>550</v>
      </c>
      <c r="AS1" s="164" t="s">
        <v>549</v>
      </c>
      <c r="AT1" s="103" t="s">
        <v>467</v>
      </c>
      <c r="AU1" s="124" t="s">
        <v>497</v>
      </c>
      <c r="AV1" s="103" t="s">
        <v>468</v>
      </c>
      <c r="AW1" s="103" t="s">
        <v>469</v>
      </c>
      <c r="AX1" s="127" t="s">
        <v>498</v>
      </c>
      <c r="AY1" s="103" t="s">
        <v>470</v>
      </c>
      <c r="AZ1" s="103" t="s">
        <v>471</v>
      </c>
      <c r="BA1" s="103" t="s">
        <v>472</v>
      </c>
      <c r="BB1" s="128" t="s">
        <v>499</v>
      </c>
      <c r="BC1" s="128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29" t="str">
        <f t="shared" ref="A2:A135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0"/>
      <c r="D2" s="106" t="str">
        <f>IF(A2&lt;&gt;"",_xlfn.XLOOKUP(C2,'1C'!W:W,'1C'!X:X,"",0),"")</f>
        <v/>
      </c>
      <c r="E2" s="113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3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1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2"/>
      <c r="L2" s="133" t="str">
        <f>IF(K2&lt;&gt;"",IFERROR(VLOOKUP(A2,'1C'!A:X,8,0),IFERROR(VLOOKUP(K2,Colors!D:E,2,0),"")),"")</f>
        <v/>
      </c>
      <c r="M2" s="134" t="str">
        <f>IF(K2&lt;&gt;"",_xlfn.XLOOKUP(A2,'1C'!A:A,'1C'!R:R,"",0),"")</f>
        <v/>
      </c>
      <c r="N2" s="134" t="str">
        <f>_xlfn.LET(_xlpm.RES,IF($A2&lt;&gt;"",_xlfn.XLOOKUP($A2,'1C'!$A:$A,'1C'!S:S,"",0),""),IF(_xlpm.RES=0,"",_xlpm.RES))</f>
        <v/>
      </c>
      <c r="O2" s="134" t="str">
        <f>_xlfn.LET(_xlpm.RES,IF($A2&lt;&gt;"",_xlfn.XLOOKUP($A2,'1C'!$A:$A,'1C'!T:T,"",0),""),IF(_xlpm.RES=0,"",_xlpm.RES))</f>
        <v/>
      </c>
      <c r="P2" s="134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134" t="str">
        <f>IF(D2&lt;&gt;"",IFERROR(IF(VLOOKUP(D2,'1C'!D:D,1,0)&lt;&gt;"",1,0),""),"")</f>
        <v/>
      </c>
      <c r="S2" s="134" t="str">
        <f>_xlfn.LET(_xlpm.RES,IF(A2&lt;&gt;"",_xlfn.XLOOKUP(A2,'1C'!A:A,'1C'!N:N,_xlfn.XLOOKUP(C2,'1C'!W:W,'1C'!N:N,"",0),0),""),IF(_xlpm.RES=0,"",_xlpm.RES))</f>
        <v/>
      </c>
      <c r="T2" s="134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13" t="str">
        <f t="shared" ref="AT2:AT135" si="1">IF(COUNTBLANK(V2:AS2)&lt;24,SUM(V2:AS2),"")</f>
        <v/>
      </c>
      <c r="AU2" s="129" t="str">
        <f>IF(A2&lt;&gt;"",_xlfn.XLOOKUP(_xlfn.XLOOKUP(A2,'1C'!A:A,'1C'!O:O,_xlfn.XLOOKUP(C2,'1C'!W:W,'1C'!O:O,"",0),0),Settings!N:N,Settings!O:O,"",0),"")</f>
        <v/>
      </c>
      <c r="AV2" s="113" t="str">
        <f t="shared" ref="AV2:AV33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13" t="str">
        <f t="shared" ref="AW2:AW33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36">
        <f t="shared" ref="AX2:AX135" si="4">0.05+0.05</f>
        <v>0.1</v>
      </c>
      <c r="AY2" s="113">
        <f t="shared" ref="AY2:AY135" si="5">IF(AX2&lt;&gt;"",AX2*1.5,"Требуется нетто")</f>
        <v>0.15000000000000002</v>
      </c>
      <c r="AZ2" s="113" t="str">
        <f t="shared" ref="AZ2:AZ135" si="6">+IF(AX2&lt;&gt;"",IFERROR(AT2*AX2,"Требуются кол-во и нетто"),"Требуются кол-во и нетто")</f>
        <v>Требуются кол-во и нетто</v>
      </c>
      <c r="BA2" s="113" t="str">
        <f t="shared" ref="BA2:BA135" si="7">IF(AY2&lt;&gt;"",IFERROR(AT2*AY2,"Требуются кол-во и брутто"),"Требуются кол-во и брутто")</f>
        <v>Требуются кол-во и брутто</v>
      </c>
      <c r="BB2" s="137"/>
      <c r="BC2" s="137" t="str">
        <f t="shared" ref="BC2:BC135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135" si="9">IFERROR(IF(BE2,"-",IFERROR(IF(BD2&gt;0,0,1),"")),"")</f>
        <v/>
      </c>
      <c r="BG2" s="110"/>
    </row>
    <row r="3" spans="1:59" ht="98.1" customHeight="1">
      <c r="C3" s="142">
        <v>10145637</v>
      </c>
      <c r="F3" s="106" t="s">
        <v>327</v>
      </c>
      <c r="G3" s="113" t="s">
        <v>887</v>
      </c>
      <c r="I3" s="114"/>
      <c r="J3" s="106" t="s">
        <v>887</v>
      </c>
      <c r="K3" s="133" t="s">
        <v>1097</v>
      </c>
      <c r="L3" s="135" t="s">
        <v>53</v>
      </c>
      <c r="M3" s="134"/>
      <c r="N3" s="134" t="s">
        <v>1157</v>
      </c>
      <c r="O3" s="134" t="s">
        <v>911</v>
      </c>
      <c r="P3" s="134" t="s">
        <v>914</v>
      </c>
      <c r="Q3" s="135" t="s">
        <v>1148</v>
      </c>
      <c r="R3" s="134"/>
      <c r="S3" s="134"/>
      <c r="T3" s="107"/>
      <c r="U3" s="107" t="s">
        <v>382</v>
      </c>
      <c r="V3" s="107"/>
      <c r="Y3" s="107"/>
      <c r="AA3" s="107"/>
      <c r="AC3" s="107"/>
      <c r="AD3" s="106">
        <v>2</v>
      </c>
      <c r="AE3" s="107"/>
      <c r="AG3" s="107"/>
      <c r="AT3" s="113"/>
      <c r="AU3" s="129"/>
      <c r="AV3" s="113"/>
      <c r="AW3" s="113"/>
      <c r="BB3" s="117">
        <v>1489.65</v>
      </c>
      <c r="BE3" s="108"/>
      <c r="BF3" s="109"/>
    </row>
    <row r="4" spans="1:59" ht="98.1" customHeight="1">
      <c r="C4" s="142">
        <v>11179831</v>
      </c>
      <c r="F4" s="106" t="s">
        <v>327</v>
      </c>
      <c r="G4" s="113" t="s">
        <v>887</v>
      </c>
      <c r="J4" s="106" t="s">
        <v>887</v>
      </c>
      <c r="K4" s="118" t="s">
        <v>1098</v>
      </c>
      <c r="L4" s="119" t="s">
        <v>53</v>
      </c>
      <c r="M4" s="134"/>
      <c r="N4" s="134" t="s">
        <v>1158</v>
      </c>
      <c r="O4" s="134" t="s">
        <v>47</v>
      </c>
      <c r="P4" s="134" t="s">
        <v>47</v>
      </c>
      <c r="Q4" s="135" t="s">
        <v>1149</v>
      </c>
      <c r="R4" s="134"/>
      <c r="S4" s="134"/>
      <c r="T4" s="107"/>
      <c r="U4" s="107" t="s">
        <v>382</v>
      </c>
      <c r="V4" s="107">
        <v>20</v>
      </c>
      <c r="Y4" s="107"/>
      <c r="AA4" s="107"/>
      <c r="AC4" s="107"/>
      <c r="AE4" s="107"/>
      <c r="AG4" s="107"/>
      <c r="AT4" s="113"/>
      <c r="AU4" s="129"/>
      <c r="AV4" s="113"/>
      <c r="BB4" s="117">
        <v>1163.57</v>
      </c>
      <c r="BE4" s="108"/>
      <c r="BF4" s="109"/>
    </row>
    <row r="5" spans="1:59" ht="98.1" customHeight="1">
      <c r="C5" s="142">
        <v>11179834</v>
      </c>
      <c r="F5" s="106" t="s">
        <v>327</v>
      </c>
      <c r="G5" s="113" t="s">
        <v>887</v>
      </c>
      <c r="J5" s="106" t="s">
        <v>887</v>
      </c>
      <c r="K5" s="118" t="s">
        <v>1099</v>
      </c>
      <c r="L5" s="119" t="s">
        <v>83</v>
      </c>
      <c r="M5" s="134"/>
      <c r="N5" s="134" t="s">
        <v>1158</v>
      </c>
      <c r="O5" s="134" t="s">
        <v>47</v>
      </c>
      <c r="P5" s="134" t="s">
        <v>47</v>
      </c>
      <c r="Q5" s="135" t="s">
        <v>1149</v>
      </c>
      <c r="R5" s="134"/>
      <c r="S5" s="134"/>
      <c r="T5" s="107"/>
      <c r="U5" s="107" t="s">
        <v>382</v>
      </c>
      <c r="V5" s="107">
        <v>20</v>
      </c>
      <c r="Y5" s="107"/>
      <c r="AA5" s="107"/>
      <c r="AC5" s="107"/>
      <c r="AE5" s="107"/>
      <c r="AG5" s="107"/>
      <c r="AT5" s="113"/>
      <c r="AU5" s="129"/>
      <c r="AV5" s="113"/>
      <c r="BB5" s="117">
        <v>1163.57</v>
      </c>
      <c r="BE5" s="108"/>
      <c r="BF5" s="109"/>
    </row>
    <row r="6" spans="1:59" ht="98.1" customHeight="1">
      <c r="C6" s="143">
        <v>11179866</v>
      </c>
      <c r="F6" s="106" t="s">
        <v>327</v>
      </c>
      <c r="G6" s="113" t="s">
        <v>887</v>
      </c>
      <c r="J6" s="106" t="s">
        <v>887</v>
      </c>
      <c r="K6" s="119" t="s">
        <v>1100</v>
      </c>
      <c r="L6" s="119" t="s">
        <v>53</v>
      </c>
      <c r="M6" s="134"/>
      <c r="N6" s="134" t="s">
        <v>1158</v>
      </c>
      <c r="O6" s="134" t="s">
        <v>47</v>
      </c>
      <c r="P6" s="134" t="s">
        <v>47</v>
      </c>
      <c r="Q6" s="135" t="s">
        <v>1149</v>
      </c>
      <c r="R6" s="134"/>
      <c r="S6" s="134"/>
      <c r="T6" s="107"/>
      <c r="U6" s="107" t="s">
        <v>382</v>
      </c>
      <c r="V6" s="107">
        <v>20</v>
      </c>
      <c r="Y6" s="107"/>
      <c r="AA6" s="107"/>
      <c r="AC6" s="107"/>
      <c r="AE6" s="107"/>
      <c r="AG6" s="107"/>
      <c r="AT6" s="113"/>
      <c r="AU6" s="129"/>
      <c r="AV6" s="113"/>
      <c r="BB6" s="117">
        <v>1163.57</v>
      </c>
      <c r="BE6" s="108"/>
      <c r="BF6" s="109"/>
    </row>
    <row r="7" spans="1:59" ht="98.1" customHeight="1">
      <c r="C7" s="143">
        <v>11179873</v>
      </c>
      <c r="F7" s="106" t="s">
        <v>327</v>
      </c>
      <c r="G7" s="113" t="s">
        <v>887</v>
      </c>
      <c r="J7" s="106" t="s">
        <v>887</v>
      </c>
      <c r="K7" s="119" t="s">
        <v>1101</v>
      </c>
      <c r="L7" s="119" t="s">
        <v>83</v>
      </c>
      <c r="M7" s="134"/>
      <c r="N7" s="134" t="s">
        <v>1158</v>
      </c>
      <c r="O7" s="134" t="s">
        <v>47</v>
      </c>
      <c r="P7" s="134" t="s">
        <v>47</v>
      </c>
      <c r="Q7" s="135" t="s">
        <v>1150</v>
      </c>
      <c r="R7" s="134"/>
      <c r="S7" s="134"/>
      <c r="T7" s="107"/>
      <c r="U7" s="107" t="s">
        <v>382</v>
      </c>
      <c r="V7" s="107"/>
      <c r="Y7" s="107"/>
      <c r="Z7" s="106">
        <v>2</v>
      </c>
      <c r="AA7" s="107"/>
      <c r="AB7" s="106">
        <v>2</v>
      </c>
      <c r="AC7" s="107"/>
      <c r="AE7" s="107"/>
      <c r="AG7" s="107"/>
      <c r="AT7" s="113"/>
      <c r="AU7" s="129"/>
      <c r="AV7" s="113"/>
      <c r="BB7" s="117">
        <v>1117.1199999999999</v>
      </c>
      <c r="BE7" s="108"/>
      <c r="BF7" s="109"/>
    </row>
    <row r="8" spans="1:59" ht="98.1" customHeight="1">
      <c r="C8" s="143">
        <v>11277642</v>
      </c>
      <c r="F8" s="106" t="s">
        <v>342</v>
      </c>
      <c r="G8" s="113" t="s">
        <v>887</v>
      </c>
      <c r="J8" s="106" t="s">
        <v>887</v>
      </c>
      <c r="K8" s="119" t="s">
        <v>1102</v>
      </c>
      <c r="L8" s="119" t="s">
        <v>1201</v>
      </c>
      <c r="M8" s="134"/>
      <c r="N8" s="134" t="s">
        <v>1159</v>
      </c>
      <c r="O8" s="134" t="s">
        <v>47</v>
      </c>
      <c r="P8" s="134" t="s">
        <v>47</v>
      </c>
      <c r="Q8" s="135" t="s">
        <v>1151</v>
      </c>
      <c r="R8" s="134"/>
      <c r="S8" s="134"/>
      <c r="T8" s="107"/>
      <c r="U8" s="107" t="s">
        <v>382</v>
      </c>
      <c r="V8" s="107">
        <v>6</v>
      </c>
      <c r="Y8" s="107"/>
      <c r="AA8" s="107"/>
      <c r="AC8" s="107"/>
      <c r="AE8" s="107"/>
      <c r="AG8" s="107"/>
      <c r="AT8" s="113"/>
      <c r="AU8" s="129"/>
      <c r="AV8" s="113"/>
      <c r="BB8" s="117">
        <v>465.2</v>
      </c>
      <c r="BE8" s="108"/>
      <c r="BF8" s="109"/>
    </row>
    <row r="9" spans="1:59" ht="98.1" customHeight="1">
      <c r="C9" s="143">
        <v>11379840</v>
      </c>
      <c r="F9" s="106" t="s">
        <v>327</v>
      </c>
      <c r="G9" s="113" t="s">
        <v>887</v>
      </c>
      <c r="J9" s="106" t="s">
        <v>887</v>
      </c>
      <c r="K9" s="119" t="s">
        <v>1103</v>
      </c>
      <c r="L9" s="119" t="s">
        <v>57</v>
      </c>
      <c r="M9" s="134"/>
      <c r="N9" s="134" t="s">
        <v>1160</v>
      </c>
      <c r="O9" s="134" t="s">
        <v>911</v>
      </c>
      <c r="P9" s="134" t="s">
        <v>912</v>
      </c>
      <c r="Q9" s="135" t="s">
        <v>910</v>
      </c>
      <c r="R9" s="134"/>
      <c r="S9" s="134"/>
      <c r="T9" s="107"/>
      <c r="U9" s="107" t="s">
        <v>382</v>
      </c>
      <c r="V9" s="107">
        <v>6</v>
      </c>
      <c r="Y9" s="107"/>
      <c r="AA9" s="107"/>
      <c r="AC9" s="107"/>
      <c r="AE9" s="107"/>
      <c r="AG9" s="107"/>
      <c r="AT9" s="113"/>
      <c r="AU9" s="129"/>
      <c r="AV9" s="113"/>
      <c r="BB9" s="117">
        <v>750.95</v>
      </c>
      <c r="BE9" s="108"/>
      <c r="BF9" s="109"/>
    </row>
    <row r="10" spans="1:59" ht="98.1" customHeight="1">
      <c r="C10" s="143">
        <v>11448329</v>
      </c>
      <c r="F10" s="106" t="s">
        <v>342</v>
      </c>
      <c r="G10" s="113" t="s">
        <v>887</v>
      </c>
      <c r="J10" s="106" t="s">
        <v>887</v>
      </c>
      <c r="K10" s="119" t="s">
        <v>1104</v>
      </c>
      <c r="L10" s="119" t="s">
        <v>246</v>
      </c>
      <c r="M10" s="134"/>
      <c r="N10" s="134" t="s">
        <v>1161</v>
      </c>
      <c r="O10" s="134" t="s">
        <v>911</v>
      </c>
      <c r="P10" s="134" t="s">
        <v>914</v>
      </c>
      <c r="Q10" s="135" t="s">
        <v>1152</v>
      </c>
      <c r="R10" s="134"/>
      <c r="S10" s="134"/>
      <c r="T10" s="107"/>
      <c r="U10" s="107" t="s">
        <v>382</v>
      </c>
      <c r="V10" s="107">
        <v>4</v>
      </c>
      <c r="Y10" s="107"/>
      <c r="AA10" s="107"/>
      <c r="AC10" s="107"/>
      <c r="AE10" s="107"/>
      <c r="AG10" s="107"/>
      <c r="AT10" s="113"/>
      <c r="AU10" s="129"/>
      <c r="AV10" s="113"/>
      <c r="BB10" s="117">
        <v>756.12</v>
      </c>
      <c r="BE10" s="108"/>
      <c r="BF10" s="109"/>
    </row>
    <row r="11" spans="1:59" ht="98.1" customHeight="1">
      <c r="C11" s="143">
        <v>11448330</v>
      </c>
      <c r="F11" s="106" t="s">
        <v>342</v>
      </c>
      <c r="G11" s="113" t="s">
        <v>887</v>
      </c>
      <c r="J11" s="106" t="s">
        <v>887</v>
      </c>
      <c r="K11" s="119" t="s">
        <v>1104</v>
      </c>
      <c r="L11" s="119" t="s">
        <v>746</v>
      </c>
      <c r="M11" s="134"/>
      <c r="N11" s="134" t="s">
        <v>1161</v>
      </c>
      <c r="O11" s="134" t="s">
        <v>911</v>
      </c>
      <c r="P11" s="134" t="s">
        <v>912</v>
      </c>
      <c r="Q11" s="135" t="s">
        <v>1152</v>
      </c>
      <c r="R11" s="134"/>
      <c r="S11" s="134"/>
      <c r="T11" s="107"/>
      <c r="U11" s="107" t="s">
        <v>382</v>
      </c>
      <c r="V11" s="107">
        <v>4</v>
      </c>
      <c r="Y11" s="107"/>
      <c r="AA11" s="107"/>
      <c r="AC11" s="107"/>
      <c r="AE11" s="107"/>
      <c r="AG11" s="107"/>
      <c r="AT11" s="113"/>
      <c r="AU11" s="129"/>
      <c r="AV11" s="113"/>
      <c r="BB11" s="117">
        <v>756.12</v>
      </c>
      <c r="BE11" s="108"/>
      <c r="BF11" s="109"/>
    </row>
    <row r="12" spans="1:59" ht="98.1" customHeight="1">
      <c r="C12" s="143">
        <v>11448333</v>
      </c>
      <c r="F12" s="106" t="s">
        <v>340</v>
      </c>
      <c r="G12" s="113" t="s">
        <v>887</v>
      </c>
      <c r="J12" s="106" t="s">
        <v>887</v>
      </c>
      <c r="K12" s="119" t="s">
        <v>1105</v>
      </c>
      <c r="L12" s="119" t="s">
        <v>55</v>
      </c>
      <c r="M12" s="134"/>
      <c r="N12" s="134" t="s">
        <v>1161</v>
      </c>
      <c r="O12" s="134" t="s">
        <v>1052</v>
      </c>
      <c r="P12" s="134" t="s">
        <v>1191</v>
      </c>
      <c r="Q12" s="135" t="s">
        <v>1152</v>
      </c>
      <c r="R12" s="134"/>
      <c r="S12" s="134"/>
      <c r="T12" s="107"/>
      <c r="U12" s="107" t="s">
        <v>382</v>
      </c>
      <c r="V12" s="107">
        <v>3</v>
      </c>
      <c r="Y12" s="107"/>
      <c r="AA12" s="107"/>
      <c r="AC12" s="107"/>
      <c r="AE12" s="107"/>
      <c r="AG12" s="107"/>
      <c r="AT12" s="113"/>
      <c r="AU12" s="129"/>
      <c r="AV12" s="113"/>
      <c r="BB12" s="117">
        <v>581.5</v>
      </c>
      <c r="BE12" s="108"/>
      <c r="BF12" s="109"/>
    </row>
    <row r="13" spans="1:59" ht="98.1" customHeight="1">
      <c r="C13" s="143">
        <v>11600974</v>
      </c>
      <c r="F13" s="106" t="s">
        <v>342</v>
      </c>
      <c r="G13" s="113" t="s">
        <v>887</v>
      </c>
      <c r="J13" s="106" t="s">
        <v>887</v>
      </c>
      <c r="K13" s="119" t="s">
        <v>1106</v>
      </c>
      <c r="L13" s="119" t="s">
        <v>83</v>
      </c>
      <c r="M13" s="134"/>
      <c r="N13" s="134" t="s">
        <v>1159</v>
      </c>
      <c r="O13" s="134" t="s">
        <v>47</v>
      </c>
      <c r="P13" s="134" t="s">
        <v>47</v>
      </c>
      <c r="Q13" s="135" t="s">
        <v>1151</v>
      </c>
      <c r="R13" s="134"/>
      <c r="S13" s="134"/>
      <c r="T13" s="107"/>
      <c r="U13" s="107" t="s">
        <v>382</v>
      </c>
      <c r="V13" s="107">
        <v>9</v>
      </c>
      <c r="Y13" s="107"/>
      <c r="AA13" s="107"/>
      <c r="AC13" s="107"/>
      <c r="AE13" s="107"/>
      <c r="AG13" s="107"/>
      <c r="AT13" s="113"/>
      <c r="AU13" s="129"/>
      <c r="AV13" s="113"/>
      <c r="BB13" s="117">
        <v>465.2</v>
      </c>
      <c r="BE13" s="108"/>
      <c r="BF13" s="109"/>
    </row>
    <row r="14" spans="1:59" ht="98.1" customHeight="1">
      <c r="C14" s="143">
        <v>11601006</v>
      </c>
      <c r="F14" s="106" t="s">
        <v>342</v>
      </c>
      <c r="G14" s="113" t="s">
        <v>887</v>
      </c>
      <c r="J14" s="106" t="s">
        <v>887</v>
      </c>
      <c r="K14" s="119" t="s">
        <v>1107</v>
      </c>
      <c r="L14" s="119" t="s">
        <v>678</v>
      </c>
      <c r="M14" s="134"/>
      <c r="N14" s="134" t="s">
        <v>1159</v>
      </c>
      <c r="O14" s="134" t="s">
        <v>47</v>
      </c>
      <c r="P14" s="134" t="s">
        <v>47</v>
      </c>
      <c r="Q14" s="135" t="s">
        <v>1152</v>
      </c>
      <c r="R14" s="134"/>
      <c r="S14" s="134"/>
      <c r="T14" s="107"/>
      <c r="U14" s="107" t="s">
        <v>382</v>
      </c>
      <c r="V14" s="107">
        <v>7</v>
      </c>
      <c r="Y14" s="107"/>
      <c r="AA14" s="107"/>
      <c r="AC14" s="107"/>
      <c r="AE14" s="107"/>
      <c r="AG14" s="107"/>
      <c r="AT14" s="113"/>
      <c r="AU14" s="129"/>
      <c r="AV14" s="113"/>
      <c r="BB14" s="117">
        <v>465.2</v>
      </c>
      <c r="BE14" s="108"/>
      <c r="BF14" s="109"/>
    </row>
    <row r="15" spans="1:59" ht="98.1" customHeight="1">
      <c r="C15" s="143">
        <v>11601067</v>
      </c>
      <c r="F15" s="106" t="s">
        <v>342</v>
      </c>
      <c r="G15" s="113" t="s">
        <v>887</v>
      </c>
      <c r="J15" s="106" t="s">
        <v>887</v>
      </c>
      <c r="K15" s="119" t="s">
        <v>1108</v>
      </c>
      <c r="L15" s="119" t="s">
        <v>71</v>
      </c>
      <c r="M15" s="134"/>
      <c r="N15" s="134" t="s">
        <v>1162</v>
      </c>
      <c r="O15" s="134" t="s">
        <v>47</v>
      </c>
      <c r="P15" s="134" t="s">
        <v>47</v>
      </c>
      <c r="Q15" s="135" t="s">
        <v>1151</v>
      </c>
      <c r="R15" s="134"/>
      <c r="S15" s="134"/>
      <c r="T15" s="107"/>
      <c r="U15" s="107" t="s">
        <v>382</v>
      </c>
      <c r="V15" s="107">
        <v>7</v>
      </c>
      <c r="Y15" s="107"/>
      <c r="AA15" s="107"/>
      <c r="AC15" s="107"/>
      <c r="AE15" s="107"/>
      <c r="AG15" s="107"/>
      <c r="AT15" s="113"/>
      <c r="AU15" s="129"/>
      <c r="AV15" s="113"/>
      <c r="BB15" s="117">
        <v>465.2</v>
      </c>
      <c r="BE15" s="108"/>
      <c r="BF15" s="109"/>
    </row>
    <row r="16" spans="1:59" ht="98.1" customHeight="1">
      <c r="C16" s="143">
        <v>12033074</v>
      </c>
      <c r="F16" s="106" t="s">
        <v>340</v>
      </c>
      <c r="G16" s="113" t="s">
        <v>887</v>
      </c>
      <c r="J16" s="106" t="s">
        <v>887</v>
      </c>
      <c r="K16" s="119" t="s">
        <v>1109</v>
      </c>
      <c r="L16" s="119" t="s">
        <v>55</v>
      </c>
      <c r="M16" s="134"/>
      <c r="N16" s="134" t="s">
        <v>1163</v>
      </c>
      <c r="O16" s="134" t="s">
        <v>47</v>
      </c>
      <c r="P16" s="134" t="s">
        <v>47</v>
      </c>
      <c r="Q16" s="135" t="s">
        <v>1152</v>
      </c>
      <c r="R16" s="134"/>
      <c r="S16" s="134"/>
      <c r="T16" s="107"/>
      <c r="U16" s="107" t="s">
        <v>382</v>
      </c>
      <c r="V16" s="107">
        <v>20</v>
      </c>
      <c r="Y16" s="107"/>
      <c r="AA16" s="107"/>
      <c r="AC16" s="107"/>
      <c r="AE16" s="107"/>
      <c r="AG16" s="107"/>
      <c r="AT16" s="113"/>
      <c r="AU16" s="129"/>
      <c r="AV16" s="113"/>
      <c r="BB16" s="117">
        <v>744.59</v>
      </c>
      <c r="BE16" s="108"/>
      <c r="BF16" s="109"/>
    </row>
    <row r="17" spans="3:58" ht="98.1" customHeight="1">
      <c r="C17" s="143">
        <v>12033078</v>
      </c>
      <c r="F17" s="106" t="s">
        <v>340</v>
      </c>
      <c r="G17" s="113" t="s">
        <v>887</v>
      </c>
      <c r="J17" s="106" t="s">
        <v>887</v>
      </c>
      <c r="K17" s="119" t="s">
        <v>1110</v>
      </c>
      <c r="L17" s="119" t="s">
        <v>53</v>
      </c>
      <c r="M17" s="134"/>
      <c r="N17" s="134" t="s">
        <v>1163</v>
      </c>
      <c r="O17" s="134" t="s">
        <v>47</v>
      </c>
      <c r="P17" s="134" t="s">
        <v>47</v>
      </c>
      <c r="Q17" s="135" t="s">
        <v>1152</v>
      </c>
      <c r="R17" s="134"/>
      <c r="S17" s="134"/>
      <c r="T17" s="107"/>
      <c r="U17" s="107" t="s">
        <v>382</v>
      </c>
      <c r="V17" s="107">
        <v>30</v>
      </c>
      <c r="Y17" s="107"/>
      <c r="AA17" s="107"/>
      <c r="AC17" s="107"/>
      <c r="AE17" s="107"/>
      <c r="AG17" s="107"/>
      <c r="AT17" s="113"/>
      <c r="AU17" s="129"/>
      <c r="AV17" s="113"/>
      <c r="BB17" s="117">
        <v>744.59</v>
      </c>
      <c r="BE17" s="108"/>
      <c r="BF17" s="109"/>
    </row>
    <row r="18" spans="3:58" ht="98.1" customHeight="1">
      <c r="C18" s="143">
        <v>12033099</v>
      </c>
      <c r="F18" s="106" t="s">
        <v>340</v>
      </c>
      <c r="G18" s="113" t="s">
        <v>887</v>
      </c>
      <c r="J18" s="106" t="s">
        <v>887</v>
      </c>
      <c r="K18" s="119" t="s">
        <v>1111</v>
      </c>
      <c r="L18" s="119" t="s">
        <v>195</v>
      </c>
      <c r="M18" s="134"/>
      <c r="N18" s="134" t="s">
        <v>1162</v>
      </c>
      <c r="O18" s="134" t="s">
        <v>47</v>
      </c>
      <c r="P18" s="134" t="s">
        <v>47</v>
      </c>
      <c r="Q18" s="135" t="s">
        <v>1152</v>
      </c>
      <c r="R18" s="134"/>
      <c r="S18" s="134"/>
      <c r="T18" s="107"/>
      <c r="U18" s="107" t="s">
        <v>382</v>
      </c>
      <c r="V18" s="107">
        <v>2</v>
      </c>
      <c r="Y18" s="107"/>
      <c r="AA18" s="107"/>
      <c r="AC18" s="107"/>
      <c r="AE18" s="107"/>
      <c r="AG18" s="107"/>
      <c r="AT18" s="113"/>
      <c r="AU18" s="129"/>
      <c r="AV18" s="113"/>
      <c r="BB18" s="117">
        <v>581.5</v>
      </c>
      <c r="BE18" s="108"/>
      <c r="BF18" s="109"/>
    </row>
    <row r="19" spans="3:58" ht="98.1" customHeight="1">
      <c r="C19" s="143">
        <v>12033103</v>
      </c>
      <c r="F19" s="106" t="s">
        <v>340</v>
      </c>
      <c r="G19" s="113" t="s">
        <v>887</v>
      </c>
      <c r="J19" s="106" t="s">
        <v>887</v>
      </c>
      <c r="K19" s="119" t="s">
        <v>1110</v>
      </c>
      <c r="L19" s="119" t="s">
        <v>53</v>
      </c>
      <c r="M19" s="134"/>
      <c r="N19" s="134" t="s">
        <v>1161</v>
      </c>
      <c r="O19" s="134" t="s">
        <v>47</v>
      </c>
      <c r="P19" s="134" t="s">
        <v>47</v>
      </c>
      <c r="Q19" s="135" t="s">
        <v>1152</v>
      </c>
      <c r="R19" s="134"/>
      <c r="S19" s="134"/>
      <c r="T19" s="107"/>
      <c r="U19" s="107" t="s">
        <v>382</v>
      </c>
      <c r="V19" s="107">
        <v>4</v>
      </c>
      <c r="Y19" s="107"/>
      <c r="AA19" s="107"/>
      <c r="AC19" s="107"/>
      <c r="AE19" s="107"/>
      <c r="AG19" s="107"/>
      <c r="AT19" s="113"/>
      <c r="AU19" s="129"/>
      <c r="AV19" s="113"/>
      <c r="BB19" s="117">
        <v>581.5</v>
      </c>
      <c r="BE19" s="108"/>
      <c r="BF19" s="109"/>
    </row>
    <row r="20" spans="3:58" ht="98.1" customHeight="1">
      <c r="C20" s="143">
        <v>12033128</v>
      </c>
      <c r="F20" s="106" t="s">
        <v>340</v>
      </c>
      <c r="G20" s="113" t="s">
        <v>887</v>
      </c>
      <c r="J20" s="106" t="s">
        <v>887</v>
      </c>
      <c r="K20" s="119" t="s">
        <v>1110</v>
      </c>
      <c r="L20" s="119" t="s">
        <v>53</v>
      </c>
      <c r="M20" s="134"/>
      <c r="N20" s="134" t="s">
        <v>1164</v>
      </c>
      <c r="O20" s="134" t="s">
        <v>47</v>
      </c>
      <c r="P20" s="134" t="s">
        <v>47</v>
      </c>
      <c r="Q20" s="135" t="s">
        <v>1152</v>
      </c>
      <c r="R20" s="134"/>
      <c r="S20" s="134"/>
      <c r="T20" s="107"/>
      <c r="U20" s="107" t="s">
        <v>382</v>
      </c>
      <c r="V20" s="107">
        <v>5</v>
      </c>
      <c r="Y20" s="107"/>
      <c r="AA20" s="107"/>
      <c r="AC20" s="107"/>
      <c r="AE20" s="107"/>
      <c r="AG20" s="107"/>
      <c r="AT20" s="113"/>
      <c r="AU20" s="129"/>
      <c r="AV20" s="113"/>
      <c r="BB20" s="117">
        <v>750.95</v>
      </c>
      <c r="BE20" s="108"/>
      <c r="BF20" s="109"/>
    </row>
    <row r="21" spans="3:58" ht="98.1" customHeight="1">
      <c r="C21" s="143">
        <v>12033266</v>
      </c>
      <c r="F21" s="106" t="s">
        <v>340</v>
      </c>
      <c r="G21" s="113" t="s">
        <v>887</v>
      </c>
      <c r="J21" s="106" t="s">
        <v>887</v>
      </c>
      <c r="K21" s="119" t="s">
        <v>1112</v>
      </c>
      <c r="L21" s="119" t="s">
        <v>71</v>
      </c>
      <c r="M21" s="134"/>
      <c r="N21" s="134" t="s">
        <v>1161</v>
      </c>
      <c r="O21" s="134" t="s">
        <v>911</v>
      </c>
      <c r="P21" s="134" t="s">
        <v>912</v>
      </c>
      <c r="Q21" s="135" t="s">
        <v>1152</v>
      </c>
      <c r="R21" s="134"/>
      <c r="S21" s="134"/>
      <c r="T21" s="107"/>
      <c r="U21" s="107" t="s">
        <v>382</v>
      </c>
      <c r="V21" s="107">
        <v>2</v>
      </c>
      <c r="Y21" s="107"/>
      <c r="AA21" s="107"/>
      <c r="AC21" s="107"/>
      <c r="AE21" s="107"/>
      <c r="AG21" s="107"/>
      <c r="AT21" s="113"/>
      <c r="AU21" s="129"/>
      <c r="AV21" s="113"/>
      <c r="BB21" s="117">
        <v>581.5</v>
      </c>
      <c r="BE21" s="108"/>
      <c r="BF21" s="109"/>
    </row>
    <row r="22" spans="3:58" ht="98.1" customHeight="1">
      <c r="C22" s="143">
        <v>12122729</v>
      </c>
      <c r="F22" s="106" t="s">
        <v>340</v>
      </c>
      <c r="G22" s="113" t="s">
        <v>887</v>
      </c>
      <c r="J22" s="106" t="s">
        <v>887</v>
      </c>
      <c r="K22" s="119" t="s">
        <v>1097</v>
      </c>
      <c r="L22" s="119" t="s">
        <v>53</v>
      </c>
      <c r="M22" s="134"/>
      <c r="N22" s="134" t="s">
        <v>1165</v>
      </c>
      <c r="O22" s="134" t="s">
        <v>911</v>
      </c>
      <c r="P22" s="134" t="s">
        <v>914</v>
      </c>
      <c r="Q22" s="135" t="s">
        <v>1152</v>
      </c>
      <c r="R22" s="134"/>
      <c r="S22" s="134"/>
      <c r="T22" s="107"/>
      <c r="U22" s="107" t="s">
        <v>382</v>
      </c>
      <c r="V22" s="107">
        <v>11</v>
      </c>
      <c r="Y22" s="107"/>
      <c r="AA22" s="107"/>
      <c r="AC22" s="107"/>
      <c r="AE22" s="107"/>
      <c r="AG22" s="107"/>
      <c r="AT22" s="113"/>
      <c r="AU22" s="129"/>
      <c r="AV22" s="113"/>
      <c r="BB22" s="117">
        <v>1396.52</v>
      </c>
      <c r="BE22" s="108"/>
      <c r="BF22" s="109"/>
    </row>
    <row r="23" spans="3:58" ht="98.1" customHeight="1">
      <c r="C23" s="143">
        <v>12156075</v>
      </c>
      <c r="F23" s="106" t="s">
        <v>340</v>
      </c>
      <c r="G23" s="113" t="s">
        <v>887</v>
      </c>
      <c r="J23" s="106" t="s">
        <v>887</v>
      </c>
      <c r="K23" s="119" t="s">
        <v>1104</v>
      </c>
      <c r="L23" s="119" t="s">
        <v>53</v>
      </c>
      <c r="M23" s="134"/>
      <c r="N23" s="134" t="s">
        <v>1165</v>
      </c>
      <c r="O23" s="134" t="s">
        <v>988</v>
      </c>
      <c r="P23" s="134" t="s">
        <v>989</v>
      </c>
      <c r="Q23" s="135" t="s">
        <v>1152</v>
      </c>
      <c r="R23" s="134"/>
      <c r="S23" s="134"/>
      <c r="T23" s="107"/>
      <c r="U23" s="107" t="s">
        <v>382</v>
      </c>
      <c r="V23" s="107">
        <v>7</v>
      </c>
      <c r="Y23" s="107"/>
      <c r="AA23" s="107"/>
      <c r="AC23" s="107"/>
      <c r="AE23" s="107"/>
      <c r="AG23" s="107"/>
      <c r="AT23" s="113"/>
      <c r="AU23" s="129"/>
      <c r="AV23" s="113"/>
      <c r="BB23" s="117">
        <v>1396.52</v>
      </c>
      <c r="BE23" s="108"/>
      <c r="BF23" s="109"/>
    </row>
    <row r="24" spans="3:58" ht="98.1" customHeight="1">
      <c r="C24" s="143">
        <v>12162668</v>
      </c>
      <c r="F24" s="106" t="s">
        <v>1203</v>
      </c>
      <c r="G24" s="113" t="s">
        <v>887</v>
      </c>
      <c r="J24" s="106" t="s">
        <v>887</v>
      </c>
      <c r="K24" s="119" t="s">
        <v>1110</v>
      </c>
      <c r="L24" s="119" t="s">
        <v>53</v>
      </c>
      <c r="M24" s="134"/>
      <c r="N24" s="134" t="s">
        <v>1166</v>
      </c>
      <c r="O24" s="134" t="s">
        <v>47</v>
      </c>
      <c r="P24" s="134" t="s">
        <v>47</v>
      </c>
      <c r="Q24" s="135" t="s">
        <v>910</v>
      </c>
      <c r="R24" s="134"/>
      <c r="S24" s="134"/>
      <c r="T24" s="107"/>
      <c r="U24" s="107" t="s">
        <v>382</v>
      </c>
      <c r="V24" s="107">
        <v>3</v>
      </c>
      <c r="Y24" s="107"/>
      <c r="AA24" s="107"/>
      <c r="AC24" s="107"/>
      <c r="AE24" s="107"/>
      <c r="AG24" s="107"/>
      <c r="AT24" s="113"/>
      <c r="AU24" s="129"/>
      <c r="AV24" s="113"/>
      <c r="BB24" s="117">
        <v>791.16</v>
      </c>
      <c r="BE24" s="108"/>
      <c r="BF24" s="109"/>
    </row>
    <row r="25" spans="3:58" ht="98.1" customHeight="1">
      <c r="C25" s="143">
        <v>12285245</v>
      </c>
      <c r="F25" s="106" t="s">
        <v>327</v>
      </c>
      <c r="G25" s="113" t="s">
        <v>887</v>
      </c>
      <c r="J25" s="106" t="s">
        <v>887</v>
      </c>
      <c r="K25" s="119" t="s">
        <v>1110</v>
      </c>
      <c r="L25" s="119" t="s">
        <v>53</v>
      </c>
      <c r="M25" s="134"/>
      <c r="N25" s="134" t="s">
        <v>1167</v>
      </c>
      <c r="O25" s="134" t="s">
        <v>988</v>
      </c>
      <c r="P25" s="134" t="s">
        <v>989</v>
      </c>
      <c r="Q25" s="135" t="s">
        <v>1148</v>
      </c>
      <c r="R25" s="134"/>
      <c r="S25" s="134"/>
      <c r="T25" s="107"/>
      <c r="U25" s="107" t="s">
        <v>382</v>
      </c>
      <c r="V25" s="107"/>
      <c r="Y25" s="107"/>
      <c r="Z25" s="106">
        <v>4</v>
      </c>
      <c r="AA25" s="107"/>
      <c r="AC25" s="107"/>
      <c r="AE25" s="107"/>
      <c r="AG25" s="107"/>
      <c r="AT25" s="113"/>
      <c r="AU25" s="129"/>
      <c r="AV25" s="113"/>
      <c r="BB25" s="117">
        <v>1769.05</v>
      </c>
      <c r="BE25" s="108"/>
      <c r="BF25" s="109"/>
    </row>
    <row r="26" spans="3:58" ht="98.1" customHeight="1">
      <c r="C26" s="143">
        <v>12292584</v>
      </c>
      <c r="F26" s="106" t="s">
        <v>327</v>
      </c>
      <c r="G26" s="113" t="s">
        <v>887</v>
      </c>
      <c r="J26" s="106" t="s">
        <v>887</v>
      </c>
      <c r="K26" s="119" t="s">
        <v>1110</v>
      </c>
      <c r="L26" s="119" t="s">
        <v>53</v>
      </c>
      <c r="M26" s="134"/>
      <c r="N26" s="134" t="s">
        <v>1158</v>
      </c>
      <c r="O26" s="134" t="s">
        <v>988</v>
      </c>
      <c r="P26" s="134" t="s">
        <v>994</v>
      </c>
      <c r="Q26" s="135" t="s">
        <v>910</v>
      </c>
      <c r="R26" s="134"/>
      <c r="S26" s="134"/>
      <c r="T26" s="107"/>
      <c r="U26" s="107" t="s">
        <v>382</v>
      </c>
      <c r="V26" s="107">
        <v>13</v>
      </c>
      <c r="Y26" s="107"/>
      <c r="AA26" s="107"/>
      <c r="AC26" s="107"/>
      <c r="AE26" s="107"/>
      <c r="AG26" s="107"/>
      <c r="AT26" s="113"/>
      <c r="AU26" s="129"/>
      <c r="AV26" s="113"/>
      <c r="BB26" s="117">
        <v>1210.25</v>
      </c>
      <c r="BE26" s="108"/>
      <c r="BF26" s="109"/>
    </row>
    <row r="27" spans="3:58" ht="98.1" customHeight="1">
      <c r="C27" s="143">
        <v>12292586</v>
      </c>
      <c r="F27" s="106" t="s">
        <v>327</v>
      </c>
      <c r="G27" s="113" t="s">
        <v>887</v>
      </c>
      <c r="J27" s="106" t="s">
        <v>887</v>
      </c>
      <c r="K27" s="119" t="s">
        <v>1110</v>
      </c>
      <c r="L27" s="119" t="s">
        <v>53</v>
      </c>
      <c r="M27" s="134"/>
      <c r="N27" s="134" t="s">
        <v>1158</v>
      </c>
      <c r="O27" s="134" t="s">
        <v>988</v>
      </c>
      <c r="P27" s="134" t="s">
        <v>989</v>
      </c>
      <c r="Q27" s="135" t="s">
        <v>910</v>
      </c>
      <c r="R27" s="134"/>
      <c r="S27" s="134"/>
      <c r="T27" s="107"/>
      <c r="U27" s="107" t="s">
        <v>382</v>
      </c>
      <c r="V27" s="107">
        <v>11</v>
      </c>
      <c r="Y27" s="107"/>
      <c r="AA27" s="107"/>
      <c r="AC27" s="107"/>
      <c r="AE27" s="107"/>
      <c r="AG27" s="107"/>
      <c r="AT27" s="113"/>
      <c r="AU27" s="129"/>
      <c r="AV27" s="113"/>
      <c r="BB27" s="117">
        <v>1210.25</v>
      </c>
      <c r="BE27" s="108"/>
      <c r="BF27" s="109"/>
    </row>
    <row r="28" spans="3:58" ht="98.1" customHeight="1">
      <c r="C28" s="143">
        <v>12309046</v>
      </c>
      <c r="F28" s="106" t="s">
        <v>1203</v>
      </c>
      <c r="G28" s="113" t="s">
        <v>887</v>
      </c>
      <c r="J28" s="106" t="s">
        <v>887</v>
      </c>
      <c r="K28" s="119" t="s">
        <v>1113</v>
      </c>
      <c r="L28" s="119" t="s">
        <v>158</v>
      </c>
      <c r="M28" s="134"/>
      <c r="N28" s="134" t="s">
        <v>1166</v>
      </c>
      <c r="O28" s="134" t="s">
        <v>47</v>
      </c>
      <c r="P28" s="134" t="s">
        <v>47</v>
      </c>
      <c r="Q28" s="135" t="s">
        <v>910</v>
      </c>
      <c r="R28" s="134"/>
      <c r="S28" s="134"/>
      <c r="T28" s="107"/>
      <c r="U28" s="107" t="s">
        <v>382</v>
      </c>
      <c r="V28" s="107">
        <v>3</v>
      </c>
      <c r="Y28" s="107"/>
      <c r="AA28" s="107"/>
      <c r="AC28" s="107"/>
      <c r="AE28" s="107"/>
      <c r="AG28" s="107"/>
      <c r="AT28" s="113"/>
      <c r="AU28" s="129"/>
      <c r="AV28" s="113"/>
      <c r="BB28" s="117">
        <v>997.4</v>
      </c>
      <c r="BE28" s="108"/>
      <c r="BF28" s="109"/>
    </row>
    <row r="29" spans="3:58" ht="98.1" customHeight="1">
      <c r="C29" s="143">
        <v>12489434</v>
      </c>
      <c r="F29" s="106" t="s">
        <v>340</v>
      </c>
      <c r="G29" s="113" t="s">
        <v>887</v>
      </c>
      <c r="J29" s="106" t="s">
        <v>887</v>
      </c>
      <c r="K29" s="119" t="s">
        <v>1114</v>
      </c>
      <c r="L29" s="119" t="s">
        <v>277</v>
      </c>
      <c r="M29" s="134"/>
      <c r="N29" s="134" t="s">
        <v>1163</v>
      </c>
      <c r="O29" s="134" t="s">
        <v>47</v>
      </c>
      <c r="P29" s="134" t="s">
        <v>47</v>
      </c>
      <c r="Q29" s="135" t="s">
        <v>1152</v>
      </c>
      <c r="R29" s="134"/>
      <c r="S29" s="134"/>
      <c r="T29" s="107"/>
      <c r="U29" s="107" t="s">
        <v>382</v>
      </c>
      <c r="V29" s="107">
        <v>9</v>
      </c>
      <c r="Y29" s="107"/>
      <c r="AA29" s="107"/>
      <c r="AC29" s="107"/>
      <c r="AE29" s="107"/>
      <c r="AG29" s="107"/>
      <c r="AT29" s="113"/>
      <c r="AU29" s="129"/>
      <c r="AV29" s="113"/>
      <c r="BB29" s="117">
        <v>744.59</v>
      </c>
      <c r="BE29" s="108"/>
      <c r="BF29" s="109"/>
    </row>
    <row r="30" spans="3:58" ht="98.1" customHeight="1">
      <c r="C30" s="143">
        <v>12489435</v>
      </c>
      <c r="F30" s="106" t="s">
        <v>340</v>
      </c>
      <c r="G30" s="113" t="s">
        <v>887</v>
      </c>
      <c r="J30" s="106" t="s">
        <v>887</v>
      </c>
      <c r="K30" s="119" t="s">
        <v>1115</v>
      </c>
      <c r="L30" s="119" t="s">
        <v>121</v>
      </c>
      <c r="M30" s="134"/>
      <c r="N30" s="134" t="s">
        <v>1163</v>
      </c>
      <c r="O30" s="134" t="s">
        <v>47</v>
      </c>
      <c r="P30" s="134" t="s">
        <v>47</v>
      </c>
      <c r="Q30" s="135" t="s">
        <v>1152</v>
      </c>
      <c r="R30" s="134"/>
      <c r="S30" s="134"/>
      <c r="T30" s="107"/>
      <c r="U30" s="107" t="s">
        <v>382</v>
      </c>
      <c r="V30" s="107">
        <v>6</v>
      </c>
      <c r="Y30" s="107"/>
      <c r="AA30" s="107"/>
      <c r="AC30" s="107"/>
      <c r="AE30" s="107"/>
      <c r="AG30" s="107"/>
      <c r="AT30" s="113"/>
      <c r="AU30" s="129"/>
      <c r="AV30" s="113"/>
      <c r="BB30" s="117">
        <v>558.33000000000004</v>
      </c>
      <c r="BE30" s="108"/>
      <c r="BF30" s="109"/>
    </row>
    <row r="31" spans="3:58" ht="98.1" customHeight="1">
      <c r="C31" s="143">
        <v>12489441</v>
      </c>
      <c r="F31" s="106" t="s">
        <v>340</v>
      </c>
      <c r="G31" s="113" t="s">
        <v>887</v>
      </c>
      <c r="J31" s="106" t="s">
        <v>887</v>
      </c>
      <c r="K31" s="119" t="s">
        <v>1116</v>
      </c>
      <c r="L31" s="119" t="s">
        <v>68</v>
      </c>
      <c r="M31" s="134"/>
      <c r="N31" s="134" t="s">
        <v>1161</v>
      </c>
      <c r="O31" s="134" t="s">
        <v>47</v>
      </c>
      <c r="P31" s="134" t="s">
        <v>47</v>
      </c>
      <c r="Q31" s="135" t="s">
        <v>1152</v>
      </c>
      <c r="R31" s="134"/>
      <c r="S31" s="134"/>
      <c r="T31" s="107"/>
      <c r="U31" s="107" t="s">
        <v>382</v>
      </c>
      <c r="V31" s="107">
        <v>4</v>
      </c>
      <c r="Y31" s="107"/>
      <c r="AA31" s="107"/>
      <c r="AC31" s="107"/>
      <c r="AE31" s="107"/>
      <c r="AG31" s="107"/>
      <c r="AT31" s="113"/>
      <c r="AU31" s="129"/>
      <c r="AV31" s="113"/>
      <c r="BB31" s="117">
        <v>581.5</v>
      </c>
      <c r="BE31" s="108"/>
      <c r="BF31" s="109"/>
    </row>
    <row r="32" spans="3:58" ht="98.1" customHeight="1">
      <c r="C32" s="143">
        <v>12489454</v>
      </c>
      <c r="F32" s="106" t="s">
        <v>340</v>
      </c>
      <c r="G32" s="113" t="s">
        <v>887</v>
      </c>
      <c r="J32" s="106" t="s">
        <v>887</v>
      </c>
      <c r="K32" s="119" t="s">
        <v>1117</v>
      </c>
      <c r="L32" s="119" t="s">
        <v>71</v>
      </c>
      <c r="M32" s="134"/>
      <c r="N32" s="134" t="s">
        <v>1161</v>
      </c>
      <c r="O32" s="134" t="s">
        <v>911</v>
      </c>
      <c r="P32" s="134" t="s">
        <v>1192</v>
      </c>
      <c r="Q32" s="135" t="s">
        <v>1152</v>
      </c>
      <c r="R32" s="134"/>
      <c r="S32" s="134"/>
      <c r="T32" s="107"/>
      <c r="U32" s="107" t="s">
        <v>382</v>
      </c>
      <c r="V32" s="107">
        <v>4</v>
      </c>
      <c r="Y32" s="107"/>
      <c r="AA32" s="107"/>
      <c r="AC32" s="107"/>
      <c r="AE32" s="107"/>
      <c r="AG32" s="107"/>
      <c r="AT32" s="113"/>
      <c r="AU32" s="129"/>
      <c r="AV32" s="113"/>
      <c r="BB32" s="117">
        <v>581.5</v>
      </c>
      <c r="BE32" s="108"/>
      <c r="BF32" s="109"/>
    </row>
    <row r="33" spans="3:58" ht="98.1" customHeight="1">
      <c r="C33" s="143">
        <v>12489459</v>
      </c>
      <c r="F33" s="106" t="s">
        <v>340</v>
      </c>
      <c r="G33" s="113" t="s">
        <v>887</v>
      </c>
      <c r="J33" s="106" t="s">
        <v>887</v>
      </c>
      <c r="K33" s="119" t="s">
        <v>1117</v>
      </c>
      <c r="L33" s="119" t="s">
        <v>71</v>
      </c>
      <c r="M33" s="134"/>
      <c r="N33" s="134" t="s">
        <v>1161</v>
      </c>
      <c r="O33" s="134" t="s">
        <v>911</v>
      </c>
      <c r="P33" s="134" t="s">
        <v>914</v>
      </c>
      <c r="Q33" s="135" t="s">
        <v>1152</v>
      </c>
      <c r="R33" s="134"/>
      <c r="S33" s="134"/>
      <c r="T33" s="107"/>
      <c r="U33" s="107" t="s">
        <v>382</v>
      </c>
      <c r="V33" s="107">
        <v>2</v>
      </c>
      <c r="Y33" s="107"/>
      <c r="AA33" s="107"/>
      <c r="AC33" s="107"/>
      <c r="AE33" s="107"/>
      <c r="AG33" s="107"/>
      <c r="AT33" s="113"/>
      <c r="AU33" s="129"/>
      <c r="AV33" s="113"/>
      <c r="BB33" s="117">
        <v>756.12</v>
      </c>
      <c r="BE33" s="108"/>
      <c r="BF33" s="109"/>
    </row>
    <row r="34" spans="3:58" ht="98.1" customHeight="1">
      <c r="C34" s="143">
        <v>12489460</v>
      </c>
      <c r="F34" s="106" t="s">
        <v>340</v>
      </c>
      <c r="G34" s="113" t="s">
        <v>887</v>
      </c>
      <c r="J34" s="106" t="s">
        <v>887</v>
      </c>
      <c r="K34" s="119" t="s">
        <v>1110</v>
      </c>
      <c r="L34" s="119" t="s">
        <v>53</v>
      </c>
      <c r="M34" s="134"/>
      <c r="N34" s="134" t="s">
        <v>1161</v>
      </c>
      <c r="O34" s="134" t="s">
        <v>911</v>
      </c>
      <c r="P34" s="134" t="s">
        <v>914</v>
      </c>
      <c r="Q34" s="135" t="s">
        <v>1152</v>
      </c>
      <c r="R34" s="134"/>
      <c r="S34" s="134"/>
      <c r="T34" s="107"/>
      <c r="U34" s="107" t="s">
        <v>382</v>
      </c>
      <c r="V34" s="107">
        <v>4</v>
      </c>
      <c r="Y34" s="107"/>
      <c r="AA34" s="107"/>
      <c r="AC34" s="107"/>
      <c r="AE34" s="107"/>
      <c r="AG34" s="107"/>
      <c r="AT34" s="113"/>
      <c r="AU34" s="129"/>
      <c r="AV34" s="113"/>
      <c r="BB34" s="117">
        <v>756.12</v>
      </c>
      <c r="BE34" s="108"/>
      <c r="BF34" s="109"/>
    </row>
    <row r="35" spans="3:58" ht="98.1" customHeight="1">
      <c r="C35" s="143">
        <v>12489461</v>
      </c>
      <c r="F35" s="106" t="s">
        <v>340</v>
      </c>
      <c r="G35" s="113" t="s">
        <v>887</v>
      </c>
      <c r="J35" s="106" t="s">
        <v>887</v>
      </c>
      <c r="K35" s="119" t="s">
        <v>1118</v>
      </c>
      <c r="L35" s="119" t="s">
        <v>121</v>
      </c>
      <c r="M35" s="134"/>
      <c r="N35" s="134" t="s">
        <v>1161</v>
      </c>
      <c r="O35" s="134" t="s">
        <v>911</v>
      </c>
      <c r="P35" s="134" t="s">
        <v>912</v>
      </c>
      <c r="Q35" s="135" t="s">
        <v>1152</v>
      </c>
      <c r="R35" s="134"/>
      <c r="S35" s="134"/>
      <c r="T35" s="107"/>
      <c r="U35" s="107" t="s">
        <v>382</v>
      </c>
      <c r="V35" s="107">
        <v>4</v>
      </c>
      <c r="Y35" s="107"/>
      <c r="AA35" s="107"/>
      <c r="AC35" s="107"/>
      <c r="AE35" s="107"/>
      <c r="AG35" s="107"/>
      <c r="AT35" s="113"/>
      <c r="AU35" s="129"/>
      <c r="AV35" s="113"/>
      <c r="BB35" s="117">
        <v>756.12</v>
      </c>
      <c r="BE35" s="108"/>
      <c r="BF35" s="109"/>
    </row>
    <row r="36" spans="3:58" ht="98.1" customHeight="1">
      <c r="C36" s="143">
        <v>12505744</v>
      </c>
      <c r="F36" s="106" t="s">
        <v>340</v>
      </c>
      <c r="G36" s="113" t="s">
        <v>887</v>
      </c>
      <c r="J36" s="106" t="s">
        <v>887</v>
      </c>
      <c r="K36" s="119" t="s">
        <v>1119</v>
      </c>
      <c r="L36" s="119" t="s">
        <v>83</v>
      </c>
      <c r="M36" s="134"/>
      <c r="N36" s="134" t="s">
        <v>1168</v>
      </c>
      <c r="O36" s="134" t="s">
        <v>911</v>
      </c>
      <c r="P36" s="134" t="s">
        <v>915</v>
      </c>
      <c r="Q36" s="135" t="s">
        <v>1152</v>
      </c>
      <c r="R36" s="134"/>
      <c r="S36" s="134"/>
      <c r="T36" s="107"/>
      <c r="U36" s="107" t="s">
        <v>382</v>
      </c>
      <c r="V36" s="107">
        <v>4</v>
      </c>
      <c r="Y36" s="107"/>
      <c r="AA36" s="107"/>
      <c r="AC36" s="107"/>
      <c r="AE36" s="107"/>
      <c r="AG36" s="107"/>
      <c r="AU36" s="129"/>
      <c r="AV36" s="113"/>
      <c r="BB36" s="117">
        <v>698.03</v>
      </c>
      <c r="BE36" s="108"/>
      <c r="BF36" s="109"/>
    </row>
    <row r="37" spans="3:58" ht="98.1" customHeight="1">
      <c r="C37" s="143">
        <v>12505771</v>
      </c>
      <c r="F37" s="106" t="s">
        <v>340</v>
      </c>
      <c r="G37" s="113" t="s">
        <v>887</v>
      </c>
      <c r="J37" s="106" t="s">
        <v>887</v>
      </c>
      <c r="K37" s="121" t="s">
        <v>1111</v>
      </c>
      <c r="L37" s="119" t="s">
        <v>195</v>
      </c>
      <c r="M37" s="134"/>
      <c r="N37" s="134" t="s">
        <v>1161</v>
      </c>
      <c r="O37" s="134" t="s">
        <v>47</v>
      </c>
      <c r="P37" s="134" t="s">
        <v>47</v>
      </c>
      <c r="Q37" s="135" t="s">
        <v>1153</v>
      </c>
      <c r="R37" s="134"/>
      <c r="S37" s="134"/>
      <c r="T37" s="107"/>
      <c r="U37" s="107" t="s">
        <v>382</v>
      </c>
      <c r="V37" s="107">
        <v>4</v>
      </c>
      <c r="Y37" s="107"/>
      <c r="AA37" s="107"/>
      <c r="AC37" s="107"/>
      <c r="AE37" s="107"/>
      <c r="AG37" s="107"/>
      <c r="AU37" s="129"/>
      <c r="AV37" s="113"/>
      <c r="BB37" s="117">
        <v>581.5</v>
      </c>
      <c r="BE37" s="108"/>
      <c r="BF37" s="109"/>
    </row>
    <row r="38" spans="3:58" ht="98.1" customHeight="1">
      <c r="C38" s="143">
        <v>12505772</v>
      </c>
      <c r="F38" s="106" t="s">
        <v>340</v>
      </c>
      <c r="G38" s="113" t="s">
        <v>887</v>
      </c>
      <c r="J38" s="106" t="s">
        <v>887</v>
      </c>
      <c r="K38" s="121" t="s">
        <v>1118</v>
      </c>
      <c r="L38" s="119" t="s">
        <v>121</v>
      </c>
      <c r="M38" s="134"/>
      <c r="N38" s="134" t="s">
        <v>1169</v>
      </c>
      <c r="O38" s="134" t="s">
        <v>47</v>
      </c>
      <c r="P38" s="134" t="s">
        <v>47</v>
      </c>
      <c r="Q38" s="135" t="s">
        <v>1153</v>
      </c>
      <c r="R38" s="134"/>
      <c r="S38" s="134"/>
      <c r="T38" s="107"/>
      <c r="U38" s="107" t="s">
        <v>382</v>
      </c>
      <c r="V38" s="107">
        <v>4</v>
      </c>
      <c r="Y38" s="107"/>
      <c r="AA38" s="107"/>
      <c r="AC38" s="107"/>
      <c r="AE38" s="107"/>
      <c r="AG38" s="107"/>
      <c r="AU38" s="129"/>
      <c r="AV38" s="113"/>
      <c r="BB38" s="117">
        <v>581.5</v>
      </c>
      <c r="BE38" s="108"/>
      <c r="BF38" s="109"/>
    </row>
    <row r="39" spans="3:58" ht="98.1" customHeight="1">
      <c r="C39" s="143">
        <v>12505779</v>
      </c>
      <c r="F39" s="106" t="s">
        <v>340</v>
      </c>
      <c r="G39" s="113" t="s">
        <v>887</v>
      </c>
      <c r="J39" s="106" t="s">
        <v>887</v>
      </c>
      <c r="K39" s="121" t="s">
        <v>1110</v>
      </c>
      <c r="L39" s="119" t="s">
        <v>53</v>
      </c>
      <c r="M39" s="134"/>
      <c r="N39" s="134" t="s">
        <v>1159</v>
      </c>
      <c r="O39" s="134" t="s">
        <v>47</v>
      </c>
      <c r="P39" s="134" t="s">
        <v>47</v>
      </c>
      <c r="Q39" s="135" t="s">
        <v>1152</v>
      </c>
      <c r="R39" s="134"/>
      <c r="S39" s="134"/>
      <c r="T39" s="107"/>
      <c r="U39" s="107" t="s">
        <v>382</v>
      </c>
      <c r="V39" s="107">
        <v>12</v>
      </c>
      <c r="Y39" s="107"/>
      <c r="AA39" s="107"/>
      <c r="AC39" s="107"/>
      <c r="AE39" s="107"/>
      <c r="AG39" s="107"/>
      <c r="AU39" s="129"/>
      <c r="AV39" s="113"/>
      <c r="BB39" s="117">
        <v>744.59</v>
      </c>
      <c r="BE39" s="108"/>
      <c r="BF39" s="109"/>
    </row>
    <row r="40" spans="3:58" ht="98.1" customHeight="1">
      <c r="C40" s="143">
        <v>12505780</v>
      </c>
      <c r="F40" s="106" t="s">
        <v>340</v>
      </c>
      <c r="G40" s="113" t="s">
        <v>887</v>
      </c>
      <c r="J40" s="106" t="s">
        <v>887</v>
      </c>
      <c r="K40" s="121" t="s">
        <v>1120</v>
      </c>
      <c r="L40" s="119" t="s">
        <v>65</v>
      </c>
      <c r="M40" s="134"/>
      <c r="N40" s="134" t="s">
        <v>1159</v>
      </c>
      <c r="O40" s="134" t="s">
        <v>47</v>
      </c>
      <c r="P40" s="134" t="s">
        <v>47</v>
      </c>
      <c r="Q40" s="135" t="s">
        <v>1152</v>
      </c>
      <c r="R40" s="134"/>
      <c r="S40" s="134"/>
      <c r="T40" s="107"/>
      <c r="U40" s="107" t="s">
        <v>382</v>
      </c>
      <c r="V40" s="107">
        <v>7</v>
      </c>
      <c r="Y40" s="107"/>
      <c r="AA40" s="107"/>
      <c r="AC40" s="107"/>
      <c r="AE40" s="107"/>
      <c r="AG40" s="107"/>
      <c r="AU40" s="129"/>
      <c r="AV40" s="113"/>
      <c r="BB40" s="117">
        <v>558.33000000000004</v>
      </c>
      <c r="BE40" s="108"/>
      <c r="BF40" s="109"/>
    </row>
    <row r="41" spans="3:58" ht="98.1" customHeight="1">
      <c r="C41" s="143">
        <v>12523896</v>
      </c>
      <c r="F41" s="106" t="s">
        <v>327</v>
      </c>
      <c r="G41" s="113" t="s">
        <v>887</v>
      </c>
      <c r="J41" s="106" t="s">
        <v>887</v>
      </c>
      <c r="K41" s="121" t="s">
        <v>1121</v>
      </c>
      <c r="L41" s="133" t="s">
        <v>83</v>
      </c>
      <c r="M41" s="134"/>
      <c r="N41" s="134" t="s">
        <v>1170</v>
      </c>
      <c r="O41" s="134" t="s">
        <v>911</v>
      </c>
      <c r="P41" s="134" t="s">
        <v>914</v>
      </c>
      <c r="Q41" s="135" t="s">
        <v>1149</v>
      </c>
      <c r="R41" s="134"/>
      <c r="S41" s="134"/>
      <c r="T41" s="107"/>
      <c r="U41" s="107" t="s">
        <v>382</v>
      </c>
      <c r="V41" s="107">
        <v>13</v>
      </c>
      <c r="Y41" s="107"/>
      <c r="AA41" s="107"/>
      <c r="AC41" s="107"/>
      <c r="AE41" s="107"/>
      <c r="AG41" s="107"/>
      <c r="AU41" s="129"/>
      <c r="AV41" s="113"/>
      <c r="BB41" s="117">
        <v>1687.44</v>
      </c>
      <c r="BE41" s="108"/>
      <c r="BF41" s="109"/>
    </row>
    <row r="42" spans="3:58" ht="98.1" customHeight="1">
      <c r="C42" s="143">
        <v>12523908</v>
      </c>
      <c r="F42" s="106" t="s">
        <v>327</v>
      </c>
      <c r="G42" s="113" t="s">
        <v>887</v>
      </c>
      <c r="J42" s="106" t="s">
        <v>887</v>
      </c>
      <c r="K42" s="121" t="s">
        <v>1122</v>
      </c>
      <c r="L42" s="119" t="s">
        <v>121</v>
      </c>
      <c r="M42" s="134"/>
      <c r="N42" s="134" t="s">
        <v>1171</v>
      </c>
      <c r="O42" s="134" t="s">
        <v>911</v>
      </c>
      <c r="P42" s="134" t="s">
        <v>914</v>
      </c>
      <c r="Q42" s="135" t="s">
        <v>1154</v>
      </c>
      <c r="R42" s="134"/>
      <c r="S42" s="134"/>
      <c r="T42" s="107"/>
      <c r="U42" s="107" t="s">
        <v>382</v>
      </c>
      <c r="V42" s="107"/>
      <c r="Y42" s="107"/>
      <c r="AA42" s="107"/>
      <c r="AC42" s="107"/>
      <c r="AD42" s="106">
        <v>6</v>
      </c>
      <c r="AE42" s="107"/>
      <c r="AG42" s="107"/>
      <c r="AU42" s="129"/>
      <c r="AV42" s="113"/>
      <c r="BB42" s="117">
        <v>1722.48</v>
      </c>
      <c r="BE42" s="108"/>
      <c r="BF42" s="109"/>
    </row>
    <row r="43" spans="3:58" ht="98.1" customHeight="1">
      <c r="C43" s="143">
        <v>12573358</v>
      </c>
      <c r="F43" s="106" t="s">
        <v>1203</v>
      </c>
      <c r="G43" s="113" t="s">
        <v>887</v>
      </c>
      <c r="J43" s="106" t="s">
        <v>887</v>
      </c>
      <c r="K43" s="121" t="s">
        <v>1098</v>
      </c>
      <c r="L43" s="119" t="s">
        <v>57</v>
      </c>
      <c r="M43" s="134"/>
      <c r="N43" s="134" t="s">
        <v>1172</v>
      </c>
      <c r="O43" s="134" t="s">
        <v>47</v>
      </c>
      <c r="P43" s="134" t="s">
        <v>47</v>
      </c>
      <c r="Q43" s="135" t="s">
        <v>910</v>
      </c>
      <c r="R43" s="134"/>
      <c r="S43" s="134"/>
      <c r="T43" s="107"/>
      <c r="U43" s="107" t="s">
        <v>382</v>
      </c>
      <c r="V43" s="107">
        <v>6</v>
      </c>
      <c r="Y43" s="107"/>
      <c r="AA43" s="107"/>
      <c r="AC43" s="107"/>
      <c r="AE43" s="107"/>
      <c r="AG43" s="107"/>
      <c r="AU43" s="129"/>
      <c r="AV43" s="113"/>
      <c r="BB43" s="117">
        <v>1978.48</v>
      </c>
      <c r="BE43" s="108"/>
      <c r="BF43" s="109"/>
    </row>
    <row r="44" spans="3:58" ht="98.1" customHeight="1">
      <c r="C44" s="143">
        <v>12881461</v>
      </c>
      <c r="F44" s="106" t="s">
        <v>327</v>
      </c>
      <c r="G44" s="113" t="s">
        <v>887</v>
      </c>
      <c r="J44" s="106" t="s">
        <v>887</v>
      </c>
      <c r="K44" s="121" t="s">
        <v>1110</v>
      </c>
      <c r="L44" s="133" t="s">
        <v>53</v>
      </c>
      <c r="M44" s="134"/>
      <c r="N44" s="134" t="s">
        <v>1173</v>
      </c>
      <c r="O44" s="134" t="s">
        <v>47</v>
      </c>
      <c r="P44" s="134" t="s">
        <v>47</v>
      </c>
      <c r="Q44" s="135" t="s">
        <v>1155</v>
      </c>
      <c r="R44" s="134"/>
      <c r="S44" s="134"/>
      <c r="T44" s="107"/>
      <c r="U44" s="107" t="s">
        <v>382</v>
      </c>
      <c r="V44" s="107">
        <v>12</v>
      </c>
      <c r="Y44" s="107"/>
      <c r="AA44" s="107"/>
      <c r="AC44" s="107"/>
      <c r="AE44" s="107"/>
      <c r="AG44" s="107"/>
      <c r="AU44" s="129"/>
      <c r="AV44" s="113"/>
      <c r="BB44" s="117">
        <v>1978.48</v>
      </c>
      <c r="BE44" s="108"/>
      <c r="BF44" s="109"/>
    </row>
    <row r="45" spans="3:58" ht="98.1" customHeight="1">
      <c r="C45" s="143">
        <v>60102591</v>
      </c>
      <c r="F45" s="106" t="s">
        <v>342</v>
      </c>
      <c r="G45" s="113" t="s">
        <v>887</v>
      </c>
      <c r="J45" s="106" t="s">
        <v>887</v>
      </c>
      <c r="K45" s="121" t="s">
        <v>1104</v>
      </c>
      <c r="L45" s="119" t="s">
        <v>83</v>
      </c>
      <c r="M45" s="134"/>
      <c r="N45" s="134" t="s">
        <v>1174</v>
      </c>
      <c r="O45" s="134" t="s">
        <v>988</v>
      </c>
      <c r="P45" s="134" t="s">
        <v>1193</v>
      </c>
      <c r="Q45" s="135" t="s">
        <v>1152</v>
      </c>
      <c r="R45" s="134"/>
      <c r="S45" s="134"/>
      <c r="T45" s="107"/>
      <c r="U45" s="107" t="s">
        <v>382</v>
      </c>
      <c r="V45" s="107">
        <v>3</v>
      </c>
      <c r="Y45" s="107"/>
      <c r="AA45" s="107"/>
      <c r="AC45" s="107"/>
      <c r="AE45" s="107"/>
      <c r="AG45" s="107"/>
      <c r="AU45" s="129"/>
      <c r="AV45" s="113"/>
      <c r="BB45" s="117">
        <v>1454.61</v>
      </c>
      <c r="BE45" s="108"/>
      <c r="BF45" s="109"/>
    </row>
    <row r="46" spans="3:58" ht="98.1" customHeight="1">
      <c r="C46" s="143">
        <v>60102707</v>
      </c>
      <c r="F46" s="106" t="s">
        <v>342</v>
      </c>
      <c r="G46" s="113" t="s">
        <v>887</v>
      </c>
      <c r="J46" s="106" t="s">
        <v>887</v>
      </c>
      <c r="K46" s="121" t="s">
        <v>1104</v>
      </c>
      <c r="L46" s="133" t="s">
        <v>83</v>
      </c>
      <c r="M46" s="134"/>
      <c r="N46" s="134" t="s">
        <v>1174</v>
      </c>
      <c r="O46" s="134" t="s">
        <v>988</v>
      </c>
      <c r="P46" s="134" t="s">
        <v>1194</v>
      </c>
      <c r="Q46" s="135" t="s">
        <v>1152</v>
      </c>
      <c r="R46" s="134"/>
      <c r="S46" s="134"/>
      <c r="T46" s="107"/>
      <c r="U46" s="107" t="s">
        <v>382</v>
      </c>
      <c r="V46" s="107">
        <v>3</v>
      </c>
      <c r="Y46" s="107"/>
      <c r="AA46" s="107"/>
      <c r="AC46" s="107"/>
      <c r="AE46" s="107"/>
      <c r="AG46" s="107"/>
      <c r="AU46" s="129"/>
      <c r="AV46" s="113"/>
      <c r="BB46" s="117">
        <v>1454.61</v>
      </c>
      <c r="BE46" s="108"/>
      <c r="BF46" s="109"/>
    </row>
    <row r="47" spans="3:58" ht="98.1" customHeight="1">
      <c r="C47" s="143">
        <v>60102809</v>
      </c>
      <c r="F47" s="106" t="s">
        <v>1204</v>
      </c>
      <c r="G47" s="113" t="s">
        <v>887</v>
      </c>
      <c r="J47" s="106" t="s">
        <v>887</v>
      </c>
      <c r="K47" s="121" t="s">
        <v>1104</v>
      </c>
      <c r="L47" s="133" t="s">
        <v>277</v>
      </c>
      <c r="M47" s="134"/>
      <c r="N47" s="134" t="s">
        <v>1174</v>
      </c>
      <c r="O47" s="134" t="s">
        <v>988</v>
      </c>
      <c r="P47" s="134" t="s">
        <v>1195</v>
      </c>
      <c r="Q47" s="135" t="s">
        <v>1152</v>
      </c>
      <c r="R47" s="134"/>
      <c r="S47" s="134"/>
      <c r="T47" s="107"/>
      <c r="U47" s="107" t="s">
        <v>382</v>
      </c>
      <c r="V47" s="107">
        <v>3</v>
      </c>
      <c r="Y47" s="107"/>
      <c r="AA47" s="107"/>
      <c r="AC47" s="107"/>
      <c r="AE47" s="107"/>
      <c r="AG47" s="107"/>
      <c r="AU47" s="129"/>
      <c r="AV47" s="113"/>
      <c r="BB47" s="117">
        <v>1454.61</v>
      </c>
      <c r="BE47" s="108"/>
      <c r="BF47" s="109"/>
    </row>
    <row r="48" spans="3:58" ht="98.1" customHeight="1">
      <c r="C48" s="143">
        <v>60102842</v>
      </c>
      <c r="F48" s="106" t="s">
        <v>342</v>
      </c>
      <c r="G48" s="113" t="s">
        <v>887</v>
      </c>
      <c r="J48" s="106" t="s">
        <v>887</v>
      </c>
      <c r="K48" s="121" t="s">
        <v>1104</v>
      </c>
      <c r="L48" s="133" t="s">
        <v>83</v>
      </c>
      <c r="M48" s="134"/>
      <c r="N48" s="134" t="s">
        <v>1174</v>
      </c>
      <c r="O48" s="134" t="s">
        <v>988</v>
      </c>
      <c r="P48" s="134" t="s">
        <v>989</v>
      </c>
      <c r="Q48" s="135" t="s">
        <v>1152</v>
      </c>
      <c r="R48" s="134"/>
      <c r="S48" s="134"/>
      <c r="T48" s="107"/>
      <c r="U48" s="107" t="s">
        <v>382</v>
      </c>
      <c r="V48" s="107">
        <v>7</v>
      </c>
      <c r="Y48" s="107"/>
      <c r="AA48" s="107"/>
      <c r="AC48" s="107"/>
      <c r="AE48" s="107"/>
      <c r="AG48" s="107"/>
      <c r="AU48" s="129"/>
      <c r="AV48" s="113"/>
      <c r="BB48" s="117">
        <v>1454.61</v>
      </c>
      <c r="BE48" s="108"/>
      <c r="BF48" s="109"/>
    </row>
    <row r="49" spans="3:58" ht="98.1" customHeight="1">
      <c r="C49" s="143">
        <v>60137461</v>
      </c>
      <c r="F49" s="106" t="s">
        <v>783</v>
      </c>
      <c r="G49" s="113" t="s">
        <v>887</v>
      </c>
      <c r="J49" s="106" t="s">
        <v>887</v>
      </c>
      <c r="K49" s="121" t="s">
        <v>1123</v>
      </c>
      <c r="L49" s="133" t="s">
        <v>71</v>
      </c>
      <c r="M49" s="134"/>
      <c r="N49" s="134" t="s">
        <v>1175</v>
      </c>
      <c r="O49" s="134" t="s">
        <v>911</v>
      </c>
      <c r="P49" s="134" t="s">
        <v>912</v>
      </c>
      <c r="Q49" s="135" t="s">
        <v>910</v>
      </c>
      <c r="R49" s="134"/>
      <c r="S49" s="134"/>
      <c r="T49" s="107"/>
      <c r="U49" s="107" t="s">
        <v>382</v>
      </c>
      <c r="V49" s="107"/>
      <c r="Y49" s="107"/>
      <c r="Z49" s="106">
        <v>3</v>
      </c>
      <c r="AA49" s="107"/>
      <c r="AB49" s="106">
        <v>3</v>
      </c>
      <c r="AC49" s="107"/>
      <c r="AE49" s="107"/>
      <c r="AG49" s="107"/>
      <c r="AU49" s="129"/>
      <c r="AV49" s="113"/>
      <c r="BB49" s="117">
        <v>1256.82</v>
      </c>
      <c r="BE49" s="108"/>
      <c r="BF49" s="109"/>
    </row>
    <row r="50" spans="3:58" ht="98.1" customHeight="1">
      <c r="C50" s="143">
        <v>60137517</v>
      </c>
      <c r="F50" s="106" t="s">
        <v>1205</v>
      </c>
      <c r="G50" s="113" t="s">
        <v>887</v>
      </c>
      <c r="J50" s="106" t="s">
        <v>887</v>
      </c>
      <c r="K50" s="121" t="s">
        <v>1110</v>
      </c>
      <c r="L50" s="119" t="s">
        <v>53</v>
      </c>
      <c r="M50" s="134"/>
      <c r="N50" s="134" t="s">
        <v>1176</v>
      </c>
      <c r="O50" s="134" t="s">
        <v>1052</v>
      </c>
      <c r="P50" s="134" t="s">
        <v>1053</v>
      </c>
      <c r="Q50" s="135" t="s">
        <v>1148</v>
      </c>
      <c r="R50" s="134"/>
      <c r="S50" s="134"/>
      <c r="T50" s="107"/>
      <c r="U50" s="107" t="s">
        <v>382</v>
      </c>
      <c r="V50" s="107"/>
      <c r="Y50" s="107"/>
      <c r="Z50" s="106">
        <v>2</v>
      </c>
      <c r="AA50" s="107"/>
      <c r="AB50" s="106">
        <v>2</v>
      </c>
      <c r="AC50" s="107"/>
      <c r="AE50" s="107"/>
      <c r="AG50" s="107"/>
      <c r="AU50" s="129"/>
      <c r="AV50" s="113"/>
      <c r="BB50" s="117">
        <v>1769.05</v>
      </c>
      <c r="BE50" s="108"/>
      <c r="BF50" s="109"/>
    </row>
    <row r="51" spans="3:58" ht="98.1" customHeight="1">
      <c r="C51" s="143">
        <v>60137527</v>
      </c>
      <c r="F51" s="106" t="s">
        <v>783</v>
      </c>
      <c r="G51" s="113" t="s">
        <v>887</v>
      </c>
      <c r="J51" s="106" t="s">
        <v>887</v>
      </c>
      <c r="K51" s="121" t="s">
        <v>1119</v>
      </c>
      <c r="L51" s="119" t="s">
        <v>53</v>
      </c>
      <c r="M51" s="134"/>
      <c r="N51" s="134" t="s">
        <v>1175</v>
      </c>
      <c r="O51" s="134" t="s">
        <v>911</v>
      </c>
      <c r="P51" s="134" t="s">
        <v>914</v>
      </c>
      <c r="Q51" s="135" t="s">
        <v>910</v>
      </c>
      <c r="R51" s="134"/>
      <c r="S51" s="134"/>
      <c r="T51" s="107"/>
      <c r="U51" s="107" t="s">
        <v>382</v>
      </c>
      <c r="V51" s="107"/>
      <c r="Y51" s="107"/>
      <c r="AA51" s="107"/>
      <c r="AC51" s="107"/>
      <c r="AD51" s="106">
        <v>2</v>
      </c>
      <c r="AE51" s="107"/>
      <c r="AG51" s="107"/>
      <c r="AU51" s="129"/>
      <c r="AV51" s="113"/>
      <c r="BB51" s="117">
        <v>1303.3900000000001</v>
      </c>
      <c r="BE51" s="108"/>
      <c r="BF51" s="109"/>
    </row>
    <row r="52" spans="3:58" ht="98.1" customHeight="1">
      <c r="C52" s="143">
        <v>60137571</v>
      </c>
      <c r="F52" s="106" t="s">
        <v>1205</v>
      </c>
      <c r="G52" s="113" t="s">
        <v>887</v>
      </c>
      <c r="J52" s="106" t="s">
        <v>887</v>
      </c>
      <c r="K52" s="121" t="s">
        <v>1124</v>
      </c>
      <c r="L52" s="119" t="s">
        <v>286</v>
      </c>
      <c r="M52" s="134"/>
      <c r="N52" s="134" t="s">
        <v>1176</v>
      </c>
      <c r="O52" s="134" t="s">
        <v>988</v>
      </c>
      <c r="P52" s="134" t="s">
        <v>994</v>
      </c>
      <c r="Q52" s="135" t="s">
        <v>1148</v>
      </c>
      <c r="R52" s="134"/>
      <c r="S52" s="134"/>
      <c r="T52" s="107"/>
      <c r="U52" s="107" t="s">
        <v>382</v>
      </c>
      <c r="V52" s="107"/>
      <c r="Y52" s="107"/>
      <c r="Z52" s="106">
        <v>5</v>
      </c>
      <c r="AA52" s="107"/>
      <c r="AB52" s="106">
        <v>5</v>
      </c>
      <c r="AC52" s="107"/>
      <c r="AE52" s="107"/>
      <c r="AG52" s="107"/>
      <c r="AU52" s="129"/>
      <c r="AV52" s="113"/>
      <c r="BB52" s="117">
        <v>1769.05</v>
      </c>
      <c r="BE52" s="108"/>
      <c r="BF52" s="109"/>
    </row>
    <row r="53" spans="3:58" ht="98.1" customHeight="1">
      <c r="C53" s="143">
        <v>60137572</v>
      </c>
      <c r="F53" s="106" t="s">
        <v>1205</v>
      </c>
      <c r="G53" s="113" t="s">
        <v>887</v>
      </c>
      <c r="J53" s="106" t="s">
        <v>887</v>
      </c>
      <c r="K53" s="121" t="s">
        <v>1125</v>
      </c>
      <c r="L53" s="119" t="s">
        <v>78</v>
      </c>
      <c r="M53" s="129"/>
      <c r="N53" s="134" t="s">
        <v>1176</v>
      </c>
      <c r="O53" s="134" t="s">
        <v>988</v>
      </c>
      <c r="P53" s="134" t="s">
        <v>989</v>
      </c>
      <c r="Q53" s="135" t="s">
        <v>1148</v>
      </c>
      <c r="R53" s="134"/>
      <c r="S53" s="134"/>
      <c r="T53" s="107"/>
      <c r="U53" s="107" t="s">
        <v>382</v>
      </c>
      <c r="V53" s="107"/>
      <c r="Y53" s="107"/>
      <c r="Z53" s="106">
        <v>4</v>
      </c>
      <c r="AA53" s="107"/>
      <c r="AB53" s="106">
        <v>4</v>
      </c>
      <c r="AC53" s="107"/>
      <c r="AE53" s="107"/>
      <c r="AG53" s="107"/>
      <c r="AU53" s="129"/>
      <c r="AV53" s="113"/>
      <c r="BB53" s="117">
        <v>1769.05</v>
      </c>
      <c r="BE53" s="108"/>
      <c r="BF53" s="109"/>
    </row>
    <row r="54" spans="3:58" ht="98.1" customHeight="1">
      <c r="C54" s="143">
        <v>60141477</v>
      </c>
      <c r="F54" s="106" t="s">
        <v>325</v>
      </c>
      <c r="G54" s="113" t="s">
        <v>887</v>
      </c>
      <c r="J54" s="106" t="s">
        <v>887</v>
      </c>
      <c r="K54" s="121" t="s">
        <v>1110</v>
      </c>
      <c r="L54" s="119" t="s">
        <v>53</v>
      </c>
      <c r="M54" s="129"/>
      <c r="N54" s="134" t="s">
        <v>1177</v>
      </c>
      <c r="O54" s="134" t="s">
        <v>47</v>
      </c>
      <c r="P54" s="134" t="s">
        <v>47</v>
      </c>
      <c r="Q54" s="135" t="s">
        <v>910</v>
      </c>
      <c r="R54" s="134"/>
      <c r="S54" s="134"/>
      <c r="T54" s="107"/>
      <c r="U54" s="107" t="s">
        <v>382</v>
      </c>
      <c r="V54" s="107"/>
      <c r="Y54" s="107">
        <v>2</v>
      </c>
      <c r="AA54" s="107">
        <v>3</v>
      </c>
      <c r="AC54" s="107">
        <v>2</v>
      </c>
      <c r="AE54" s="107"/>
      <c r="AG54" s="107"/>
      <c r="AU54" s="129"/>
      <c r="AV54" s="113"/>
      <c r="BB54" s="117">
        <v>1117.1199999999999</v>
      </c>
      <c r="BE54" s="108"/>
      <c r="BF54" s="109"/>
    </row>
    <row r="55" spans="3:58" ht="98.1" customHeight="1">
      <c r="C55" s="143">
        <v>60141518</v>
      </c>
      <c r="F55" s="106" t="s">
        <v>340</v>
      </c>
      <c r="G55" s="113" t="s">
        <v>887</v>
      </c>
      <c r="J55" s="106" t="s">
        <v>887</v>
      </c>
      <c r="K55" s="121" t="s">
        <v>1126</v>
      </c>
      <c r="L55" s="133" t="s">
        <v>83</v>
      </c>
      <c r="M55" s="129"/>
      <c r="N55" s="134" t="s">
        <v>1178</v>
      </c>
      <c r="O55" s="134" t="s">
        <v>988</v>
      </c>
      <c r="P55" s="134" t="s">
        <v>994</v>
      </c>
      <c r="Q55" s="135" t="s">
        <v>1152</v>
      </c>
      <c r="R55" s="134"/>
      <c r="S55" s="134"/>
      <c r="T55" s="107"/>
      <c r="U55" s="107" t="s">
        <v>382</v>
      </c>
      <c r="V55" s="107">
        <v>6</v>
      </c>
      <c r="Y55" s="107"/>
      <c r="AA55" s="107"/>
      <c r="AC55" s="107"/>
      <c r="AE55" s="107"/>
      <c r="AG55" s="107"/>
      <c r="AU55" s="129"/>
      <c r="AV55" s="113"/>
      <c r="BB55" s="117">
        <v>1536.22</v>
      </c>
      <c r="BE55" s="108"/>
      <c r="BF55" s="109"/>
    </row>
    <row r="56" spans="3:58" ht="98.1" customHeight="1">
      <c r="C56" s="143">
        <v>60141613</v>
      </c>
      <c r="F56" s="106" t="s">
        <v>340</v>
      </c>
      <c r="G56" s="113" t="s">
        <v>887</v>
      </c>
      <c r="J56" s="106" t="s">
        <v>887</v>
      </c>
      <c r="K56" s="121" t="s">
        <v>1127</v>
      </c>
      <c r="L56" s="133" t="s">
        <v>199</v>
      </c>
      <c r="M56" s="129"/>
      <c r="N56" s="134" t="s">
        <v>1178</v>
      </c>
      <c r="O56" s="134" t="s">
        <v>47</v>
      </c>
      <c r="P56" s="134" t="s">
        <v>47</v>
      </c>
      <c r="Q56" s="135" t="s">
        <v>1152</v>
      </c>
      <c r="R56" s="134"/>
      <c r="S56" s="134"/>
      <c r="T56" s="107"/>
      <c r="U56" s="107" t="s">
        <v>382</v>
      </c>
      <c r="V56" s="107">
        <v>2</v>
      </c>
      <c r="Y56" s="107"/>
      <c r="AA56" s="107"/>
      <c r="AC56" s="107"/>
      <c r="AE56" s="107"/>
      <c r="AG56" s="107"/>
      <c r="AU56" s="129"/>
      <c r="AV56" s="113"/>
      <c r="BB56" s="117">
        <v>1070.56</v>
      </c>
      <c r="BE56" s="108"/>
      <c r="BF56" s="109"/>
    </row>
    <row r="57" spans="3:58" ht="98.1" customHeight="1">
      <c r="C57" s="143">
        <v>60141649</v>
      </c>
      <c r="F57" s="106" t="s">
        <v>340</v>
      </c>
      <c r="G57" s="113" t="s">
        <v>887</v>
      </c>
      <c r="J57" s="106" t="s">
        <v>887</v>
      </c>
      <c r="K57" s="121" t="s">
        <v>1128</v>
      </c>
      <c r="L57" s="133" t="s">
        <v>71</v>
      </c>
      <c r="M57" s="129"/>
      <c r="N57" s="134" t="s">
        <v>1179</v>
      </c>
      <c r="O57" s="134" t="s">
        <v>47</v>
      </c>
      <c r="P57" s="134" t="s">
        <v>47</v>
      </c>
      <c r="Q57" s="135" t="s">
        <v>1152</v>
      </c>
      <c r="R57" s="134"/>
      <c r="S57" s="134"/>
      <c r="T57" s="107"/>
      <c r="U57" s="107" t="s">
        <v>382</v>
      </c>
      <c r="V57" s="107">
        <v>8</v>
      </c>
      <c r="Y57" s="107"/>
      <c r="AA57" s="107"/>
      <c r="AC57" s="107"/>
      <c r="AE57" s="107"/>
      <c r="AG57" s="107"/>
      <c r="AU57" s="129"/>
      <c r="AV57" s="113"/>
      <c r="BB57" s="117">
        <v>930.86</v>
      </c>
      <c r="BE57" s="108"/>
      <c r="BF57" s="109"/>
    </row>
    <row r="58" spans="3:58" ht="98.1" customHeight="1">
      <c r="C58" s="143">
        <v>60141650</v>
      </c>
      <c r="F58" s="106" t="s">
        <v>340</v>
      </c>
      <c r="G58" s="113" t="s">
        <v>887</v>
      </c>
      <c r="J58" s="106" t="s">
        <v>887</v>
      </c>
      <c r="K58" s="121" t="s">
        <v>1111</v>
      </c>
      <c r="L58" s="133" t="s">
        <v>195</v>
      </c>
      <c r="M58" s="129"/>
      <c r="N58" s="134" t="s">
        <v>1179</v>
      </c>
      <c r="O58" s="134" t="s">
        <v>47</v>
      </c>
      <c r="P58" s="134" t="s">
        <v>47</v>
      </c>
      <c r="Q58" s="135" t="s">
        <v>1152</v>
      </c>
      <c r="R58" s="134"/>
      <c r="S58" s="134"/>
      <c r="T58" s="107"/>
      <c r="U58" s="107" t="s">
        <v>382</v>
      </c>
      <c r="V58" s="107">
        <v>8</v>
      </c>
      <c r="Y58" s="107"/>
      <c r="AA58" s="107"/>
      <c r="AC58" s="107"/>
      <c r="AE58" s="107"/>
      <c r="AG58" s="107"/>
      <c r="AU58" s="129"/>
      <c r="AV58" s="113"/>
      <c r="BB58" s="117">
        <v>930.86</v>
      </c>
      <c r="BE58" s="108"/>
      <c r="BF58" s="109"/>
    </row>
    <row r="59" spans="3:58" ht="98.1" customHeight="1">
      <c r="C59" s="143">
        <v>60141694</v>
      </c>
      <c r="F59" s="106" t="s">
        <v>340</v>
      </c>
      <c r="G59" s="113" t="s">
        <v>887</v>
      </c>
      <c r="J59" s="106" t="s">
        <v>887</v>
      </c>
      <c r="K59" s="121" t="s">
        <v>1129</v>
      </c>
      <c r="L59" s="133" t="s">
        <v>205</v>
      </c>
      <c r="M59" s="129"/>
      <c r="N59" s="134" t="s">
        <v>1179</v>
      </c>
      <c r="O59" s="134" t="s">
        <v>911</v>
      </c>
      <c r="P59" s="134" t="s">
        <v>914</v>
      </c>
      <c r="Q59" s="135" t="s">
        <v>1152</v>
      </c>
      <c r="R59" s="134"/>
      <c r="S59" s="134"/>
      <c r="T59" s="107"/>
      <c r="U59" s="107" t="s">
        <v>382</v>
      </c>
      <c r="V59" s="107">
        <v>2</v>
      </c>
      <c r="Y59" s="107"/>
      <c r="AA59" s="107"/>
      <c r="AC59" s="107"/>
      <c r="AE59" s="107"/>
      <c r="AG59" s="107"/>
      <c r="AU59" s="129"/>
      <c r="AV59" s="113"/>
      <c r="BB59" s="117">
        <v>1396.52</v>
      </c>
      <c r="BE59" s="108"/>
      <c r="BF59" s="109"/>
    </row>
    <row r="60" spans="3:58" ht="98.1" customHeight="1">
      <c r="C60" s="143">
        <v>60141713</v>
      </c>
      <c r="F60" s="106" t="s">
        <v>340</v>
      </c>
      <c r="G60" s="113" t="s">
        <v>887</v>
      </c>
      <c r="J60" s="106" t="s">
        <v>887</v>
      </c>
      <c r="K60" s="121" t="s">
        <v>1130</v>
      </c>
      <c r="L60" s="119" t="s">
        <v>53</v>
      </c>
      <c r="M60" s="129"/>
      <c r="N60" s="134" t="s">
        <v>1179</v>
      </c>
      <c r="O60" s="134" t="s">
        <v>911</v>
      </c>
      <c r="P60" s="134" t="s">
        <v>914</v>
      </c>
      <c r="Q60" s="135" t="s">
        <v>1152</v>
      </c>
      <c r="R60" s="134"/>
      <c r="S60" s="134"/>
      <c r="T60" s="107"/>
      <c r="U60" s="107" t="s">
        <v>382</v>
      </c>
      <c r="V60" s="107">
        <v>9</v>
      </c>
      <c r="Y60" s="107"/>
      <c r="AA60" s="107"/>
      <c r="AC60" s="107"/>
      <c r="AE60" s="107"/>
      <c r="AG60" s="107"/>
      <c r="AU60" s="129"/>
      <c r="AV60" s="113"/>
      <c r="BB60" s="117">
        <v>1396.52</v>
      </c>
      <c r="BE60" s="108"/>
      <c r="BF60" s="109"/>
    </row>
    <row r="61" spans="3:58" ht="98.1" customHeight="1">
      <c r="C61" s="143">
        <v>60141714</v>
      </c>
      <c r="F61" s="106" t="s">
        <v>340</v>
      </c>
      <c r="G61" s="113" t="s">
        <v>887</v>
      </c>
      <c r="J61" s="106" t="s">
        <v>887</v>
      </c>
      <c r="K61" s="121" t="s">
        <v>1131</v>
      </c>
      <c r="L61" s="119" t="s">
        <v>53</v>
      </c>
      <c r="M61" s="129"/>
      <c r="N61" s="134" t="s">
        <v>1179</v>
      </c>
      <c r="O61" s="134" t="s">
        <v>911</v>
      </c>
      <c r="P61" s="134" t="s">
        <v>914</v>
      </c>
      <c r="Q61" s="135" t="s">
        <v>1152</v>
      </c>
      <c r="R61" s="134"/>
      <c r="S61" s="134"/>
      <c r="T61" s="107"/>
      <c r="U61" s="107" t="s">
        <v>382</v>
      </c>
      <c r="V61" s="107">
        <v>11</v>
      </c>
      <c r="Y61" s="107"/>
      <c r="AA61" s="107"/>
      <c r="AC61" s="107"/>
      <c r="AE61" s="107"/>
      <c r="AG61" s="107"/>
      <c r="AU61" s="129"/>
      <c r="AV61" s="113"/>
      <c r="BB61" s="117">
        <v>1396.52</v>
      </c>
      <c r="BE61" s="108"/>
      <c r="BF61" s="109"/>
    </row>
    <row r="62" spans="3:58" ht="98.1" customHeight="1">
      <c r="C62" s="143">
        <v>60141872</v>
      </c>
      <c r="F62" s="106" t="s">
        <v>340</v>
      </c>
      <c r="G62" s="113" t="s">
        <v>887</v>
      </c>
      <c r="J62" s="106" t="s">
        <v>887</v>
      </c>
      <c r="K62" s="121" t="s">
        <v>1118</v>
      </c>
      <c r="L62" s="119" t="s">
        <v>121</v>
      </c>
      <c r="M62" s="129"/>
      <c r="N62" s="134" t="s">
        <v>1179</v>
      </c>
      <c r="O62" s="134" t="s">
        <v>911</v>
      </c>
      <c r="P62" s="134" t="s">
        <v>914</v>
      </c>
      <c r="Q62" s="135" t="s">
        <v>1152</v>
      </c>
      <c r="R62" s="134"/>
      <c r="S62" s="134"/>
      <c r="T62" s="107"/>
      <c r="U62" s="107" t="s">
        <v>382</v>
      </c>
      <c r="V62" s="107">
        <v>13</v>
      </c>
      <c r="Y62" s="107"/>
      <c r="AA62" s="107"/>
      <c r="AC62" s="107"/>
      <c r="AE62" s="107"/>
      <c r="AG62" s="107"/>
      <c r="AU62" s="129"/>
      <c r="AV62" s="113"/>
      <c r="BB62" s="117">
        <v>1117.1199999999999</v>
      </c>
      <c r="BE62" s="108"/>
      <c r="BF62" s="109"/>
    </row>
    <row r="63" spans="3:58" ht="98.1" customHeight="1">
      <c r="C63" s="143">
        <v>60141873</v>
      </c>
      <c r="F63" s="106" t="s">
        <v>340</v>
      </c>
      <c r="G63" s="113" t="s">
        <v>887</v>
      </c>
      <c r="J63" s="106" t="s">
        <v>887</v>
      </c>
      <c r="K63" s="121" t="s">
        <v>1103</v>
      </c>
      <c r="L63" s="119" t="s">
        <v>86</v>
      </c>
      <c r="M63" s="129"/>
      <c r="N63" s="134" t="s">
        <v>1179</v>
      </c>
      <c r="O63" s="134" t="s">
        <v>911</v>
      </c>
      <c r="P63" s="134" t="s">
        <v>914</v>
      </c>
      <c r="Q63" s="135" t="s">
        <v>1152</v>
      </c>
      <c r="R63" s="134"/>
      <c r="S63" s="134"/>
      <c r="T63" s="107"/>
      <c r="U63" s="107" t="s">
        <v>382</v>
      </c>
      <c r="V63" s="107">
        <v>8</v>
      </c>
      <c r="Y63" s="107"/>
      <c r="AA63" s="107"/>
      <c r="AC63" s="107"/>
      <c r="AE63" s="107"/>
      <c r="AG63" s="107"/>
      <c r="AU63" s="129"/>
      <c r="AV63" s="113"/>
      <c r="BB63" s="117">
        <v>1117.1199999999999</v>
      </c>
      <c r="BE63" s="108"/>
      <c r="BF63" s="109"/>
    </row>
    <row r="64" spans="3:58" ht="98.1" customHeight="1">
      <c r="C64" s="143">
        <v>60142926</v>
      </c>
      <c r="F64" s="106" t="s">
        <v>356</v>
      </c>
      <c r="G64" s="113" t="s">
        <v>887</v>
      </c>
      <c r="J64" s="106" t="s">
        <v>887</v>
      </c>
      <c r="K64" s="121" t="s">
        <v>1132</v>
      </c>
      <c r="L64" s="119" t="s">
        <v>71</v>
      </c>
      <c r="M64" s="129"/>
      <c r="N64" s="134" t="s">
        <v>1180</v>
      </c>
      <c r="O64" s="134" t="s">
        <v>47</v>
      </c>
      <c r="P64" s="134" t="s">
        <v>47</v>
      </c>
      <c r="Q64" s="135" t="s">
        <v>910</v>
      </c>
      <c r="R64" s="134"/>
      <c r="S64" s="134"/>
      <c r="T64" s="107"/>
      <c r="U64" s="107" t="s">
        <v>382</v>
      </c>
      <c r="V64" s="107">
        <v>6</v>
      </c>
      <c r="Y64" s="107"/>
      <c r="AA64" s="107"/>
      <c r="AC64" s="107"/>
      <c r="AE64" s="107"/>
      <c r="AG64" s="107"/>
      <c r="AU64" s="129"/>
      <c r="AV64" s="113"/>
      <c r="BB64" s="117">
        <v>1070.56</v>
      </c>
      <c r="BE64" s="108"/>
      <c r="BF64" s="109"/>
    </row>
    <row r="65" spans="3:58" ht="98.1" customHeight="1">
      <c r="C65" s="143">
        <v>60142978</v>
      </c>
      <c r="F65" s="106" t="s">
        <v>1205</v>
      </c>
      <c r="G65" s="113" t="s">
        <v>887</v>
      </c>
      <c r="J65" s="106" t="s">
        <v>887</v>
      </c>
      <c r="K65" s="121" t="s">
        <v>1133</v>
      </c>
      <c r="L65" s="133" t="s">
        <v>1202</v>
      </c>
      <c r="M65" s="129"/>
      <c r="N65" s="134" t="s">
        <v>1170</v>
      </c>
      <c r="O65" s="134" t="s">
        <v>1196</v>
      </c>
      <c r="P65" s="134" t="s">
        <v>1197</v>
      </c>
      <c r="Q65" s="135" t="s">
        <v>910</v>
      </c>
      <c r="R65" s="134"/>
      <c r="S65" s="134"/>
      <c r="T65" s="107"/>
      <c r="U65" s="107" t="s">
        <v>382</v>
      </c>
      <c r="V65" s="107">
        <v>3</v>
      </c>
      <c r="Y65" s="107"/>
      <c r="AA65" s="107"/>
      <c r="AC65" s="107"/>
      <c r="AE65" s="107"/>
      <c r="AG65" s="107"/>
      <c r="AU65" s="129"/>
      <c r="AV65" s="113"/>
      <c r="BB65" s="117">
        <v>884.29</v>
      </c>
      <c r="BE65" s="108"/>
      <c r="BF65" s="109"/>
    </row>
    <row r="66" spans="3:58" ht="98.1" customHeight="1">
      <c r="C66" s="143">
        <v>60143362</v>
      </c>
      <c r="F66" s="106" t="s">
        <v>342</v>
      </c>
      <c r="G66" s="113" t="s">
        <v>887</v>
      </c>
      <c r="J66" s="106" t="s">
        <v>887</v>
      </c>
      <c r="K66" s="121" t="s">
        <v>1134</v>
      </c>
      <c r="L66" s="133" t="s">
        <v>71</v>
      </c>
      <c r="M66" s="129"/>
      <c r="N66" s="134" t="s">
        <v>1181</v>
      </c>
      <c r="O66" s="134" t="s">
        <v>1198</v>
      </c>
      <c r="P66" s="134" t="s">
        <v>1199</v>
      </c>
      <c r="Q66" s="135" t="s">
        <v>1152</v>
      </c>
      <c r="R66" s="134"/>
      <c r="S66" s="134"/>
      <c r="T66" s="107"/>
      <c r="U66" s="107" t="s">
        <v>382</v>
      </c>
      <c r="V66" s="107">
        <v>3</v>
      </c>
      <c r="Y66" s="107"/>
      <c r="AA66" s="107"/>
      <c r="AC66" s="107"/>
      <c r="AE66" s="107"/>
      <c r="AG66" s="107"/>
      <c r="AU66" s="129"/>
      <c r="AV66" s="113"/>
      <c r="BB66" s="117">
        <v>1163.69</v>
      </c>
      <c r="BE66" s="108"/>
      <c r="BF66" s="109"/>
    </row>
    <row r="67" spans="3:58" ht="98.1" customHeight="1">
      <c r="C67" s="143">
        <v>60143365</v>
      </c>
      <c r="F67" s="106" t="s">
        <v>340</v>
      </c>
      <c r="G67" s="113" t="s">
        <v>887</v>
      </c>
      <c r="J67" s="106" t="s">
        <v>887</v>
      </c>
      <c r="K67" s="121" t="s">
        <v>1135</v>
      </c>
      <c r="L67" s="133" t="s">
        <v>71</v>
      </c>
      <c r="M67" s="129"/>
      <c r="N67" s="134" t="s">
        <v>1181</v>
      </c>
      <c r="O67" s="134" t="s">
        <v>1198</v>
      </c>
      <c r="P67" s="134" t="s">
        <v>1199</v>
      </c>
      <c r="Q67" s="135" t="s">
        <v>1152</v>
      </c>
      <c r="R67" s="134"/>
      <c r="S67" s="134"/>
      <c r="T67" s="107"/>
      <c r="U67" s="107" t="s">
        <v>382</v>
      </c>
      <c r="V67" s="107">
        <v>9</v>
      </c>
      <c r="Y67" s="107"/>
      <c r="AA67" s="107"/>
      <c r="AC67" s="107"/>
      <c r="AE67" s="107"/>
      <c r="AG67" s="107"/>
      <c r="AU67" s="129"/>
      <c r="AV67" s="113"/>
      <c r="BB67" s="117">
        <v>1070.56</v>
      </c>
      <c r="BE67" s="108"/>
      <c r="BF67" s="109"/>
    </row>
    <row r="68" spans="3:58" ht="98.1" customHeight="1">
      <c r="C68" s="143">
        <v>60143369</v>
      </c>
      <c r="F68" s="106" t="s">
        <v>1205</v>
      </c>
      <c r="G68" s="113" t="s">
        <v>887</v>
      </c>
      <c r="J68" s="106" t="s">
        <v>887</v>
      </c>
      <c r="K68" s="121" t="s">
        <v>1098</v>
      </c>
      <c r="L68" s="133" t="s">
        <v>71</v>
      </c>
      <c r="M68" s="129"/>
      <c r="N68" s="134" t="s">
        <v>1182</v>
      </c>
      <c r="O68" s="134" t="s">
        <v>1198</v>
      </c>
      <c r="P68" s="134" t="s">
        <v>1199</v>
      </c>
      <c r="Q68" s="135" t="s">
        <v>916</v>
      </c>
      <c r="R68" s="134"/>
      <c r="S68" s="134"/>
      <c r="T68" s="107"/>
      <c r="U68" s="107" t="s">
        <v>382</v>
      </c>
      <c r="V68" s="107">
        <v>12</v>
      </c>
      <c r="Y68" s="107"/>
      <c r="AA68" s="107"/>
      <c r="AC68" s="107"/>
      <c r="AE68" s="107"/>
      <c r="AG68" s="107"/>
      <c r="AU68" s="129"/>
      <c r="AV68" s="113"/>
      <c r="BB68" s="117">
        <v>1070.56</v>
      </c>
      <c r="BE68" s="108"/>
      <c r="BF68" s="109"/>
    </row>
    <row r="69" spans="3:58" ht="98.1" customHeight="1">
      <c r="C69" s="143">
        <v>60143379</v>
      </c>
      <c r="F69" s="106" t="s">
        <v>1203</v>
      </c>
      <c r="G69" s="113" t="s">
        <v>887</v>
      </c>
      <c r="J69" s="106" t="s">
        <v>887</v>
      </c>
      <c r="K69" s="121" t="s">
        <v>1135</v>
      </c>
      <c r="L69" s="133" t="s">
        <v>71</v>
      </c>
      <c r="M69" s="129"/>
      <c r="N69" s="134" t="s">
        <v>1170</v>
      </c>
      <c r="O69" s="134" t="s">
        <v>1198</v>
      </c>
      <c r="P69" s="134" t="s">
        <v>1199</v>
      </c>
      <c r="Q69" s="135" t="s">
        <v>910</v>
      </c>
      <c r="R69" s="134"/>
      <c r="S69" s="134"/>
      <c r="T69" s="107"/>
      <c r="U69" s="107" t="s">
        <v>382</v>
      </c>
      <c r="V69" s="107">
        <v>12</v>
      </c>
      <c r="Y69" s="107"/>
      <c r="AA69" s="107"/>
      <c r="AC69" s="107"/>
      <c r="AE69" s="107"/>
      <c r="AG69" s="107"/>
      <c r="AU69" s="129"/>
      <c r="AV69" s="113"/>
      <c r="BB69" s="117">
        <v>1070.56</v>
      </c>
      <c r="BE69" s="108"/>
      <c r="BF69" s="109"/>
    </row>
    <row r="70" spans="3:58" ht="98.1" customHeight="1">
      <c r="C70" s="143">
        <v>60143386</v>
      </c>
      <c r="F70" s="106" t="s">
        <v>1205</v>
      </c>
      <c r="G70" s="113" t="s">
        <v>887</v>
      </c>
      <c r="J70" s="106" t="s">
        <v>887</v>
      </c>
      <c r="K70" s="121" t="s">
        <v>1136</v>
      </c>
      <c r="L70" s="133" t="s">
        <v>78</v>
      </c>
      <c r="M70" s="129"/>
      <c r="N70" s="134" t="s">
        <v>1170</v>
      </c>
      <c r="O70" s="134" t="s">
        <v>1198</v>
      </c>
      <c r="P70" s="134" t="s">
        <v>1200</v>
      </c>
      <c r="Q70" s="135" t="s">
        <v>916</v>
      </c>
      <c r="R70" s="134"/>
      <c r="S70" s="134"/>
      <c r="T70" s="107"/>
      <c r="U70" s="107" t="s">
        <v>382</v>
      </c>
      <c r="V70" s="107">
        <v>6</v>
      </c>
      <c r="Y70" s="107"/>
      <c r="AA70" s="107"/>
      <c r="AC70" s="107"/>
      <c r="AE70" s="107"/>
      <c r="AG70" s="107"/>
      <c r="AU70" s="129"/>
      <c r="AV70" s="113"/>
      <c r="BB70" s="117">
        <v>1163.69</v>
      </c>
      <c r="BE70" s="108"/>
      <c r="BF70" s="109"/>
    </row>
    <row r="71" spans="3:58" ht="98.1" customHeight="1">
      <c r="C71" s="143">
        <v>60143387</v>
      </c>
      <c r="F71" s="106" t="s">
        <v>1205</v>
      </c>
      <c r="G71" s="113" t="s">
        <v>887</v>
      </c>
      <c r="J71" s="106" t="s">
        <v>887</v>
      </c>
      <c r="K71" s="121" t="s">
        <v>1110</v>
      </c>
      <c r="L71" s="133" t="s">
        <v>53</v>
      </c>
      <c r="M71" s="129"/>
      <c r="N71" s="134" t="s">
        <v>1182</v>
      </c>
      <c r="O71" s="134" t="s">
        <v>1198</v>
      </c>
      <c r="P71" s="134" t="s">
        <v>1200</v>
      </c>
      <c r="Q71" s="135" t="s">
        <v>916</v>
      </c>
      <c r="R71" s="134"/>
      <c r="S71" s="134"/>
      <c r="T71" s="107"/>
      <c r="U71" s="107" t="s">
        <v>382</v>
      </c>
      <c r="V71" s="107">
        <v>12</v>
      </c>
      <c r="Y71" s="107"/>
      <c r="AA71" s="107"/>
      <c r="AC71" s="107"/>
      <c r="AE71" s="107"/>
      <c r="AG71" s="107"/>
      <c r="AU71" s="129"/>
      <c r="AV71" s="113"/>
      <c r="BB71" s="117">
        <v>1070.56</v>
      </c>
      <c r="BE71" s="108"/>
      <c r="BF71" s="109"/>
    </row>
    <row r="72" spans="3:58" ht="98.1" customHeight="1">
      <c r="C72" s="143">
        <v>60143388</v>
      </c>
      <c r="F72" s="106" t="s">
        <v>1203</v>
      </c>
      <c r="G72" s="113" t="s">
        <v>887</v>
      </c>
      <c r="J72" s="106" t="s">
        <v>887</v>
      </c>
      <c r="K72" s="121" t="s">
        <v>1110</v>
      </c>
      <c r="L72" s="119" t="s">
        <v>53</v>
      </c>
      <c r="M72" s="129"/>
      <c r="N72" s="134" t="s">
        <v>1182</v>
      </c>
      <c r="O72" s="134" t="s">
        <v>1198</v>
      </c>
      <c r="P72" s="134" t="s">
        <v>1200</v>
      </c>
      <c r="Q72" s="135" t="s">
        <v>910</v>
      </c>
      <c r="R72" s="134"/>
      <c r="S72" s="134"/>
      <c r="T72" s="107"/>
      <c r="U72" s="107" t="s">
        <v>382</v>
      </c>
      <c r="V72" s="107">
        <v>12</v>
      </c>
      <c r="Y72" s="107"/>
      <c r="AA72" s="107"/>
      <c r="AC72" s="107"/>
      <c r="AE72" s="107"/>
      <c r="AG72" s="107"/>
      <c r="AU72" s="129"/>
      <c r="AV72" s="113"/>
      <c r="BB72" s="117">
        <v>1210.25</v>
      </c>
      <c r="BE72" s="108"/>
      <c r="BF72" s="109"/>
    </row>
    <row r="73" spans="3:58" ht="98.1" customHeight="1">
      <c r="C73" s="143">
        <v>60143391</v>
      </c>
      <c r="F73" s="106" t="s">
        <v>1205</v>
      </c>
      <c r="G73" s="113" t="s">
        <v>887</v>
      </c>
      <c r="J73" s="106" t="s">
        <v>887</v>
      </c>
      <c r="K73" s="121" t="s">
        <v>1136</v>
      </c>
      <c r="L73" s="119" t="s">
        <v>78</v>
      </c>
      <c r="M73" s="129"/>
      <c r="N73" s="134" t="s">
        <v>1170</v>
      </c>
      <c r="O73" s="134" t="s">
        <v>1198</v>
      </c>
      <c r="P73" s="134" t="s">
        <v>1200</v>
      </c>
      <c r="Q73" s="135" t="s">
        <v>1156</v>
      </c>
      <c r="R73" s="134"/>
      <c r="S73" s="134"/>
      <c r="T73" s="107"/>
      <c r="U73" s="107" t="s">
        <v>382</v>
      </c>
      <c r="V73" s="107">
        <v>6</v>
      </c>
      <c r="Y73" s="107"/>
      <c r="AA73" s="107"/>
      <c r="AC73" s="107"/>
      <c r="AE73" s="107"/>
      <c r="AG73" s="107"/>
      <c r="AU73" s="129"/>
      <c r="AV73" s="113"/>
      <c r="BB73" s="117">
        <v>1163.69</v>
      </c>
      <c r="BE73" s="108"/>
      <c r="BF73" s="109"/>
    </row>
    <row r="74" spans="3:58" ht="98.1" customHeight="1">
      <c r="C74" s="143">
        <v>60143393</v>
      </c>
      <c r="F74" s="106" t="s">
        <v>342</v>
      </c>
      <c r="G74" s="113" t="s">
        <v>887</v>
      </c>
      <c r="J74" s="106" t="s">
        <v>887</v>
      </c>
      <c r="K74" s="121" t="s">
        <v>1137</v>
      </c>
      <c r="L74" s="119" t="s">
        <v>83</v>
      </c>
      <c r="M74" s="129"/>
      <c r="N74" s="134" t="s">
        <v>1181</v>
      </c>
      <c r="O74" s="134" t="s">
        <v>1198</v>
      </c>
      <c r="P74" s="134" t="s">
        <v>1200</v>
      </c>
      <c r="Q74" s="135" t="s">
        <v>1152</v>
      </c>
      <c r="R74" s="134"/>
      <c r="S74" s="134"/>
      <c r="T74" s="107"/>
      <c r="U74" s="107" t="s">
        <v>382</v>
      </c>
      <c r="V74" s="107">
        <v>6</v>
      </c>
      <c r="Y74" s="107"/>
      <c r="AA74" s="107"/>
      <c r="AC74" s="107"/>
      <c r="AE74" s="107"/>
      <c r="AG74" s="107"/>
      <c r="AU74" s="129"/>
      <c r="AV74" s="113"/>
      <c r="BB74" s="117">
        <v>1163.69</v>
      </c>
      <c r="BE74" s="108"/>
      <c r="BF74" s="109"/>
    </row>
    <row r="75" spans="3:58" ht="98.1" customHeight="1">
      <c r="C75" s="143">
        <v>60143394</v>
      </c>
      <c r="F75" s="106" t="s">
        <v>340</v>
      </c>
      <c r="G75" s="113" t="s">
        <v>887</v>
      </c>
      <c r="J75" s="106" t="s">
        <v>887</v>
      </c>
      <c r="K75" s="121" t="s">
        <v>1138</v>
      </c>
      <c r="L75" s="119" t="s">
        <v>78</v>
      </c>
      <c r="M75" s="129"/>
      <c r="N75" s="134" t="s">
        <v>1181</v>
      </c>
      <c r="O75" s="134" t="s">
        <v>1198</v>
      </c>
      <c r="P75" s="134" t="s">
        <v>1200</v>
      </c>
      <c r="Q75" s="135" t="s">
        <v>1152</v>
      </c>
      <c r="R75" s="134"/>
      <c r="S75" s="134"/>
      <c r="T75" s="107"/>
      <c r="U75" s="107" t="s">
        <v>382</v>
      </c>
      <c r="V75" s="107">
        <v>6</v>
      </c>
      <c r="Y75" s="107"/>
      <c r="AA75" s="107"/>
      <c r="AC75" s="107"/>
      <c r="AE75" s="107"/>
      <c r="AG75" s="107"/>
      <c r="AU75" s="129"/>
      <c r="AV75" s="113"/>
      <c r="BB75" s="117">
        <v>884.29</v>
      </c>
      <c r="BE75" s="108"/>
      <c r="BF75" s="109"/>
    </row>
    <row r="76" spans="3:58" ht="98.1" customHeight="1">
      <c r="C76" s="143">
        <v>60143400</v>
      </c>
      <c r="F76" s="106" t="s">
        <v>1205</v>
      </c>
      <c r="G76" s="113" t="s">
        <v>887</v>
      </c>
      <c r="J76" s="106" t="s">
        <v>887</v>
      </c>
      <c r="K76" s="121" t="s">
        <v>1117</v>
      </c>
      <c r="L76" s="119" t="s">
        <v>302</v>
      </c>
      <c r="M76" s="129"/>
      <c r="N76" s="134" t="s">
        <v>1182</v>
      </c>
      <c r="O76" s="134" t="s">
        <v>1198</v>
      </c>
      <c r="P76" s="134" t="s">
        <v>1200</v>
      </c>
      <c r="Q76" s="135" t="s">
        <v>1149</v>
      </c>
      <c r="R76" s="134"/>
      <c r="S76" s="134"/>
      <c r="T76" s="107"/>
      <c r="U76" s="107" t="s">
        <v>382</v>
      </c>
      <c r="V76" s="107">
        <v>9</v>
      </c>
      <c r="Y76" s="107"/>
      <c r="AA76" s="107"/>
      <c r="AC76" s="107"/>
      <c r="AE76" s="107"/>
      <c r="AG76" s="107"/>
      <c r="AU76" s="129"/>
      <c r="AV76" s="113"/>
      <c r="BB76" s="117">
        <v>1582.78</v>
      </c>
      <c r="BE76" s="108"/>
      <c r="BF76" s="109"/>
    </row>
    <row r="77" spans="3:58" ht="98.1" customHeight="1">
      <c r="C77" s="143">
        <v>60143408</v>
      </c>
      <c r="F77" s="106" t="s">
        <v>342</v>
      </c>
      <c r="G77" s="113" t="s">
        <v>887</v>
      </c>
      <c r="J77" s="106" t="s">
        <v>887</v>
      </c>
      <c r="K77" s="121" t="s">
        <v>1138</v>
      </c>
      <c r="L77" s="133" t="s">
        <v>302</v>
      </c>
      <c r="M77" s="129"/>
      <c r="N77" s="134" t="s">
        <v>1181</v>
      </c>
      <c r="O77" s="134" t="s">
        <v>1198</v>
      </c>
      <c r="P77" s="134" t="s">
        <v>1200</v>
      </c>
      <c r="Q77" s="135" t="s">
        <v>1152</v>
      </c>
      <c r="R77" s="134"/>
      <c r="S77" s="134"/>
      <c r="T77" s="107"/>
      <c r="U77" s="107" t="s">
        <v>382</v>
      </c>
      <c r="V77" s="107">
        <v>9</v>
      </c>
      <c r="Y77" s="107"/>
      <c r="AA77" s="107"/>
      <c r="AC77" s="107"/>
      <c r="AE77" s="107"/>
      <c r="AG77" s="107"/>
      <c r="AU77" s="129"/>
      <c r="AV77" s="113"/>
      <c r="BB77" s="117">
        <v>1163.69</v>
      </c>
      <c r="BE77" s="108"/>
      <c r="BF77" s="109"/>
    </row>
    <row r="78" spans="3:58" ht="98.1" customHeight="1">
      <c r="C78" s="143">
        <v>60143421</v>
      </c>
      <c r="F78" s="106" t="s">
        <v>1205</v>
      </c>
      <c r="G78" s="113" t="s">
        <v>887</v>
      </c>
      <c r="J78" s="106" t="s">
        <v>887</v>
      </c>
      <c r="K78" s="121" t="s">
        <v>1098</v>
      </c>
      <c r="L78" s="119" t="s">
        <v>57</v>
      </c>
      <c r="M78" s="129"/>
      <c r="N78" s="134" t="s">
        <v>1170</v>
      </c>
      <c r="O78" s="134" t="s">
        <v>47</v>
      </c>
      <c r="P78" s="134" t="s">
        <v>47</v>
      </c>
      <c r="Q78" s="135" t="s">
        <v>916</v>
      </c>
      <c r="R78" s="134"/>
      <c r="S78" s="134"/>
      <c r="T78" s="107"/>
      <c r="U78" s="107" t="s">
        <v>382</v>
      </c>
      <c r="V78" s="107">
        <v>10</v>
      </c>
      <c r="Y78" s="107"/>
      <c r="AA78" s="107"/>
      <c r="AC78" s="107"/>
      <c r="AE78" s="107"/>
      <c r="AG78" s="107"/>
      <c r="AU78" s="129"/>
      <c r="AV78" s="113"/>
      <c r="BB78" s="117">
        <v>1163.69</v>
      </c>
      <c r="BE78" s="108"/>
      <c r="BF78" s="109"/>
    </row>
    <row r="79" spans="3:58" ht="98.1" customHeight="1">
      <c r="C79" s="143">
        <v>60143425</v>
      </c>
      <c r="F79" s="106" t="s">
        <v>340</v>
      </c>
      <c r="G79" s="113" t="s">
        <v>887</v>
      </c>
      <c r="J79" s="106" t="s">
        <v>887</v>
      </c>
      <c r="K79" s="121" t="s">
        <v>1134</v>
      </c>
      <c r="L79" s="119" t="s">
        <v>55</v>
      </c>
      <c r="M79" s="129"/>
      <c r="N79" s="134" t="s">
        <v>1181</v>
      </c>
      <c r="O79" s="134" t="s">
        <v>47</v>
      </c>
      <c r="P79" s="134" t="s">
        <v>47</v>
      </c>
      <c r="Q79" s="135" t="s">
        <v>1152</v>
      </c>
      <c r="R79" s="134"/>
      <c r="S79" s="134"/>
      <c r="T79" s="107"/>
      <c r="U79" s="107" t="s">
        <v>382</v>
      </c>
      <c r="V79" s="107">
        <v>6</v>
      </c>
      <c r="Y79" s="107"/>
      <c r="AA79" s="107"/>
      <c r="AC79" s="107"/>
      <c r="AE79" s="107"/>
      <c r="AG79" s="107"/>
      <c r="AU79" s="129"/>
      <c r="AV79" s="113"/>
      <c r="BB79" s="117">
        <v>884.29</v>
      </c>
      <c r="BE79" s="108"/>
      <c r="BF79" s="109"/>
    </row>
    <row r="80" spans="3:58" ht="98.1" customHeight="1">
      <c r="C80" s="143">
        <v>60144009</v>
      </c>
      <c r="F80" s="106" t="s">
        <v>340</v>
      </c>
      <c r="G80" s="113" t="s">
        <v>887</v>
      </c>
      <c r="J80" s="106" t="s">
        <v>887</v>
      </c>
      <c r="K80" s="121" t="s">
        <v>1105</v>
      </c>
      <c r="L80" s="119" t="s">
        <v>120</v>
      </c>
      <c r="M80" s="129"/>
      <c r="N80" s="134" t="s">
        <v>1159</v>
      </c>
      <c r="O80" s="134" t="s">
        <v>47</v>
      </c>
      <c r="P80" s="134" t="s">
        <v>47</v>
      </c>
      <c r="Q80" s="135" t="s">
        <v>1152</v>
      </c>
      <c r="R80" s="134"/>
      <c r="S80" s="134"/>
      <c r="T80" s="107"/>
      <c r="U80" s="107" t="s">
        <v>387</v>
      </c>
      <c r="V80" s="107">
        <v>2</v>
      </c>
      <c r="Y80" s="107"/>
      <c r="AA80" s="107"/>
      <c r="AC80" s="107"/>
      <c r="AE80" s="107"/>
      <c r="AG80" s="107"/>
      <c r="AU80" s="129"/>
      <c r="AV80" s="113"/>
      <c r="BB80" s="117">
        <v>558.33000000000004</v>
      </c>
      <c r="BE80" s="108"/>
      <c r="BF80" s="109"/>
    </row>
    <row r="81" spans="3:58" ht="98.1" customHeight="1">
      <c r="C81" s="143">
        <v>60144011</v>
      </c>
      <c r="F81" s="106" t="s">
        <v>340</v>
      </c>
      <c r="G81" s="113" t="s">
        <v>887</v>
      </c>
      <c r="J81" s="106" t="s">
        <v>887</v>
      </c>
      <c r="K81" s="121" t="s">
        <v>1139</v>
      </c>
      <c r="L81" s="119" t="s">
        <v>83</v>
      </c>
      <c r="M81" s="129"/>
      <c r="N81" s="134" t="s">
        <v>1159</v>
      </c>
      <c r="O81" s="134" t="s">
        <v>47</v>
      </c>
      <c r="P81" s="134" t="s">
        <v>47</v>
      </c>
      <c r="Q81" s="135" t="s">
        <v>1152</v>
      </c>
      <c r="R81" s="134"/>
      <c r="S81" s="134"/>
      <c r="T81" s="107"/>
      <c r="U81" s="107" t="s">
        <v>387</v>
      </c>
      <c r="V81" s="107">
        <v>10</v>
      </c>
      <c r="Y81" s="107"/>
      <c r="AA81" s="107"/>
      <c r="AC81" s="107"/>
      <c r="AE81" s="107"/>
      <c r="AG81" s="107"/>
      <c r="AU81" s="129"/>
      <c r="AV81" s="113"/>
      <c r="BB81" s="117">
        <v>744.59</v>
      </c>
      <c r="BE81" s="108"/>
      <c r="BF81" s="109"/>
    </row>
    <row r="82" spans="3:58" ht="98.1" customHeight="1">
      <c r="C82" s="143">
        <v>60179011</v>
      </c>
      <c r="F82" s="106" t="s">
        <v>327</v>
      </c>
      <c r="G82" s="113" t="s">
        <v>887</v>
      </c>
      <c r="J82" s="106" t="s">
        <v>887</v>
      </c>
      <c r="K82" s="121" t="s">
        <v>1117</v>
      </c>
      <c r="L82" s="119" t="s">
        <v>55</v>
      </c>
      <c r="M82" s="129"/>
      <c r="N82" s="134" t="s">
        <v>1182</v>
      </c>
      <c r="O82" s="134" t="s">
        <v>47</v>
      </c>
      <c r="P82" s="134" t="s">
        <v>47</v>
      </c>
      <c r="Q82" s="135" t="s">
        <v>910</v>
      </c>
      <c r="R82" s="134"/>
      <c r="S82" s="134"/>
      <c r="T82" s="107"/>
      <c r="U82" s="107" t="s">
        <v>382</v>
      </c>
      <c r="V82" s="107">
        <v>10</v>
      </c>
      <c r="Y82" s="107"/>
      <c r="AA82" s="107"/>
      <c r="AC82" s="107"/>
      <c r="AE82" s="107"/>
      <c r="AG82" s="107"/>
      <c r="AU82" s="129"/>
      <c r="AV82" s="113"/>
      <c r="BB82" s="117">
        <v>884.29</v>
      </c>
      <c r="BE82" s="108"/>
      <c r="BF82" s="109"/>
    </row>
    <row r="83" spans="3:58" ht="98.1" customHeight="1">
      <c r="C83" s="143">
        <v>60221462</v>
      </c>
      <c r="F83" s="106" t="s">
        <v>327</v>
      </c>
      <c r="G83" s="113" t="s">
        <v>887</v>
      </c>
      <c r="J83" s="106" t="s">
        <v>887</v>
      </c>
      <c r="K83" s="121" t="s">
        <v>1110</v>
      </c>
      <c r="L83" s="119" t="s">
        <v>53</v>
      </c>
      <c r="M83" s="129"/>
      <c r="N83" s="134" t="s">
        <v>1183</v>
      </c>
      <c r="O83" s="134" t="s">
        <v>1198</v>
      </c>
      <c r="P83" s="134" t="s">
        <v>1200</v>
      </c>
      <c r="Q83" s="135" t="s">
        <v>1149</v>
      </c>
      <c r="R83" s="134"/>
      <c r="S83" s="134"/>
      <c r="T83" s="107"/>
      <c r="U83" s="107" t="s">
        <v>382</v>
      </c>
      <c r="V83" s="107">
        <v>12</v>
      </c>
      <c r="Y83" s="107"/>
      <c r="AA83" s="107"/>
      <c r="AC83" s="107"/>
      <c r="AE83" s="107"/>
      <c r="AG83" s="107"/>
      <c r="AU83" s="129"/>
      <c r="AV83" s="113"/>
      <c r="BB83" s="117">
        <v>1512.82</v>
      </c>
      <c r="BE83" s="108"/>
      <c r="BF83" s="109"/>
    </row>
    <row r="84" spans="3:58" ht="98.1" customHeight="1">
      <c r="C84" s="143">
        <v>60222226</v>
      </c>
      <c r="F84" s="106" t="s">
        <v>325</v>
      </c>
      <c r="G84" s="113" t="s">
        <v>887</v>
      </c>
      <c r="J84" s="106" t="s">
        <v>887</v>
      </c>
      <c r="K84" s="121" t="s">
        <v>1111</v>
      </c>
      <c r="L84" s="119" t="s">
        <v>195</v>
      </c>
      <c r="M84" s="129"/>
      <c r="N84" s="134" t="s">
        <v>1184</v>
      </c>
      <c r="O84" s="134" t="s">
        <v>47</v>
      </c>
      <c r="P84" s="134" t="s">
        <v>47</v>
      </c>
      <c r="Q84" s="135" t="s">
        <v>1149</v>
      </c>
      <c r="R84" s="134"/>
      <c r="S84" s="134"/>
      <c r="T84" s="107"/>
      <c r="U84" s="106" t="s">
        <v>382</v>
      </c>
      <c r="Y84" s="106">
        <v>2</v>
      </c>
      <c r="AA84" s="106">
        <v>3</v>
      </c>
      <c r="AC84" s="106">
        <v>3</v>
      </c>
      <c r="AU84" s="129"/>
      <c r="AV84" s="113"/>
      <c r="BB84" s="117">
        <v>1862.06</v>
      </c>
      <c r="BE84" s="108"/>
    </row>
    <row r="85" spans="3:58" ht="98.1" customHeight="1">
      <c r="C85" s="143">
        <v>60222227</v>
      </c>
      <c r="F85" s="106" t="s">
        <v>325</v>
      </c>
      <c r="G85" s="113" t="s">
        <v>887</v>
      </c>
      <c r="J85" s="106" t="s">
        <v>887</v>
      </c>
      <c r="K85" s="121" t="s">
        <v>1129</v>
      </c>
      <c r="L85" s="119" t="s">
        <v>57</v>
      </c>
      <c r="M85" s="129"/>
      <c r="N85" s="134" t="s">
        <v>1185</v>
      </c>
      <c r="O85" s="134" t="s">
        <v>47</v>
      </c>
      <c r="P85" s="134" t="s">
        <v>47</v>
      </c>
      <c r="Q85" s="135" t="s">
        <v>1149</v>
      </c>
      <c r="R85" s="134"/>
      <c r="S85" s="134"/>
      <c r="T85" s="107"/>
      <c r="U85" s="106" t="s">
        <v>382</v>
      </c>
      <c r="AA85" s="106">
        <v>3</v>
      </c>
      <c r="AC85" s="106">
        <v>3</v>
      </c>
      <c r="AU85" s="129"/>
      <c r="AV85" s="113"/>
      <c r="BB85" s="117">
        <v>1862.06</v>
      </c>
      <c r="BE85" s="108"/>
    </row>
    <row r="86" spans="3:58" ht="98.1" customHeight="1">
      <c r="C86" s="143">
        <v>60222249</v>
      </c>
      <c r="F86" s="106" t="s">
        <v>325</v>
      </c>
      <c r="G86" s="113" t="s">
        <v>887</v>
      </c>
      <c r="J86" s="106" t="s">
        <v>887</v>
      </c>
      <c r="K86" s="121" t="s">
        <v>1140</v>
      </c>
      <c r="L86" s="133" t="s">
        <v>71</v>
      </c>
      <c r="M86" s="129"/>
      <c r="N86" s="134" t="s">
        <v>1184</v>
      </c>
      <c r="O86" s="134" t="s">
        <v>47</v>
      </c>
      <c r="P86" s="134" t="s">
        <v>47</v>
      </c>
      <c r="Q86" s="135" t="s">
        <v>1149</v>
      </c>
      <c r="R86" s="134"/>
      <c r="S86" s="134"/>
      <c r="T86" s="107"/>
      <c r="U86" s="107" t="s">
        <v>382</v>
      </c>
      <c r="Y86" s="106">
        <v>2</v>
      </c>
      <c r="AA86" s="106">
        <v>3</v>
      </c>
      <c r="AC86" s="106">
        <v>2</v>
      </c>
      <c r="AU86" s="129"/>
      <c r="AV86" s="113"/>
      <c r="BB86" s="117">
        <v>1862.06</v>
      </c>
      <c r="BE86" s="108"/>
    </row>
    <row r="87" spans="3:58" ht="98.1" customHeight="1">
      <c r="C87" s="143">
        <v>60222255</v>
      </c>
      <c r="F87" s="106" t="s">
        <v>325</v>
      </c>
      <c r="G87" s="113" t="s">
        <v>887</v>
      </c>
      <c r="J87" s="106" t="s">
        <v>887</v>
      </c>
      <c r="K87" s="121" t="s">
        <v>1141</v>
      </c>
      <c r="L87" s="119" t="s">
        <v>847</v>
      </c>
      <c r="M87" s="129"/>
      <c r="N87" s="134" t="s">
        <v>1186</v>
      </c>
      <c r="O87" s="134" t="s">
        <v>47</v>
      </c>
      <c r="P87" s="134" t="s">
        <v>47</v>
      </c>
      <c r="Q87" s="135" t="s">
        <v>1149</v>
      </c>
      <c r="R87" s="134"/>
      <c r="S87" s="134"/>
      <c r="T87" s="107"/>
      <c r="U87" s="106" t="s">
        <v>382</v>
      </c>
      <c r="Y87" s="106">
        <v>2</v>
      </c>
      <c r="AA87" s="106">
        <v>3</v>
      </c>
      <c r="AC87" s="106">
        <v>3</v>
      </c>
      <c r="AU87" s="129"/>
      <c r="AV87" s="113"/>
      <c r="BB87" s="117">
        <v>1978.48</v>
      </c>
      <c r="BE87" s="108"/>
    </row>
    <row r="88" spans="3:58" ht="98.1" customHeight="1">
      <c r="C88" s="143">
        <v>60222258</v>
      </c>
      <c r="F88" s="106" t="s">
        <v>1203</v>
      </c>
      <c r="G88" s="113" t="s">
        <v>887</v>
      </c>
      <c r="J88" s="106" t="s">
        <v>887</v>
      </c>
      <c r="K88" s="121" t="s">
        <v>1142</v>
      </c>
      <c r="L88" s="119" t="s">
        <v>269</v>
      </c>
      <c r="M88" s="129"/>
      <c r="N88" s="134" t="s">
        <v>1187</v>
      </c>
      <c r="O88" s="134" t="s">
        <v>47</v>
      </c>
      <c r="P88" s="134" t="s">
        <v>47</v>
      </c>
      <c r="Q88" s="135" t="s">
        <v>910</v>
      </c>
      <c r="R88" s="134"/>
      <c r="S88" s="134"/>
      <c r="T88" s="107"/>
      <c r="U88" s="106" t="s">
        <v>382</v>
      </c>
      <c r="V88" s="106">
        <v>8</v>
      </c>
      <c r="AU88" s="129"/>
      <c r="AV88" s="113"/>
      <c r="BB88" s="117">
        <v>1978.48</v>
      </c>
      <c r="BE88" s="108"/>
    </row>
    <row r="89" spans="3:58" ht="98.1" customHeight="1">
      <c r="C89" s="143">
        <v>60222310</v>
      </c>
      <c r="F89" s="106" t="s">
        <v>325</v>
      </c>
      <c r="G89" s="113" t="s">
        <v>887</v>
      </c>
      <c r="J89" s="106" t="s">
        <v>887</v>
      </c>
      <c r="K89" s="121" t="s">
        <v>1117</v>
      </c>
      <c r="L89" s="119" t="s">
        <v>55</v>
      </c>
      <c r="M89" s="129"/>
      <c r="N89" s="134" t="s">
        <v>1188</v>
      </c>
      <c r="O89" s="134" t="s">
        <v>911</v>
      </c>
      <c r="P89" s="134" t="s">
        <v>914</v>
      </c>
      <c r="Q89" s="135" t="s">
        <v>1149</v>
      </c>
      <c r="R89" s="134"/>
      <c r="S89" s="134"/>
      <c r="T89" s="107"/>
      <c r="U89" s="106" t="s">
        <v>382</v>
      </c>
      <c r="Y89" s="106">
        <v>2</v>
      </c>
      <c r="AC89" s="106">
        <v>2</v>
      </c>
      <c r="AV89" s="113"/>
      <c r="BB89" s="117">
        <v>1978.48</v>
      </c>
      <c r="BE89" s="108"/>
    </row>
    <row r="90" spans="3:58" ht="98.1" customHeight="1">
      <c r="C90" s="143">
        <v>60222327</v>
      </c>
      <c r="F90" s="106" t="s">
        <v>325</v>
      </c>
      <c r="G90" s="113" t="s">
        <v>887</v>
      </c>
      <c r="J90" s="106" t="s">
        <v>887</v>
      </c>
      <c r="K90" s="121" t="s">
        <v>1110</v>
      </c>
      <c r="L90" s="119" t="s">
        <v>53</v>
      </c>
      <c r="M90" s="129"/>
      <c r="N90" s="134" t="s">
        <v>1188</v>
      </c>
      <c r="O90" s="134" t="s">
        <v>47</v>
      </c>
      <c r="P90" s="134" t="s">
        <v>47</v>
      </c>
      <c r="Q90" s="135" t="s">
        <v>1149</v>
      </c>
      <c r="R90" s="134"/>
      <c r="S90" s="134"/>
      <c r="T90" s="107"/>
      <c r="U90" s="106" t="s">
        <v>382</v>
      </c>
      <c r="AA90" s="106">
        <v>6</v>
      </c>
      <c r="AV90" s="113"/>
      <c r="BB90" s="117">
        <v>1862.06</v>
      </c>
      <c r="BE90" s="108"/>
    </row>
    <row r="91" spans="3:58" ht="98.1" customHeight="1">
      <c r="C91" s="143">
        <v>60222332</v>
      </c>
      <c r="F91" s="106" t="s">
        <v>325</v>
      </c>
      <c r="G91" s="113" t="s">
        <v>887</v>
      </c>
      <c r="J91" s="106" t="s">
        <v>887</v>
      </c>
      <c r="K91" s="121" t="s">
        <v>1110</v>
      </c>
      <c r="L91" s="119" t="s">
        <v>53</v>
      </c>
      <c r="M91" s="129"/>
      <c r="N91" s="134" t="s">
        <v>1189</v>
      </c>
      <c r="O91" s="134" t="s">
        <v>47</v>
      </c>
      <c r="P91" s="134" t="s">
        <v>47</v>
      </c>
      <c r="Q91" s="135" t="s">
        <v>1154</v>
      </c>
      <c r="R91" s="134"/>
      <c r="S91" s="134"/>
      <c r="T91" s="107"/>
      <c r="U91" s="106" t="s">
        <v>382</v>
      </c>
      <c r="Y91" s="106">
        <v>2</v>
      </c>
      <c r="AA91" s="106">
        <v>3</v>
      </c>
      <c r="AC91" s="106">
        <v>3</v>
      </c>
      <c r="AV91" s="113"/>
      <c r="BB91" s="117">
        <v>1978.48</v>
      </c>
      <c r="BE91" s="108"/>
    </row>
    <row r="92" spans="3:58" ht="98.1" customHeight="1">
      <c r="C92" s="143">
        <v>60222375</v>
      </c>
      <c r="F92" s="106" t="s">
        <v>327</v>
      </c>
      <c r="G92" s="113" t="s">
        <v>887</v>
      </c>
      <c r="J92" s="106" t="s">
        <v>887</v>
      </c>
      <c r="K92" s="121" t="s">
        <v>1143</v>
      </c>
      <c r="L92" s="119" t="s">
        <v>78</v>
      </c>
      <c r="M92" s="129"/>
      <c r="N92" s="134" t="s">
        <v>1187</v>
      </c>
      <c r="O92" s="134" t="s">
        <v>47</v>
      </c>
      <c r="P92" s="134" t="s">
        <v>47</v>
      </c>
      <c r="Q92" s="135" t="s">
        <v>1149</v>
      </c>
      <c r="R92" s="134"/>
      <c r="S92" s="134"/>
      <c r="T92" s="107"/>
      <c r="U92" s="106" t="s">
        <v>382</v>
      </c>
      <c r="V92" s="106">
        <v>6</v>
      </c>
      <c r="AV92" s="113"/>
      <c r="BB92" s="117">
        <v>1687.44</v>
      </c>
      <c r="BE92" s="108"/>
    </row>
    <row r="93" spans="3:58" ht="98.1" customHeight="1">
      <c r="C93" s="143">
        <v>60222382</v>
      </c>
      <c r="F93" s="106" t="s">
        <v>325</v>
      </c>
      <c r="G93" s="113" t="s">
        <v>887</v>
      </c>
      <c r="J93" s="106" t="s">
        <v>887</v>
      </c>
      <c r="K93" s="121" t="s">
        <v>1139</v>
      </c>
      <c r="L93" s="133" t="s">
        <v>83</v>
      </c>
      <c r="M93" s="129"/>
      <c r="N93" s="134" t="s">
        <v>1189</v>
      </c>
      <c r="O93" s="134" t="s">
        <v>47</v>
      </c>
      <c r="P93" s="134" t="s">
        <v>47</v>
      </c>
      <c r="Q93" s="135" t="s">
        <v>1149</v>
      </c>
      <c r="R93" s="134"/>
      <c r="S93" s="134"/>
      <c r="T93" s="107"/>
      <c r="U93" s="107" t="s">
        <v>382</v>
      </c>
      <c r="Y93" s="106">
        <v>1</v>
      </c>
      <c r="AA93" s="106">
        <v>3</v>
      </c>
      <c r="AC93" s="106">
        <v>3</v>
      </c>
      <c r="AV93" s="113"/>
      <c r="BB93" s="117">
        <v>1978.48</v>
      </c>
      <c r="BE93" s="108"/>
    </row>
    <row r="94" spans="3:58" ht="98.1" customHeight="1">
      <c r="C94" s="143">
        <v>60222405</v>
      </c>
      <c r="F94" s="106" t="s">
        <v>327</v>
      </c>
      <c r="G94" s="113" t="s">
        <v>887</v>
      </c>
      <c r="J94" s="106" t="s">
        <v>887</v>
      </c>
      <c r="K94" s="121" t="s">
        <v>1144</v>
      </c>
      <c r="L94" s="119" t="s">
        <v>68</v>
      </c>
      <c r="M94" s="129"/>
      <c r="N94" s="134" t="s">
        <v>1187</v>
      </c>
      <c r="O94" s="134" t="s">
        <v>911</v>
      </c>
      <c r="P94" s="134" t="s">
        <v>914</v>
      </c>
      <c r="Q94" s="135" t="s">
        <v>1149</v>
      </c>
      <c r="R94" s="134"/>
      <c r="S94" s="134"/>
      <c r="T94" s="107"/>
      <c r="U94" s="106" t="s">
        <v>387</v>
      </c>
      <c r="V94" s="106">
        <v>8</v>
      </c>
      <c r="AV94" s="113"/>
      <c r="BB94" s="117">
        <v>1687.44</v>
      </c>
      <c r="BE94" s="108"/>
    </row>
    <row r="95" spans="3:58" ht="98.1" customHeight="1">
      <c r="C95" s="143">
        <v>60222423</v>
      </c>
      <c r="F95" s="106" t="s">
        <v>356</v>
      </c>
      <c r="G95" s="113" t="s">
        <v>887</v>
      </c>
      <c r="J95" s="106" t="s">
        <v>887</v>
      </c>
      <c r="K95" s="121" t="s">
        <v>1145</v>
      </c>
      <c r="L95" s="133" t="s">
        <v>83</v>
      </c>
      <c r="M95" s="129"/>
      <c r="N95" s="134" t="s">
        <v>1187</v>
      </c>
      <c r="O95" s="134" t="s">
        <v>1052</v>
      </c>
      <c r="P95" s="134" t="s">
        <v>1053</v>
      </c>
      <c r="Q95" s="135" t="s">
        <v>1154</v>
      </c>
      <c r="R95" s="134"/>
      <c r="S95" s="134"/>
      <c r="T95" s="107"/>
      <c r="U95" s="107" t="s">
        <v>382</v>
      </c>
      <c r="V95" s="106">
        <v>6</v>
      </c>
      <c r="AV95" s="113"/>
      <c r="BB95" s="117">
        <v>1978.48</v>
      </c>
      <c r="BE95" s="108"/>
    </row>
    <row r="96" spans="3:58" ht="98.1" customHeight="1">
      <c r="C96" s="143">
        <v>60222449</v>
      </c>
      <c r="F96" s="106" t="s">
        <v>325</v>
      </c>
      <c r="G96" s="113" t="s">
        <v>887</v>
      </c>
      <c r="J96" s="106" t="s">
        <v>887</v>
      </c>
      <c r="K96" s="121" t="s">
        <v>1116</v>
      </c>
      <c r="L96" s="119" t="s">
        <v>68</v>
      </c>
      <c r="M96" s="129"/>
      <c r="N96" s="134" t="s">
        <v>1189</v>
      </c>
      <c r="O96" s="134" t="s">
        <v>47</v>
      </c>
      <c r="P96" s="134" t="s">
        <v>47</v>
      </c>
      <c r="Q96" s="135" t="s">
        <v>1149</v>
      </c>
      <c r="R96" s="134"/>
      <c r="S96" s="134"/>
      <c r="T96" s="107"/>
      <c r="U96" s="106" t="s">
        <v>387</v>
      </c>
      <c r="Y96" s="106">
        <v>3</v>
      </c>
      <c r="AA96" s="106">
        <v>6</v>
      </c>
      <c r="AC96" s="106">
        <v>3</v>
      </c>
      <c r="AV96" s="113"/>
      <c r="BB96" s="117">
        <v>1978.48</v>
      </c>
      <c r="BE96" s="108"/>
    </row>
    <row r="97" spans="3:57" ht="98.1" customHeight="1">
      <c r="C97" s="143">
        <v>60222488</v>
      </c>
      <c r="F97" s="106" t="s">
        <v>1203</v>
      </c>
      <c r="G97" s="113" t="s">
        <v>887</v>
      </c>
      <c r="J97" s="106" t="s">
        <v>887</v>
      </c>
      <c r="K97" s="121" t="s">
        <v>1117</v>
      </c>
      <c r="L97" s="119" t="s">
        <v>53</v>
      </c>
      <c r="M97" s="129"/>
      <c r="N97" s="134" t="s">
        <v>1187</v>
      </c>
      <c r="O97" s="134" t="s">
        <v>911</v>
      </c>
      <c r="P97" s="134" t="s">
        <v>914</v>
      </c>
      <c r="Q97" s="135" t="s">
        <v>910</v>
      </c>
      <c r="R97" s="134"/>
      <c r="S97" s="134"/>
      <c r="T97" s="107"/>
      <c r="U97" s="106" t="s">
        <v>382</v>
      </c>
      <c r="V97" s="106">
        <v>9</v>
      </c>
      <c r="AV97" s="113"/>
      <c r="BB97" s="117">
        <v>1862.06</v>
      </c>
      <c r="BE97" s="108"/>
    </row>
    <row r="98" spans="3:57" ht="98.1" customHeight="1">
      <c r="C98" s="143">
        <v>60222489</v>
      </c>
      <c r="F98" s="106" t="s">
        <v>1203</v>
      </c>
      <c r="G98" s="113" t="s">
        <v>887</v>
      </c>
      <c r="J98" s="106" t="s">
        <v>887</v>
      </c>
      <c r="K98" s="121" t="s">
        <v>1126</v>
      </c>
      <c r="L98" s="133" t="s">
        <v>83</v>
      </c>
      <c r="M98" s="129"/>
      <c r="N98" s="134" t="s">
        <v>1187</v>
      </c>
      <c r="O98" s="134" t="s">
        <v>988</v>
      </c>
      <c r="P98" s="134" t="s">
        <v>994</v>
      </c>
      <c r="Q98" s="134" t="s">
        <v>910</v>
      </c>
      <c r="R98" s="134"/>
      <c r="S98" s="134"/>
      <c r="T98" s="107"/>
      <c r="U98" s="107" t="s">
        <v>382</v>
      </c>
      <c r="V98" s="106">
        <v>6</v>
      </c>
      <c r="AV98" s="113"/>
      <c r="BB98" s="117">
        <v>1862.06</v>
      </c>
      <c r="BE98" s="108"/>
    </row>
    <row r="99" spans="3:57" ht="98.1" customHeight="1">
      <c r="C99" s="143">
        <v>60222496</v>
      </c>
      <c r="F99" s="106" t="s">
        <v>327</v>
      </c>
      <c r="G99" s="113" t="s">
        <v>887</v>
      </c>
      <c r="J99" s="106" t="s">
        <v>887</v>
      </c>
      <c r="K99" s="121" t="s">
        <v>1110</v>
      </c>
      <c r="L99" s="133" t="s">
        <v>53</v>
      </c>
      <c r="M99" s="129"/>
      <c r="N99" s="134" t="s">
        <v>1187</v>
      </c>
      <c r="O99" s="134" t="s">
        <v>911</v>
      </c>
      <c r="P99" s="134" t="s">
        <v>912</v>
      </c>
      <c r="Q99" s="134" t="s">
        <v>1154</v>
      </c>
      <c r="R99" s="134"/>
      <c r="S99" s="134"/>
      <c r="T99" s="107"/>
      <c r="U99" s="107" t="s">
        <v>382</v>
      </c>
      <c r="V99" s="106">
        <v>12</v>
      </c>
      <c r="AV99" s="113"/>
      <c r="BB99" s="117">
        <v>2153.1</v>
      </c>
      <c r="BE99" s="108"/>
    </row>
    <row r="100" spans="3:57" ht="98.1" customHeight="1">
      <c r="C100" s="143">
        <v>60222498</v>
      </c>
      <c r="F100" s="106" t="s">
        <v>325</v>
      </c>
      <c r="G100" s="113" t="s">
        <v>887</v>
      </c>
      <c r="J100" s="106" t="s">
        <v>887</v>
      </c>
      <c r="K100" s="121" t="s">
        <v>1146</v>
      </c>
      <c r="L100" s="119" t="s">
        <v>68</v>
      </c>
      <c r="M100" s="129"/>
      <c r="N100" s="134" t="s">
        <v>1190</v>
      </c>
      <c r="O100" s="134" t="s">
        <v>47</v>
      </c>
      <c r="P100" s="134" t="s">
        <v>47</v>
      </c>
      <c r="Q100" s="121" t="s">
        <v>1149</v>
      </c>
      <c r="R100" s="134"/>
      <c r="S100" s="134"/>
      <c r="T100" s="107"/>
      <c r="U100" s="106" t="s">
        <v>387</v>
      </c>
      <c r="AA100" s="106">
        <v>6</v>
      </c>
      <c r="AC100" s="106">
        <v>3</v>
      </c>
      <c r="AV100" s="113"/>
      <c r="BB100" s="117">
        <v>1920.27</v>
      </c>
      <c r="BE100" s="108"/>
    </row>
    <row r="101" spans="3:57" ht="98.1" customHeight="1">
      <c r="C101" s="143">
        <v>60222505</v>
      </c>
      <c r="F101" s="106" t="s">
        <v>325</v>
      </c>
      <c r="G101" s="113" t="s">
        <v>887</v>
      </c>
      <c r="J101" s="106" t="s">
        <v>887</v>
      </c>
      <c r="K101" s="121" t="s">
        <v>1110</v>
      </c>
      <c r="L101" s="133" t="s">
        <v>53</v>
      </c>
      <c r="M101" s="129"/>
      <c r="N101" s="134" t="s">
        <v>1185</v>
      </c>
      <c r="O101" s="134" t="s">
        <v>988</v>
      </c>
      <c r="P101" s="134" t="s">
        <v>989</v>
      </c>
      <c r="Q101" s="135" t="s">
        <v>1149</v>
      </c>
      <c r="R101" s="134"/>
      <c r="S101" s="134"/>
      <c r="T101" s="107"/>
      <c r="U101" s="106" t="s">
        <v>382</v>
      </c>
      <c r="AC101" s="106">
        <v>3</v>
      </c>
      <c r="AV101" s="113"/>
      <c r="BB101" s="117">
        <v>1978.48</v>
      </c>
      <c r="BE101" s="108"/>
    </row>
    <row r="102" spans="3:57" ht="98.1" customHeight="1">
      <c r="C102" s="143">
        <v>60222506</v>
      </c>
      <c r="F102" s="106" t="s">
        <v>325</v>
      </c>
      <c r="G102" s="113" t="s">
        <v>887</v>
      </c>
      <c r="J102" s="106" t="s">
        <v>887</v>
      </c>
      <c r="K102" s="121" t="s">
        <v>1126</v>
      </c>
      <c r="L102" s="133" t="s">
        <v>231</v>
      </c>
      <c r="M102" s="129"/>
      <c r="N102" s="134" t="s">
        <v>1184</v>
      </c>
      <c r="O102" s="134" t="s">
        <v>911</v>
      </c>
      <c r="P102" s="134" t="s">
        <v>914</v>
      </c>
      <c r="Q102" s="134" t="s">
        <v>1149</v>
      </c>
      <c r="R102" s="134"/>
      <c r="S102" s="134"/>
      <c r="T102" s="107"/>
      <c r="U102" s="107" t="s">
        <v>382</v>
      </c>
      <c r="Y102" s="106">
        <v>2</v>
      </c>
      <c r="AC102" s="106">
        <v>2</v>
      </c>
      <c r="AV102" s="113"/>
      <c r="BB102" s="117">
        <v>1978.48</v>
      </c>
      <c r="BE102" s="108"/>
    </row>
    <row r="103" spans="3:57" ht="98.1" customHeight="1">
      <c r="C103" s="143">
        <v>60222551</v>
      </c>
      <c r="F103" s="106" t="s">
        <v>327</v>
      </c>
      <c r="G103" s="113" t="s">
        <v>887</v>
      </c>
      <c r="J103" s="106" t="s">
        <v>887</v>
      </c>
      <c r="K103" s="121" t="s">
        <v>1110</v>
      </c>
      <c r="L103" s="133" t="s">
        <v>53</v>
      </c>
      <c r="M103" s="129"/>
      <c r="N103" s="134" t="s">
        <v>1183</v>
      </c>
      <c r="O103" s="134" t="s">
        <v>47</v>
      </c>
      <c r="P103" s="134" t="s">
        <v>47</v>
      </c>
      <c r="Q103" s="135" t="s">
        <v>1149</v>
      </c>
      <c r="R103" s="134"/>
      <c r="S103" s="134"/>
      <c r="T103" s="107"/>
      <c r="U103" s="107" t="s">
        <v>382</v>
      </c>
      <c r="V103" s="106">
        <v>3</v>
      </c>
      <c r="AV103" s="113"/>
      <c r="BB103" s="117">
        <v>1512.82</v>
      </c>
      <c r="BE103" s="108"/>
    </row>
    <row r="104" spans="3:57" ht="98.1" customHeight="1">
      <c r="C104" s="143">
        <v>60222553</v>
      </c>
      <c r="F104" s="106" t="s">
        <v>325</v>
      </c>
      <c r="G104" s="113" t="s">
        <v>887</v>
      </c>
      <c r="J104" s="106" t="s">
        <v>887</v>
      </c>
      <c r="K104" s="121" t="s">
        <v>1147</v>
      </c>
      <c r="L104" s="119" t="s">
        <v>233</v>
      </c>
      <c r="M104" s="129"/>
      <c r="N104" s="134" t="s">
        <v>1184</v>
      </c>
      <c r="O104" s="134" t="s">
        <v>47</v>
      </c>
      <c r="P104" s="134" t="s">
        <v>47</v>
      </c>
      <c r="Q104" s="121" t="s">
        <v>1149</v>
      </c>
      <c r="R104" s="134"/>
      <c r="S104" s="134"/>
      <c r="T104" s="107"/>
      <c r="U104" s="106" t="s">
        <v>387</v>
      </c>
      <c r="AA104" s="106">
        <v>6</v>
      </c>
      <c r="AC104" s="106">
        <v>3</v>
      </c>
      <c r="AV104" s="113"/>
      <c r="BB104" s="117">
        <v>1920.27</v>
      </c>
      <c r="BE104" s="108"/>
    </row>
    <row r="105" spans="3:57" ht="98.1" customHeight="1">
      <c r="C105" s="143"/>
      <c r="G105" s="113"/>
      <c r="M105" s="129"/>
      <c r="N105" s="134"/>
      <c r="O105" s="134"/>
      <c r="P105" s="134"/>
      <c r="Q105" s="135"/>
      <c r="R105" s="134"/>
      <c r="S105" s="134"/>
      <c r="T105" s="107"/>
      <c r="AV105" s="113"/>
      <c r="BE105" s="108"/>
    </row>
    <row r="106" spans="3:57" ht="98.1" customHeight="1">
      <c r="C106" s="143"/>
      <c r="G106" s="113"/>
      <c r="L106" s="133"/>
      <c r="M106" s="129"/>
      <c r="N106" s="134"/>
      <c r="O106" s="134"/>
      <c r="P106" s="134"/>
      <c r="Q106" s="135"/>
      <c r="R106" s="134"/>
      <c r="S106" s="134"/>
      <c r="T106" s="107"/>
      <c r="U106" s="107"/>
      <c r="AV106" s="113"/>
      <c r="BE106" s="108"/>
    </row>
    <row r="107" spans="3:57" ht="98.1" customHeight="1">
      <c r="C107" s="143"/>
      <c r="G107" s="113"/>
      <c r="L107" s="133"/>
      <c r="M107" s="129"/>
      <c r="N107" s="134"/>
      <c r="O107" s="134"/>
      <c r="P107" s="134"/>
      <c r="Q107" s="135"/>
      <c r="R107" s="134"/>
      <c r="S107" s="134"/>
      <c r="T107" s="107"/>
      <c r="U107" s="107"/>
      <c r="AV107" s="113"/>
      <c r="BE107" s="108"/>
    </row>
    <row r="108" spans="3:57" ht="98.1" customHeight="1">
      <c r="C108" s="143"/>
      <c r="G108" s="113"/>
      <c r="L108" s="133"/>
      <c r="M108" s="129"/>
      <c r="N108" s="134"/>
      <c r="O108" s="134"/>
      <c r="P108" s="134"/>
      <c r="Q108" s="135"/>
      <c r="R108" s="134"/>
      <c r="S108" s="134"/>
      <c r="T108" s="107"/>
      <c r="U108" s="107"/>
      <c r="AV108" s="113"/>
      <c r="BE108" s="108"/>
    </row>
    <row r="109" spans="3:57" ht="98.1" customHeight="1">
      <c r="C109" s="143"/>
      <c r="G109" s="113"/>
      <c r="L109" s="133"/>
      <c r="M109" s="129"/>
      <c r="N109" s="134"/>
      <c r="O109" s="134"/>
      <c r="P109" s="134"/>
      <c r="Q109" s="135"/>
      <c r="R109" s="134"/>
      <c r="S109" s="134"/>
      <c r="T109" s="107"/>
      <c r="U109" s="107"/>
      <c r="AV109" s="113"/>
      <c r="BE109" s="108"/>
    </row>
    <row r="110" spans="3:57" ht="98.1" customHeight="1">
      <c r="C110" s="143"/>
      <c r="G110" s="113"/>
      <c r="L110" s="133"/>
      <c r="M110" s="129"/>
      <c r="N110" s="134"/>
      <c r="O110" s="134"/>
      <c r="P110" s="134"/>
      <c r="Q110" s="135"/>
      <c r="R110" s="134"/>
      <c r="S110" s="134"/>
      <c r="T110" s="107"/>
      <c r="U110" s="107"/>
      <c r="AV110" s="113"/>
      <c r="BE110" s="108"/>
    </row>
    <row r="111" spans="3:57" ht="98.1" customHeight="1">
      <c r="C111" s="143"/>
      <c r="G111" s="113"/>
      <c r="L111" s="133"/>
      <c r="M111" s="129"/>
      <c r="N111" s="134"/>
      <c r="O111" s="134"/>
      <c r="P111" s="134"/>
      <c r="Q111" s="135"/>
      <c r="R111" s="134"/>
      <c r="S111" s="134"/>
      <c r="T111" s="107"/>
      <c r="U111" s="107"/>
      <c r="AV111" s="113"/>
      <c r="BE111" s="108"/>
    </row>
    <row r="112" spans="3:57" ht="98.1" customHeight="1">
      <c r="C112" s="143"/>
      <c r="G112" s="113"/>
      <c r="M112" s="129"/>
      <c r="N112" s="134"/>
      <c r="O112" s="134"/>
      <c r="P112" s="134"/>
      <c r="Q112" s="135"/>
      <c r="R112" s="134"/>
      <c r="S112" s="134"/>
      <c r="T112" s="107"/>
      <c r="AV112" s="113"/>
      <c r="BE112" s="108"/>
    </row>
    <row r="113" spans="3:57" ht="98.1" customHeight="1">
      <c r="C113" s="143"/>
      <c r="G113" s="113"/>
      <c r="M113" s="129"/>
      <c r="N113" s="134"/>
      <c r="O113" s="134"/>
      <c r="P113" s="134"/>
      <c r="Q113" s="135"/>
      <c r="R113" s="134"/>
      <c r="S113" s="134"/>
      <c r="T113" s="107"/>
      <c r="AV113" s="113"/>
      <c r="BE113" s="108"/>
    </row>
    <row r="114" spans="3:57" ht="98.1" customHeight="1">
      <c r="C114" s="143"/>
      <c r="G114" s="113"/>
      <c r="L114" s="133"/>
      <c r="M114" s="129"/>
      <c r="N114" s="134"/>
      <c r="O114" s="134"/>
      <c r="P114" s="134"/>
      <c r="Q114" s="135"/>
      <c r="R114" s="134"/>
      <c r="S114" s="134"/>
      <c r="T114" s="107"/>
      <c r="U114" s="107"/>
      <c r="AV114" s="113"/>
      <c r="BE114" s="108"/>
    </row>
    <row r="115" spans="3:57" ht="98.1" customHeight="1">
      <c r="C115" s="143"/>
      <c r="G115" s="113"/>
      <c r="L115" s="133"/>
      <c r="M115" s="129"/>
      <c r="N115" s="134"/>
      <c r="O115" s="134"/>
      <c r="P115" s="134"/>
      <c r="Q115" s="135"/>
      <c r="R115" s="134"/>
      <c r="S115" s="134"/>
      <c r="T115" s="107"/>
      <c r="U115" s="107"/>
      <c r="AV115" s="113"/>
      <c r="BE115" s="108"/>
    </row>
    <row r="116" spans="3:57" ht="98.1" customHeight="1">
      <c r="C116" s="143"/>
      <c r="G116" s="113"/>
      <c r="L116" s="133"/>
      <c r="M116" s="129"/>
      <c r="N116" s="134"/>
      <c r="O116" s="134"/>
      <c r="P116" s="134"/>
      <c r="Q116" s="135"/>
      <c r="R116" s="134"/>
      <c r="S116" s="134"/>
      <c r="T116" s="107"/>
      <c r="U116" s="107"/>
      <c r="AV116" s="113"/>
      <c r="BE116" s="108"/>
    </row>
    <row r="117" spans="3:57" ht="98.1" customHeight="1">
      <c r="C117" s="143"/>
      <c r="G117" s="113"/>
      <c r="L117" s="133"/>
      <c r="M117" s="129"/>
      <c r="N117" s="134"/>
      <c r="O117" s="134"/>
      <c r="P117" s="134"/>
      <c r="Q117" s="135"/>
      <c r="R117" s="134"/>
      <c r="S117" s="134"/>
      <c r="T117" s="107"/>
      <c r="U117" s="107"/>
      <c r="AV117" s="113"/>
      <c r="BE117" s="108"/>
    </row>
    <row r="118" spans="3:57" ht="98.1" customHeight="1">
      <c r="C118" s="143"/>
      <c r="G118" s="113"/>
      <c r="M118" s="129"/>
      <c r="N118" s="134"/>
      <c r="O118" s="134"/>
      <c r="P118" s="134"/>
      <c r="Q118" s="135"/>
      <c r="R118" s="134"/>
      <c r="S118" s="134"/>
      <c r="T118" s="107"/>
      <c r="AV118" s="113"/>
      <c r="BE118" s="108"/>
    </row>
    <row r="119" spans="3:57" ht="98.1" customHeight="1">
      <c r="C119" s="143"/>
      <c r="G119" s="113"/>
      <c r="M119" s="129"/>
      <c r="N119" s="134"/>
      <c r="O119" s="134"/>
      <c r="P119" s="134"/>
      <c r="Q119" s="135"/>
      <c r="R119" s="134"/>
      <c r="S119" s="134"/>
      <c r="T119" s="107"/>
      <c r="AV119" s="113"/>
      <c r="BE119" s="108"/>
    </row>
    <row r="120" spans="3:57" ht="98.1" customHeight="1">
      <c r="C120" s="143"/>
      <c r="G120" s="113"/>
      <c r="M120" s="129"/>
      <c r="N120" s="134"/>
      <c r="O120" s="134"/>
      <c r="P120" s="134"/>
      <c r="Q120" s="135"/>
      <c r="R120" s="134"/>
      <c r="S120" s="134"/>
      <c r="T120" s="107"/>
      <c r="AV120" s="113"/>
      <c r="BE120" s="108"/>
    </row>
    <row r="121" spans="3:57" ht="98.1" customHeight="1">
      <c r="C121" s="143"/>
      <c r="G121" s="113"/>
      <c r="M121" s="129"/>
      <c r="N121" s="134"/>
      <c r="O121" s="134"/>
      <c r="P121" s="134"/>
      <c r="Q121" s="135"/>
      <c r="R121" s="134"/>
      <c r="S121" s="134"/>
      <c r="T121" s="107"/>
      <c r="AV121" s="113"/>
      <c r="BE121" s="108"/>
    </row>
    <row r="122" spans="3:57" ht="98.1" customHeight="1">
      <c r="C122" s="143"/>
      <c r="G122" s="113"/>
      <c r="M122" s="129"/>
      <c r="N122" s="134"/>
      <c r="O122" s="134"/>
      <c r="P122" s="134"/>
      <c r="Q122" s="135"/>
      <c r="R122" s="134"/>
      <c r="S122" s="134"/>
      <c r="T122" s="107"/>
      <c r="AV122" s="113"/>
      <c r="BE122" s="108"/>
    </row>
    <row r="123" spans="3:57" ht="98.1" customHeight="1">
      <c r="C123" s="143"/>
      <c r="G123" s="113"/>
      <c r="M123" s="129"/>
      <c r="N123" s="134"/>
      <c r="O123" s="134"/>
      <c r="P123" s="134"/>
      <c r="Q123" s="135"/>
      <c r="R123" s="134"/>
      <c r="S123" s="134"/>
      <c r="T123" s="107"/>
      <c r="AV123" s="113"/>
      <c r="BE123" s="108"/>
    </row>
    <row r="124" spans="3:57" ht="98.1" customHeight="1">
      <c r="C124" s="143"/>
      <c r="G124" s="113"/>
      <c r="M124" s="129"/>
      <c r="N124" s="134"/>
      <c r="O124" s="134"/>
      <c r="P124" s="134"/>
      <c r="Q124" s="135"/>
      <c r="R124" s="134"/>
      <c r="S124" s="134"/>
      <c r="T124" s="107"/>
      <c r="AV124" s="113"/>
      <c r="BE124" s="108"/>
    </row>
    <row r="125" spans="3:57" ht="98.1" customHeight="1">
      <c r="C125" s="143"/>
      <c r="G125" s="113"/>
      <c r="M125" s="129"/>
      <c r="N125" s="134"/>
      <c r="O125" s="134"/>
      <c r="P125" s="134"/>
      <c r="Q125" s="135"/>
      <c r="R125" s="134"/>
      <c r="S125" s="134"/>
      <c r="T125" s="107"/>
      <c r="AV125" s="113"/>
      <c r="BE125" s="108"/>
    </row>
    <row r="126" spans="3:57" ht="98.1" customHeight="1">
      <c r="C126" s="143"/>
      <c r="G126" s="113"/>
      <c r="L126" s="133"/>
      <c r="M126" s="129"/>
      <c r="N126" s="134"/>
      <c r="O126" s="134"/>
      <c r="P126" s="134"/>
      <c r="Q126" s="135"/>
      <c r="R126" s="134"/>
      <c r="S126" s="134"/>
      <c r="T126" s="107"/>
      <c r="U126" s="107"/>
      <c r="AV126" s="113"/>
      <c r="BE126" s="108"/>
    </row>
    <row r="127" spans="3:57" ht="98.1" customHeight="1">
      <c r="C127" s="143"/>
      <c r="G127" s="113"/>
      <c r="M127" s="129"/>
      <c r="N127" s="134"/>
      <c r="O127" s="134"/>
      <c r="P127" s="134"/>
      <c r="Q127" s="135"/>
      <c r="R127" s="134"/>
      <c r="S127" s="134"/>
      <c r="T127" s="107"/>
      <c r="AV127" s="113"/>
      <c r="BE127" s="108"/>
    </row>
    <row r="128" spans="3:57" ht="98.1" customHeight="1">
      <c r="C128" s="143"/>
      <c r="G128" s="113"/>
      <c r="L128" s="133"/>
      <c r="M128" s="129"/>
      <c r="N128" s="134"/>
      <c r="O128" s="134"/>
      <c r="P128" s="134"/>
      <c r="Q128" s="135"/>
      <c r="R128" s="134"/>
      <c r="S128" s="134"/>
      <c r="T128" s="107"/>
      <c r="U128" s="107"/>
      <c r="AV128" s="113"/>
      <c r="BE128" s="108"/>
    </row>
    <row r="129" spans="3:57" ht="98.1" customHeight="1">
      <c r="C129" s="143"/>
      <c r="G129" s="113"/>
      <c r="M129" s="129"/>
      <c r="N129" s="134"/>
      <c r="O129" s="134"/>
      <c r="P129" s="134"/>
      <c r="Q129" s="135"/>
      <c r="R129" s="134"/>
      <c r="S129" s="134"/>
      <c r="T129" s="107"/>
      <c r="AV129" s="113"/>
      <c r="BE129" s="108"/>
    </row>
    <row r="130" spans="3:57" ht="98.1" customHeight="1">
      <c r="C130" s="143"/>
      <c r="G130" s="113"/>
      <c r="M130" s="129"/>
      <c r="N130" s="134"/>
      <c r="O130" s="134"/>
      <c r="P130" s="134"/>
      <c r="Q130" s="135"/>
      <c r="R130" s="134"/>
      <c r="S130" s="134"/>
      <c r="T130" s="107"/>
      <c r="AV130" s="113"/>
      <c r="BE130" s="108"/>
    </row>
    <row r="131" spans="3:57" ht="98.1" customHeight="1">
      <c r="C131" s="143"/>
      <c r="G131" s="113"/>
      <c r="M131" s="129"/>
      <c r="N131" s="134"/>
      <c r="O131" s="134"/>
      <c r="P131" s="134"/>
      <c r="Q131" s="135"/>
      <c r="R131" s="134"/>
      <c r="S131" s="134"/>
      <c r="T131" s="107"/>
      <c r="AV131" s="113"/>
      <c r="BE131" s="108"/>
    </row>
    <row r="132" spans="3:57" ht="98.1" customHeight="1">
      <c r="C132" s="143"/>
      <c r="G132" s="113"/>
      <c r="M132" s="129"/>
      <c r="N132" s="134"/>
      <c r="O132" s="134"/>
      <c r="P132" s="134"/>
      <c r="Q132" s="135"/>
      <c r="R132" s="134"/>
      <c r="S132" s="134"/>
      <c r="T132" s="107"/>
      <c r="AV132" s="113"/>
      <c r="BE132" s="108"/>
    </row>
    <row r="133" spans="3:57" ht="98.1" customHeight="1">
      <c r="C133" s="143"/>
      <c r="G133" s="113"/>
      <c r="M133" s="129"/>
      <c r="N133" s="134"/>
      <c r="O133" s="134"/>
      <c r="P133" s="134"/>
      <c r="Q133" s="135"/>
      <c r="R133" s="134"/>
      <c r="S133" s="134"/>
      <c r="T133" s="107"/>
      <c r="AV133" s="113"/>
      <c r="BE133" s="108"/>
    </row>
    <row r="134" spans="3:57" ht="98.1" customHeight="1">
      <c r="C134" s="143"/>
      <c r="G134" s="113"/>
      <c r="M134" s="129"/>
      <c r="N134" s="134"/>
      <c r="O134" s="134"/>
      <c r="P134" s="134"/>
      <c r="Q134" s="135"/>
      <c r="R134" s="134"/>
      <c r="S134" s="134"/>
      <c r="T134" s="107"/>
      <c r="AV134" s="113"/>
      <c r="BE134" s="108"/>
    </row>
    <row r="135" spans="3:57" ht="98.1" customHeight="1">
      <c r="C135" s="143"/>
      <c r="G135" s="113"/>
      <c r="L135" s="133"/>
      <c r="M135" s="129"/>
      <c r="N135" s="134"/>
      <c r="O135" s="134"/>
      <c r="P135" s="134"/>
      <c r="Q135" s="135"/>
      <c r="R135" s="134"/>
      <c r="S135" s="134"/>
      <c r="T135" s="107"/>
      <c r="U135" s="107"/>
      <c r="AV135" s="113"/>
      <c r="BE135" s="108"/>
    </row>
    <row r="136" spans="3:57" ht="98.1" hidden="1" customHeight="1">
      <c r="C136" s="120" t="s">
        <v>47</v>
      </c>
      <c r="G136" s="113"/>
      <c r="L136" s="133"/>
      <c r="M136" s="129"/>
      <c r="N136" s="134"/>
      <c r="O136" s="134"/>
      <c r="P136" s="134"/>
      <c r="Q136" s="135"/>
      <c r="R136" s="134"/>
      <c r="S136" s="134"/>
      <c r="T136" s="107"/>
      <c r="U136" s="107"/>
      <c r="AV136" s="113"/>
      <c r="BE136" s="108"/>
    </row>
    <row r="137" spans="3:57" ht="98.1" customHeight="1">
      <c r="G137" s="113"/>
      <c r="L137" s="133"/>
      <c r="M137" s="129"/>
      <c r="N137" s="134"/>
      <c r="O137" s="134"/>
      <c r="P137" s="134"/>
      <c r="Q137" s="134"/>
      <c r="R137" s="134"/>
      <c r="S137" s="134"/>
      <c r="T137" s="107"/>
      <c r="U137" s="107"/>
      <c r="AV137" s="113"/>
      <c r="BE137" s="108"/>
    </row>
    <row r="138" spans="3:57" ht="98.1" customHeight="1">
      <c r="G138" s="113"/>
      <c r="M138" s="129"/>
      <c r="N138" s="134"/>
      <c r="O138" s="134"/>
      <c r="P138" s="134"/>
      <c r="Q138" s="135"/>
      <c r="R138" s="134"/>
      <c r="S138" s="134"/>
      <c r="T138" s="107"/>
      <c r="AV138" s="113"/>
      <c r="BE138" s="108"/>
    </row>
    <row r="139" spans="3:57" ht="98.1" customHeight="1">
      <c r="G139" s="113"/>
      <c r="L139" s="133"/>
      <c r="M139" s="129"/>
      <c r="N139" s="134"/>
      <c r="O139" s="134"/>
      <c r="P139" s="134"/>
      <c r="Q139" s="135"/>
      <c r="R139" s="134"/>
      <c r="S139" s="134"/>
      <c r="T139" s="107"/>
      <c r="U139" s="107"/>
      <c r="AV139" s="113"/>
      <c r="BE139" s="108"/>
    </row>
    <row r="140" spans="3:57" ht="98.1" customHeight="1">
      <c r="G140" s="113"/>
      <c r="L140" s="133"/>
      <c r="M140" s="129"/>
      <c r="N140" s="134"/>
      <c r="O140" s="134"/>
      <c r="P140" s="134"/>
      <c r="Q140" s="135"/>
      <c r="R140" s="134"/>
      <c r="S140" s="134"/>
      <c r="T140" s="107"/>
      <c r="U140" s="107"/>
      <c r="AV140" s="113"/>
      <c r="BE140" s="108"/>
    </row>
    <row r="141" spans="3:57" ht="98.1" customHeight="1">
      <c r="G141" s="113"/>
      <c r="M141" s="129"/>
      <c r="N141" s="134"/>
      <c r="O141" s="134"/>
      <c r="P141" s="134"/>
      <c r="Q141" s="135"/>
      <c r="R141" s="134"/>
      <c r="S141" s="134"/>
      <c r="T141" s="107"/>
      <c r="AV141" s="113"/>
      <c r="BE141" s="108"/>
    </row>
    <row r="142" spans="3:57" ht="98.1" customHeight="1">
      <c r="G142" s="113"/>
      <c r="M142" s="129"/>
      <c r="N142" s="134"/>
      <c r="O142" s="134"/>
      <c r="P142" s="134"/>
      <c r="Q142" s="135"/>
      <c r="R142" s="134"/>
      <c r="S142" s="134"/>
      <c r="T142" s="107"/>
      <c r="AV142" s="113"/>
      <c r="BE142" s="108"/>
    </row>
    <row r="143" spans="3:57" ht="98.1" customHeight="1">
      <c r="G143" s="113"/>
      <c r="M143" s="129"/>
      <c r="N143" s="134"/>
      <c r="O143" s="134"/>
      <c r="P143" s="134"/>
      <c r="Q143" s="135"/>
      <c r="R143" s="134"/>
      <c r="S143" s="134"/>
      <c r="T143" s="107"/>
      <c r="AV143" s="113"/>
      <c r="BE143" s="108"/>
    </row>
    <row r="144" spans="3:57" ht="98.1" customHeight="1">
      <c r="M144" s="129"/>
      <c r="N144" s="134"/>
      <c r="O144" s="134"/>
      <c r="P144" s="134"/>
      <c r="Q144" s="135"/>
      <c r="R144" s="134"/>
      <c r="S144" s="134"/>
      <c r="AV144" s="113"/>
      <c r="BE144" s="108"/>
    </row>
    <row r="145" spans="13:57" ht="98.1" customHeight="1">
      <c r="M145" s="129"/>
      <c r="N145" s="134"/>
      <c r="O145" s="134"/>
      <c r="P145" s="134"/>
      <c r="Q145" s="135"/>
      <c r="R145" s="134"/>
      <c r="S145" s="134"/>
      <c r="AV145" s="113"/>
      <c r="BE145" s="108"/>
    </row>
    <row r="146" spans="13:57" ht="98.1" customHeight="1">
      <c r="M146" s="129"/>
      <c r="N146" s="134"/>
      <c r="O146" s="134"/>
      <c r="P146" s="134"/>
      <c r="Q146" s="135"/>
      <c r="R146" s="134"/>
      <c r="S146" s="134"/>
      <c r="AV146" s="113"/>
      <c r="BE146" s="108"/>
    </row>
    <row r="147" spans="13:57" ht="98.1" customHeight="1">
      <c r="M147" s="129"/>
      <c r="N147" s="134"/>
      <c r="O147" s="134"/>
      <c r="P147" s="134"/>
      <c r="Q147" s="135"/>
      <c r="R147" s="134"/>
      <c r="S147" s="134"/>
      <c r="AV147" s="113"/>
      <c r="BE147" s="108"/>
    </row>
    <row r="148" spans="13:57" ht="98.1" customHeight="1">
      <c r="M148" s="129"/>
      <c r="N148" s="134"/>
      <c r="O148" s="134"/>
      <c r="P148" s="134"/>
      <c r="Q148" s="135"/>
      <c r="R148" s="134"/>
      <c r="S148" s="134"/>
      <c r="AV148" s="113"/>
      <c r="BE148" s="108"/>
    </row>
    <row r="149" spans="13:57" ht="98.1" customHeight="1">
      <c r="M149" s="129"/>
      <c r="N149" s="134"/>
      <c r="O149" s="134"/>
      <c r="P149" s="134"/>
      <c r="Q149" s="135"/>
      <c r="R149" s="134"/>
      <c r="S149" s="134"/>
      <c r="AV149" s="113"/>
      <c r="BE149" s="108"/>
    </row>
    <row r="150" spans="13:57" ht="98.1" customHeight="1">
      <c r="M150" s="129"/>
      <c r="N150" s="134"/>
      <c r="O150" s="134"/>
      <c r="P150" s="134"/>
      <c r="Q150" s="135"/>
      <c r="R150" s="134"/>
      <c r="S150" s="134"/>
      <c r="AV150" s="113"/>
      <c r="BE150" s="108"/>
    </row>
    <row r="151" spans="13:57" ht="98.1" customHeight="1">
      <c r="M151" s="129"/>
      <c r="N151" s="134"/>
      <c r="O151" s="134"/>
      <c r="P151" s="134"/>
      <c r="Q151" s="135"/>
      <c r="R151" s="134"/>
      <c r="S151" s="134"/>
      <c r="AV151" s="113"/>
      <c r="BE151" s="108"/>
    </row>
    <row r="152" spans="13:57" ht="98.1" customHeight="1">
      <c r="M152" s="129"/>
      <c r="N152" s="134"/>
      <c r="O152" s="134"/>
      <c r="P152" s="134"/>
      <c r="Q152" s="135"/>
      <c r="R152" s="134"/>
      <c r="S152" s="134"/>
      <c r="AV152" s="113"/>
      <c r="BE152" s="108"/>
    </row>
    <row r="153" spans="13:57" ht="98.1" customHeight="1">
      <c r="M153" s="129"/>
      <c r="N153" s="134"/>
      <c r="O153" s="134"/>
      <c r="P153" s="134"/>
      <c r="Q153" s="135"/>
      <c r="R153" s="134"/>
      <c r="S153" s="134"/>
      <c r="AV153" s="113"/>
      <c r="BE153" s="108"/>
    </row>
    <row r="154" spans="13:57" ht="98.1" customHeight="1">
      <c r="N154" s="134"/>
      <c r="O154" s="134"/>
      <c r="P154" s="134"/>
      <c r="Q154" s="135"/>
      <c r="S154" s="134"/>
      <c r="AV154" s="113"/>
      <c r="BE154" s="108"/>
    </row>
    <row r="155" spans="13:57" ht="98.1" customHeight="1">
      <c r="N155" s="134"/>
      <c r="O155" s="134"/>
      <c r="P155" s="134"/>
      <c r="Q155" s="135"/>
      <c r="S155" s="134"/>
      <c r="AV155" s="113"/>
      <c r="BE155" s="108"/>
    </row>
    <row r="156" spans="13:57" ht="98.1" customHeight="1">
      <c r="N156" s="134"/>
      <c r="O156" s="134"/>
      <c r="P156" s="134"/>
      <c r="Q156" s="135"/>
      <c r="S156" s="134"/>
      <c r="AV156" s="113"/>
      <c r="BE156" s="108"/>
    </row>
    <row r="157" spans="13:57" ht="98.1" customHeight="1">
      <c r="N157" s="134"/>
      <c r="O157" s="134"/>
      <c r="P157" s="134"/>
      <c r="Q157" s="135"/>
      <c r="S157" s="134"/>
      <c r="AV157" s="113"/>
      <c r="BE157" s="108"/>
    </row>
    <row r="158" spans="13:57" ht="98.1" customHeight="1">
      <c r="N158" s="134"/>
      <c r="O158" s="134"/>
      <c r="P158" s="134"/>
      <c r="Q158" s="135"/>
      <c r="S158" s="134"/>
      <c r="AV158" s="113"/>
      <c r="BE158" s="108"/>
    </row>
    <row r="159" spans="13:57" ht="98.1" customHeight="1">
      <c r="N159" s="134"/>
      <c r="O159" s="134"/>
      <c r="P159" s="134"/>
      <c r="S159" s="134"/>
      <c r="AV159" s="113"/>
      <c r="BE159" s="108"/>
    </row>
    <row r="160" spans="13:57" ht="98.1" customHeight="1">
      <c r="N160" s="134"/>
      <c r="O160" s="134"/>
      <c r="P160" s="134"/>
      <c r="S160" s="134"/>
      <c r="AV160" s="113"/>
      <c r="BE160" s="108"/>
    </row>
    <row r="161" spans="14:57" ht="98.1" customHeight="1">
      <c r="N161" s="134"/>
      <c r="O161" s="134"/>
      <c r="P161" s="134"/>
      <c r="S161" s="134"/>
      <c r="AV161" s="113"/>
      <c r="BE161" s="108"/>
    </row>
    <row r="162" spans="14:57" ht="98.1" customHeight="1">
      <c r="N162" s="134"/>
      <c r="O162" s="134"/>
      <c r="P162" s="134"/>
      <c r="S162" s="134"/>
      <c r="AV162" s="113"/>
      <c r="BE162" s="108"/>
    </row>
    <row r="163" spans="14:57" ht="98.1" customHeight="1">
      <c r="N163" s="134"/>
      <c r="O163" s="134"/>
      <c r="P163" s="134"/>
      <c r="Q163" s="135"/>
      <c r="S163" s="134"/>
      <c r="AV163" s="113"/>
      <c r="BE163" s="108"/>
    </row>
    <row r="164" spans="14:57" ht="98.1" customHeight="1">
      <c r="N164" s="134"/>
      <c r="O164" s="134"/>
      <c r="P164" s="134"/>
      <c r="Q164" s="135"/>
      <c r="S164" s="134"/>
      <c r="AV164" s="113"/>
      <c r="BE164" s="108"/>
    </row>
    <row r="165" spans="14:57" ht="98.1" customHeight="1">
      <c r="N165" s="134"/>
      <c r="O165" s="134"/>
      <c r="P165" s="134"/>
      <c r="Q165" s="135"/>
      <c r="S165" s="134"/>
      <c r="AV165" s="113"/>
      <c r="BE165" s="108"/>
    </row>
    <row r="166" spans="14:57" ht="98.1" customHeight="1">
      <c r="N166" s="134"/>
      <c r="O166" s="134"/>
      <c r="P166" s="134"/>
      <c r="S166" s="134"/>
      <c r="AV166" s="113"/>
      <c r="BE166" s="108"/>
    </row>
    <row r="167" spans="14:57" ht="98.1" customHeight="1">
      <c r="N167" s="134"/>
      <c r="O167" s="134"/>
      <c r="P167" s="134"/>
      <c r="Q167" s="135"/>
      <c r="S167" s="134"/>
      <c r="AV167" s="113"/>
      <c r="BE167" s="108"/>
    </row>
    <row r="168" spans="14:57" ht="98.1" customHeight="1">
      <c r="N168" s="134"/>
      <c r="O168" s="134"/>
      <c r="P168" s="134"/>
      <c r="Q168" s="135"/>
      <c r="S168" s="134"/>
      <c r="AV168" s="113"/>
      <c r="BE168" s="108"/>
    </row>
    <row r="169" spans="14:57" ht="98.1" customHeight="1">
      <c r="N169" s="134"/>
      <c r="O169" s="134"/>
      <c r="P169" s="134"/>
      <c r="Q169" s="135"/>
      <c r="S169" s="134"/>
      <c r="AV169" s="113"/>
      <c r="BE169" s="108"/>
    </row>
    <row r="170" spans="14:57" ht="98.1" customHeight="1">
      <c r="N170" s="134"/>
      <c r="O170" s="134"/>
      <c r="P170" s="134"/>
      <c r="S170" s="134"/>
      <c r="AV170" s="113"/>
      <c r="BE170" s="108"/>
    </row>
    <row r="171" spans="14:57" ht="98.1" customHeight="1">
      <c r="N171" s="134"/>
      <c r="O171" s="134"/>
      <c r="P171" s="134"/>
      <c r="Q171" s="135"/>
      <c r="S171" s="134"/>
      <c r="AV171" s="113"/>
      <c r="BE171" s="108"/>
    </row>
    <row r="172" spans="14:57" ht="98.1" customHeight="1">
      <c r="N172" s="134"/>
      <c r="O172" s="134"/>
      <c r="P172" s="134"/>
      <c r="Q172" s="135"/>
      <c r="S172" s="134"/>
      <c r="AV172" s="113"/>
      <c r="BE172" s="108"/>
    </row>
    <row r="173" spans="14:57" ht="98.1" customHeight="1">
      <c r="N173" s="134"/>
      <c r="O173" s="134"/>
      <c r="P173" s="134"/>
      <c r="Q173" s="135"/>
      <c r="S173" s="134"/>
      <c r="AV173" s="113"/>
      <c r="BE173" s="108"/>
    </row>
    <row r="174" spans="14:57" ht="98.1" customHeight="1">
      <c r="N174" s="134"/>
      <c r="O174" s="134"/>
      <c r="P174" s="134"/>
      <c r="Q174" s="135"/>
      <c r="S174" s="134"/>
      <c r="AV174" s="113"/>
      <c r="BE174" s="108"/>
    </row>
    <row r="175" spans="14:57" ht="98.1" customHeight="1">
      <c r="N175" s="134"/>
      <c r="O175" s="134"/>
      <c r="P175" s="134"/>
      <c r="Q175" s="135"/>
      <c r="S175" s="134"/>
      <c r="AV175" s="113"/>
      <c r="BE175" s="108"/>
    </row>
    <row r="176" spans="14:57" ht="98.1" customHeight="1">
      <c r="N176" s="134"/>
      <c r="O176" s="134"/>
      <c r="P176" s="134"/>
      <c r="Q176" s="135"/>
      <c r="S176" s="134"/>
      <c r="AV176" s="113"/>
      <c r="BE176" s="108"/>
    </row>
    <row r="177" spans="14:57" ht="98.1" customHeight="1">
      <c r="N177" s="134"/>
      <c r="O177" s="134"/>
      <c r="P177" s="134"/>
      <c r="Q177" s="135"/>
      <c r="S177" s="134"/>
      <c r="AV177" s="113"/>
      <c r="BE177" s="108"/>
    </row>
    <row r="178" spans="14:57" ht="98.1" customHeight="1">
      <c r="N178" s="134"/>
      <c r="O178" s="134"/>
      <c r="P178" s="134"/>
      <c r="Q178" s="135"/>
      <c r="S178" s="134"/>
      <c r="AV178" s="113"/>
      <c r="BE178" s="108"/>
    </row>
    <row r="179" spans="14:57" ht="98.1" customHeight="1">
      <c r="N179" s="134"/>
      <c r="O179" s="134"/>
      <c r="P179" s="134"/>
      <c r="Q179" s="135"/>
      <c r="S179" s="134"/>
      <c r="AV179" s="113"/>
      <c r="BE179" s="108"/>
    </row>
    <row r="180" spans="14:57" ht="98.1" customHeight="1">
      <c r="N180" s="134"/>
      <c r="O180" s="134"/>
      <c r="P180" s="134"/>
      <c r="Q180" s="135"/>
      <c r="S180" s="134"/>
      <c r="AV180" s="113"/>
      <c r="BE180" s="108"/>
    </row>
    <row r="181" spans="14:57" ht="98.1" customHeight="1">
      <c r="N181" s="134"/>
      <c r="O181" s="134"/>
      <c r="P181" s="134"/>
      <c r="Q181" s="135"/>
      <c r="S181" s="134"/>
      <c r="AV181" s="113"/>
      <c r="BE181" s="108"/>
    </row>
    <row r="182" spans="14:57" ht="98.1" customHeight="1">
      <c r="N182" s="134"/>
      <c r="O182" s="134"/>
      <c r="P182" s="134"/>
      <c r="Q182" s="135"/>
      <c r="S182" s="134"/>
      <c r="AV182" s="113"/>
      <c r="BE182" s="108"/>
    </row>
    <row r="183" spans="14:57" ht="98.1" customHeight="1">
      <c r="N183" s="134"/>
      <c r="O183" s="134"/>
      <c r="P183" s="134"/>
      <c r="Q183" s="135"/>
      <c r="S183" s="134"/>
      <c r="AV183" s="113"/>
      <c r="BE183" s="108"/>
    </row>
    <row r="184" spans="14:57" ht="98.1" customHeight="1">
      <c r="N184" s="134"/>
      <c r="O184" s="134"/>
      <c r="P184" s="134"/>
      <c r="Q184" s="135"/>
      <c r="S184" s="134"/>
      <c r="AV184" s="113"/>
      <c r="BE184" s="108"/>
    </row>
    <row r="185" spans="14:57" ht="98.1" customHeight="1">
      <c r="N185" s="134"/>
      <c r="O185" s="134"/>
      <c r="P185" s="134"/>
      <c r="Q185" s="135"/>
      <c r="S185" s="134"/>
      <c r="AV185" s="113"/>
      <c r="BE185" s="108"/>
    </row>
    <row r="186" spans="14:57" ht="98.1" customHeight="1">
      <c r="N186" s="134"/>
      <c r="O186" s="134"/>
      <c r="P186" s="134"/>
      <c r="Q186" s="135"/>
      <c r="S186" s="134"/>
      <c r="AV186" s="113"/>
      <c r="BE186" s="108"/>
    </row>
    <row r="187" spans="14:57" ht="98.1" customHeight="1">
      <c r="N187" s="134"/>
      <c r="O187" s="134"/>
      <c r="P187" s="134"/>
      <c r="Q187" s="135"/>
      <c r="S187" s="134"/>
      <c r="AV187" s="113"/>
      <c r="BE187" s="108"/>
    </row>
  </sheetData>
  <sheetProtection formatColumns="0" formatRows="0" sort="0" autoFilter="0"/>
  <autoFilter ref="A1:BG136" xr:uid="{00000000-0001-0000-0000-000000000000}">
    <filterColumn colId="55">
      <customFilters>
        <customFilter operator="notEqual" val=" "/>
      </customFilters>
    </filterColumn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AT2:BD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P1:BD356 A4:O356">
    <cfRule type="expression" dxfId="25" priority="16">
      <formula>IF(УФ_Переключатель=1,IFERROR(TEXT(RIGHT(A1,255),"###"),TRUE))</formula>
    </cfRule>
  </conditionalFormatting>
  <conditionalFormatting sqref="A3:H3 M3:O52 N3:O187 B3:B187 A1:O2 J3:M3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105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1" t="s">
        <v>453</v>
      </c>
      <c r="C1" s="152"/>
      <c r="D1" s="152"/>
      <c r="E1" s="153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4" t="s">
        <v>466</v>
      </c>
      <c r="C5" s="154"/>
      <c r="D5" s="154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5"/>
      <c r="C6" s="156"/>
      <c r="D6" s="156"/>
      <c r="E6" s="157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1" t="s">
        <v>543</v>
      </c>
      <c r="C8" s="152"/>
      <c r="D8" s="152"/>
      <c r="E8" s="153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8" t="s">
        <v>572</v>
      </c>
      <c r="C9" s="159"/>
      <c r="D9" s="160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8"/>
      <c r="C17" s="149"/>
      <c r="D17" s="149"/>
      <c r="E17" s="150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38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38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38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38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38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38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38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38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38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38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38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38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1" t="s">
        <v>556</v>
      </c>
      <c r="C20" s="162"/>
      <c r="D20" s="162"/>
      <c r="E20" s="162"/>
      <c r="F20" s="162"/>
      <c r="G20" s="162"/>
      <c r="H20" s="162"/>
      <c r="I20" s="162"/>
      <c r="J20" s="16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" activePane="bottomLeft" state="frozen"/>
      <selection pane="bottomLeft" activeCell="U23" sqref="D23:U24"/>
    </sheetView>
  </sheetViews>
  <sheetFormatPr defaultColWidth="9.140625" defaultRowHeight="15" outlineLevelCol="1"/>
  <cols>
    <col min="1" max="1" width="88.42578125" style="45" bestFit="1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90.5703125" style="72" bestFit="1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39" t="s">
        <v>368</v>
      </c>
      <c r="F1" s="140" t="s">
        <v>369</v>
      </c>
      <c r="G1" s="141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96</v>
      </c>
      <c r="AD1" s="54"/>
      <c r="AE1" s="54" t="str">
        <f>RIGHT(TEXT(MAX(AE2:AE10000),"###"),3)</f>
        <v>046</v>
      </c>
      <c r="AF1" s="55" t="str">
        <f>RIGHT("000"&amp;AC1,2)&amp;"-"&amp;RIGHT("000"&amp;AE1,3)</f>
        <v>96-046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96-047-</v>
      </c>
      <c r="AI1" s="57" t="s">
        <v>582</v>
      </c>
      <c r="AJ1" s="97" t="s">
        <v>887</v>
      </c>
      <c r="AK1" s="57" t="s">
        <v>852</v>
      </c>
      <c r="AL1" s="98">
        <v>1</v>
      </c>
    </row>
    <row r="2" spans="1:38">
      <c r="A2" s="60" t="str">
        <f>IF(G2&amp;Q2&lt;&gt;"",W2&amp;Q2,"")</f>
        <v>60112610tofwhi</v>
      </c>
      <c r="B2" s="60" t="str">
        <f>IF(C2&lt;&gt;"",LEFT(C2,9),"")</f>
        <v>96-013-80</v>
      </c>
      <c r="C2" s="72" t="s">
        <v>917</v>
      </c>
      <c r="D2" s="72" t="s">
        <v>918</v>
      </c>
      <c r="E2" s="72" t="s">
        <v>909</v>
      </c>
      <c r="F2" s="73">
        <v>0</v>
      </c>
      <c r="G2" s="73" t="s">
        <v>919</v>
      </c>
      <c r="H2" s="72" t="s">
        <v>217</v>
      </c>
      <c r="I2" s="72" t="s">
        <v>910</v>
      </c>
      <c r="J2" s="72" t="s">
        <v>327</v>
      </c>
      <c r="K2" s="72" t="s">
        <v>382</v>
      </c>
      <c r="L2" s="72" t="s">
        <v>887</v>
      </c>
      <c r="M2" s="72" t="s">
        <v>388</v>
      </c>
      <c r="N2" s="72" t="s">
        <v>43</v>
      </c>
      <c r="O2" s="72" t="s">
        <v>541</v>
      </c>
      <c r="P2" s="72" t="s">
        <v>920</v>
      </c>
      <c r="Q2" s="72" t="s">
        <v>921</v>
      </c>
      <c r="R2" s="72" t="s">
        <v>86</v>
      </c>
      <c r="T2" s="72" t="s">
        <v>911</v>
      </c>
      <c r="U2" s="72" t="s">
        <v>912</v>
      </c>
      <c r="V2" s="60" t="str">
        <f>W2&amp;H2</f>
        <v>60112610рыжий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60112610</v>
      </c>
      <c r="X2" s="60" t="str">
        <f>IF(A2&lt;&gt;"",IFERROR(IF(FIND(" ",G2)&gt;=1,MID(G2,FIND(" ",G2)+1,LEN(G2)),""),""),"")</f>
        <v>New York Yankees MLB</v>
      </c>
      <c r="AC2" s="51">
        <f>IFERROR(VALUE(MID($C2,1,2)),0)</f>
        <v>96</v>
      </c>
      <c r="AD2" s="44">
        <f t="shared" ref="AD2:AD66" si="1">IFERROR(VALUE(MID($C2,4,3)),0)</f>
        <v>13</v>
      </c>
      <c r="AE2" s="51">
        <f>VALUE(RIGHT("00"&amp;AC2,2)&amp;RIGHT("000"&amp;AD2,3))</f>
        <v>96013</v>
      </c>
    </row>
    <row r="3" spans="1:38">
      <c r="A3" s="60" t="str">
        <f t="shared" ref="A3:A66" si="2">IF(G3&amp;Q3&lt;&gt;"",W3&amp;Q3,"")</f>
        <v>80489231grapnk</v>
      </c>
      <c r="B3" s="60" t="str">
        <f t="shared" ref="B3:B66" si="3">IF(C3&lt;&gt;"",LEFT(C3,9),"")</f>
        <v>96-012-80</v>
      </c>
      <c r="C3" s="72" t="s">
        <v>922</v>
      </c>
      <c r="D3" s="72" t="s">
        <v>923</v>
      </c>
      <c r="E3" s="72" t="s">
        <v>909</v>
      </c>
      <c r="F3" s="73">
        <v>0</v>
      </c>
      <c r="G3" s="73" t="s">
        <v>924</v>
      </c>
      <c r="H3" s="72" t="s">
        <v>244</v>
      </c>
      <c r="I3" s="72" t="s">
        <v>916</v>
      </c>
      <c r="J3" s="72" t="s">
        <v>327</v>
      </c>
      <c r="K3" s="72" t="s">
        <v>387</v>
      </c>
      <c r="L3" s="72" t="s">
        <v>887</v>
      </c>
      <c r="M3" s="72" t="s">
        <v>388</v>
      </c>
      <c r="O3" s="72" t="s">
        <v>386</v>
      </c>
      <c r="P3" s="72" t="s">
        <v>920</v>
      </c>
      <c r="Q3" s="72" t="s">
        <v>925</v>
      </c>
      <c r="R3" s="72" t="s">
        <v>83</v>
      </c>
      <c r="T3" s="72" t="s">
        <v>911</v>
      </c>
      <c r="U3" s="72" t="s">
        <v>912</v>
      </c>
      <c r="V3" s="60" t="str">
        <f t="shared" ref="V3:V66" si="4">W3&amp;H3</f>
        <v>80489231серый / розовый</v>
      </c>
      <c r="W3" s="60" t="str">
        <f t="shared" si="0"/>
        <v>80489231</v>
      </c>
      <c r="X3" s="60" t="str">
        <f t="shared" ref="X3:X66" si="5">IF(A3&lt;&gt;"",IFERROR(IF(FIND(" ",G3)&gt;=1,MID(G3,FIND(" ",G3)+1,LEN(G3)),""),""),"")</f>
        <v>New York Yankees MLB</v>
      </c>
      <c r="AC3" s="51">
        <f t="shared" ref="AC3:AC66" si="6">IFERROR(VALUE(MID($C3,1,2)),0)</f>
        <v>96</v>
      </c>
      <c r="AD3" s="44">
        <f t="shared" si="1"/>
        <v>12</v>
      </c>
      <c r="AE3" s="51">
        <f t="shared" ref="AE3:AE66" si="7">VALUE(RIGHT("00"&amp;AC3,2)&amp;RIGHT("000"&amp;AD3,3))</f>
        <v>96012</v>
      </c>
    </row>
    <row r="4" spans="1:38">
      <c r="A4" s="60" t="str">
        <f t="shared" si="2"/>
        <v>60222546nov</v>
      </c>
      <c r="B4" s="60" t="str">
        <f t="shared" si="3"/>
        <v>96-011-03</v>
      </c>
      <c r="C4" s="72" t="s">
        <v>926</v>
      </c>
      <c r="D4" s="72" t="s">
        <v>927</v>
      </c>
      <c r="E4" s="72" t="s">
        <v>909</v>
      </c>
      <c r="F4" s="73">
        <v>0</v>
      </c>
      <c r="G4" s="73" t="s">
        <v>928</v>
      </c>
      <c r="H4" s="72" t="s">
        <v>195</v>
      </c>
      <c r="I4" s="72" t="s">
        <v>910</v>
      </c>
      <c r="J4" s="72" t="s">
        <v>356</v>
      </c>
      <c r="K4" s="72" t="s">
        <v>382</v>
      </c>
      <c r="L4" s="72" t="s">
        <v>887</v>
      </c>
      <c r="M4" s="72" t="s">
        <v>388</v>
      </c>
      <c r="N4" s="72" t="s">
        <v>43</v>
      </c>
      <c r="O4" s="72" t="s">
        <v>541</v>
      </c>
      <c r="P4" s="72" t="s">
        <v>920</v>
      </c>
      <c r="Q4" s="72" t="s">
        <v>929</v>
      </c>
      <c r="R4" s="72" t="s">
        <v>195</v>
      </c>
      <c r="T4" s="72" t="s">
        <v>911</v>
      </c>
      <c r="U4" s="72" t="s">
        <v>914</v>
      </c>
      <c r="V4" s="60" t="str">
        <f t="shared" si="4"/>
        <v>60222546оливковый</v>
      </c>
      <c r="W4" s="60" t="str">
        <f t="shared" si="0"/>
        <v>60222546</v>
      </c>
      <c r="X4" s="60" t="str">
        <f t="shared" si="5"/>
        <v>New York Yankees MLB</v>
      </c>
      <c r="AC4" s="51">
        <f t="shared" si="6"/>
        <v>96</v>
      </c>
      <c r="AD4" s="44">
        <f t="shared" si="1"/>
        <v>11</v>
      </c>
      <c r="AE4" s="51">
        <f t="shared" si="7"/>
        <v>96011</v>
      </c>
    </row>
    <row r="5" spans="1:38">
      <c r="A5" s="60" t="str">
        <f t="shared" si="2"/>
        <v>60222525pnk</v>
      </c>
      <c r="B5" s="60" t="str">
        <f t="shared" si="3"/>
        <v>96-010-34</v>
      </c>
      <c r="C5" s="72" t="s">
        <v>930</v>
      </c>
      <c r="D5" s="72" t="s">
        <v>931</v>
      </c>
      <c r="E5" s="72" t="s">
        <v>909</v>
      </c>
      <c r="F5" s="73">
        <v>0</v>
      </c>
      <c r="G5" s="73" t="s">
        <v>932</v>
      </c>
      <c r="H5" s="72" t="s">
        <v>307</v>
      </c>
      <c r="I5" s="72" t="s">
        <v>910</v>
      </c>
      <c r="J5" s="72" t="s">
        <v>327</v>
      </c>
      <c r="K5" s="72" t="s">
        <v>387</v>
      </c>
      <c r="L5" s="72" t="s">
        <v>887</v>
      </c>
      <c r="M5" s="72" t="s">
        <v>388</v>
      </c>
      <c r="N5" s="72" t="s">
        <v>43</v>
      </c>
      <c r="O5" s="72" t="s">
        <v>541</v>
      </c>
      <c r="P5" s="72" t="s">
        <v>920</v>
      </c>
      <c r="Q5" s="72" t="s">
        <v>933</v>
      </c>
      <c r="R5" s="72" t="s">
        <v>53</v>
      </c>
      <c r="T5" s="72" t="s">
        <v>911</v>
      </c>
      <c r="U5" s="72" t="s">
        <v>912</v>
      </c>
      <c r="V5" s="60" t="str">
        <f t="shared" si="4"/>
        <v>60222525черный / розовый</v>
      </c>
      <c r="W5" s="60" t="str">
        <f t="shared" si="0"/>
        <v>60222525</v>
      </c>
      <c r="X5" s="60" t="str">
        <f t="shared" si="5"/>
        <v>Los Angeles Dodgers MLB</v>
      </c>
      <c r="AC5" s="51">
        <f t="shared" si="6"/>
        <v>96</v>
      </c>
      <c r="AD5" s="44">
        <f t="shared" si="1"/>
        <v>10</v>
      </c>
      <c r="AE5" s="51">
        <f t="shared" si="7"/>
        <v>96010</v>
      </c>
    </row>
    <row r="6" spans="1:38">
      <c r="A6" s="60" t="str">
        <f t="shared" si="2"/>
        <v>60222523whi</v>
      </c>
      <c r="B6" s="60" t="str">
        <f t="shared" si="3"/>
        <v>96-009-17</v>
      </c>
      <c r="C6" s="72" t="s">
        <v>934</v>
      </c>
      <c r="D6" s="72" t="s">
        <v>935</v>
      </c>
      <c r="E6" s="72" t="s">
        <v>909</v>
      </c>
      <c r="F6" s="73">
        <v>0</v>
      </c>
      <c r="G6" s="73" t="s">
        <v>936</v>
      </c>
      <c r="H6" s="72" t="s">
        <v>231</v>
      </c>
      <c r="I6" s="72" t="s">
        <v>910</v>
      </c>
      <c r="J6" s="72" t="s">
        <v>327</v>
      </c>
      <c r="K6" s="72" t="s">
        <v>387</v>
      </c>
      <c r="L6" s="72" t="s">
        <v>887</v>
      </c>
      <c r="M6" s="72" t="s">
        <v>388</v>
      </c>
      <c r="N6" s="72" t="s">
        <v>43</v>
      </c>
      <c r="O6" s="72" t="s">
        <v>541</v>
      </c>
      <c r="P6" s="72" t="s">
        <v>920</v>
      </c>
      <c r="Q6" s="72" t="s">
        <v>937</v>
      </c>
      <c r="R6" s="72" t="s">
        <v>83</v>
      </c>
      <c r="T6" s="72" t="s">
        <v>911</v>
      </c>
      <c r="U6" s="72" t="s">
        <v>914</v>
      </c>
      <c r="V6" s="60" t="str">
        <f t="shared" si="4"/>
        <v>60222523светло-серый</v>
      </c>
      <c r="W6" s="60" t="str">
        <f t="shared" si="0"/>
        <v>60222523</v>
      </c>
      <c r="X6" s="60" t="str">
        <f t="shared" si="5"/>
        <v>New York Yankees MLB</v>
      </c>
      <c r="AC6" s="51">
        <f t="shared" si="6"/>
        <v>96</v>
      </c>
      <c r="AD6" s="44">
        <f t="shared" si="1"/>
        <v>9</v>
      </c>
      <c r="AE6" s="51">
        <f t="shared" si="7"/>
        <v>96009</v>
      </c>
    </row>
    <row r="7" spans="1:38">
      <c r="A7" s="60" t="str">
        <f t="shared" si="2"/>
        <v>60222457rgd</v>
      </c>
      <c r="B7" s="60" t="str">
        <f t="shared" si="3"/>
        <v>96-008-13</v>
      </c>
      <c r="C7" s="72" t="s">
        <v>938</v>
      </c>
      <c r="D7" s="72" t="s">
        <v>939</v>
      </c>
      <c r="E7" s="72" t="s">
        <v>909</v>
      </c>
      <c r="F7" s="73">
        <v>0</v>
      </c>
      <c r="G7" s="73" t="s">
        <v>940</v>
      </c>
      <c r="H7" s="72" t="s">
        <v>199</v>
      </c>
      <c r="I7" s="72" t="s">
        <v>910</v>
      </c>
      <c r="J7" s="72" t="s">
        <v>356</v>
      </c>
      <c r="K7" s="72" t="s">
        <v>382</v>
      </c>
      <c r="L7" s="72" t="s">
        <v>887</v>
      </c>
      <c r="M7" s="72" t="s">
        <v>388</v>
      </c>
      <c r="N7" s="72" t="s">
        <v>43</v>
      </c>
      <c r="O7" s="72" t="s">
        <v>541</v>
      </c>
      <c r="P7" s="72" t="s">
        <v>920</v>
      </c>
      <c r="Q7" s="72" t="s">
        <v>941</v>
      </c>
      <c r="R7" s="72" t="s">
        <v>199</v>
      </c>
      <c r="T7" s="72" t="s">
        <v>911</v>
      </c>
      <c r="U7" s="72" t="s">
        <v>914</v>
      </c>
      <c r="V7" s="60" t="str">
        <f t="shared" si="4"/>
        <v>60222457оранжевый</v>
      </c>
      <c r="W7" s="60" t="str">
        <f t="shared" si="0"/>
        <v>60222457</v>
      </c>
      <c r="X7" s="60" t="str">
        <f t="shared" si="5"/>
        <v>New York Yankees MLB</v>
      </c>
      <c r="AC7" s="51">
        <f t="shared" si="6"/>
        <v>96</v>
      </c>
      <c r="AD7" s="44">
        <f t="shared" si="1"/>
        <v>8</v>
      </c>
      <c r="AE7" s="51">
        <f t="shared" si="7"/>
        <v>96008</v>
      </c>
    </row>
    <row r="8" spans="1:38">
      <c r="A8" s="60" t="str">
        <f t="shared" si="2"/>
        <v>60222456irf</v>
      </c>
      <c r="B8" s="60" t="str">
        <f t="shared" si="3"/>
        <v>96-007-06</v>
      </c>
      <c r="C8" s="72" t="s">
        <v>942</v>
      </c>
      <c r="D8" s="72" t="s">
        <v>943</v>
      </c>
      <c r="E8" s="72" t="s">
        <v>909</v>
      </c>
      <c r="F8" s="73">
        <v>0</v>
      </c>
      <c r="G8" s="73" t="s">
        <v>944</v>
      </c>
      <c r="H8" s="72" t="s">
        <v>71</v>
      </c>
      <c r="I8" s="72" t="s">
        <v>910</v>
      </c>
      <c r="J8" s="72" t="s">
        <v>356</v>
      </c>
      <c r="K8" s="72" t="s">
        <v>382</v>
      </c>
      <c r="L8" s="72" t="s">
        <v>887</v>
      </c>
      <c r="M8" s="72" t="s">
        <v>388</v>
      </c>
      <c r="N8" s="72" t="s">
        <v>43</v>
      </c>
      <c r="O8" s="72" t="s">
        <v>541</v>
      </c>
      <c r="P8" s="72" t="s">
        <v>920</v>
      </c>
      <c r="Q8" s="72" t="s">
        <v>945</v>
      </c>
      <c r="R8" s="72" t="s">
        <v>71</v>
      </c>
      <c r="T8" s="72" t="s">
        <v>911</v>
      </c>
      <c r="U8" s="72" t="s">
        <v>914</v>
      </c>
      <c r="V8" s="60" t="str">
        <f t="shared" si="4"/>
        <v>60222456синий</v>
      </c>
      <c r="W8" s="60" t="str">
        <f t="shared" si="0"/>
        <v>60222456</v>
      </c>
      <c r="X8" s="60" t="str">
        <f t="shared" si="5"/>
        <v>New York Yankees MLB</v>
      </c>
      <c r="AC8" s="51">
        <f t="shared" si="6"/>
        <v>96</v>
      </c>
      <c r="AD8" s="44">
        <f t="shared" si="1"/>
        <v>7</v>
      </c>
      <c r="AE8" s="51">
        <f t="shared" si="7"/>
        <v>96007</v>
      </c>
    </row>
    <row r="9" spans="1:38">
      <c r="A9" s="60" t="str">
        <f t="shared" si="2"/>
        <v>60222444blk</v>
      </c>
      <c r="B9" s="60" t="str">
        <f t="shared" si="3"/>
        <v>96-006-09</v>
      </c>
      <c r="C9" s="72" t="s">
        <v>946</v>
      </c>
      <c r="D9" s="72" t="s">
        <v>947</v>
      </c>
      <c r="E9" s="72" t="s">
        <v>909</v>
      </c>
      <c r="F9" s="73">
        <v>0</v>
      </c>
      <c r="G9" s="73" t="s">
        <v>948</v>
      </c>
      <c r="H9" s="72" t="s">
        <v>53</v>
      </c>
      <c r="I9" s="72" t="s">
        <v>916</v>
      </c>
      <c r="J9" s="72" t="s">
        <v>327</v>
      </c>
      <c r="K9" s="72" t="s">
        <v>382</v>
      </c>
      <c r="L9" s="72" t="s">
        <v>887</v>
      </c>
      <c r="M9" s="72" t="s">
        <v>388</v>
      </c>
      <c r="O9" s="72" t="s">
        <v>541</v>
      </c>
      <c r="P9" s="72" t="s">
        <v>920</v>
      </c>
      <c r="Q9" s="72" t="s">
        <v>949</v>
      </c>
      <c r="R9" s="72" t="s">
        <v>53</v>
      </c>
      <c r="T9" s="72" t="s">
        <v>911</v>
      </c>
      <c r="U9" s="72" t="s">
        <v>914</v>
      </c>
      <c r="V9" s="60" t="str">
        <f t="shared" si="4"/>
        <v>60222444черный</v>
      </c>
      <c r="W9" s="60" t="str">
        <f t="shared" si="0"/>
        <v>60222444</v>
      </c>
      <c r="X9" s="60" t="str">
        <f t="shared" si="5"/>
        <v>New York Yankees MLB</v>
      </c>
      <c r="AC9" s="51">
        <f t="shared" si="6"/>
        <v>96</v>
      </c>
      <c r="AD9" s="44">
        <f t="shared" si="1"/>
        <v>6</v>
      </c>
      <c r="AE9" s="51">
        <f t="shared" si="7"/>
        <v>96006</v>
      </c>
    </row>
    <row r="10" spans="1:38">
      <c r="A10" s="60" t="str">
        <f t="shared" si="2"/>
        <v>60222351whi</v>
      </c>
      <c r="B10" s="60" t="str">
        <f t="shared" si="3"/>
        <v>96-005-17</v>
      </c>
      <c r="C10" s="72" t="s">
        <v>950</v>
      </c>
      <c r="D10" s="72" t="s">
        <v>951</v>
      </c>
      <c r="E10" s="72" t="s">
        <v>909</v>
      </c>
      <c r="F10" s="73">
        <v>0</v>
      </c>
      <c r="G10" s="73" t="s">
        <v>952</v>
      </c>
      <c r="H10" s="72" t="s">
        <v>120</v>
      </c>
      <c r="I10" s="72" t="s">
        <v>910</v>
      </c>
      <c r="J10" s="72" t="s">
        <v>327</v>
      </c>
      <c r="K10" s="72" t="s">
        <v>387</v>
      </c>
      <c r="L10" s="72" t="s">
        <v>887</v>
      </c>
      <c r="M10" s="72" t="s">
        <v>388</v>
      </c>
      <c r="N10" s="72" t="s">
        <v>43</v>
      </c>
      <c r="O10" s="72" t="s">
        <v>541</v>
      </c>
      <c r="P10" s="72" t="s">
        <v>920</v>
      </c>
      <c r="Q10" s="72" t="s">
        <v>937</v>
      </c>
      <c r="R10" s="72" t="s">
        <v>91</v>
      </c>
      <c r="T10" s="72" t="s">
        <v>911</v>
      </c>
      <c r="U10" s="72" t="s">
        <v>914</v>
      </c>
      <c r="V10" s="60" t="str">
        <f t="shared" si="4"/>
        <v>60222351бирюзовый</v>
      </c>
      <c r="W10" s="60" t="str">
        <f t="shared" si="0"/>
        <v>60222351</v>
      </c>
      <c r="X10" s="60" t="str">
        <f t="shared" si="5"/>
        <v>New York Yankees MLB</v>
      </c>
      <c r="AC10" s="51">
        <f t="shared" si="6"/>
        <v>96</v>
      </c>
      <c r="AD10" s="44">
        <f t="shared" si="1"/>
        <v>5</v>
      </c>
      <c r="AE10" s="51">
        <f t="shared" si="7"/>
        <v>96005</v>
      </c>
    </row>
    <row r="11" spans="1:38">
      <c r="A11" s="60" t="str">
        <f t="shared" si="2"/>
        <v>60222348nvy</v>
      </c>
      <c r="B11" s="60" t="str">
        <f t="shared" si="3"/>
        <v>96-004-06</v>
      </c>
      <c r="C11" s="72" t="s">
        <v>953</v>
      </c>
      <c r="D11" s="72" t="s">
        <v>954</v>
      </c>
      <c r="E11" s="72" t="s">
        <v>909</v>
      </c>
      <c r="F11" s="73">
        <v>0</v>
      </c>
      <c r="G11" s="73" t="s">
        <v>955</v>
      </c>
      <c r="H11" s="72" t="s">
        <v>55</v>
      </c>
      <c r="I11" s="72" t="s">
        <v>916</v>
      </c>
      <c r="J11" s="72" t="s">
        <v>327</v>
      </c>
      <c r="K11" s="72" t="s">
        <v>382</v>
      </c>
      <c r="L11" s="72" t="s">
        <v>887</v>
      </c>
      <c r="M11" s="72" t="s">
        <v>388</v>
      </c>
      <c r="O11" s="72" t="s">
        <v>541</v>
      </c>
      <c r="P11" s="72" t="s">
        <v>920</v>
      </c>
      <c r="Q11" s="72" t="s">
        <v>956</v>
      </c>
      <c r="R11" s="72" t="s">
        <v>71</v>
      </c>
      <c r="T11" s="72" t="s">
        <v>911</v>
      </c>
      <c r="U11" s="72" t="s">
        <v>912</v>
      </c>
      <c r="V11" s="60" t="str">
        <f t="shared" si="4"/>
        <v>60222348темно-синий</v>
      </c>
      <c r="W11" s="60" t="str">
        <f t="shared" si="0"/>
        <v>60222348</v>
      </c>
      <c r="X11" s="60" t="str">
        <f t="shared" si="5"/>
        <v>Los Angeles Dodgers MLB</v>
      </c>
      <c r="AC11" s="51">
        <f t="shared" si="6"/>
        <v>96</v>
      </c>
      <c r="AD11" s="44">
        <f t="shared" si="1"/>
        <v>4</v>
      </c>
      <c r="AE11" s="51">
        <f t="shared" si="7"/>
        <v>96004</v>
      </c>
    </row>
    <row r="12" spans="1:38">
      <c r="A12" s="60" t="str">
        <f t="shared" si="2"/>
        <v>60222321tof</v>
      </c>
      <c r="B12" s="60" t="str">
        <f t="shared" si="3"/>
        <v>96-003-14</v>
      </c>
      <c r="C12" s="72" t="s">
        <v>957</v>
      </c>
      <c r="D12" s="72" t="s">
        <v>958</v>
      </c>
      <c r="E12" s="72" t="s">
        <v>909</v>
      </c>
      <c r="F12" s="73">
        <v>0</v>
      </c>
      <c r="G12" s="73" t="s">
        <v>959</v>
      </c>
      <c r="H12" s="72" t="s">
        <v>301</v>
      </c>
      <c r="I12" s="72" t="s">
        <v>910</v>
      </c>
      <c r="J12" s="72" t="s">
        <v>327</v>
      </c>
      <c r="K12" s="72" t="s">
        <v>382</v>
      </c>
      <c r="L12" s="72" t="s">
        <v>887</v>
      </c>
      <c r="M12" s="72" t="s">
        <v>388</v>
      </c>
      <c r="N12" s="72" t="s">
        <v>43</v>
      </c>
      <c r="O12" s="72" t="s">
        <v>541</v>
      </c>
      <c r="P12" s="72" t="s">
        <v>920</v>
      </c>
      <c r="Q12" s="72" t="s">
        <v>960</v>
      </c>
      <c r="R12" s="72" t="s">
        <v>53</v>
      </c>
      <c r="T12" s="72" t="s">
        <v>911</v>
      </c>
      <c r="U12" s="72" t="s">
        <v>914</v>
      </c>
      <c r="V12" s="60" t="str">
        <f t="shared" si="4"/>
        <v>60222321черный / коричневый</v>
      </c>
      <c r="W12" s="60" t="str">
        <f t="shared" si="0"/>
        <v>60222321</v>
      </c>
      <c r="X12" s="60" t="str">
        <f t="shared" si="5"/>
        <v>New York Yankees MLB</v>
      </c>
      <c r="AC12" s="51">
        <f t="shared" si="6"/>
        <v>96</v>
      </c>
      <c r="AD12" s="44">
        <f t="shared" si="1"/>
        <v>3</v>
      </c>
      <c r="AE12" s="51">
        <f t="shared" si="7"/>
        <v>96003</v>
      </c>
    </row>
    <row r="13" spans="1:38">
      <c r="A13" s="60" t="str">
        <f t="shared" si="2"/>
        <v>60222282irf</v>
      </c>
      <c r="B13" s="60" t="str">
        <f t="shared" si="3"/>
        <v>96-002-06</v>
      </c>
      <c r="C13" s="72" t="s">
        <v>961</v>
      </c>
      <c r="D13" s="72" t="s">
        <v>962</v>
      </c>
      <c r="E13" s="72" t="s">
        <v>909</v>
      </c>
      <c r="F13" s="73">
        <v>0</v>
      </c>
      <c r="G13" s="73" t="s">
        <v>963</v>
      </c>
      <c r="H13" s="72" t="s">
        <v>71</v>
      </c>
      <c r="I13" s="72" t="s">
        <v>910</v>
      </c>
      <c r="J13" s="72" t="s">
        <v>327</v>
      </c>
      <c r="K13" s="72" t="s">
        <v>382</v>
      </c>
      <c r="L13" s="72" t="s">
        <v>887</v>
      </c>
      <c r="M13" s="72" t="s">
        <v>388</v>
      </c>
      <c r="N13" s="72" t="s">
        <v>43</v>
      </c>
      <c r="O13" s="72" t="s">
        <v>541</v>
      </c>
      <c r="P13" s="72" t="s">
        <v>920</v>
      </c>
      <c r="Q13" s="72" t="s">
        <v>945</v>
      </c>
      <c r="R13" s="72" t="s">
        <v>71</v>
      </c>
      <c r="T13" s="72" t="s">
        <v>911</v>
      </c>
      <c r="U13" s="72" t="s">
        <v>912</v>
      </c>
      <c r="V13" s="60" t="str">
        <f t="shared" si="4"/>
        <v>60222282синий</v>
      </c>
      <c r="W13" s="60" t="str">
        <f t="shared" si="0"/>
        <v>60222282</v>
      </c>
      <c r="X13" s="60" t="str">
        <f t="shared" si="5"/>
        <v>Los Angeles Dodgers MLB</v>
      </c>
      <c r="AC13" s="51">
        <f t="shared" si="6"/>
        <v>96</v>
      </c>
      <c r="AD13" s="44">
        <f t="shared" si="1"/>
        <v>2</v>
      </c>
      <c r="AE13" s="51">
        <f t="shared" si="7"/>
        <v>96002</v>
      </c>
    </row>
    <row r="14" spans="1:38">
      <c r="A14" s="60" t="str">
        <f t="shared" si="2"/>
        <v>10531954team</v>
      </c>
      <c r="B14" s="60" t="str">
        <f t="shared" si="3"/>
        <v>96-001-18</v>
      </c>
      <c r="C14" s="72" t="s">
        <v>964</v>
      </c>
      <c r="D14" s="72" t="s">
        <v>965</v>
      </c>
      <c r="E14" s="72" t="s">
        <v>966</v>
      </c>
      <c r="F14" s="73">
        <v>58</v>
      </c>
      <c r="G14" s="73" t="s">
        <v>967</v>
      </c>
      <c r="H14" s="72" t="s">
        <v>71</v>
      </c>
      <c r="I14" s="72" t="s">
        <v>910</v>
      </c>
      <c r="J14" s="72" t="s">
        <v>783</v>
      </c>
      <c r="K14" s="72" t="s">
        <v>382</v>
      </c>
      <c r="L14" s="72" t="s">
        <v>887</v>
      </c>
      <c r="M14" s="72" t="s">
        <v>388</v>
      </c>
      <c r="N14" s="72" t="s">
        <v>43</v>
      </c>
      <c r="O14" s="72" t="s">
        <v>541</v>
      </c>
      <c r="P14" s="72" t="s">
        <v>920</v>
      </c>
      <c r="Q14" s="72" t="s">
        <v>968</v>
      </c>
      <c r="R14" s="72" t="s">
        <v>71</v>
      </c>
      <c r="T14" s="72" t="s">
        <v>911</v>
      </c>
      <c r="U14" s="72" t="s">
        <v>912</v>
      </c>
      <c r="V14" s="60" t="str">
        <f t="shared" si="4"/>
        <v>10531954синий</v>
      </c>
      <c r="W14" s="60" t="str">
        <f t="shared" si="0"/>
        <v>10531954</v>
      </c>
      <c r="X14" s="60" t="str">
        <f t="shared" si="5"/>
        <v>Los Angeles Dodgers MLB</v>
      </c>
      <c r="AC14" s="51">
        <f t="shared" si="6"/>
        <v>96</v>
      </c>
      <c r="AD14" s="44">
        <f t="shared" si="1"/>
        <v>1</v>
      </c>
      <c r="AE14" s="51">
        <f t="shared" si="7"/>
        <v>96001</v>
      </c>
    </row>
    <row r="15" spans="1:38">
      <c r="A15" s="60" t="str">
        <f t="shared" si="2"/>
        <v>10531954team</v>
      </c>
      <c r="B15" s="60" t="str">
        <f t="shared" si="3"/>
        <v>96-001-18</v>
      </c>
      <c r="C15" s="72" t="s">
        <v>969</v>
      </c>
      <c r="D15" s="72" t="s">
        <v>965</v>
      </c>
      <c r="E15" s="72" t="s">
        <v>970</v>
      </c>
      <c r="F15" s="73">
        <v>56</v>
      </c>
      <c r="G15" s="73" t="s">
        <v>967</v>
      </c>
      <c r="H15" s="72" t="s">
        <v>71</v>
      </c>
      <c r="I15" s="72" t="s">
        <v>910</v>
      </c>
      <c r="J15" s="72" t="s">
        <v>783</v>
      </c>
      <c r="K15" s="72" t="s">
        <v>382</v>
      </c>
      <c r="L15" s="72" t="s">
        <v>887</v>
      </c>
      <c r="M15" s="72" t="s">
        <v>388</v>
      </c>
      <c r="N15" s="72" t="s">
        <v>43</v>
      </c>
      <c r="O15" s="72" t="s">
        <v>541</v>
      </c>
      <c r="P15" s="72" t="s">
        <v>920</v>
      </c>
      <c r="Q15" s="72" t="s">
        <v>968</v>
      </c>
      <c r="R15" s="72" t="s">
        <v>71</v>
      </c>
      <c r="T15" s="72" t="s">
        <v>911</v>
      </c>
      <c r="U15" s="72" t="s">
        <v>912</v>
      </c>
      <c r="V15" s="60" t="str">
        <f t="shared" si="4"/>
        <v>10531954синий</v>
      </c>
      <c r="W15" s="60" t="str">
        <f t="shared" si="0"/>
        <v>10531954</v>
      </c>
      <c r="X15" s="60" t="str">
        <f t="shared" si="5"/>
        <v>Los Angeles Dodgers MLB</v>
      </c>
      <c r="AC15" s="51">
        <f t="shared" si="6"/>
        <v>96</v>
      </c>
      <c r="AD15" s="44">
        <f t="shared" si="1"/>
        <v>1</v>
      </c>
      <c r="AE15" s="51">
        <f t="shared" si="7"/>
        <v>96001</v>
      </c>
    </row>
    <row r="16" spans="1:38">
      <c r="A16" s="60" t="str">
        <f t="shared" si="2"/>
        <v>11405493blkwhi</v>
      </c>
      <c r="B16" s="60" t="str">
        <f t="shared" si="3"/>
        <v>96-020-72</v>
      </c>
      <c r="C16" s="72" t="s">
        <v>971</v>
      </c>
      <c r="D16" s="72" t="s">
        <v>972</v>
      </c>
      <c r="E16" s="72" t="s">
        <v>909</v>
      </c>
      <c r="F16" s="73">
        <v>0</v>
      </c>
      <c r="G16" s="73" t="s">
        <v>973</v>
      </c>
      <c r="H16" s="72" t="s">
        <v>53</v>
      </c>
      <c r="I16" s="72" t="s">
        <v>910</v>
      </c>
      <c r="J16" s="72" t="s">
        <v>327</v>
      </c>
      <c r="K16" s="72" t="s">
        <v>382</v>
      </c>
      <c r="L16" s="72" t="s">
        <v>887</v>
      </c>
      <c r="M16" s="72" t="s">
        <v>388</v>
      </c>
      <c r="N16" s="72" t="s">
        <v>43</v>
      </c>
      <c r="O16" s="72" t="s">
        <v>386</v>
      </c>
      <c r="P16" s="72" t="s">
        <v>920</v>
      </c>
      <c r="Q16" s="72" t="s">
        <v>974</v>
      </c>
      <c r="R16" s="72" t="s">
        <v>53</v>
      </c>
      <c r="S16" s="72" t="s">
        <v>913</v>
      </c>
      <c r="T16" s="72" t="s">
        <v>911</v>
      </c>
      <c r="U16" s="72" t="s">
        <v>912</v>
      </c>
      <c r="V16" s="60" t="str">
        <f t="shared" si="4"/>
        <v>11405493черный</v>
      </c>
      <c r="W16" s="60" t="str">
        <f t="shared" si="0"/>
        <v>11405493</v>
      </c>
      <c r="X16" s="60" t="str">
        <f t="shared" si="5"/>
        <v>Los Angeles Dodgers MLB</v>
      </c>
      <c r="AC16" s="51">
        <f t="shared" si="6"/>
        <v>96</v>
      </c>
      <c r="AD16" s="44">
        <f t="shared" si="1"/>
        <v>20</v>
      </c>
      <c r="AE16" s="51">
        <f t="shared" si="7"/>
        <v>96020</v>
      </c>
    </row>
    <row r="17" spans="1:31">
      <c r="A17" s="60" t="str">
        <f t="shared" si="2"/>
        <v>11579474blk</v>
      </c>
      <c r="B17" s="60" t="str">
        <f t="shared" si="3"/>
        <v>96-019-09</v>
      </c>
      <c r="C17" s="72" t="s">
        <v>975</v>
      </c>
      <c r="D17" s="72" t="s">
        <v>976</v>
      </c>
      <c r="E17" s="72" t="s">
        <v>909</v>
      </c>
      <c r="F17" s="73">
        <v>0</v>
      </c>
      <c r="G17" s="73" t="s">
        <v>977</v>
      </c>
      <c r="H17" s="72" t="s">
        <v>53</v>
      </c>
      <c r="I17" s="72" t="s">
        <v>910</v>
      </c>
      <c r="J17" s="72" t="s">
        <v>356</v>
      </c>
      <c r="K17" s="72" t="s">
        <v>382</v>
      </c>
      <c r="L17" s="72" t="s">
        <v>887</v>
      </c>
      <c r="M17" s="72" t="s">
        <v>388</v>
      </c>
      <c r="N17" s="72" t="s">
        <v>43</v>
      </c>
      <c r="O17" s="72" t="s">
        <v>386</v>
      </c>
      <c r="P17" s="72" t="s">
        <v>920</v>
      </c>
      <c r="Q17" s="72" t="s">
        <v>949</v>
      </c>
      <c r="R17" s="72" t="s">
        <v>53</v>
      </c>
      <c r="S17" s="72" t="s">
        <v>913</v>
      </c>
      <c r="T17" s="72" t="s">
        <v>911</v>
      </c>
      <c r="U17" s="72" t="s">
        <v>914</v>
      </c>
      <c r="V17" s="60" t="str">
        <f t="shared" si="4"/>
        <v>11579474черный</v>
      </c>
      <c r="W17" s="60" t="str">
        <f t="shared" si="0"/>
        <v>11579474</v>
      </c>
      <c r="X17" s="60" t="str">
        <f t="shared" si="5"/>
        <v>New York Yankees MLB</v>
      </c>
      <c r="AC17" s="51">
        <f t="shared" si="6"/>
        <v>96</v>
      </c>
      <c r="AD17" s="44">
        <f t="shared" si="1"/>
        <v>19</v>
      </c>
      <c r="AE17" s="51">
        <f t="shared" si="7"/>
        <v>96019</v>
      </c>
    </row>
    <row r="18" spans="1:31">
      <c r="A18" s="60" t="str">
        <f t="shared" si="2"/>
        <v>80636010nov</v>
      </c>
      <c r="B18" s="60" t="str">
        <f t="shared" si="3"/>
        <v>96-018-03</v>
      </c>
      <c r="C18" s="72" t="s">
        <v>978</v>
      </c>
      <c r="D18" s="72" t="s">
        <v>979</v>
      </c>
      <c r="E18" s="72" t="s">
        <v>909</v>
      </c>
      <c r="F18" s="73">
        <v>0</v>
      </c>
      <c r="G18" s="73" t="s">
        <v>980</v>
      </c>
      <c r="H18" s="72" t="s">
        <v>195</v>
      </c>
      <c r="I18" s="72" t="s">
        <v>910</v>
      </c>
      <c r="J18" s="72" t="s">
        <v>327</v>
      </c>
      <c r="K18" s="72" t="s">
        <v>382</v>
      </c>
      <c r="L18" s="72" t="s">
        <v>887</v>
      </c>
      <c r="M18" s="72" t="s">
        <v>388</v>
      </c>
      <c r="N18" s="72" t="s">
        <v>43</v>
      </c>
      <c r="O18" s="72" t="s">
        <v>386</v>
      </c>
      <c r="P18" s="72" t="s">
        <v>920</v>
      </c>
      <c r="Q18" s="72" t="s">
        <v>929</v>
      </c>
      <c r="R18" s="72" t="s">
        <v>195</v>
      </c>
      <c r="S18" s="72" t="s">
        <v>913</v>
      </c>
      <c r="T18" s="72" t="s">
        <v>911</v>
      </c>
      <c r="U18" s="72" t="s">
        <v>914</v>
      </c>
      <c r="V18" s="60" t="str">
        <f t="shared" si="4"/>
        <v>80636010оливковый</v>
      </c>
      <c r="W18" s="60" t="str">
        <f t="shared" si="0"/>
        <v>80636010</v>
      </c>
      <c r="X18" s="60" t="str">
        <f t="shared" si="5"/>
        <v>New York Yankees MLB</v>
      </c>
      <c r="AC18" s="51">
        <f t="shared" si="6"/>
        <v>96</v>
      </c>
      <c r="AD18" s="44">
        <f t="shared" si="1"/>
        <v>18</v>
      </c>
      <c r="AE18" s="51">
        <f t="shared" si="7"/>
        <v>96018</v>
      </c>
    </row>
    <row r="19" spans="1:31">
      <c r="A19" s="60" t="str">
        <f t="shared" si="2"/>
        <v>80489299plm</v>
      </c>
      <c r="B19" s="60" t="str">
        <f t="shared" si="3"/>
        <v>96-017-94</v>
      </c>
      <c r="C19" s="72" t="s">
        <v>981</v>
      </c>
      <c r="D19" s="72" t="s">
        <v>982</v>
      </c>
      <c r="E19" s="72" t="s">
        <v>909</v>
      </c>
      <c r="F19" s="73">
        <v>0</v>
      </c>
      <c r="G19" s="73" t="s">
        <v>983</v>
      </c>
      <c r="H19" s="72" t="s">
        <v>68</v>
      </c>
      <c r="I19" s="72" t="s">
        <v>910</v>
      </c>
      <c r="J19" s="72" t="s">
        <v>327</v>
      </c>
      <c r="K19" s="72" t="s">
        <v>382</v>
      </c>
      <c r="L19" s="72" t="s">
        <v>887</v>
      </c>
      <c r="M19" s="72" t="s">
        <v>388</v>
      </c>
      <c r="N19" s="72" t="s">
        <v>43</v>
      </c>
      <c r="O19" s="72" t="s">
        <v>386</v>
      </c>
      <c r="P19" s="72" t="s">
        <v>920</v>
      </c>
      <c r="Q19" s="72" t="s">
        <v>984</v>
      </c>
      <c r="R19" s="72" t="s">
        <v>68</v>
      </c>
      <c r="S19" s="72" t="s">
        <v>913</v>
      </c>
      <c r="T19" s="72" t="s">
        <v>911</v>
      </c>
      <c r="U19" s="72" t="s">
        <v>914</v>
      </c>
      <c r="V19" s="60" t="str">
        <f t="shared" si="4"/>
        <v>80489299розовый</v>
      </c>
      <c r="W19" s="60" t="str">
        <f t="shared" si="0"/>
        <v>80489299</v>
      </c>
      <c r="X19" s="60" t="str">
        <f t="shared" si="5"/>
        <v>New York Yankees MLB</v>
      </c>
      <c r="AC19" s="51">
        <f t="shared" si="6"/>
        <v>96</v>
      </c>
      <c r="AD19" s="44">
        <f t="shared" si="1"/>
        <v>17</v>
      </c>
      <c r="AE19" s="51">
        <f t="shared" si="7"/>
        <v>96017</v>
      </c>
    </row>
    <row r="20" spans="1:31">
      <c r="A20" s="60" t="str">
        <f t="shared" si="2"/>
        <v>12523913blkblk</v>
      </c>
      <c r="B20" s="60" t="str">
        <f t="shared" si="3"/>
        <v>96-016-10</v>
      </c>
      <c r="C20" s="72" t="s">
        <v>985</v>
      </c>
      <c r="D20" s="72" t="s">
        <v>986</v>
      </c>
      <c r="E20" s="72" t="s">
        <v>909</v>
      </c>
      <c r="F20" s="73">
        <v>0</v>
      </c>
      <c r="G20" s="73" t="s">
        <v>987</v>
      </c>
      <c r="H20" s="72" t="s">
        <v>53</v>
      </c>
      <c r="I20" s="72" t="s">
        <v>910</v>
      </c>
      <c r="J20" s="72" t="s">
        <v>356</v>
      </c>
      <c r="K20" s="72" t="s">
        <v>382</v>
      </c>
      <c r="L20" s="72" t="s">
        <v>887</v>
      </c>
      <c r="M20" s="72" t="s">
        <v>388</v>
      </c>
      <c r="N20" s="72" t="s">
        <v>43</v>
      </c>
      <c r="O20" s="72" t="s">
        <v>386</v>
      </c>
      <c r="P20" s="72" t="s">
        <v>920</v>
      </c>
      <c r="Q20" s="72" t="s">
        <v>990</v>
      </c>
      <c r="R20" s="72" t="s">
        <v>53</v>
      </c>
      <c r="S20" s="72" t="s">
        <v>913</v>
      </c>
      <c r="T20" s="72" t="s">
        <v>988</v>
      </c>
      <c r="U20" s="72" t="s">
        <v>989</v>
      </c>
      <c r="V20" s="60" t="str">
        <f t="shared" si="4"/>
        <v>12523913черный</v>
      </c>
      <c r="W20" s="60" t="str">
        <f t="shared" si="0"/>
        <v>12523913</v>
      </c>
      <c r="X20" s="60" t="str">
        <f t="shared" si="5"/>
        <v>Chicago Bulls NBA</v>
      </c>
      <c r="AC20" s="51">
        <f t="shared" si="6"/>
        <v>96</v>
      </c>
      <c r="AD20" s="44">
        <f t="shared" si="1"/>
        <v>16</v>
      </c>
      <c r="AE20" s="51">
        <f t="shared" si="7"/>
        <v>96016</v>
      </c>
    </row>
    <row r="21" spans="1:31">
      <c r="A21" s="60" t="str">
        <f t="shared" si="2"/>
        <v>12523911blkblk</v>
      </c>
      <c r="B21" s="60" t="str">
        <f t="shared" si="3"/>
        <v>96-015-10</v>
      </c>
      <c r="C21" s="72" t="s">
        <v>991</v>
      </c>
      <c r="D21" s="72" t="s">
        <v>992</v>
      </c>
      <c r="E21" s="72" t="s">
        <v>909</v>
      </c>
      <c r="F21" s="73">
        <v>0</v>
      </c>
      <c r="G21" s="73" t="s">
        <v>993</v>
      </c>
      <c r="H21" s="72" t="s">
        <v>53</v>
      </c>
      <c r="I21" s="72" t="s">
        <v>910</v>
      </c>
      <c r="J21" s="72" t="s">
        <v>356</v>
      </c>
      <c r="K21" s="72" t="s">
        <v>382</v>
      </c>
      <c r="L21" s="72" t="s">
        <v>887</v>
      </c>
      <c r="M21" s="72" t="s">
        <v>388</v>
      </c>
      <c r="N21" s="72" t="s">
        <v>43</v>
      </c>
      <c r="O21" s="72" t="s">
        <v>386</v>
      </c>
      <c r="P21" s="72" t="s">
        <v>920</v>
      </c>
      <c r="Q21" s="72" t="s">
        <v>990</v>
      </c>
      <c r="R21" s="72" t="s">
        <v>53</v>
      </c>
      <c r="S21" s="72" t="s">
        <v>913</v>
      </c>
      <c r="T21" s="72" t="s">
        <v>988</v>
      </c>
      <c r="U21" s="72" t="s">
        <v>994</v>
      </c>
      <c r="V21" s="60" t="str">
        <f t="shared" si="4"/>
        <v>12523911черный</v>
      </c>
      <c r="W21" s="60" t="str">
        <f t="shared" si="0"/>
        <v>12523911</v>
      </c>
      <c r="X21" s="60" t="str">
        <f t="shared" si="5"/>
        <v>Los Angeles Lakers NBA</v>
      </c>
      <c r="AC21" s="51">
        <f t="shared" si="6"/>
        <v>96</v>
      </c>
      <c r="AD21" s="44">
        <f t="shared" si="1"/>
        <v>15</v>
      </c>
      <c r="AE21" s="51">
        <f t="shared" si="7"/>
        <v>96015</v>
      </c>
    </row>
    <row r="22" spans="1:31">
      <c r="A22" s="60" t="str">
        <f t="shared" si="2"/>
        <v>10531938scawhi</v>
      </c>
      <c r="B22" s="60" t="str">
        <f t="shared" si="3"/>
        <v>96-014-18</v>
      </c>
      <c r="C22" s="72" t="s">
        <v>995</v>
      </c>
      <c r="D22" s="72" t="s">
        <v>996</v>
      </c>
      <c r="E22" s="72" t="s">
        <v>909</v>
      </c>
      <c r="F22" s="73">
        <v>0</v>
      </c>
      <c r="G22" s="73" t="s">
        <v>997</v>
      </c>
      <c r="H22" s="72" t="s">
        <v>78</v>
      </c>
      <c r="I22" s="72" t="s">
        <v>910</v>
      </c>
      <c r="J22" s="72" t="s">
        <v>327</v>
      </c>
      <c r="K22" s="72" t="s">
        <v>382</v>
      </c>
      <c r="L22" s="72" t="s">
        <v>887</v>
      </c>
      <c r="M22" s="72" t="s">
        <v>388</v>
      </c>
      <c r="N22" s="72" t="s">
        <v>43</v>
      </c>
      <c r="O22" s="72" t="s">
        <v>386</v>
      </c>
      <c r="P22" s="72" t="s">
        <v>920</v>
      </c>
      <c r="Q22" s="72" t="s">
        <v>998</v>
      </c>
      <c r="R22" s="72" t="s">
        <v>78</v>
      </c>
      <c r="S22" s="72" t="s">
        <v>913</v>
      </c>
      <c r="T22" s="72" t="s">
        <v>911</v>
      </c>
      <c r="U22" s="72" t="s">
        <v>914</v>
      </c>
      <c r="V22" s="60" t="str">
        <f t="shared" si="4"/>
        <v>10531938красный</v>
      </c>
      <c r="W22" s="60" t="str">
        <f t="shared" si="0"/>
        <v>10531938</v>
      </c>
      <c r="X22" s="60" t="str">
        <f t="shared" si="5"/>
        <v>New York Yankees MLB</v>
      </c>
      <c r="AC22" s="51">
        <f t="shared" si="6"/>
        <v>96</v>
      </c>
      <c r="AD22" s="44">
        <f t="shared" si="1"/>
        <v>14</v>
      </c>
      <c r="AE22" s="51">
        <f t="shared" si="7"/>
        <v>96014</v>
      </c>
    </row>
    <row r="23" spans="1:31">
      <c r="A23" s="60" t="str">
        <f t="shared" si="2"/>
        <v>60112702blk</v>
      </c>
      <c r="B23" s="60" t="str">
        <f t="shared" si="3"/>
        <v>96-046-09</v>
      </c>
      <c r="C23" s="72" t="s">
        <v>999</v>
      </c>
      <c r="D23" s="72" t="s">
        <v>1000</v>
      </c>
      <c r="E23" s="72" t="s">
        <v>909</v>
      </c>
      <c r="F23" s="73">
        <v>0</v>
      </c>
      <c r="G23" s="73" t="s">
        <v>1001</v>
      </c>
      <c r="H23" s="72" t="s">
        <v>53</v>
      </c>
      <c r="I23" s="72" t="s">
        <v>910</v>
      </c>
      <c r="J23" s="72" t="s">
        <v>356</v>
      </c>
      <c r="K23" s="72" t="s">
        <v>382</v>
      </c>
      <c r="L23" s="72" t="s">
        <v>887</v>
      </c>
      <c r="M23" s="72" t="s">
        <v>388</v>
      </c>
      <c r="N23" s="72" t="s">
        <v>43</v>
      </c>
      <c r="O23" s="72" t="s">
        <v>541</v>
      </c>
      <c r="P23" s="72" t="s">
        <v>920</v>
      </c>
      <c r="Q23" s="72" t="s">
        <v>949</v>
      </c>
      <c r="R23" s="72" t="s">
        <v>53</v>
      </c>
      <c r="S23" s="72" t="s">
        <v>913</v>
      </c>
      <c r="T23" s="72" t="s">
        <v>911</v>
      </c>
      <c r="U23" s="72" t="s">
        <v>915</v>
      </c>
      <c r="V23" s="60" t="str">
        <f t="shared" si="4"/>
        <v>60112702черный</v>
      </c>
      <c r="W23" s="60" t="str">
        <f t="shared" si="0"/>
        <v>60112702</v>
      </c>
      <c r="X23" s="60" t="str">
        <f t="shared" si="5"/>
        <v>Boston Red Sox</v>
      </c>
      <c r="AC23" s="51">
        <f t="shared" si="6"/>
        <v>96</v>
      </c>
      <c r="AD23" s="44">
        <f t="shared" si="1"/>
        <v>46</v>
      </c>
      <c r="AE23" s="51">
        <f t="shared" si="7"/>
        <v>96046</v>
      </c>
    </row>
    <row r="24" spans="1:31">
      <c r="A24" s="60" t="str">
        <f t="shared" si="2"/>
        <v>60222526whi</v>
      </c>
      <c r="B24" s="60" t="str">
        <f t="shared" si="3"/>
        <v>96-045-35</v>
      </c>
      <c r="C24" s="72" t="s">
        <v>1002</v>
      </c>
      <c r="D24" s="72" t="s">
        <v>1003</v>
      </c>
      <c r="E24" s="72" t="s">
        <v>909</v>
      </c>
      <c r="F24" s="73">
        <v>0</v>
      </c>
      <c r="G24" s="73" t="s">
        <v>1004</v>
      </c>
      <c r="H24" s="72" t="s">
        <v>1005</v>
      </c>
      <c r="I24" s="72" t="s">
        <v>910</v>
      </c>
      <c r="J24" s="72" t="s">
        <v>327</v>
      </c>
      <c r="K24" s="72" t="s">
        <v>387</v>
      </c>
      <c r="L24" s="72" t="s">
        <v>887</v>
      </c>
      <c r="M24" s="72" t="s">
        <v>388</v>
      </c>
      <c r="N24" s="72" t="s">
        <v>43</v>
      </c>
      <c r="O24" s="72" t="s">
        <v>541</v>
      </c>
      <c r="P24" s="72" t="s">
        <v>920</v>
      </c>
      <c r="Q24" s="72" t="s">
        <v>937</v>
      </c>
      <c r="R24" s="72" t="s">
        <v>68</v>
      </c>
      <c r="S24" s="72" t="s">
        <v>913</v>
      </c>
      <c r="T24" s="72" t="s">
        <v>911</v>
      </c>
      <c r="U24" s="72" t="s">
        <v>914</v>
      </c>
      <c r="V24" s="60" t="str">
        <f t="shared" si="4"/>
        <v>60222526персиковый / белый</v>
      </c>
      <c r="W24" s="60" t="str">
        <f t="shared" si="0"/>
        <v>60222526</v>
      </c>
      <c r="X24" s="60" t="str">
        <f t="shared" si="5"/>
        <v>New York Yankees</v>
      </c>
      <c r="AC24" s="51">
        <f t="shared" si="6"/>
        <v>96</v>
      </c>
      <c r="AD24" s="44">
        <f t="shared" si="1"/>
        <v>45</v>
      </c>
      <c r="AE24" s="51">
        <f t="shared" si="7"/>
        <v>96045</v>
      </c>
    </row>
    <row r="25" spans="1:31">
      <c r="A25" s="60" t="str">
        <f t="shared" si="2"/>
        <v>60222524whi</v>
      </c>
      <c r="B25" s="60" t="str">
        <f t="shared" si="3"/>
        <v>96-044-32</v>
      </c>
      <c r="C25" s="72" t="s">
        <v>1006</v>
      </c>
      <c r="D25" s="72" t="s">
        <v>1007</v>
      </c>
      <c r="E25" s="72" t="s">
        <v>909</v>
      </c>
      <c r="F25" s="73">
        <v>0</v>
      </c>
      <c r="G25" s="73" t="s">
        <v>1008</v>
      </c>
      <c r="H25" s="72" t="s">
        <v>1009</v>
      </c>
      <c r="I25" s="72" t="s">
        <v>910</v>
      </c>
      <c r="J25" s="72" t="s">
        <v>327</v>
      </c>
      <c r="K25" s="72" t="s">
        <v>387</v>
      </c>
      <c r="L25" s="72" t="s">
        <v>887</v>
      </c>
      <c r="M25" s="72" t="s">
        <v>388</v>
      </c>
      <c r="N25" s="72" t="s">
        <v>43</v>
      </c>
      <c r="O25" s="72" t="s">
        <v>541</v>
      </c>
      <c r="P25" s="72" t="s">
        <v>920</v>
      </c>
      <c r="Q25" s="72" t="s">
        <v>937</v>
      </c>
      <c r="R25" s="72" t="s">
        <v>286</v>
      </c>
      <c r="S25" s="72" t="s">
        <v>913</v>
      </c>
      <c r="T25" s="72" t="s">
        <v>911</v>
      </c>
      <c r="U25" s="72" t="s">
        <v>914</v>
      </c>
      <c r="V25" s="60" t="str">
        <f t="shared" si="4"/>
        <v>60222524сиреневый / белый</v>
      </c>
      <c r="W25" s="60" t="str">
        <f t="shared" si="0"/>
        <v>60222524</v>
      </c>
      <c r="X25" s="60" t="str">
        <f t="shared" si="5"/>
        <v>New York Yankees</v>
      </c>
      <c r="AC25" s="51">
        <f t="shared" si="6"/>
        <v>96</v>
      </c>
      <c r="AD25" s="44">
        <f t="shared" si="1"/>
        <v>44</v>
      </c>
      <c r="AE25" s="51">
        <f t="shared" si="7"/>
        <v>96044</v>
      </c>
    </row>
    <row r="26" spans="1:31">
      <c r="A26" s="60" t="str">
        <f t="shared" si="2"/>
        <v>60222496blk</v>
      </c>
      <c r="B26" s="60" t="str">
        <f t="shared" si="3"/>
        <v>96-043-72</v>
      </c>
      <c r="C26" s="72" t="s">
        <v>1010</v>
      </c>
      <c r="D26" s="72" t="s">
        <v>1011</v>
      </c>
      <c r="E26" s="72" t="s">
        <v>909</v>
      </c>
      <c r="F26" s="73">
        <v>0</v>
      </c>
      <c r="G26" s="73" t="s">
        <v>1012</v>
      </c>
      <c r="H26" s="72" t="s">
        <v>293</v>
      </c>
      <c r="I26" s="72" t="s">
        <v>916</v>
      </c>
      <c r="J26" s="72" t="s">
        <v>327</v>
      </c>
      <c r="K26" s="72" t="s">
        <v>382</v>
      </c>
      <c r="L26" s="72" t="s">
        <v>887</v>
      </c>
      <c r="M26" s="72" t="s">
        <v>388</v>
      </c>
      <c r="O26" s="72" t="s">
        <v>386</v>
      </c>
      <c r="P26" s="72" t="s">
        <v>920</v>
      </c>
      <c r="Q26" s="72" t="s">
        <v>949</v>
      </c>
      <c r="R26" s="72" t="s">
        <v>53</v>
      </c>
      <c r="S26" s="72" t="s">
        <v>913</v>
      </c>
      <c r="T26" s="72" t="s">
        <v>911</v>
      </c>
      <c r="U26" s="72" t="s">
        <v>912</v>
      </c>
      <c r="V26" s="60" t="str">
        <f t="shared" si="4"/>
        <v>60222496черный / белый</v>
      </c>
      <c r="W26" s="60" t="str">
        <f t="shared" si="0"/>
        <v>60222496</v>
      </c>
      <c r="X26" s="60" t="str">
        <f t="shared" si="5"/>
        <v>Los Angeles Dodgers</v>
      </c>
      <c r="AC26" s="51">
        <f t="shared" si="6"/>
        <v>96</v>
      </c>
      <c r="AD26" s="44">
        <f t="shared" si="1"/>
        <v>43</v>
      </c>
      <c r="AE26" s="51">
        <f t="shared" si="7"/>
        <v>96043</v>
      </c>
    </row>
    <row r="27" spans="1:31">
      <c r="A27" s="60" t="str">
        <f t="shared" si="2"/>
        <v>60222493blk</v>
      </c>
      <c r="B27" s="60" t="str">
        <f t="shared" si="3"/>
        <v>96-042-72</v>
      </c>
      <c r="C27" s="72" t="s">
        <v>1013</v>
      </c>
      <c r="D27" s="72" t="s">
        <v>1014</v>
      </c>
      <c r="E27" s="72" t="s">
        <v>909</v>
      </c>
      <c r="F27" s="73">
        <v>0</v>
      </c>
      <c r="G27" s="73" t="s">
        <v>1015</v>
      </c>
      <c r="H27" s="72" t="s">
        <v>293</v>
      </c>
      <c r="I27" s="72" t="s">
        <v>916</v>
      </c>
      <c r="J27" s="72" t="s">
        <v>327</v>
      </c>
      <c r="K27" s="72" t="s">
        <v>382</v>
      </c>
      <c r="L27" s="72" t="s">
        <v>887</v>
      </c>
      <c r="M27" s="72" t="s">
        <v>388</v>
      </c>
      <c r="O27" s="72" t="s">
        <v>386</v>
      </c>
      <c r="P27" s="72" t="s">
        <v>920</v>
      </c>
      <c r="Q27" s="72" t="s">
        <v>949</v>
      </c>
      <c r="R27" s="72" t="s">
        <v>53</v>
      </c>
      <c r="S27" s="72" t="s">
        <v>913</v>
      </c>
      <c r="T27" s="72" t="s">
        <v>988</v>
      </c>
      <c r="U27" s="72" t="s">
        <v>994</v>
      </c>
      <c r="V27" s="60" t="str">
        <f t="shared" si="4"/>
        <v>60222493черный / белый</v>
      </c>
      <c r="W27" s="60" t="str">
        <f t="shared" si="0"/>
        <v>60222493</v>
      </c>
      <c r="X27" s="60" t="str">
        <f t="shared" si="5"/>
        <v>Los Angeles Lakers</v>
      </c>
      <c r="AC27" s="51">
        <f t="shared" si="6"/>
        <v>96</v>
      </c>
      <c r="AD27" s="44">
        <f t="shared" si="1"/>
        <v>42</v>
      </c>
      <c r="AE27" s="51">
        <f t="shared" si="7"/>
        <v>96042</v>
      </c>
    </row>
    <row r="28" spans="1:31">
      <c r="A28" s="60" t="str">
        <f t="shared" si="2"/>
        <v>60222486blk</v>
      </c>
      <c r="B28" s="60" t="str">
        <f t="shared" si="3"/>
        <v>96-041-72</v>
      </c>
      <c r="C28" s="72" t="s">
        <v>1016</v>
      </c>
      <c r="D28" s="72" t="s">
        <v>1017</v>
      </c>
      <c r="E28" s="72" t="s">
        <v>909</v>
      </c>
      <c r="F28" s="73">
        <v>0</v>
      </c>
      <c r="G28" s="73" t="s">
        <v>1018</v>
      </c>
      <c r="H28" s="72" t="s">
        <v>293</v>
      </c>
      <c r="I28" s="72" t="s">
        <v>916</v>
      </c>
      <c r="J28" s="72" t="s">
        <v>327</v>
      </c>
      <c r="K28" s="72" t="s">
        <v>382</v>
      </c>
      <c r="L28" s="72" t="s">
        <v>887</v>
      </c>
      <c r="M28" s="72" t="s">
        <v>388</v>
      </c>
      <c r="O28" s="72" t="s">
        <v>386</v>
      </c>
      <c r="P28" s="72" t="s">
        <v>920</v>
      </c>
      <c r="Q28" s="72" t="s">
        <v>949</v>
      </c>
      <c r="R28" s="72" t="s">
        <v>53</v>
      </c>
      <c r="S28" s="72" t="s">
        <v>913</v>
      </c>
      <c r="T28" s="72" t="s">
        <v>988</v>
      </c>
      <c r="U28" s="72" t="s">
        <v>989</v>
      </c>
      <c r="V28" s="60" t="str">
        <f t="shared" si="4"/>
        <v>60222486черный / белый</v>
      </c>
      <c r="W28" s="60" t="str">
        <f t="shared" si="0"/>
        <v>60222486</v>
      </c>
      <c r="X28" s="60" t="str">
        <f t="shared" si="5"/>
        <v>Chicago Bulls</v>
      </c>
      <c r="AC28" s="51">
        <f t="shared" si="6"/>
        <v>96</v>
      </c>
      <c r="AD28" s="44">
        <f t="shared" si="1"/>
        <v>41</v>
      </c>
      <c r="AE28" s="51">
        <f t="shared" si="7"/>
        <v>96041</v>
      </c>
    </row>
    <row r="29" spans="1:31">
      <c r="A29" s="60" t="str">
        <f t="shared" si="2"/>
        <v>60222480atbirf</v>
      </c>
      <c r="B29" s="60" t="str">
        <f t="shared" si="3"/>
        <v>96-040-06</v>
      </c>
      <c r="C29" s="72" t="s">
        <v>1019</v>
      </c>
      <c r="D29" s="72" t="s">
        <v>1020</v>
      </c>
      <c r="E29" s="72" t="s">
        <v>909</v>
      </c>
      <c r="F29" s="73">
        <v>0</v>
      </c>
      <c r="G29" s="73" t="s">
        <v>1021</v>
      </c>
      <c r="H29" s="72" t="s">
        <v>71</v>
      </c>
      <c r="I29" s="72" t="s">
        <v>910</v>
      </c>
      <c r="J29" s="72" t="s">
        <v>327</v>
      </c>
      <c r="K29" s="72" t="s">
        <v>382</v>
      </c>
      <c r="L29" s="72" t="s">
        <v>887</v>
      </c>
      <c r="M29" s="72" t="s">
        <v>388</v>
      </c>
      <c r="N29" s="72" t="s">
        <v>43</v>
      </c>
      <c r="O29" s="72" t="s">
        <v>541</v>
      </c>
      <c r="P29" s="72" t="s">
        <v>920</v>
      </c>
      <c r="Q29" s="72" t="s">
        <v>1022</v>
      </c>
      <c r="R29" s="72" t="s">
        <v>71</v>
      </c>
      <c r="S29" s="72" t="s">
        <v>913</v>
      </c>
      <c r="T29" s="72" t="s">
        <v>911</v>
      </c>
      <c r="U29" s="72" t="s">
        <v>914</v>
      </c>
      <c r="V29" s="60" t="str">
        <f t="shared" si="4"/>
        <v>60222480синий</v>
      </c>
      <c r="W29" s="60" t="str">
        <f t="shared" si="0"/>
        <v>60222480</v>
      </c>
      <c r="X29" s="60" t="str">
        <f t="shared" si="5"/>
        <v>New York Yankees</v>
      </c>
      <c r="AC29" s="51">
        <f t="shared" si="6"/>
        <v>96</v>
      </c>
      <c r="AD29" s="44">
        <f t="shared" si="1"/>
        <v>40</v>
      </c>
      <c r="AE29" s="51">
        <f t="shared" si="7"/>
        <v>96040</v>
      </c>
    </row>
    <row r="30" spans="1:31">
      <c r="A30" s="60" t="str">
        <f t="shared" si="2"/>
        <v>60222459blt</v>
      </c>
      <c r="B30" s="60" t="str">
        <f t="shared" si="3"/>
        <v>96-039-11</v>
      </c>
      <c r="C30" s="72" t="s">
        <v>1023</v>
      </c>
      <c r="D30" s="72" t="s">
        <v>1024</v>
      </c>
      <c r="E30" s="72" t="s">
        <v>909</v>
      </c>
      <c r="F30" s="73">
        <v>0</v>
      </c>
      <c r="G30" s="73" t="s">
        <v>1025</v>
      </c>
      <c r="H30" s="72" t="s">
        <v>149</v>
      </c>
      <c r="I30" s="72" t="s">
        <v>1026</v>
      </c>
      <c r="J30" s="72" t="s">
        <v>327</v>
      </c>
      <c r="K30" s="72" t="s">
        <v>387</v>
      </c>
      <c r="L30" s="72" t="s">
        <v>887</v>
      </c>
      <c r="M30" s="72" t="s">
        <v>388</v>
      </c>
      <c r="N30" s="72" t="s">
        <v>43</v>
      </c>
      <c r="O30" s="72" t="s">
        <v>386</v>
      </c>
      <c r="P30" s="72" t="s">
        <v>920</v>
      </c>
      <c r="Q30" s="72" t="s">
        <v>1027</v>
      </c>
      <c r="R30" s="72" t="s">
        <v>60</v>
      </c>
      <c r="S30" s="72" t="s">
        <v>913</v>
      </c>
      <c r="T30" s="72" t="s">
        <v>911</v>
      </c>
      <c r="U30" s="72" t="s">
        <v>914</v>
      </c>
      <c r="V30" s="60" t="str">
        <f t="shared" si="4"/>
        <v>60222459зеленый / белый</v>
      </c>
      <c r="W30" s="60" t="str">
        <f t="shared" si="0"/>
        <v>60222459</v>
      </c>
      <c r="X30" s="60" t="str">
        <f t="shared" si="5"/>
        <v>New York Yankees</v>
      </c>
      <c r="AC30" s="51">
        <f t="shared" si="6"/>
        <v>96</v>
      </c>
      <c r="AD30" s="44">
        <f t="shared" si="1"/>
        <v>39</v>
      </c>
      <c r="AE30" s="51">
        <f t="shared" si="7"/>
        <v>96039</v>
      </c>
    </row>
    <row r="31" spans="1:31">
      <c r="A31" s="60" t="str">
        <f t="shared" si="2"/>
        <v>60222458gra</v>
      </c>
      <c r="B31" s="60" t="str">
        <f t="shared" si="3"/>
        <v>96-038-50</v>
      </c>
      <c r="C31" s="72" t="s">
        <v>1028</v>
      </c>
      <c r="D31" s="72" t="s">
        <v>1029</v>
      </c>
      <c r="E31" s="72" t="s">
        <v>909</v>
      </c>
      <c r="F31" s="73">
        <v>0</v>
      </c>
      <c r="G31" s="73" t="s">
        <v>1030</v>
      </c>
      <c r="H31" s="72" t="s">
        <v>237</v>
      </c>
      <c r="I31" s="72" t="s">
        <v>1026</v>
      </c>
      <c r="J31" s="72" t="s">
        <v>327</v>
      </c>
      <c r="K31" s="72" t="s">
        <v>387</v>
      </c>
      <c r="L31" s="72" t="s">
        <v>887</v>
      </c>
      <c r="M31" s="72" t="s">
        <v>388</v>
      </c>
      <c r="N31" s="72" t="s">
        <v>43</v>
      </c>
      <c r="O31" s="72" t="s">
        <v>386</v>
      </c>
      <c r="P31" s="72" t="s">
        <v>920</v>
      </c>
      <c r="Q31" s="72" t="s">
        <v>1031</v>
      </c>
      <c r="R31" s="72" t="s">
        <v>83</v>
      </c>
      <c r="S31" s="72" t="s">
        <v>913</v>
      </c>
      <c r="T31" s="72" t="s">
        <v>911</v>
      </c>
      <c r="U31" s="72" t="s">
        <v>914</v>
      </c>
      <c r="V31" s="60" t="str">
        <f t="shared" si="4"/>
        <v>60222458серый / белый</v>
      </c>
      <c r="W31" s="60" t="str">
        <f t="shared" si="0"/>
        <v>60222458</v>
      </c>
      <c r="X31" s="60" t="str">
        <f t="shared" si="5"/>
        <v>New York Yankees</v>
      </c>
      <c r="AC31" s="51">
        <f t="shared" si="6"/>
        <v>96</v>
      </c>
      <c r="AD31" s="44">
        <f t="shared" si="1"/>
        <v>38</v>
      </c>
      <c r="AE31" s="51">
        <f t="shared" si="7"/>
        <v>96038</v>
      </c>
    </row>
    <row r="32" spans="1:31">
      <c r="A32" s="60" t="str">
        <f t="shared" si="2"/>
        <v>60222441wht</v>
      </c>
      <c r="B32" s="60" t="str">
        <f t="shared" si="3"/>
        <v>96-037-12</v>
      </c>
      <c r="C32" s="72" t="s">
        <v>1032</v>
      </c>
      <c r="D32" s="72" t="s">
        <v>1033</v>
      </c>
      <c r="E32" s="72" t="s">
        <v>909</v>
      </c>
      <c r="F32" s="73">
        <v>0</v>
      </c>
      <c r="G32" s="73" t="s">
        <v>1034</v>
      </c>
      <c r="H32" s="72" t="s">
        <v>1035</v>
      </c>
      <c r="I32" s="72" t="s">
        <v>910</v>
      </c>
      <c r="J32" s="72" t="s">
        <v>327</v>
      </c>
      <c r="K32" s="72" t="s">
        <v>382</v>
      </c>
      <c r="L32" s="72" t="s">
        <v>887</v>
      </c>
      <c r="M32" s="72" t="s">
        <v>388</v>
      </c>
      <c r="N32" s="72" t="s">
        <v>43</v>
      </c>
      <c r="O32" s="72" t="s">
        <v>386</v>
      </c>
      <c r="P32" s="72" t="s">
        <v>920</v>
      </c>
      <c r="Q32" s="72" t="s">
        <v>1036</v>
      </c>
      <c r="R32" s="72" t="s">
        <v>60</v>
      </c>
      <c r="S32" s="72" t="s">
        <v>913</v>
      </c>
      <c r="T32" s="72" t="s">
        <v>911</v>
      </c>
      <c r="U32" s="72" t="s">
        <v>914</v>
      </c>
      <c r="V32" s="60" t="str">
        <f t="shared" si="4"/>
        <v>60222441зеленый / камуфляж</v>
      </c>
      <c r="W32" s="60" t="str">
        <f t="shared" si="0"/>
        <v>60222441</v>
      </c>
      <c r="X32" s="60" t="str">
        <f t="shared" si="5"/>
        <v>New York Yankees</v>
      </c>
      <c r="AC32" s="51">
        <f t="shared" si="6"/>
        <v>96</v>
      </c>
      <c r="AD32" s="44">
        <f t="shared" si="1"/>
        <v>37</v>
      </c>
      <c r="AE32" s="51">
        <f t="shared" si="7"/>
        <v>96037</v>
      </c>
    </row>
    <row r="33" spans="1:31">
      <c r="A33" s="60" t="str">
        <f t="shared" si="2"/>
        <v>60222436atb</v>
      </c>
      <c r="B33" s="60" t="str">
        <f t="shared" si="3"/>
        <v>96-036-95</v>
      </c>
      <c r="C33" s="72" t="s">
        <v>1037</v>
      </c>
      <c r="D33" s="72" t="s">
        <v>1038</v>
      </c>
      <c r="E33" s="72" t="s">
        <v>909</v>
      </c>
      <c r="F33" s="73">
        <v>0</v>
      </c>
      <c r="G33" s="73" t="s">
        <v>1039</v>
      </c>
      <c r="H33" s="72" t="s">
        <v>248</v>
      </c>
      <c r="I33" s="72" t="s">
        <v>1040</v>
      </c>
      <c r="J33" s="72" t="s">
        <v>356</v>
      </c>
      <c r="K33" s="72" t="s">
        <v>382</v>
      </c>
      <c r="L33" s="72" t="s">
        <v>887</v>
      </c>
      <c r="M33" s="72" t="s">
        <v>388</v>
      </c>
      <c r="N33" s="72" t="s">
        <v>43</v>
      </c>
      <c r="O33" s="72" t="s">
        <v>541</v>
      </c>
      <c r="P33" s="72" t="s">
        <v>920</v>
      </c>
      <c r="Q33" s="72" t="s">
        <v>1041</v>
      </c>
      <c r="R33" s="72" t="s">
        <v>71</v>
      </c>
      <c r="S33" s="72" t="s">
        <v>913</v>
      </c>
      <c r="T33" s="72" t="s">
        <v>911</v>
      </c>
      <c r="U33" s="72" t="s">
        <v>912</v>
      </c>
      <c r="V33" s="60" t="str">
        <f t="shared" si="4"/>
        <v>60222436синий / белый</v>
      </c>
      <c r="W33" s="60" t="str">
        <f t="shared" si="0"/>
        <v>60222436</v>
      </c>
      <c r="X33" s="60" t="str">
        <f t="shared" si="5"/>
        <v>Los Angeles Dodgers</v>
      </c>
      <c r="AC33" s="51">
        <f t="shared" si="6"/>
        <v>96</v>
      </c>
      <c r="AD33" s="44">
        <f t="shared" si="1"/>
        <v>36</v>
      </c>
      <c r="AE33" s="51">
        <f t="shared" si="7"/>
        <v>96036</v>
      </c>
    </row>
    <row r="34" spans="1:31">
      <c r="A34" s="60" t="str">
        <f t="shared" si="2"/>
        <v>60222426tof</v>
      </c>
      <c r="B34" s="60" t="str">
        <f t="shared" si="3"/>
        <v>96-035-15</v>
      </c>
      <c r="C34" s="72" t="s">
        <v>1042</v>
      </c>
      <c r="D34" s="72" t="s">
        <v>1043</v>
      </c>
      <c r="E34" s="72" t="s">
        <v>909</v>
      </c>
      <c r="F34" s="73">
        <v>0</v>
      </c>
      <c r="G34" s="73" t="s">
        <v>1044</v>
      </c>
      <c r="H34" s="72" t="s">
        <v>1045</v>
      </c>
      <c r="I34" s="72" t="s">
        <v>910</v>
      </c>
      <c r="J34" s="72" t="s">
        <v>327</v>
      </c>
      <c r="K34" s="72" t="s">
        <v>382</v>
      </c>
      <c r="L34" s="72" t="s">
        <v>887</v>
      </c>
      <c r="M34" s="72" t="s">
        <v>388</v>
      </c>
      <c r="N34" s="72" t="s">
        <v>43</v>
      </c>
      <c r="O34" s="72" t="s">
        <v>386</v>
      </c>
      <c r="P34" s="72" t="s">
        <v>920</v>
      </c>
      <c r="Q34" s="72" t="s">
        <v>960</v>
      </c>
      <c r="R34" s="72" t="s">
        <v>86</v>
      </c>
      <c r="S34" s="72" t="s">
        <v>913</v>
      </c>
      <c r="T34" s="72" t="s">
        <v>911</v>
      </c>
      <c r="U34" s="72" t="s">
        <v>912</v>
      </c>
      <c r="V34" s="60" t="str">
        <f t="shared" si="4"/>
        <v>60222426рыжий / камуфляж</v>
      </c>
      <c r="W34" s="60" t="str">
        <f t="shared" si="0"/>
        <v>60222426</v>
      </c>
      <c r="X34" s="60" t="str">
        <f t="shared" si="5"/>
        <v>Los Angeles Dodgers</v>
      </c>
      <c r="AC34" s="51">
        <f t="shared" si="6"/>
        <v>96</v>
      </c>
      <c r="AD34" s="44">
        <f t="shared" si="1"/>
        <v>35</v>
      </c>
      <c r="AE34" s="51">
        <f t="shared" si="7"/>
        <v>96035</v>
      </c>
    </row>
    <row r="35" spans="1:31">
      <c r="A35" s="60" t="str">
        <f t="shared" si="2"/>
        <v>60222424whi</v>
      </c>
      <c r="B35" s="60" t="str">
        <f t="shared" si="3"/>
        <v>96-034-65</v>
      </c>
      <c r="C35" s="72" t="s">
        <v>1046</v>
      </c>
      <c r="D35" s="72" t="s">
        <v>1047</v>
      </c>
      <c r="E35" s="72" t="s">
        <v>909</v>
      </c>
      <c r="F35" s="73">
        <v>0</v>
      </c>
      <c r="G35" s="73" t="s">
        <v>1048</v>
      </c>
      <c r="H35" s="72" t="s">
        <v>678</v>
      </c>
      <c r="I35" s="72" t="s">
        <v>916</v>
      </c>
      <c r="J35" s="72" t="s">
        <v>356</v>
      </c>
      <c r="K35" s="72" t="s">
        <v>382</v>
      </c>
      <c r="L35" s="72" t="s">
        <v>887</v>
      </c>
      <c r="M35" s="72" t="s">
        <v>388</v>
      </c>
      <c r="O35" s="72" t="s">
        <v>386</v>
      </c>
      <c r="P35" s="72" t="s">
        <v>920</v>
      </c>
      <c r="Q35" s="72" t="s">
        <v>937</v>
      </c>
      <c r="R35" s="72" t="s">
        <v>71</v>
      </c>
      <c r="S35" s="72" t="s">
        <v>913</v>
      </c>
      <c r="T35" s="72" t="s">
        <v>911</v>
      </c>
      <c r="U35" s="72" t="s">
        <v>914</v>
      </c>
      <c r="V35" s="60" t="str">
        <f t="shared" si="4"/>
        <v>60222424темно-синий / белый</v>
      </c>
      <c r="W35" s="60" t="str">
        <f t="shared" si="0"/>
        <v>60222424</v>
      </c>
      <c r="X35" s="60" t="str">
        <f t="shared" si="5"/>
        <v>New York Yankees</v>
      </c>
      <c r="AC35" s="51">
        <f t="shared" si="6"/>
        <v>96</v>
      </c>
      <c r="AD35" s="44">
        <f t="shared" si="1"/>
        <v>34</v>
      </c>
      <c r="AE35" s="51">
        <f t="shared" si="7"/>
        <v>96034</v>
      </c>
    </row>
    <row r="36" spans="1:31">
      <c r="A36" s="60" t="str">
        <f t="shared" si="2"/>
        <v>60222423sgr</v>
      </c>
      <c r="B36" s="60" t="str">
        <f t="shared" si="3"/>
        <v>96-033-47</v>
      </c>
      <c r="C36" s="72" t="s">
        <v>1049</v>
      </c>
      <c r="D36" s="72" t="s">
        <v>1050</v>
      </c>
      <c r="E36" s="72" t="s">
        <v>909</v>
      </c>
      <c r="F36" s="73">
        <v>0</v>
      </c>
      <c r="G36" s="73" t="s">
        <v>1051</v>
      </c>
      <c r="H36" s="72" t="s">
        <v>246</v>
      </c>
      <c r="I36" s="72" t="s">
        <v>916</v>
      </c>
      <c r="J36" s="72" t="s">
        <v>356</v>
      </c>
      <c r="K36" s="72" t="s">
        <v>382</v>
      </c>
      <c r="L36" s="72" t="s">
        <v>887</v>
      </c>
      <c r="M36" s="72" t="s">
        <v>388</v>
      </c>
      <c r="O36" s="72" t="s">
        <v>386</v>
      </c>
      <c r="P36" s="72" t="s">
        <v>920</v>
      </c>
      <c r="Q36" s="72" t="s">
        <v>1054</v>
      </c>
      <c r="R36" s="72" t="s">
        <v>83</v>
      </c>
      <c r="S36" s="72" t="s">
        <v>913</v>
      </c>
      <c r="T36" s="72" t="s">
        <v>1052</v>
      </c>
      <c r="U36" s="72" t="s">
        <v>1053</v>
      </c>
      <c r="V36" s="60" t="str">
        <f t="shared" si="4"/>
        <v>60222423серый / черный</v>
      </c>
      <c r="W36" s="60" t="str">
        <f t="shared" si="0"/>
        <v>60222423</v>
      </c>
      <c r="X36" s="60" t="str">
        <f t="shared" si="5"/>
        <v>Las Vegas Raiders</v>
      </c>
      <c r="AC36" s="51">
        <f t="shared" si="6"/>
        <v>96</v>
      </c>
      <c r="AD36" s="44">
        <f t="shared" si="1"/>
        <v>33</v>
      </c>
      <c r="AE36" s="51">
        <f t="shared" si="7"/>
        <v>96033</v>
      </c>
    </row>
    <row r="37" spans="1:31">
      <c r="A37" s="60" t="str">
        <f t="shared" si="2"/>
        <v>60222402tof</v>
      </c>
      <c r="B37" s="60" t="str">
        <f t="shared" si="3"/>
        <v>96-032-13</v>
      </c>
      <c r="C37" s="72" t="s">
        <v>1055</v>
      </c>
      <c r="D37" s="72" t="s">
        <v>1056</v>
      </c>
      <c r="E37" s="72" t="s">
        <v>909</v>
      </c>
      <c r="F37" s="73">
        <v>0</v>
      </c>
      <c r="G37" s="73" t="s">
        <v>1057</v>
      </c>
      <c r="H37" s="72" t="s">
        <v>769</v>
      </c>
      <c r="I37" s="72" t="s">
        <v>910</v>
      </c>
      <c r="J37" s="72" t="s">
        <v>356</v>
      </c>
      <c r="K37" s="72" t="s">
        <v>382</v>
      </c>
      <c r="L37" s="72" t="s">
        <v>887</v>
      </c>
      <c r="M37" s="72" t="s">
        <v>388</v>
      </c>
      <c r="N37" s="72" t="s">
        <v>43</v>
      </c>
      <c r="O37" s="72" t="s">
        <v>541</v>
      </c>
      <c r="P37" s="72" t="s">
        <v>920</v>
      </c>
      <c r="Q37" s="72" t="s">
        <v>960</v>
      </c>
      <c r="R37" s="72" t="s">
        <v>86</v>
      </c>
      <c r="S37" s="72" t="s">
        <v>913</v>
      </c>
      <c r="T37" s="72" t="s">
        <v>911</v>
      </c>
      <c r="U37" s="72" t="s">
        <v>914</v>
      </c>
      <c r="V37" s="60" t="str">
        <f t="shared" si="4"/>
        <v>60222402рыжий / белый</v>
      </c>
      <c r="W37" s="60" t="str">
        <f t="shared" si="0"/>
        <v>60222402</v>
      </c>
      <c r="X37" s="60" t="str">
        <f t="shared" si="5"/>
        <v>New York Yankees</v>
      </c>
      <c r="AC37" s="51">
        <f t="shared" si="6"/>
        <v>96</v>
      </c>
      <c r="AD37" s="44">
        <f t="shared" si="1"/>
        <v>32</v>
      </c>
      <c r="AE37" s="51">
        <f t="shared" si="7"/>
        <v>96032</v>
      </c>
    </row>
    <row r="38" spans="1:31">
      <c r="A38" s="60" t="str">
        <f t="shared" si="2"/>
        <v>60222361nvymnc</v>
      </c>
      <c r="B38" s="60" t="str">
        <f t="shared" si="3"/>
        <v>96-031-75</v>
      </c>
      <c r="C38" s="72" t="s">
        <v>1058</v>
      </c>
      <c r="D38" s="72" t="s">
        <v>1059</v>
      </c>
      <c r="E38" s="72" t="s">
        <v>909</v>
      </c>
      <c r="F38" s="73">
        <v>0</v>
      </c>
      <c r="G38" s="73" t="s">
        <v>1060</v>
      </c>
      <c r="H38" s="72" t="s">
        <v>690</v>
      </c>
      <c r="I38" s="72" t="s">
        <v>910</v>
      </c>
      <c r="J38" s="72" t="s">
        <v>327</v>
      </c>
      <c r="K38" s="72" t="s">
        <v>382</v>
      </c>
      <c r="L38" s="72" t="s">
        <v>887</v>
      </c>
      <c r="M38" s="72" t="s">
        <v>388</v>
      </c>
      <c r="N38" s="72" t="s">
        <v>43</v>
      </c>
      <c r="O38" s="72" t="s">
        <v>386</v>
      </c>
      <c r="P38" s="72" t="s">
        <v>920</v>
      </c>
      <c r="Q38" s="72" t="s">
        <v>1061</v>
      </c>
      <c r="R38" s="72" t="s">
        <v>53</v>
      </c>
      <c r="S38" s="72" t="s">
        <v>913</v>
      </c>
      <c r="T38" s="72" t="s">
        <v>911</v>
      </c>
      <c r="U38" s="72" t="s">
        <v>915</v>
      </c>
      <c r="V38" s="60" t="str">
        <f t="shared" si="4"/>
        <v>60222361черный / камуфляж</v>
      </c>
      <c r="W38" s="60" t="str">
        <f t="shared" si="0"/>
        <v>60222361</v>
      </c>
      <c r="X38" s="60" t="str">
        <f t="shared" si="5"/>
        <v>Boston Red Sox</v>
      </c>
      <c r="AC38" s="51">
        <f t="shared" si="6"/>
        <v>96</v>
      </c>
      <c r="AD38" s="44">
        <f t="shared" si="1"/>
        <v>31</v>
      </c>
      <c r="AE38" s="51">
        <f t="shared" si="7"/>
        <v>96031</v>
      </c>
    </row>
    <row r="39" spans="1:31">
      <c r="A39" s="60" t="str">
        <f t="shared" si="2"/>
        <v>60222360pnk</v>
      </c>
      <c r="B39" s="60" t="str">
        <f t="shared" si="3"/>
        <v>96-030-34</v>
      </c>
      <c r="C39" s="72" t="s">
        <v>1062</v>
      </c>
      <c r="D39" s="72" t="s">
        <v>1063</v>
      </c>
      <c r="E39" s="72" t="s">
        <v>909</v>
      </c>
      <c r="F39" s="73">
        <v>0</v>
      </c>
      <c r="G39" s="73" t="s">
        <v>1064</v>
      </c>
      <c r="H39" s="72" t="s">
        <v>212</v>
      </c>
      <c r="I39" s="72" t="s">
        <v>1026</v>
      </c>
      <c r="J39" s="72" t="s">
        <v>327</v>
      </c>
      <c r="K39" s="72" t="s">
        <v>387</v>
      </c>
      <c r="L39" s="72" t="s">
        <v>887</v>
      </c>
      <c r="M39" s="72" t="s">
        <v>388</v>
      </c>
      <c r="O39" s="72" t="s">
        <v>386</v>
      </c>
      <c r="P39" s="72" t="s">
        <v>920</v>
      </c>
      <c r="Q39" s="72" t="s">
        <v>933</v>
      </c>
      <c r="R39" s="72" t="s">
        <v>68</v>
      </c>
      <c r="S39" s="72" t="s">
        <v>913</v>
      </c>
      <c r="T39" s="72" t="s">
        <v>911</v>
      </c>
      <c r="U39" s="72" t="s">
        <v>914</v>
      </c>
      <c r="V39" s="60" t="str">
        <f t="shared" si="4"/>
        <v>60222360розовый / белый</v>
      </c>
      <c r="W39" s="60" t="str">
        <f t="shared" si="0"/>
        <v>60222360</v>
      </c>
      <c r="X39" s="60" t="str">
        <f t="shared" si="5"/>
        <v>New York Yankees</v>
      </c>
      <c r="AC39" s="51">
        <f t="shared" si="6"/>
        <v>96</v>
      </c>
      <c r="AD39" s="44">
        <f t="shared" si="1"/>
        <v>30</v>
      </c>
      <c r="AE39" s="51">
        <f t="shared" si="7"/>
        <v>96030</v>
      </c>
    </row>
    <row r="40" spans="1:31">
      <c r="A40" s="60" t="str">
        <f t="shared" si="2"/>
        <v>60222329ilg</v>
      </c>
      <c r="B40" s="60" t="str">
        <f t="shared" si="3"/>
        <v>96-029-11</v>
      </c>
      <c r="C40" s="72" t="s">
        <v>1065</v>
      </c>
      <c r="D40" s="72" t="s">
        <v>1066</v>
      </c>
      <c r="E40" s="72" t="s">
        <v>909</v>
      </c>
      <c r="F40" s="73">
        <v>0</v>
      </c>
      <c r="G40" s="73" t="s">
        <v>1067</v>
      </c>
      <c r="H40" s="72" t="s">
        <v>149</v>
      </c>
      <c r="I40" s="72" t="s">
        <v>910</v>
      </c>
      <c r="J40" s="72" t="s">
        <v>356</v>
      </c>
      <c r="K40" s="72" t="s">
        <v>382</v>
      </c>
      <c r="L40" s="72" t="s">
        <v>887</v>
      </c>
      <c r="M40" s="72" t="s">
        <v>388</v>
      </c>
      <c r="N40" s="72" t="s">
        <v>43</v>
      </c>
      <c r="O40" s="72" t="s">
        <v>541</v>
      </c>
      <c r="P40" s="72" t="s">
        <v>920</v>
      </c>
      <c r="Q40" s="72" t="s">
        <v>1068</v>
      </c>
      <c r="R40" s="72" t="s">
        <v>60</v>
      </c>
      <c r="S40" s="72" t="s">
        <v>913</v>
      </c>
      <c r="T40" s="72" t="s">
        <v>911</v>
      </c>
      <c r="U40" s="72" t="s">
        <v>914</v>
      </c>
      <c r="V40" s="60" t="str">
        <f t="shared" si="4"/>
        <v>60222329зеленый / белый</v>
      </c>
      <c r="W40" s="60" t="str">
        <f t="shared" si="0"/>
        <v>60222329</v>
      </c>
      <c r="X40" s="60" t="str">
        <f t="shared" si="5"/>
        <v>New York Yankees</v>
      </c>
      <c r="AC40" s="51">
        <f t="shared" si="6"/>
        <v>96</v>
      </c>
      <c r="AD40" s="44">
        <f t="shared" si="1"/>
        <v>29</v>
      </c>
      <c r="AE40" s="51">
        <f t="shared" si="7"/>
        <v>96029</v>
      </c>
    </row>
    <row r="41" spans="1:31">
      <c r="A41" s="60" t="str">
        <f t="shared" si="2"/>
        <v>60222308blk</v>
      </c>
      <c r="B41" s="60" t="str">
        <f t="shared" si="3"/>
        <v>96-028-09</v>
      </c>
      <c r="C41" s="72" t="s">
        <v>1069</v>
      </c>
      <c r="D41" s="72" t="s">
        <v>1070</v>
      </c>
      <c r="E41" s="72" t="s">
        <v>909</v>
      </c>
      <c r="F41" s="73">
        <v>0</v>
      </c>
      <c r="G41" s="73" t="s">
        <v>1071</v>
      </c>
      <c r="H41" s="72" t="s">
        <v>53</v>
      </c>
      <c r="I41" s="72" t="s">
        <v>910</v>
      </c>
      <c r="J41" s="72" t="s">
        <v>327</v>
      </c>
      <c r="K41" s="72" t="s">
        <v>382</v>
      </c>
      <c r="L41" s="72" t="s">
        <v>887</v>
      </c>
      <c r="M41" s="72" t="s">
        <v>388</v>
      </c>
      <c r="N41" s="72" t="s">
        <v>43</v>
      </c>
      <c r="O41" s="72" t="s">
        <v>386</v>
      </c>
      <c r="P41" s="72" t="s">
        <v>920</v>
      </c>
      <c r="Q41" s="72" t="s">
        <v>949</v>
      </c>
      <c r="R41" s="72" t="s">
        <v>53</v>
      </c>
      <c r="S41" s="72" t="s">
        <v>913</v>
      </c>
      <c r="T41" s="72" t="s">
        <v>911</v>
      </c>
      <c r="U41" s="72" t="s">
        <v>914</v>
      </c>
      <c r="V41" s="60" t="str">
        <f t="shared" si="4"/>
        <v>60222308черный</v>
      </c>
      <c r="W41" s="60" t="str">
        <f t="shared" si="0"/>
        <v>60222308</v>
      </c>
      <c r="X41" s="60" t="str">
        <f t="shared" si="5"/>
        <v>New York Yankees</v>
      </c>
      <c r="AC41" s="51">
        <f t="shared" si="6"/>
        <v>96</v>
      </c>
      <c r="AD41" s="44">
        <f t="shared" si="1"/>
        <v>28</v>
      </c>
      <c r="AE41" s="51">
        <f t="shared" si="7"/>
        <v>96028</v>
      </c>
    </row>
    <row r="42" spans="1:31">
      <c r="A42" s="60" t="str">
        <f t="shared" si="2"/>
        <v>60222306lry</v>
      </c>
      <c r="B42" s="60" t="str">
        <f t="shared" si="3"/>
        <v>96-027-06</v>
      </c>
      <c r="C42" s="72" t="s">
        <v>1072</v>
      </c>
      <c r="D42" s="72" t="s">
        <v>1073</v>
      </c>
      <c r="E42" s="72" t="s">
        <v>909</v>
      </c>
      <c r="F42" s="73">
        <v>0</v>
      </c>
      <c r="G42" s="73" t="s">
        <v>1074</v>
      </c>
      <c r="H42" s="72" t="s">
        <v>71</v>
      </c>
      <c r="I42" s="72" t="s">
        <v>916</v>
      </c>
      <c r="J42" s="72" t="s">
        <v>356</v>
      </c>
      <c r="K42" s="72" t="s">
        <v>382</v>
      </c>
      <c r="L42" s="72" t="s">
        <v>887</v>
      </c>
      <c r="M42" s="72" t="s">
        <v>388</v>
      </c>
      <c r="O42" s="72" t="s">
        <v>386</v>
      </c>
      <c r="P42" s="72" t="s">
        <v>920</v>
      </c>
      <c r="Q42" s="72" t="s">
        <v>1075</v>
      </c>
      <c r="R42" s="72" t="s">
        <v>71</v>
      </c>
      <c r="S42" s="72" t="s">
        <v>913</v>
      </c>
      <c r="T42" s="72" t="s">
        <v>911</v>
      </c>
      <c r="U42" s="72" t="s">
        <v>912</v>
      </c>
      <c r="V42" s="60" t="str">
        <f t="shared" si="4"/>
        <v>60222306синий</v>
      </c>
      <c r="W42" s="60" t="str">
        <f t="shared" si="0"/>
        <v>60222306</v>
      </c>
      <c r="X42" s="60" t="str">
        <f t="shared" si="5"/>
        <v>Los Angeles Dodgers</v>
      </c>
      <c r="AC42" s="51">
        <f t="shared" si="6"/>
        <v>96</v>
      </c>
      <c r="AD42" s="44">
        <f t="shared" si="1"/>
        <v>27</v>
      </c>
      <c r="AE42" s="51">
        <f t="shared" si="7"/>
        <v>96027</v>
      </c>
    </row>
    <row r="43" spans="1:31">
      <c r="A43" s="60" t="str">
        <f t="shared" si="2"/>
        <v>60222284brr</v>
      </c>
      <c r="B43" s="60" t="str">
        <f t="shared" si="3"/>
        <v>96-026-40</v>
      </c>
      <c r="C43" s="72" t="s">
        <v>1076</v>
      </c>
      <c r="D43" s="72" t="s">
        <v>1077</v>
      </c>
      <c r="E43" s="72" t="s">
        <v>909</v>
      </c>
      <c r="F43" s="73">
        <v>0</v>
      </c>
      <c r="G43" s="73" t="s">
        <v>1078</v>
      </c>
      <c r="H43" s="72" t="s">
        <v>307</v>
      </c>
      <c r="I43" s="72" t="s">
        <v>910</v>
      </c>
      <c r="J43" s="72" t="s">
        <v>327</v>
      </c>
      <c r="K43" s="72" t="s">
        <v>382</v>
      </c>
      <c r="L43" s="72" t="s">
        <v>887</v>
      </c>
      <c r="M43" s="72" t="s">
        <v>388</v>
      </c>
      <c r="N43" s="72" t="s">
        <v>43</v>
      </c>
      <c r="O43" s="72" t="s">
        <v>541</v>
      </c>
      <c r="P43" s="72" t="s">
        <v>920</v>
      </c>
      <c r="Q43" s="72" t="s">
        <v>1079</v>
      </c>
      <c r="R43" s="72" t="s">
        <v>53</v>
      </c>
      <c r="S43" s="72" t="s">
        <v>913</v>
      </c>
      <c r="T43" s="72" t="s">
        <v>911</v>
      </c>
      <c r="U43" s="72" t="s">
        <v>912</v>
      </c>
      <c r="V43" s="60" t="str">
        <f t="shared" si="4"/>
        <v>60222284черный / розовый</v>
      </c>
      <c r="W43" s="60" t="str">
        <f t="shared" si="0"/>
        <v>60222284</v>
      </c>
      <c r="X43" s="60" t="str">
        <f t="shared" si="5"/>
        <v>Los Angeles Dodgers</v>
      </c>
      <c r="AC43" s="51">
        <f t="shared" si="6"/>
        <v>96</v>
      </c>
      <c r="AD43" s="44">
        <f t="shared" si="1"/>
        <v>26</v>
      </c>
      <c r="AE43" s="51">
        <f t="shared" si="7"/>
        <v>96026</v>
      </c>
    </row>
    <row r="44" spans="1:31">
      <c r="A44" s="60" t="str">
        <f t="shared" si="2"/>
        <v>60222283tof</v>
      </c>
      <c r="B44" s="60" t="str">
        <f t="shared" si="3"/>
        <v>96-025-16</v>
      </c>
      <c r="C44" s="72" t="s">
        <v>1080</v>
      </c>
      <c r="D44" s="72" t="s">
        <v>1081</v>
      </c>
      <c r="E44" s="72" t="s">
        <v>909</v>
      </c>
      <c r="F44" s="73">
        <v>0</v>
      </c>
      <c r="G44" s="73" t="s">
        <v>1082</v>
      </c>
      <c r="H44" s="72" t="s">
        <v>594</v>
      </c>
      <c r="I44" s="72" t="s">
        <v>910</v>
      </c>
      <c r="J44" s="72" t="s">
        <v>327</v>
      </c>
      <c r="K44" s="72" t="s">
        <v>382</v>
      </c>
      <c r="L44" s="72" t="s">
        <v>887</v>
      </c>
      <c r="M44" s="72" t="s">
        <v>388</v>
      </c>
      <c r="N44" s="72" t="s">
        <v>43</v>
      </c>
      <c r="O44" s="72" t="s">
        <v>541</v>
      </c>
      <c r="P44" s="72" t="s">
        <v>920</v>
      </c>
      <c r="Q44" s="72" t="s">
        <v>960</v>
      </c>
      <c r="R44" s="72" t="s">
        <v>71</v>
      </c>
      <c r="S44" s="72" t="s">
        <v>913</v>
      </c>
      <c r="T44" s="72" t="s">
        <v>911</v>
      </c>
      <c r="U44" s="72" t="s">
        <v>915</v>
      </c>
      <c r="V44" s="60" t="str">
        <f t="shared" si="4"/>
        <v>60222283темно-синий / рыжий</v>
      </c>
      <c r="W44" s="60" t="str">
        <f t="shared" si="0"/>
        <v>60222283</v>
      </c>
      <c r="X44" s="60" t="str">
        <f t="shared" si="5"/>
        <v>Boston Red Sox</v>
      </c>
      <c r="AC44" s="51">
        <f t="shared" si="6"/>
        <v>96</v>
      </c>
      <c r="AD44" s="44">
        <f t="shared" si="1"/>
        <v>25</v>
      </c>
      <c r="AE44" s="51">
        <f t="shared" si="7"/>
        <v>96025</v>
      </c>
    </row>
    <row r="45" spans="1:31">
      <c r="A45" s="60" t="str">
        <f t="shared" si="2"/>
        <v>60222271fdr</v>
      </c>
      <c r="B45" s="60" t="str">
        <f t="shared" si="3"/>
        <v>96-024-72</v>
      </c>
      <c r="C45" s="72" t="s">
        <v>1083</v>
      </c>
      <c r="D45" s="72" t="s">
        <v>1084</v>
      </c>
      <c r="E45" s="72" t="s">
        <v>909</v>
      </c>
      <c r="F45" s="73">
        <v>0</v>
      </c>
      <c r="G45" s="73" t="s">
        <v>1085</v>
      </c>
      <c r="H45" s="72" t="s">
        <v>302</v>
      </c>
      <c r="I45" s="72" t="s">
        <v>916</v>
      </c>
      <c r="J45" s="72" t="s">
        <v>356</v>
      </c>
      <c r="K45" s="72" t="s">
        <v>382</v>
      </c>
      <c r="L45" s="72" t="s">
        <v>887</v>
      </c>
      <c r="M45" s="72" t="s">
        <v>388</v>
      </c>
      <c r="O45" s="72" t="s">
        <v>386</v>
      </c>
      <c r="P45" s="72" t="s">
        <v>920</v>
      </c>
      <c r="Q45" s="72" t="s">
        <v>1086</v>
      </c>
      <c r="R45" s="72" t="s">
        <v>53</v>
      </c>
      <c r="S45" s="72" t="s">
        <v>913</v>
      </c>
      <c r="T45" s="72" t="s">
        <v>988</v>
      </c>
      <c r="U45" s="72" t="s">
        <v>989</v>
      </c>
      <c r="V45" s="60" t="str">
        <f t="shared" si="4"/>
        <v>60222271черный / красный</v>
      </c>
      <c r="W45" s="60" t="str">
        <f t="shared" si="0"/>
        <v>60222271</v>
      </c>
      <c r="X45" s="60" t="str">
        <f t="shared" si="5"/>
        <v>Chicago Bulls</v>
      </c>
      <c r="AC45" s="51">
        <f t="shared" si="6"/>
        <v>96</v>
      </c>
      <c r="AD45" s="44">
        <f t="shared" si="1"/>
        <v>24</v>
      </c>
      <c r="AE45" s="51">
        <f t="shared" si="7"/>
        <v>96024</v>
      </c>
    </row>
    <row r="46" spans="1:31">
      <c r="A46" s="60" t="str">
        <f t="shared" si="2"/>
        <v>60222240grh</v>
      </c>
      <c r="B46" s="60" t="str">
        <f t="shared" si="3"/>
        <v>96-023-00</v>
      </c>
      <c r="C46" s="72" t="s">
        <v>1087</v>
      </c>
      <c r="D46" s="72" t="s">
        <v>1088</v>
      </c>
      <c r="E46" s="72" t="s">
        <v>909</v>
      </c>
      <c r="F46" s="73">
        <v>0</v>
      </c>
      <c r="G46" s="73" t="s">
        <v>1089</v>
      </c>
      <c r="H46" s="72" t="s">
        <v>847</v>
      </c>
      <c r="I46" s="72" t="s">
        <v>910</v>
      </c>
      <c r="J46" s="72" t="s">
        <v>327</v>
      </c>
      <c r="K46" s="72" t="s">
        <v>382</v>
      </c>
      <c r="L46" s="72" t="s">
        <v>887</v>
      </c>
      <c r="M46" s="72" t="s">
        <v>388</v>
      </c>
      <c r="N46" s="72" t="s">
        <v>43</v>
      </c>
      <c r="O46" s="72" t="s">
        <v>386</v>
      </c>
      <c r="P46" s="72" t="s">
        <v>920</v>
      </c>
      <c r="Q46" s="72" t="s">
        <v>1090</v>
      </c>
      <c r="R46" s="72" t="s">
        <v>60</v>
      </c>
      <c r="S46" s="72" t="s">
        <v>913</v>
      </c>
      <c r="T46" s="72" t="s">
        <v>911</v>
      </c>
      <c r="U46" s="72" t="s">
        <v>914</v>
      </c>
      <c r="V46" s="60" t="str">
        <f t="shared" si="4"/>
        <v>60222240камуфляж / белый</v>
      </c>
      <c r="W46" s="60" t="str">
        <f t="shared" si="0"/>
        <v>60222240</v>
      </c>
      <c r="X46" s="60" t="str">
        <f t="shared" si="5"/>
        <v>New York Yankees</v>
      </c>
      <c r="AC46" s="51">
        <f t="shared" si="6"/>
        <v>96</v>
      </c>
      <c r="AD46" s="44">
        <f t="shared" si="1"/>
        <v>23</v>
      </c>
      <c r="AE46" s="51">
        <f t="shared" si="7"/>
        <v>96023</v>
      </c>
    </row>
    <row r="47" spans="1:31">
      <c r="A47" s="60" t="str">
        <f t="shared" si="2"/>
        <v>60222238rgd</v>
      </c>
      <c r="B47" s="60" t="str">
        <f t="shared" si="3"/>
        <v>96-022-09</v>
      </c>
      <c r="C47" s="72" t="s">
        <v>1091</v>
      </c>
      <c r="D47" s="72" t="s">
        <v>1092</v>
      </c>
      <c r="E47" s="72" t="s">
        <v>909</v>
      </c>
      <c r="F47" s="73">
        <v>0</v>
      </c>
      <c r="G47" s="73" t="s">
        <v>1093</v>
      </c>
      <c r="H47" s="72" t="s">
        <v>298</v>
      </c>
      <c r="I47" s="72" t="s">
        <v>916</v>
      </c>
      <c r="J47" s="72" t="s">
        <v>327</v>
      </c>
      <c r="K47" s="72" t="s">
        <v>382</v>
      </c>
      <c r="L47" s="72" t="s">
        <v>887</v>
      </c>
      <c r="M47" s="72" t="s">
        <v>388</v>
      </c>
      <c r="O47" s="72" t="s">
        <v>541</v>
      </c>
      <c r="P47" s="72" t="s">
        <v>920</v>
      </c>
      <c r="Q47" s="72" t="s">
        <v>941</v>
      </c>
      <c r="R47" s="72" t="s">
        <v>53</v>
      </c>
      <c r="S47" s="72" t="s">
        <v>913</v>
      </c>
      <c r="T47" s="72" t="s">
        <v>911</v>
      </c>
      <c r="U47" s="72" t="s">
        <v>914</v>
      </c>
      <c r="V47" s="60" t="str">
        <f t="shared" si="4"/>
        <v>60222238черный / желтый</v>
      </c>
      <c r="W47" s="60" t="str">
        <f t="shared" si="0"/>
        <v>60222238</v>
      </c>
      <c r="X47" s="60" t="str">
        <f t="shared" si="5"/>
        <v>New York Yankees</v>
      </c>
      <c r="AC47" s="51">
        <f t="shared" si="6"/>
        <v>96</v>
      </c>
      <c r="AD47" s="44">
        <f t="shared" si="1"/>
        <v>22</v>
      </c>
      <c r="AE47" s="51">
        <f t="shared" si="7"/>
        <v>96022</v>
      </c>
    </row>
    <row r="48" spans="1:31">
      <c r="A48" s="60" t="str">
        <f t="shared" si="2"/>
        <v>60222230tof</v>
      </c>
      <c r="B48" s="60" t="str">
        <f t="shared" si="3"/>
        <v>96-021-13</v>
      </c>
      <c r="C48" s="72" t="s">
        <v>1094</v>
      </c>
      <c r="D48" s="72" t="s">
        <v>1095</v>
      </c>
      <c r="E48" s="72" t="s">
        <v>909</v>
      </c>
      <c r="F48" s="73">
        <v>0</v>
      </c>
      <c r="G48" s="73" t="s">
        <v>1096</v>
      </c>
      <c r="H48" s="72" t="s">
        <v>769</v>
      </c>
      <c r="I48" s="72" t="s">
        <v>910</v>
      </c>
      <c r="J48" s="72" t="s">
        <v>327</v>
      </c>
      <c r="K48" s="72" t="s">
        <v>382</v>
      </c>
      <c r="L48" s="72" t="s">
        <v>887</v>
      </c>
      <c r="M48" s="72" t="s">
        <v>388</v>
      </c>
      <c r="N48" s="72" t="s">
        <v>43</v>
      </c>
      <c r="O48" s="72" t="s">
        <v>541</v>
      </c>
      <c r="P48" s="72" t="s">
        <v>920</v>
      </c>
      <c r="Q48" s="72" t="s">
        <v>960</v>
      </c>
      <c r="R48" s="72" t="s">
        <v>86</v>
      </c>
      <c r="S48" s="72" t="s">
        <v>913</v>
      </c>
      <c r="T48" s="72" t="s">
        <v>911</v>
      </c>
      <c r="U48" s="72" t="s">
        <v>914</v>
      </c>
      <c r="V48" s="60" t="str">
        <f t="shared" si="4"/>
        <v>60222230рыжий / белый</v>
      </c>
      <c r="W48" s="60" t="str">
        <f t="shared" si="0"/>
        <v>60222230</v>
      </c>
      <c r="X48" s="60" t="str">
        <f t="shared" si="5"/>
        <v>New York Yankees</v>
      </c>
      <c r="AC48" s="51">
        <f t="shared" si="6"/>
        <v>96</v>
      </c>
      <c r="AD48" s="44">
        <f t="shared" si="1"/>
        <v>21</v>
      </c>
      <c r="AE48" s="51">
        <f t="shared" si="7"/>
        <v>96021</v>
      </c>
    </row>
    <row r="49" spans="1:31">
      <c r="A49" s="60" t="str">
        <f t="shared" si="2"/>
        <v/>
      </c>
      <c r="B49" s="60" t="str">
        <f t="shared" si="3"/>
        <v/>
      </c>
      <c r="V49" s="60" t="str">
        <f t="shared" si="4"/>
        <v/>
      </c>
      <c r="W49" s="60" t="str">
        <f t="shared" si="0"/>
        <v/>
      </c>
      <c r="X49" s="60" t="str">
        <f t="shared" si="5"/>
        <v/>
      </c>
      <c r="AC49" s="51">
        <f t="shared" si="6"/>
        <v>0</v>
      </c>
      <c r="AD49" s="44">
        <f t="shared" si="1"/>
        <v>0</v>
      </c>
      <c r="AE49" s="51">
        <f t="shared" si="7"/>
        <v>0</v>
      </c>
    </row>
    <row r="50" spans="1:31">
      <c r="A50" s="60" t="str">
        <f t="shared" si="2"/>
        <v/>
      </c>
      <c r="B50" s="60" t="str">
        <f t="shared" si="3"/>
        <v/>
      </c>
      <c r="V50" s="60" t="str">
        <f t="shared" si="4"/>
        <v/>
      </c>
      <c r="W50" s="60" t="str">
        <f t="shared" si="0"/>
        <v/>
      </c>
      <c r="X50" s="60" t="str">
        <f t="shared" si="5"/>
        <v/>
      </c>
      <c r="AC50" s="51">
        <f t="shared" si="6"/>
        <v>0</v>
      </c>
      <c r="AD50" s="44">
        <f t="shared" si="1"/>
        <v>0</v>
      </c>
      <c r="AE50" s="51">
        <f t="shared" si="7"/>
        <v>0</v>
      </c>
    </row>
    <row r="51" spans="1:31">
      <c r="A51" s="60" t="str">
        <f t="shared" si="2"/>
        <v/>
      </c>
      <c r="B51" s="60" t="str">
        <f t="shared" si="3"/>
        <v/>
      </c>
      <c r="V51" s="60" t="str">
        <f t="shared" si="4"/>
        <v/>
      </c>
      <c r="W51" s="60" t="str">
        <f t="shared" si="0"/>
        <v/>
      </c>
      <c r="X51" s="60" t="str">
        <f t="shared" si="5"/>
        <v/>
      </c>
      <c r="AC51" s="51">
        <f t="shared" si="6"/>
        <v>0</v>
      </c>
      <c r="AD51" s="44">
        <f t="shared" si="1"/>
        <v>0</v>
      </c>
      <c r="AE51" s="51">
        <f t="shared" si="7"/>
        <v>0</v>
      </c>
    </row>
    <row r="52" spans="1:31">
      <c r="A52" s="60" t="str">
        <f t="shared" si="2"/>
        <v/>
      </c>
      <c r="B52" s="60" t="str">
        <f t="shared" si="3"/>
        <v/>
      </c>
      <c r="V52" s="60" t="str">
        <f t="shared" si="4"/>
        <v/>
      </c>
      <c r="W52" s="60" t="str">
        <f t="shared" si="0"/>
        <v/>
      </c>
      <c r="X52" s="60" t="str">
        <f t="shared" si="5"/>
        <v/>
      </c>
      <c r="AC52" s="51">
        <f t="shared" si="6"/>
        <v>0</v>
      </c>
      <c r="AD52" s="44">
        <f t="shared" si="1"/>
        <v>0</v>
      </c>
      <c r="AE52" s="51">
        <f t="shared" si="7"/>
        <v>0</v>
      </c>
    </row>
    <row r="53" spans="1:31">
      <c r="A53" s="60" t="str">
        <f t="shared" si="2"/>
        <v/>
      </c>
      <c r="B53" s="60" t="str">
        <f t="shared" si="3"/>
        <v/>
      </c>
      <c r="V53" s="60" t="str">
        <f t="shared" si="4"/>
        <v/>
      </c>
      <c r="W53" s="60" t="str">
        <f t="shared" si="0"/>
        <v/>
      </c>
      <c r="X53" s="60" t="str">
        <f t="shared" si="5"/>
        <v/>
      </c>
      <c r="AC53" s="51">
        <f t="shared" si="6"/>
        <v>0</v>
      </c>
      <c r="AD53" s="44">
        <f t="shared" si="1"/>
        <v>0</v>
      </c>
      <c r="AE53" s="51">
        <f t="shared" si="7"/>
        <v>0</v>
      </c>
    </row>
    <row r="54" spans="1:31">
      <c r="A54" s="60" t="str">
        <f t="shared" si="2"/>
        <v/>
      </c>
      <c r="B54" s="60" t="str">
        <f t="shared" si="3"/>
        <v/>
      </c>
      <c r="V54" s="60" t="str">
        <f t="shared" si="4"/>
        <v/>
      </c>
      <c r="W54" s="60" t="str">
        <f t="shared" si="0"/>
        <v/>
      </c>
      <c r="X54" s="60" t="str">
        <f t="shared" si="5"/>
        <v/>
      </c>
      <c r="AC54" s="51">
        <f t="shared" si="6"/>
        <v>0</v>
      </c>
      <c r="AD54" s="44">
        <f t="shared" si="1"/>
        <v>0</v>
      </c>
      <c r="AE54" s="51">
        <f t="shared" si="7"/>
        <v>0</v>
      </c>
    </row>
    <row r="55" spans="1:31">
      <c r="A55" s="60" t="str">
        <f t="shared" si="2"/>
        <v/>
      </c>
      <c r="B55" s="60" t="str">
        <f t="shared" si="3"/>
        <v/>
      </c>
      <c r="V55" s="60" t="str">
        <f t="shared" si="4"/>
        <v/>
      </c>
      <c r="W55" s="60" t="str">
        <f t="shared" si="0"/>
        <v/>
      </c>
      <c r="X55" s="60" t="str">
        <f t="shared" si="5"/>
        <v/>
      </c>
      <c r="AC55" s="51">
        <f t="shared" si="6"/>
        <v>0</v>
      </c>
      <c r="AD55" s="44">
        <f t="shared" si="1"/>
        <v>0</v>
      </c>
      <c r="AE55" s="51">
        <f t="shared" si="7"/>
        <v>0</v>
      </c>
    </row>
    <row r="56" spans="1:31">
      <c r="A56" s="60" t="str">
        <f t="shared" si="2"/>
        <v/>
      </c>
      <c r="B56" s="60" t="str">
        <f t="shared" si="3"/>
        <v/>
      </c>
      <c r="V56" s="60" t="str">
        <f t="shared" si="4"/>
        <v/>
      </c>
      <c r="W56" s="60" t="str">
        <f t="shared" si="0"/>
        <v/>
      </c>
      <c r="X56" s="60" t="str">
        <f t="shared" si="5"/>
        <v/>
      </c>
      <c r="AC56" s="51">
        <f t="shared" si="6"/>
        <v>0</v>
      </c>
      <c r="AD56" s="44">
        <f t="shared" si="1"/>
        <v>0</v>
      </c>
      <c r="AE56" s="51">
        <f t="shared" si="7"/>
        <v>0</v>
      </c>
    </row>
    <row r="57" spans="1:31">
      <c r="A57" s="60" t="str">
        <f t="shared" si="2"/>
        <v/>
      </c>
      <c r="B57" s="60" t="str">
        <f t="shared" si="3"/>
        <v/>
      </c>
      <c r="V57" s="60" t="str">
        <f t="shared" si="4"/>
        <v/>
      </c>
      <c r="W57" s="60" t="str">
        <f t="shared" si="0"/>
        <v/>
      </c>
      <c r="X57" s="60" t="str">
        <f t="shared" si="5"/>
        <v/>
      </c>
      <c r="AC57" s="51">
        <f t="shared" si="6"/>
        <v>0</v>
      </c>
      <c r="AD57" s="44">
        <f t="shared" si="1"/>
        <v>0</v>
      </c>
      <c r="AE57" s="51">
        <f t="shared" si="7"/>
        <v>0</v>
      </c>
    </row>
    <row r="58" spans="1:31">
      <c r="A58" s="60" t="str">
        <f t="shared" si="2"/>
        <v/>
      </c>
      <c r="B58" s="60" t="str">
        <f t="shared" si="3"/>
        <v/>
      </c>
      <c r="V58" s="60" t="str">
        <f t="shared" si="4"/>
        <v/>
      </c>
      <c r="W58" s="60" t="str">
        <f t="shared" si="0"/>
        <v/>
      </c>
      <c r="X58" s="60" t="str">
        <f t="shared" si="5"/>
        <v/>
      </c>
      <c r="AC58" s="51">
        <f t="shared" si="6"/>
        <v>0</v>
      </c>
      <c r="AD58" s="44">
        <f t="shared" si="1"/>
        <v>0</v>
      </c>
      <c r="AE58" s="51">
        <f t="shared" si="7"/>
        <v>0</v>
      </c>
    </row>
    <row r="59" spans="1:31">
      <c r="A59" s="60" t="str">
        <f t="shared" si="2"/>
        <v/>
      </c>
      <c r="B59" s="60" t="str">
        <f t="shared" si="3"/>
        <v/>
      </c>
      <c r="V59" s="60" t="str">
        <f t="shared" si="4"/>
        <v/>
      </c>
      <c r="W59" s="60" t="str">
        <f t="shared" si="0"/>
        <v/>
      </c>
      <c r="X59" s="60" t="str">
        <f t="shared" si="5"/>
        <v/>
      </c>
      <c r="AC59" s="51">
        <f t="shared" si="6"/>
        <v>0</v>
      </c>
      <c r="AD59" s="44">
        <f t="shared" si="1"/>
        <v>0</v>
      </c>
      <c r="AE59" s="51">
        <f t="shared" si="7"/>
        <v>0</v>
      </c>
    </row>
    <row r="60" spans="1:31">
      <c r="A60" s="60" t="str">
        <f t="shared" si="2"/>
        <v/>
      </c>
      <c r="B60" s="60" t="str">
        <f t="shared" si="3"/>
        <v/>
      </c>
      <c r="V60" s="60" t="str">
        <f t="shared" si="4"/>
        <v/>
      </c>
      <c r="W60" s="60" t="str">
        <f t="shared" si="0"/>
        <v/>
      </c>
      <c r="X60" s="60" t="str">
        <f t="shared" si="5"/>
        <v/>
      </c>
      <c r="AC60" s="51">
        <f t="shared" si="6"/>
        <v>0</v>
      </c>
      <c r="AD60" s="44">
        <f t="shared" si="1"/>
        <v>0</v>
      </c>
      <c r="AE60" s="51">
        <f t="shared" si="7"/>
        <v>0</v>
      </c>
    </row>
    <row r="61" spans="1:31">
      <c r="A61" s="60" t="str">
        <f t="shared" si="2"/>
        <v/>
      </c>
      <c r="B61" s="60" t="str">
        <f t="shared" si="3"/>
        <v/>
      </c>
      <c r="V61" s="60" t="str">
        <f t="shared" si="4"/>
        <v/>
      </c>
      <c r="W61" s="60" t="str">
        <f t="shared" si="0"/>
        <v/>
      </c>
      <c r="X61" s="60" t="str">
        <f t="shared" si="5"/>
        <v/>
      </c>
      <c r="AC61" s="51">
        <f t="shared" si="6"/>
        <v>0</v>
      </c>
      <c r="AD61" s="44">
        <f t="shared" si="1"/>
        <v>0</v>
      </c>
      <c r="AE61" s="51">
        <f t="shared" si="7"/>
        <v>0</v>
      </c>
    </row>
    <row r="62" spans="1:31">
      <c r="A62" s="60" t="str">
        <f t="shared" si="2"/>
        <v/>
      </c>
      <c r="B62" s="60" t="str">
        <f t="shared" si="3"/>
        <v/>
      </c>
      <c r="V62" s="60" t="str">
        <f t="shared" si="4"/>
        <v/>
      </c>
      <c r="W62" s="60" t="str">
        <f t="shared" si="0"/>
        <v/>
      </c>
      <c r="X62" s="60" t="str">
        <f t="shared" si="5"/>
        <v/>
      </c>
      <c r="AC62" s="51">
        <f t="shared" si="6"/>
        <v>0</v>
      </c>
      <c r="AD62" s="44">
        <f t="shared" si="1"/>
        <v>0</v>
      </c>
      <c r="AE62" s="51">
        <f t="shared" si="7"/>
        <v>0</v>
      </c>
    </row>
    <row r="63" spans="1:31">
      <c r="A63" s="60" t="str">
        <f t="shared" si="2"/>
        <v/>
      </c>
      <c r="B63" s="60" t="str">
        <f t="shared" si="3"/>
        <v/>
      </c>
      <c r="V63" s="60" t="str">
        <f t="shared" si="4"/>
        <v/>
      </c>
      <c r="W63" s="60" t="str">
        <f t="shared" si="0"/>
        <v/>
      </c>
      <c r="X63" s="60" t="str">
        <f t="shared" si="5"/>
        <v/>
      </c>
      <c r="AC63" s="51">
        <f t="shared" si="6"/>
        <v>0</v>
      </c>
      <c r="AD63" s="44">
        <f t="shared" si="1"/>
        <v>0</v>
      </c>
      <c r="AE63" s="51">
        <f t="shared" si="7"/>
        <v>0</v>
      </c>
    </row>
    <row r="64" spans="1:31">
      <c r="A64" s="60" t="str">
        <f t="shared" si="2"/>
        <v/>
      </c>
      <c r="B64" s="60" t="str">
        <f t="shared" si="3"/>
        <v/>
      </c>
      <c r="V64" s="60" t="str">
        <f t="shared" si="4"/>
        <v/>
      </c>
      <c r="W64" s="60" t="str">
        <f t="shared" si="0"/>
        <v/>
      </c>
      <c r="X64" s="60" t="str">
        <f t="shared" si="5"/>
        <v/>
      </c>
      <c r="AC64" s="51">
        <f t="shared" si="6"/>
        <v>0</v>
      </c>
      <c r="AD64" s="44">
        <f t="shared" si="1"/>
        <v>0</v>
      </c>
      <c r="AE64" s="51">
        <f t="shared" si="7"/>
        <v>0</v>
      </c>
    </row>
    <row r="65" spans="1:31">
      <c r="A65" s="60" t="str">
        <f t="shared" si="2"/>
        <v/>
      </c>
      <c r="B65" s="60" t="str">
        <f t="shared" si="3"/>
        <v/>
      </c>
      <c r="V65" s="60" t="str">
        <f t="shared" si="4"/>
        <v/>
      </c>
      <c r="W65" s="60" t="str">
        <f t="shared" si="0"/>
        <v/>
      </c>
      <c r="X65" s="60" t="str">
        <f t="shared" si="5"/>
        <v/>
      </c>
      <c r="AC65" s="51">
        <f t="shared" si="6"/>
        <v>0</v>
      </c>
      <c r="AD65" s="44">
        <f t="shared" si="1"/>
        <v>0</v>
      </c>
      <c r="AE65" s="51">
        <f t="shared" si="7"/>
        <v>0</v>
      </c>
    </row>
    <row r="66" spans="1:31">
      <c r="A66" s="60" t="str">
        <f t="shared" si="2"/>
        <v/>
      </c>
      <c r="B66" s="60" t="str">
        <f t="shared" si="3"/>
        <v/>
      </c>
      <c r="V66" s="60" t="str">
        <f t="shared" si="4"/>
        <v/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60" t="str">
        <f t="shared" si="5"/>
        <v/>
      </c>
      <c r="AC66" s="51">
        <f t="shared" si="6"/>
        <v>0</v>
      </c>
      <c r="AD66" s="44">
        <f t="shared" si="1"/>
        <v>0</v>
      </c>
      <c r="AE66" s="51">
        <f t="shared" si="7"/>
        <v>0</v>
      </c>
    </row>
    <row r="67" spans="1:31">
      <c r="A67" s="60" t="str">
        <f t="shared" ref="A67:A130" si="9">IF(G67&amp;Q67&lt;&gt;"",W67&amp;Q67,"")</f>
        <v/>
      </c>
      <c r="B67" s="60" t="str">
        <f t="shared" ref="B67:B130" si="10">IF(C67&lt;&gt;"",LEFT(C67,9),"")</f>
        <v/>
      </c>
      <c r="V67" s="60" t="str">
        <f t="shared" ref="V67:V130" si="11">W67&amp;H67</f>
        <v/>
      </c>
      <c r="W67" s="60" t="str">
        <f t="shared" si="8"/>
        <v/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0</v>
      </c>
      <c r="AD67" s="44">
        <f t="shared" ref="AD67:AD130" si="14">IFERROR(VALUE(MID($C67,4,3)),0)</f>
        <v>0</v>
      </c>
      <c r="AE67" s="51">
        <f t="shared" ref="AE67:AE130" si="15">VALUE(RIGHT("00"&amp;AC67,2)&amp;RIGHT("000"&amp;AD67,3))</f>
        <v>0</v>
      </c>
    </row>
    <row r="68" spans="1:31">
      <c r="A68" s="60" t="str">
        <f t="shared" si="9"/>
        <v/>
      </c>
      <c r="B68" s="60" t="str">
        <f t="shared" si="10"/>
        <v/>
      </c>
      <c r="V68" s="60" t="str">
        <f t="shared" si="11"/>
        <v/>
      </c>
      <c r="W68" s="60" t="str">
        <f t="shared" si="8"/>
        <v/>
      </c>
      <c r="X68" s="60" t="str">
        <f t="shared" si="12"/>
        <v/>
      </c>
      <c r="AC68" s="51">
        <f t="shared" si="13"/>
        <v>0</v>
      </c>
      <c r="AD68" s="44">
        <f t="shared" si="14"/>
        <v>0</v>
      </c>
      <c r="AE68" s="51">
        <f t="shared" si="15"/>
        <v>0</v>
      </c>
    </row>
    <row r="69" spans="1:31">
      <c r="A69" s="60" t="str">
        <f t="shared" si="9"/>
        <v/>
      </c>
      <c r="B69" s="60" t="str">
        <f t="shared" si="10"/>
        <v/>
      </c>
      <c r="V69" s="60" t="str">
        <f t="shared" si="11"/>
        <v/>
      </c>
      <c r="W69" s="60" t="str">
        <f t="shared" si="8"/>
        <v/>
      </c>
      <c r="X69" s="60" t="str">
        <f t="shared" si="12"/>
        <v/>
      </c>
      <c r="AC69" s="51">
        <f t="shared" si="13"/>
        <v>0</v>
      </c>
      <c r="AD69" s="44">
        <f t="shared" si="14"/>
        <v>0</v>
      </c>
      <c r="AE69" s="51">
        <f t="shared" si="15"/>
        <v>0</v>
      </c>
    </row>
    <row r="70" spans="1:31">
      <c r="A70" s="60" t="str">
        <f t="shared" si="9"/>
        <v/>
      </c>
      <c r="B70" s="60" t="str">
        <f t="shared" si="10"/>
        <v/>
      </c>
      <c r="V70" s="60" t="str">
        <f t="shared" si="11"/>
        <v/>
      </c>
      <c r="W70" s="60" t="str">
        <f t="shared" si="8"/>
        <v/>
      </c>
      <c r="X70" s="60" t="str">
        <f t="shared" si="12"/>
        <v/>
      </c>
      <c r="AC70" s="51">
        <f t="shared" si="13"/>
        <v>0</v>
      </c>
      <c r="AD70" s="44">
        <f t="shared" si="14"/>
        <v>0</v>
      </c>
      <c r="AE70" s="51">
        <f t="shared" si="15"/>
        <v>0</v>
      </c>
    </row>
    <row r="71" spans="1:31">
      <c r="A71" s="60" t="str">
        <f t="shared" si="9"/>
        <v/>
      </c>
      <c r="B71" s="60" t="str">
        <f t="shared" si="10"/>
        <v/>
      </c>
      <c r="V71" s="60" t="str">
        <f t="shared" si="11"/>
        <v/>
      </c>
      <c r="W71" s="60" t="str">
        <f t="shared" si="8"/>
        <v/>
      </c>
      <c r="X71" s="60" t="str">
        <f t="shared" si="12"/>
        <v/>
      </c>
      <c r="AC71" s="51">
        <f t="shared" si="13"/>
        <v>0</v>
      </c>
      <c r="AD71" s="44">
        <f t="shared" si="14"/>
        <v>0</v>
      </c>
      <c r="AE71" s="51">
        <f t="shared" si="15"/>
        <v>0</v>
      </c>
    </row>
    <row r="72" spans="1:31">
      <c r="A72" s="60" t="str">
        <f t="shared" si="9"/>
        <v/>
      </c>
      <c r="B72" s="60" t="str">
        <f t="shared" si="10"/>
        <v/>
      </c>
      <c r="V72" s="60" t="str">
        <f t="shared" si="11"/>
        <v/>
      </c>
      <c r="W72" s="60" t="str">
        <f t="shared" si="8"/>
        <v/>
      </c>
      <c r="X72" s="60" t="str">
        <f t="shared" si="12"/>
        <v/>
      </c>
      <c r="AC72" s="51">
        <f t="shared" si="13"/>
        <v>0</v>
      </c>
      <c r="AD72" s="44">
        <f t="shared" si="14"/>
        <v>0</v>
      </c>
      <c r="AE72" s="51">
        <f t="shared" si="15"/>
        <v>0</v>
      </c>
    </row>
    <row r="73" spans="1:31">
      <c r="A73" s="60" t="str">
        <f t="shared" si="9"/>
        <v/>
      </c>
      <c r="B73" s="60" t="str">
        <f t="shared" si="10"/>
        <v/>
      </c>
      <c r="V73" s="60" t="str">
        <f t="shared" si="11"/>
        <v/>
      </c>
      <c r="W73" s="60" t="str">
        <f t="shared" si="8"/>
        <v/>
      </c>
      <c r="X73" s="60" t="str">
        <f t="shared" si="12"/>
        <v/>
      </c>
      <c r="AC73" s="51">
        <f t="shared" si="13"/>
        <v>0</v>
      </c>
      <c r="AD73" s="44">
        <f t="shared" si="14"/>
        <v>0</v>
      </c>
      <c r="AE73" s="51">
        <f t="shared" si="15"/>
        <v>0</v>
      </c>
    </row>
    <row r="74" spans="1:31">
      <c r="A74" s="60" t="str">
        <f t="shared" si="9"/>
        <v/>
      </c>
      <c r="B74" s="60" t="str">
        <f t="shared" si="10"/>
        <v/>
      </c>
      <c r="V74" s="60" t="str">
        <f t="shared" si="11"/>
        <v/>
      </c>
      <c r="W74" s="60" t="str">
        <f t="shared" si="8"/>
        <v/>
      </c>
      <c r="X74" s="60" t="str">
        <f t="shared" si="12"/>
        <v/>
      </c>
      <c r="AC74" s="51">
        <f t="shared" si="13"/>
        <v>0</v>
      </c>
      <c r="AD74" s="44">
        <f t="shared" si="14"/>
        <v>0</v>
      </c>
      <c r="AE74" s="51">
        <f t="shared" si="15"/>
        <v>0</v>
      </c>
    </row>
    <row r="75" spans="1:31">
      <c r="A75" s="60" t="str">
        <f t="shared" si="9"/>
        <v/>
      </c>
      <c r="B75" s="60" t="str">
        <f t="shared" si="10"/>
        <v/>
      </c>
      <c r="V75" s="60" t="str">
        <f t="shared" si="11"/>
        <v/>
      </c>
      <c r="W75" s="60" t="str">
        <f t="shared" si="8"/>
        <v/>
      </c>
      <c r="X75" s="60" t="str">
        <f t="shared" si="12"/>
        <v/>
      </c>
      <c r="AC75" s="51">
        <f t="shared" si="13"/>
        <v>0</v>
      </c>
      <c r="AD75" s="44">
        <f t="shared" si="14"/>
        <v>0</v>
      </c>
      <c r="AE75" s="51">
        <f t="shared" si="15"/>
        <v>0</v>
      </c>
    </row>
    <row r="76" spans="1:31">
      <c r="A76" s="60" t="str">
        <f t="shared" si="9"/>
        <v/>
      </c>
      <c r="B76" s="60" t="str">
        <f t="shared" si="10"/>
        <v/>
      </c>
      <c r="V76" s="60" t="str">
        <f t="shared" si="11"/>
        <v/>
      </c>
      <c r="W76" s="60" t="str">
        <f t="shared" si="8"/>
        <v/>
      </c>
      <c r="X76" s="60" t="str">
        <f t="shared" si="12"/>
        <v/>
      </c>
      <c r="AC76" s="51">
        <f t="shared" si="13"/>
        <v>0</v>
      </c>
      <c r="AD76" s="44">
        <f t="shared" si="14"/>
        <v>0</v>
      </c>
      <c r="AE76" s="51">
        <f t="shared" si="15"/>
        <v>0</v>
      </c>
    </row>
    <row r="77" spans="1:31">
      <c r="A77" s="60" t="str">
        <f t="shared" si="9"/>
        <v/>
      </c>
      <c r="B77" s="60" t="str">
        <f t="shared" si="10"/>
        <v/>
      </c>
      <c r="V77" s="60" t="str">
        <f t="shared" si="11"/>
        <v/>
      </c>
      <c r="W77" s="60" t="str">
        <f t="shared" si="8"/>
        <v/>
      </c>
      <c r="X77" s="60" t="str">
        <f t="shared" si="12"/>
        <v/>
      </c>
      <c r="AC77" s="51">
        <f t="shared" si="13"/>
        <v>0</v>
      </c>
      <c r="AD77" s="44">
        <f t="shared" si="14"/>
        <v>0</v>
      </c>
      <c r="AE77" s="51">
        <f t="shared" si="15"/>
        <v>0</v>
      </c>
    </row>
    <row r="78" spans="1:31">
      <c r="A78" s="60" t="str">
        <f t="shared" si="9"/>
        <v/>
      </c>
      <c r="B78" s="60" t="str">
        <f t="shared" si="10"/>
        <v/>
      </c>
      <c r="V78" s="60" t="str">
        <f t="shared" si="11"/>
        <v/>
      </c>
      <c r="W78" s="60" t="str">
        <f t="shared" si="8"/>
        <v/>
      </c>
      <c r="X78" s="60" t="str">
        <f t="shared" si="12"/>
        <v/>
      </c>
      <c r="AC78" s="51">
        <f t="shared" si="13"/>
        <v>0</v>
      </c>
      <c r="AD78" s="44">
        <f t="shared" si="14"/>
        <v>0</v>
      </c>
      <c r="AE78" s="51">
        <f t="shared" si="15"/>
        <v>0</v>
      </c>
    </row>
    <row r="79" spans="1:31">
      <c r="A79" s="60" t="str">
        <f t="shared" si="9"/>
        <v/>
      </c>
      <c r="B79" s="60" t="str">
        <f t="shared" si="10"/>
        <v/>
      </c>
      <c r="V79" s="60" t="str">
        <f t="shared" si="11"/>
        <v/>
      </c>
      <c r="W79" s="60" t="str">
        <f t="shared" si="8"/>
        <v/>
      </c>
      <c r="X79" s="60" t="str">
        <f t="shared" si="12"/>
        <v/>
      </c>
      <c r="AC79" s="51">
        <f t="shared" si="13"/>
        <v>0</v>
      </c>
      <c r="AD79" s="44">
        <f t="shared" si="14"/>
        <v>0</v>
      </c>
      <c r="AE79" s="51">
        <f t="shared" si="15"/>
        <v>0</v>
      </c>
    </row>
    <row r="80" spans="1:31">
      <c r="A80" s="60" t="str">
        <f t="shared" si="9"/>
        <v/>
      </c>
      <c r="B80" s="60" t="str">
        <f t="shared" si="10"/>
        <v/>
      </c>
      <c r="V80" s="60" t="str">
        <f t="shared" si="11"/>
        <v/>
      </c>
      <c r="W80" s="60" t="str">
        <f t="shared" si="8"/>
        <v/>
      </c>
      <c r="X80" s="60" t="str">
        <f t="shared" si="12"/>
        <v/>
      </c>
      <c r="AC80" s="51">
        <f t="shared" si="13"/>
        <v>0</v>
      </c>
      <c r="AD80" s="44">
        <f t="shared" si="14"/>
        <v>0</v>
      </c>
      <c r="AE80" s="51">
        <f t="shared" si="15"/>
        <v>0</v>
      </c>
    </row>
    <row r="81" spans="1:31">
      <c r="A81" s="60" t="str">
        <f t="shared" si="9"/>
        <v/>
      </c>
      <c r="B81" s="60" t="str">
        <f t="shared" si="10"/>
        <v/>
      </c>
      <c r="V81" s="60" t="str">
        <f t="shared" si="11"/>
        <v/>
      </c>
      <c r="W81" s="60" t="str">
        <f t="shared" si="8"/>
        <v/>
      </c>
      <c r="X81" s="60" t="str">
        <f t="shared" si="12"/>
        <v/>
      </c>
      <c r="AC81" s="51">
        <f t="shared" si="13"/>
        <v>0</v>
      </c>
      <c r="AD81" s="44">
        <f t="shared" si="14"/>
        <v>0</v>
      </c>
      <c r="AE81" s="51">
        <f t="shared" si="15"/>
        <v>0</v>
      </c>
    </row>
    <row r="82" spans="1:31">
      <c r="A82" s="60" t="str">
        <f t="shared" si="9"/>
        <v/>
      </c>
      <c r="B82" s="60" t="str">
        <f t="shared" si="10"/>
        <v/>
      </c>
      <c r="V82" s="60" t="str">
        <f t="shared" si="11"/>
        <v/>
      </c>
      <c r="W82" s="60" t="str">
        <f t="shared" si="8"/>
        <v/>
      </c>
      <c r="X82" s="60" t="str">
        <f t="shared" si="12"/>
        <v/>
      </c>
      <c r="AC82" s="51">
        <f t="shared" si="13"/>
        <v>0</v>
      </c>
      <c r="AD82" s="44">
        <f t="shared" si="14"/>
        <v>0</v>
      </c>
      <c r="AE82" s="51">
        <f t="shared" si="15"/>
        <v>0</v>
      </c>
    </row>
    <row r="83" spans="1:31">
      <c r="A83" s="60" t="str">
        <f t="shared" si="9"/>
        <v/>
      </c>
      <c r="B83" s="60" t="str">
        <f t="shared" si="10"/>
        <v/>
      </c>
      <c r="V83" s="60" t="str">
        <f t="shared" si="11"/>
        <v/>
      </c>
      <c r="W83" s="60" t="str">
        <f t="shared" si="8"/>
        <v/>
      </c>
      <c r="X83" s="60" t="str">
        <f t="shared" si="12"/>
        <v/>
      </c>
      <c r="AC83" s="51">
        <f t="shared" si="13"/>
        <v>0</v>
      </c>
      <c r="AD83" s="44">
        <f t="shared" si="14"/>
        <v>0</v>
      </c>
      <c r="AE83" s="51">
        <f t="shared" si="15"/>
        <v>0</v>
      </c>
    </row>
    <row r="84" spans="1:31">
      <c r="A84" s="60" t="str">
        <f t="shared" si="9"/>
        <v/>
      </c>
      <c r="B84" s="60" t="str">
        <f t="shared" si="10"/>
        <v/>
      </c>
      <c r="V84" s="60" t="str">
        <f t="shared" si="11"/>
        <v/>
      </c>
      <c r="W84" s="60" t="str">
        <f t="shared" si="8"/>
        <v/>
      </c>
      <c r="X84" s="60" t="str">
        <f t="shared" si="12"/>
        <v/>
      </c>
      <c r="AC84" s="51">
        <f t="shared" si="13"/>
        <v>0</v>
      </c>
      <c r="AD84" s="44">
        <f t="shared" si="14"/>
        <v>0</v>
      </c>
      <c r="AE84" s="51">
        <f t="shared" si="15"/>
        <v>0</v>
      </c>
    </row>
    <row r="85" spans="1:31">
      <c r="A85" s="60" t="str">
        <f t="shared" si="9"/>
        <v/>
      </c>
      <c r="B85" s="60" t="str">
        <f t="shared" si="10"/>
        <v/>
      </c>
      <c r="V85" s="60" t="str">
        <f t="shared" si="11"/>
        <v/>
      </c>
      <c r="W85" s="60" t="str">
        <f t="shared" si="8"/>
        <v/>
      </c>
      <c r="X85" s="60" t="str">
        <f t="shared" si="12"/>
        <v/>
      </c>
      <c r="AC85" s="51">
        <f t="shared" si="13"/>
        <v>0</v>
      </c>
      <c r="AD85" s="44">
        <f t="shared" si="14"/>
        <v>0</v>
      </c>
      <c r="AE85" s="51">
        <f t="shared" si="15"/>
        <v>0</v>
      </c>
    </row>
    <row r="86" spans="1:31">
      <c r="A86" s="60" t="str">
        <f t="shared" si="9"/>
        <v/>
      </c>
      <c r="B86" s="60" t="str">
        <f t="shared" si="10"/>
        <v/>
      </c>
      <c r="V86" s="60" t="str">
        <f t="shared" si="11"/>
        <v/>
      </c>
      <c r="W86" s="60" t="str">
        <f t="shared" si="8"/>
        <v/>
      </c>
      <c r="X86" s="60" t="str">
        <f t="shared" si="12"/>
        <v/>
      </c>
      <c r="AC86" s="51">
        <f t="shared" si="13"/>
        <v>0</v>
      </c>
      <c r="AD86" s="44">
        <f t="shared" si="14"/>
        <v>0</v>
      </c>
      <c r="AE86" s="51">
        <f t="shared" si="15"/>
        <v>0</v>
      </c>
    </row>
    <row r="87" spans="1:31">
      <c r="A87" s="60" t="str">
        <f t="shared" si="9"/>
        <v/>
      </c>
      <c r="B87" s="60" t="str">
        <f t="shared" si="10"/>
        <v/>
      </c>
      <c r="V87" s="60" t="str">
        <f t="shared" si="11"/>
        <v/>
      </c>
      <c r="W87" s="60" t="str">
        <f t="shared" si="8"/>
        <v/>
      </c>
      <c r="X87" s="60" t="str">
        <f t="shared" si="12"/>
        <v/>
      </c>
      <c r="AC87" s="51">
        <f t="shared" si="13"/>
        <v>0</v>
      </c>
      <c r="AD87" s="44">
        <f t="shared" si="14"/>
        <v>0</v>
      </c>
      <c r="AE87" s="51">
        <f t="shared" si="15"/>
        <v>0</v>
      </c>
    </row>
    <row r="88" spans="1:31">
      <c r="A88" s="60" t="str">
        <f t="shared" si="9"/>
        <v/>
      </c>
      <c r="B88" s="60" t="str">
        <f t="shared" si="10"/>
        <v/>
      </c>
      <c r="V88" s="60" t="str">
        <f t="shared" si="11"/>
        <v/>
      </c>
      <c r="W88" s="60" t="str">
        <f t="shared" si="8"/>
        <v/>
      </c>
      <c r="X88" s="60" t="str">
        <f t="shared" si="12"/>
        <v/>
      </c>
      <c r="AC88" s="51">
        <f t="shared" si="13"/>
        <v>0</v>
      </c>
      <c r="AD88" s="44">
        <f t="shared" si="14"/>
        <v>0</v>
      </c>
      <c r="AE88" s="51">
        <f t="shared" si="15"/>
        <v>0</v>
      </c>
    </row>
    <row r="89" spans="1:31">
      <c r="A89" s="60" t="str">
        <f t="shared" si="9"/>
        <v/>
      </c>
      <c r="B89" s="60" t="str">
        <f t="shared" si="10"/>
        <v/>
      </c>
      <c r="V89" s="60" t="str">
        <f t="shared" si="11"/>
        <v/>
      </c>
      <c r="W89" s="60" t="str">
        <f t="shared" si="8"/>
        <v/>
      </c>
      <c r="X89" s="60" t="str">
        <f t="shared" si="12"/>
        <v/>
      </c>
      <c r="AC89" s="51">
        <f t="shared" si="13"/>
        <v>0</v>
      </c>
      <c r="AD89" s="44">
        <f t="shared" si="14"/>
        <v>0</v>
      </c>
      <c r="AE89" s="51">
        <f t="shared" si="15"/>
        <v>0</v>
      </c>
    </row>
    <row r="90" spans="1:31">
      <c r="A90" s="60" t="str">
        <f t="shared" si="9"/>
        <v/>
      </c>
      <c r="B90" s="60" t="str">
        <f t="shared" si="10"/>
        <v/>
      </c>
      <c r="V90" s="60" t="str">
        <f t="shared" si="11"/>
        <v/>
      </c>
      <c r="W90" s="60" t="str">
        <f t="shared" si="8"/>
        <v/>
      </c>
      <c r="X90" s="60" t="str">
        <f t="shared" si="12"/>
        <v/>
      </c>
      <c r="AC90" s="51">
        <f t="shared" si="13"/>
        <v>0</v>
      </c>
      <c r="AD90" s="44">
        <f t="shared" si="14"/>
        <v>0</v>
      </c>
      <c r="AE90" s="51">
        <f t="shared" si="15"/>
        <v>0</v>
      </c>
    </row>
    <row r="91" spans="1:31">
      <c r="A91" s="60" t="str">
        <f t="shared" si="9"/>
        <v/>
      </c>
      <c r="B91" s="60" t="str">
        <f t="shared" si="10"/>
        <v/>
      </c>
      <c r="V91" s="60" t="str">
        <f t="shared" si="11"/>
        <v/>
      </c>
      <c r="W91" s="60" t="str">
        <f t="shared" si="8"/>
        <v/>
      </c>
      <c r="X91" s="60" t="str">
        <f t="shared" si="12"/>
        <v/>
      </c>
      <c r="AC91" s="51">
        <f t="shared" si="13"/>
        <v>0</v>
      </c>
      <c r="AD91" s="44">
        <f t="shared" si="14"/>
        <v>0</v>
      </c>
      <c r="AE91" s="51">
        <f t="shared" si="15"/>
        <v>0</v>
      </c>
    </row>
    <row r="92" spans="1:31">
      <c r="A92" s="60" t="str">
        <f t="shared" si="9"/>
        <v/>
      </c>
      <c r="B92" s="60" t="str">
        <f t="shared" si="10"/>
        <v/>
      </c>
      <c r="V92" s="60" t="str">
        <f t="shared" si="11"/>
        <v/>
      </c>
      <c r="W92" s="60" t="str">
        <f t="shared" si="8"/>
        <v/>
      </c>
      <c r="X92" s="60" t="str">
        <f t="shared" si="12"/>
        <v/>
      </c>
      <c r="AC92" s="51">
        <f t="shared" si="13"/>
        <v>0</v>
      </c>
      <c r="AD92" s="44">
        <f t="shared" si="14"/>
        <v>0</v>
      </c>
      <c r="AE92" s="51">
        <f t="shared" si="15"/>
        <v>0</v>
      </c>
    </row>
    <row r="93" spans="1:31">
      <c r="A93" s="60" t="str">
        <f t="shared" si="9"/>
        <v/>
      </c>
      <c r="B93" s="60" t="str">
        <f t="shared" si="10"/>
        <v/>
      </c>
      <c r="V93" s="60" t="str">
        <f t="shared" si="11"/>
        <v/>
      </c>
      <c r="W93" s="60" t="str">
        <f t="shared" si="8"/>
        <v/>
      </c>
      <c r="X93" s="60" t="str">
        <f t="shared" si="12"/>
        <v/>
      </c>
      <c r="AC93" s="51">
        <f t="shared" si="13"/>
        <v>0</v>
      </c>
      <c r="AD93" s="44">
        <f t="shared" si="14"/>
        <v>0</v>
      </c>
      <c r="AE93" s="51">
        <f t="shared" si="15"/>
        <v>0</v>
      </c>
    </row>
    <row r="94" spans="1:31">
      <c r="A94" s="60" t="str">
        <f t="shared" si="9"/>
        <v/>
      </c>
      <c r="B94" s="60" t="str">
        <f t="shared" si="10"/>
        <v/>
      </c>
      <c r="V94" s="60" t="str">
        <f t="shared" si="11"/>
        <v/>
      </c>
      <c r="W94" s="60" t="str">
        <f t="shared" si="8"/>
        <v/>
      </c>
      <c r="X94" s="60" t="str">
        <f t="shared" si="12"/>
        <v/>
      </c>
      <c r="AC94" s="51">
        <f t="shared" si="13"/>
        <v>0</v>
      </c>
      <c r="AD94" s="44">
        <f t="shared" si="14"/>
        <v>0</v>
      </c>
      <c r="AE94" s="51">
        <f t="shared" si="15"/>
        <v>0</v>
      </c>
    </row>
    <row r="95" spans="1:31">
      <c r="A95" s="60" t="str">
        <f t="shared" si="9"/>
        <v/>
      </c>
      <c r="B95" s="60" t="str">
        <f t="shared" si="10"/>
        <v/>
      </c>
      <c r="V95" s="60" t="str">
        <f t="shared" si="11"/>
        <v/>
      </c>
      <c r="W95" s="60" t="str">
        <f t="shared" si="8"/>
        <v/>
      </c>
      <c r="X95" s="60" t="str">
        <f t="shared" si="12"/>
        <v/>
      </c>
      <c r="AC95" s="51">
        <f t="shared" si="13"/>
        <v>0</v>
      </c>
      <c r="AD95" s="44">
        <f t="shared" si="14"/>
        <v>0</v>
      </c>
      <c r="AE95" s="51">
        <f t="shared" si="15"/>
        <v>0</v>
      </c>
    </row>
    <row r="96" spans="1:31">
      <c r="A96" s="60" t="str">
        <f t="shared" si="9"/>
        <v/>
      </c>
      <c r="B96" s="60" t="str">
        <f t="shared" si="10"/>
        <v/>
      </c>
      <c r="V96" s="60" t="str">
        <f t="shared" si="11"/>
        <v/>
      </c>
      <c r="W96" s="60" t="str">
        <f t="shared" si="8"/>
        <v/>
      </c>
      <c r="X96" s="60" t="str">
        <f t="shared" si="12"/>
        <v/>
      </c>
      <c r="AC96" s="51">
        <f t="shared" si="13"/>
        <v>0</v>
      </c>
      <c r="AD96" s="44">
        <f t="shared" si="14"/>
        <v>0</v>
      </c>
      <c r="AE96" s="51">
        <f t="shared" si="15"/>
        <v>0</v>
      </c>
    </row>
    <row r="97" spans="1:31">
      <c r="A97" s="60" t="str">
        <f t="shared" si="9"/>
        <v/>
      </c>
      <c r="B97" s="60" t="str">
        <f t="shared" si="10"/>
        <v/>
      </c>
      <c r="V97" s="60" t="str">
        <f t="shared" si="11"/>
        <v/>
      </c>
      <c r="W97" s="60" t="str">
        <f t="shared" si="8"/>
        <v/>
      </c>
      <c r="X97" s="60" t="str">
        <f t="shared" si="12"/>
        <v/>
      </c>
      <c r="AC97" s="51">
        <f t="shared" si="13"/>
        <v>0</v>
      </c>
      <c r="AD97" s="44">
        <f t="shared" si="14"/>
        <v>0</v>
      </c>
      <c r="AE97" s="51">
        <f t="shared" si="15"/>
        <v>0</v>
      </c>
    </row>
    <row r="98" spans="1:31">
      <c r="A98" s="60" t="str">
        <f t="shared" si="9"/>
        <v/>
      </c>
      <c r="B98" s="60" t="str">
        <f t="shared" si="10"/>
        <v/>
      </c>
      <c r="V98" s="60" t="str">
        <f t="shared" si="11"/>
        <v/>
      </c>
      <c r="W98" s="60" t="str">
        <f t="shared" si="8"/>
        <v/>
      </c>
      <c r="X98" s="60" t="str">
        <f t="shared" si="12"/>
        <v/>
      </c>
      <c r="AC98" s="51">
        <f t="shared" si="13"/>
        <v>0</v>
      </c>
      <c r="AD98" s="44">
        <f t="shared" si="14"/>
        <v>0</v>
      </c>
      <c r="AE98" s="51">
        <f t="shared" si="15"/>
        <v>0</v>
      </c>
    </row>
    <row r="99" spans="1:31">
      <c r="A99" s="60" t="str">
        <f t="shared" si="9"/>
        <v/>
      </c>
      <c r="B99" s="60" t="str">
        <f t="shared" si="10"/>
        <v/>
      </c>
      <c r="V99" s="60" t="str">
        <f t="shared" si="11"/>
        <v/>
      </c>
      <c r="W99" s="60" t="str">
        <f t="shared" si="8"/>
        <v/>
      </c>
      <c r="X99" s="60" t="str">
        <f t="shared" si="12"/>
        <v/>
      </c>
      <c r="AC99" s="51">
        <f t="shared" si="13"/>
        <v>0</v>
      </c>
      <c r="AD99" s="44">
        <f t="shared" si="14"/>
        <v>0</v>
      </c>
      <c r="AE99" s="51">
        <f t="shared" si="15"/>
        <v>0</v>
      </c>
    </row>
    <row r="100" spans="1:31">
      <c r="A100" s="60" t="str">
        <f t="shared" si="9"/>
        <v/>
      </c>
      <c r="B100" s="60" t="str">
        <f t="shared" si="10"/>
        <v/>
      </c>
      <c r="V100" s="60" t="str">
        <f t="shared" si="11"/>
        <v/>
      </c>
      <c r="W100" s="60" t="str">
        <f t="shared" si="8"/>
        <v/>
      </c>
      <c r="X100" s="60" t="str">
        <f t="shared" si="12"/>
        <v/>
      </c>
      <c r="AC100" s="51">
        <f t="shared" si="13"/>
        <v>0</v>
      </c>
      <c r="AD100" s="44">
        <f t="shared" si="14"/>
        <v>0</v>
      </c>
      <c r="AE100" s="51">
        <f t="shared" si="15"/>
        <v>0</v>
      </c>
    </row>
    <row r="101" spans="1:31">
      <c r="A101" s="60" t="str">
        <f t="shared" si="9"/>
        <v/>
      </c>
      <c r="B101" s="60" t="str">
        <f t="shared" si="10"/>
        <v/>
      </c>
      <c r="V101" s="60" t="str">
        <f t="shared" si="11"/>
        <v/>
      </c>
      <c r="W101" s="60" t="str">
        <f t="shared" si="8"/>
        <v/>
      </c>
      <c r="X101" s="60" t="str">
        <f t="shared" si="12"/>
        <v/>
      </c>
      <c r="AC101" s="51">
        <f t="shared" si="13"/>
        <v>0</v>
      </c>
      <c r="AD101" s="44">
        <f t="shared" si="14"/>
        <v>0</v>
      </c>
      <c r="AE101" s="51">
        <f t="shared" si="15"/>
        <v>0</v>
      </c>
    </row>
    <row r="102" spans="1:31">
      <c r="A102" s="60" t="str">
        <f t="shared" si="9"/>
        <v/>
      </c>
      <c r="B102" s="60" t="str">
        <f t="shared" si="10"/>
        <v/>
      </c>
      <c r="V102" s="60" t="str">
        <f t="shared" si="11"/>
        <v/>
      </c>
      <c r="W102" s="60" t="str">
        <f t="shared" si="8"/>
        <v/>
      </c>
      <c r="X102" s="60" t="str">
        <f t="shared" si="12"/>
        <v/>
      </c>
      <c r="AC102" s="51">
        <f t="shared" si="13"/>
        <v>0</v>
      </c>
      <c r="AD102" s="44">
        <f t="shared" si="14"/>
        <v>0</v>
      </c>
      <c r="AE102" s="51">
        <f t="shared" si="15"/>
        <v>0</v>
      </c>
    </row>
    <row r="103" spans="1:31">
      <c r="A103" s="60" t="str">
        <f t="shared" si="9"/>
        <v/>
      </c>
      <c r="B103" s="60" t="str">
        <f t="shared" si="10"/>
        <v/>
      </c>
      <c r="V103" s="60" t="str">
        <f t="shared" si="11"/>
        <v/>
      </c>
      <c r="W103" s="60" t="str">
        <f t="shared" si="8"/>
        <v/>
      </c>
      <c r="X103" s="60" t="str">
        <f t="shared" si="12"/>
        <v/>
      </c>
      <c r="AC103" s="51">
        <f t="shared" si="13"/>
        <v>0</v>
      </c>
      <c r="AD103" s="44">
        <f t="shared" si="14"/>
        <v>0</v>
      </c>
      <c r="AE103" s="51">
        <f t="shared" si="15"/>
        <v>0</v>
      </c>
    </row>
    <row r="104" spans="1:31">
      <c r="A104" s="60" t="str">
        <f t="shared" si="9"/>
        <v/>
      </c>
      <c r="B104" s="60" t="str">
        <f t="shared" si="10"/>
        <v/>
      </c>
      <c r="V104" s="60" t="str">
        <f t="shared" si="11"/>
        <v/>
      </c>
      <c r="W104" s="60" t="str">
        <f t="shared" si="8"/>
        <v/>
      </c>
      <c r="X104" s="60" t="str">
        <f t="shared" si="12"/>
        <v/>
      </c>
      <c r="AC104" s="51">
        <f t="shared" si="13"/>
        <v>0</v>
      </c>
      <c r="AD104" s="44">
        <f t="shared" si="14"/>
        <v>0</v>
      </c>
      <c r="AE104" s="51">
        <f t="shared" si="15"/>
        <v>0</v>
      </c>
    </row>
    <row r="105" spans="1:31">
      <c r="A105" s="60" t="str">
        <f t="shared" si="9"/>
        <v/>
      </c>
      <c r="B105" s="60" t="str">
        <f t="shared" si="10"/>
        <v/>
      </c>
      <c r="V105" s="60" t="str">
        <f t="shared" si="11"/>
        <v/>
      </c>
      <c r="W105" s="60" t="str">
        <f t="shared" si="8"/>
        <v/>
      </c>
      <c r="X105" s="60" t="str">
        <f t="shared" si="12"/>
        <v/>
      </c>
      <c r="AC105" s="51">
        <f t="shared" si="13"/>
        <v>0</v>
      </c>
      <c r="AD105" s="44">
        <f t="shared" si="14"/>
        <v>0</v>
      </c>
      <c r="AE105" s="51">
        <f t="shared" si="15"/>
        <v>0</v>
      </c>
    </row>
    <row r="106" spans="1:31">
      <c r="A106" s="60" t="str">
        <f t="shared" si="9"/>
        <v/>
      </c>
      <c r="B106" s="60" t="str">
        <f t="shared" si="10"/>
        <v/>
      </c>
      <c r="V106" s="60" t="str">
        <f t="shared" si="11"/>
        <v/>
      </c>
      <c r="W106" s="60" t="str">
        <f t="shared" si="8"/>
        <v/>
      </c>
      <c r="X106" s="60" t="str">
        <f t="shared" si="12"/>
        <v/>
      </c>
      <c r="AC106" s="51">
        <f t="shared" si="13"/>
        <v>0</v>
      </c>
      <c r="AD106" s="44">
        <f t="shared" si="14"/>
        <v>0</v>
      </c>
      <c r="AE106" s="51">
        <f t="shared" si="15"/>
        <v>0</v>
      </c>
    </row>
    <row r="107" spans="1:31">
      <c r="A107" s="60" t="str">
        <f t="shared" si="9"/>
        <v/>
      </c>
      <c r="B107" s="60" t="str">
        <f t="shared" si="10"/>
        <v/>
      </c>
      <c r="V107" s="60" t="str">
        <f t="shared" si="11"/>
        <v/>
      </c>
      <c r="W107" s="60" t="str">
        <f t="shared" si="8"/>
        <v/>
      </c>
      <c r="X107" s="60" t="str">
        <f t="shared" si="12"/>
        <v/>
      </c>
      <c r="AC107" s="51">
        <f t="shared" si="13"/>
        <v>0</v>
      </c>
      <c r="AD107" s="44">
        <f t="shared" si="14"/>
        <v>0</v>
      </c>
      <c r="AE107" s="51">
        <f t="shared" si="15"/>
        <v>0</v>
      </c>
    </row>
    <row r="108" spans="1:31">
      <c r="A108" s="60" t="str">
        <f t="shared" si="9"/>
        <v/>
      </c>
      <c r="B108" s="60" t="str">
        <f t="shared" si="10"/>
        <v/>
      </c>
      <c r="V108" s="60" t="str">
        <f t="shared" si="11"/>
        <v/>
      </c>
      <c r="W108" s="60" t="str">
        <f t="shared" si="8"/>
        <v/>
      </c>
      <c r="X108" s="60" t="str">
        <f t="shared" si="12"/>
        <v/>
      </c>
      <c r="AC108" s="51">
        <f t="shared" si="13"/>
        <v>0</v>
      </c>
      <c r="AD108" s="44">
        <f t="shared" si="14"/>
        <v>0</v>
      </c>
      <c r="AE108" s="51">
        <f t="shared" si="15"/>
        <v>0</v>
      </c>
    </row>
    <row r="109" spans="1:31">
      <c r="A109" s="60" t="str">
        <f t="shared" si="9"/>
        <v/>
      </c>
      <c r="B109" s="60" t="str">
        <f t="shared" si="10"/>
        <v/>
      </c>
      <c r="V109" s="60" t="str">
        <f t="shared" si="11"/>
        <v/>
      </c>
      <c r="W109" s="60" t="str">
        <f t="shared" si="8"/>
        <v/>
      </c>
      <c r="X109" s="60" t="str">
        <f t="shared" si="12"/>
        <v/>
      </c>
      <c r="AC109" s="51">
        <f t="shared" si="13"/>
        <v>0</v>
      </c>
      <c r="AD109" s="44">
        <f t="shared" si="14"/>
        <v>0</v>
      </c>
      <c r="AE109" s="51">
        <f t="shared" si="15"/>
        <v>0</v>
      </c>
    </row>
    <row r="110" spans="1:31">
      <c r="A110" s="60" t="str">
        <f t="shared" si="9"/>
        <v/>
      </c>
      <c r="B110" s="60" t="str">
        <f t="shared" si="10"/>
        <v/>
      </c>
      <c r="V110" s="60" t="str">
        <f t="shared" si="11"/>
        <v/>
      </c>
      <c r="W110" s="60" t="str">
        <f t="shared" si="8"/>
        <v/>
      </c>
      <c r="X110" s="60" t="str">
        <f t="shared" si="12"/>
        <v/>
      </c>
      <c r="AC110" s="51">
        <f t="shared" si="13"/>
        <v>0</v>
      </c>
      <c r="AD110" s="44">
        <f t="shared" si="14"/>
        <v>0</v>
      </c>
      <c r="AE110" s="51">
        <f t="shared" si="15"/>
        <v>0</v>
      </c>
    </row>
    <row r="111" spans="1:31">
      <c r="A111" s="60" t="str">
        <f t="shared" si="9"/>
        <v/>
      </c>
      <c r="B111" s="60" t="str">
        <f t="shared" si="10"/>
        <v/>
      </c>
      <c r="V111" s="60" t="str">
        <f t="shared" si="11"/>
        <v/>
      </c>
      <c r="W111" s="60" t="str">
        <f t="shared" si="8"/>
        <v/>
      </c>
      <c r="X111" s="60" t="str">
        <f t="shared" si="12"/>
        <v/>
      </c>
      <c r="AC111" s="51">
        <f t="shared" si="13"/>
        <v>0</v>
      </c>
      <c r="AD111" s="44">
        <f t="shared" si="14"/>
        <v>0</v>
      </c>
      <c r="AE111" s="51">
        <f t="shared" si="15"/>
        <v>0</v>
      </c>
    </row>
    <row r="112" spans="1:31">
      <c r="A112" s="60" t="str">
        <f t="shared" si="9"/>
        <v/>
      </c>
      <c r="B112" s="60" t="str">
        <f t="shared" si="10"/>
        <v/>
      </c>
      <c r="V112" s="60" t="str">
        <f t="shared" si="11"/>
        <v/>
      </c>
      <c r="W112" s="60" t="str">
        <f t="shared" si="8"/>
        <v/>
      </c>
      <c r="X112" s="60" t="str">
        <f t="shared" si="12"/>
        <v/>
      </c>
      <c r="AC112" s="51">
        <f t="shared" si="13"/>
        <v>0</v>
      </c>
      <c r="AD112" s="44">
        <f t="shared" si="14"/>
        <v>0</v>
      </c>
      <c r="AE112" s="51">
        <f t="shared" si="15"/>
        <v>0</v>
      </c>
    </row>
    <row r="113" spans="1:31">
      <c r="A113" s="60" t="str">
        <f t="shared" si="9"/>
        <v/>
      </c>
      <c r="B113" s="60" t="str">
        <f t="shared" si="10"/>
        <v/>
      </c>
      <c r="V113" s="60" t="str">
        <f t="shared" si="11"/>
        <v/>
      </c>
      <c r="W113" s="60" t="str">
        <f t="shared" si="8"/>
        <v/>
      </c>
      <c r="X113" s="60" t="str">
        <f t="shared" si="12"/>
        <v/>
      </c>
      <c r="AC113" s="51">
        <f t="shared" si="13"/>
        <v>0</v>
      </c>
      <c r="AD113" s="44">
        <f t="shared" si="14"/>
        <v>0</v>
      </c>
      <c r="AE113" s="51">
        <f t="shared" si="15"/>
        <v>0</v>
      </c>
    </row>
    <row r="114" spans="1:31">
      <c r="A114" s="60" t="str">
        <f t="shared" si="9"/>
        <v/>
      </c>
      <c r="B114" s="60" t="str">
        <f t="shared" si="10"/>
        <v/>
      </c>
      <c r="V114" s="60" t="str">
        <f t="shared" si="11"/>
        <v/>
      </c>
      <c r="W114" s="60" t="str">
        <f t="shared" si="8"/>
        <v/>
      </c>
      <c r="X114" s="60" t="str">
        <f t="shared" si="12"/>
        <v/>
      </c>
      <c r="AC114" s="51">
        <f t="shared" si="13"/>
        <v>0</v>
      </c>
      <c r="AD114" s="44">
        <f t="shared" si="14"/>
        <v>0</v>
      </c>
      <c r="AE114" s="51">
        <f t="shared" si="15"/>
        <v>0</v>
      </c>
    </row>
    <row r="115" spans="1:31">
      <c r="A115" s="60" t="str">
        <f t="shared" si="9"/>
        <v/>
      </c>
      <c r="B115" s="60" t="str">
        <f t="shared" si="10"/>
        <v/>
      </c>
      <c r="V115" s="60" t="str">
        <f t="shared" si="11"/>
        <v/>
      </c>
      <c r="W115" s="60" t="str">
        <f t="shared" si="8"/>
        <v/>
      </c>
      <c r="X115" s="60" t="str">
        <f t="shared" si="12"/>
        <v/>
      </c>
      <c r="AC115" s="51">
        <f t="shared" si="13"/>
        <v>0</v>
      </c>
      <c r="AD115" s="44">
        <f t="shared" si="14"/>
        <v>0</v>
      </c>
      <c r="AE115" s="51">
        <f t="shared" si="15"/>
        <v>0</v>
      </c>
    </row>
    <row r="116" spans="1:31">
      <c r="A116" s="60" t="str">
        <f t="shared" si="9"/>
        <v/>
      </c>
      <c r="B116" s="60" t="str">
        <f t="shared" si="10"/>
        <v/>
      </c>
      <c r="V116" s="60" t="str">
        <f t="shared" si="11"/>
        <v/>
      </c>
      <c r="W116" s="60" t="str">
        <f t="shared" si="8"/>
        <v/>
      </c>
      <c r="X116" s="60" t="str">
        <f t="shared" si="12"/>
        <v/>
      </c>
      <c r="AC116" s="51">
        <f t="shared" si="13"/>
        <v>0</v>
      </c>
      <c r="AD116" s="44">
        <f t="shared" si="14"/>
        <v>0</v>
      </c>
      <c r="AE116" s="51">
        <f t="shared" si="15"/>
        <v>0</v>
      </c>
    </row>
    <row r="117" spans="1:31">
      <c r="A117" s="60" t="str">
        <f t="shared" si="9"/>
        <v/>
      </c>
      <c r="B117" s="60" t="str">
        <f t="shared" si="10"/>
        <v/>
      </c>
      <c r="V117" s="60" t="str">
        <f t="shared" si="11"/>
        <v/>
      </c>
      <c r="W117" s="60" t="str">
        <f t="shared" si="8"/>
        <v/>
      </c>
      <c r="X117" s="60" t="str">
        <f t="shared" si="12"/>
        <v/>
      </c>
      <c r="AC117" s="51">
        <f t="shared" si="13"/>
        <v>0</v>
      </c>
      <c r="AD117" s="44">
        <f t="shared" si="14"/>
        <v>0</v>
      </c>
      <c r="AE117" s="51">
        <f t="shared" si="15"/>
        <v>0</v>
      </c>
    </row>
    <row r="118" spans="1:31">
      <c r="A118" s="60" t="str">
        <f t="shared" si="9"/>
        <v/>
      </c>
      <c r="B118" s="60" t="str">
        <f t="shared" si="10"/>
        <v/>
      </c>
      <c r="V118" s="60" t="str">
        <f t="shared" si="11"/>
        <v/>
      </c>
      <c r="W118" s="60" t="str">
        <f t="shared" si="8"/>
        <v/>
      </c>
      <c r="X118" s="60" t="str">
        <f t="shared" si="12"/>
        <v/>
      </c>
      <c r="AC118" s="51">
        <f t="shared" si="13"/>
        <v>0</v>
      </c>
      <c r="AD118" s="44">
        <f t="shared" si="14"/>
        <v>0</v>
      </c>
      <c r="AE118" s="51">
        <f t="shared" si="15"/>
        <v>0</v>
      </c>
    </row>
    <row r="119" spans="1:31">
      <c r="A119" s="60" t="str">
        <f t="shared" si="9"/>
        <v/>
      </c>
      <c r="B119" s="60" t="str">
        <f t="shared" si="10"/>
        <v/>
      </c>
      <c r="V119" s="60" t="str">
        <f t="shared" si="11"/>
        <v/>
      </c>
      <c r="W119" s="60" t="str">
        <f t="shared" si="8"/>
        <v/>
      </c>
      <c r="X119" s="60" t="str">
        <f t="shared" si="12"/>
        <v/>
      </c>
      <c r="AC119" s="51">
        <f t="shared" si="13"/>
        <v>0</v>
      </c>
      <c r="AD119" s="44">
        <f t="shared" si="14"/>
        <v>0</v>
      </c>
      <c r="AE119" s="51">
        <f t="shared" si="15"/>
        <v>0</v>
      </c>
    </row>
    <row r="120" spans="1:31">
      <c r="A120" s="60" t="str">
        <f t="shared" si="9"/>
        <v/>
      </c>
      <c r="B120" s="60" t="str">
        <f t="shared" si="10"/>
        <v/>
      </c>
      <c r="V120" s="60" t="str">
        <f t="shared" si="11"/>
        <v/>
      </c>
      <c r="W120" s="60" t="str">
        <f t="shared" si="8"/>
        <v/>
      </c>
      <c r="X120" s="60" t="str">
        <f t="shared" si="12"/>
        <v/>
      </c>
      <c r="AC120" s="51">
        <f t="shared" si="13"/>
        <v>0</v>
      </c>
      <c r="AD120" s="44">
        <f t="shared" si="14"/>
        <v>0</v>
      </c>
      <c r="AE120" s="51">
        <f t="shared" si="15"/>
        <v>0</v>
      </c>
    </row>
    <row r="121" spans="1:31">
      <c r="A121" s="60" t="str">
        <f t="shared" si="9"/>
        <v/>
      </c>
      <c r="B121" s="60" t="str">
        <f t="shared" si="10"/>
        <v/>
      </c>
      <c r="V121" s="60" t="str">
        <f t="shared" si="11"/>
        <v/>
      </c>
      <c r="W121" s="60" t="str">
        <f t="shared" si="8"/>
        <v/>
      </c>
      <c r="X121" s="60" t="str">
        <f t="shared" si="12"/>
        <v/>
      </c>
      <c r="AC121" s="51">
        <f t="shared" si="13"/>
        <v>0</v>
      </c>
      <c r="AD121" s="44">
        <f t="shared" si="14"/>
        <v>0</v>
      </c>
      <c r="AE121" s="51">
        <f t="shared" si="15"/>
        <v>0</v>
      </c>
    </row>
    <row r="122" spans="1:31">
      <c r="A122" s="60" t="str">
        <f t="shared" si="9"/>
        <v/>
      </c>
      <c r="B122" s="60" t="str">
        <f t="shared" si="10"/>
        <v/>
      </c>
      <c r="V122" s="60" t="str">
        <f t="shared" si="11"/>
        <v/>
      </c>
      <c r="W122" s="60" t="str">
        <f t="shared" si="8"/>
        <v/>
      </c>
      <c r="X122" s="60" t="str">
        <f t="shared" si="12"/>
        <v/>
      </c>
      <c r="AC122" s="51">
        <f t="shared" si="13"/>
        <v>0</v>
      </c>
      <c r="AD122" s="44">
        <f t="shared" si="14"/>
        <v>0</v>
      </c>
      <c r="AE122" s="51">
        <f t="shared" si="15"/>
        <v>0</v>
      </c>
    </row>
    <row r="123" spans="1:31">
      <c r="A123" s="60" t="str">
        <f t="shared" si="9"/>
        <v/>
      </c>
      <c r="B123" s="60" t="str">
        <f t="shared" si="10"/>
        <v/>
      </c>
      <c r="V123" s="60" t="str">
        <f t="shared" si="11"/>
        <v/>
      </c>
      <c r="W123" s="60" t="str">
        <f t="shared" si="8"/>
        <v/>
      </c>
      <c r="X123" s="60" t="str">
        <f t="shared" si="12"/>
        <v/>
      </c>
      <c r="AC123" s="51">
        <f t="shared" si="13"/>
        <v>0</v>
      </c>
      <c r="AD123" s="44">
        <f t="shared" si="14"/>
        <v>0</v>
      </c>
      <c r="AE123" s="51">
        <f t="shared" si="15"/>
        <v>0</v>
      </c>
    </row>
    <row r="124" spans="1:31">
      <c r="A124" s="60" t="str">
        <f t="shared" si="9"/>
        <v/>
      </c>
      <c r="B124" s="60" t="str">
        <f t="shared" si="10"/>
        <v/>
      </c>
      <c r="V124" s="60" t="str">
        <f t="shared" si="11"/>
        <v/>
      </c>
      <c r="W124" s="60" t="str">
        <f t="shared" si="8"/>
        <v/>
      </c>
      <c r="X124" s="60" t="str">
        <f t="shared" si="12"/>
        <v/>
      </c>
      <c r="AC124" s="51">
        <f t="shared" si="13"/>
        <v>0</v>
      </c>
      <c r="AD124" s="44">
        <f t="shared" si="14"/>
        <v>0</v>
      </c>
      <c r="AE124" s="51">
        <f t="shared" si="15"/>
        <v>0</v>
      </c>
    </row>
    <row r="125" spans="1:31">
      <c r="A125" s="60" t="str">
        <f t="shared" si="9"/>
        <v/>
      </c>
      <c r="B125" s="60" t="str">
        <f t="shared" si="10"/>
        <v/>
      </c>
      <c r="V125" s="60" t="str">
        <f t="shared" si="11"/>
        <v/>
      </c>
      <c r="W125" s="60" t="str">
        <f t="shared" si="8"/>
        <v/>
      </c>
      <c r="X125" s="60" t="str">
        <f t="shared" si="12"/>
        <v/>
      </c>
      <c r="AC125" s="51">
        <f t="shared" si="13"/>
        <v>0</v>
      </c>
      <c r="AD125" s="44">
        <f t="shared" si="14"/>
        <v>0</v>
      </c>
      <c r="AE125" s="51">
        <f t="shared" si="15"/>
        <v>0</v>
      </c>
    </row>
    <row r="126" spans="1:31">
      <c r="A126" s="60" t="str">
        <f t="shared" si="9"/>
        <v/>
      </c>
      <c r="B126" s="60" t="str">
        <f t="shared" si="10"/>
        <v/>
      </c>
      <c r="V126" s="60" t="str">
        <f t="shared" si="11"/>
        <v/>
      </c>
      <c r="W126" s="60" t="str">
        <f t="shared" si="8"/>
        <v/>
      </c>
      <c r="X126" s="60" t="str">
        <f t="shared" si="12"/>
        <v/>
      </c>
      <c r="AC126" s="51">
        <f t="shared" si="13"/>
        <v>0</v>
      </c>
      <c r="AD126" s="44">
        <f t="shared" si="14"/>
        <v>0</v>
      </c>
      <c r="AE126" s="51">
        <f t="shared" si="15"/>
        <v>0</v>
      </c>
    </row>
    <row r="127" spans="1:31">
      <c r="A127" s="60" t="str">
        <f t="shared" si="9"/>
        <v/>
      </c>
      <c r="B127" s="60" t="str">
        <f t="shared" si="10"/>
        <v/>
      </c>
      <c r="V127" s="60" t="str">
        <f t="shared" si="11"/>
        <v/>
      </c>
      <c r="W127" s="60" t="str">
        <f t="shared" si="8"/>
        <v/>
      </c>
      <c r="X127" s="60" t="str">
        <f t="shared" si="12"/>
        <v/>
      </c>
      <c r="AC127" s="51">
        <f t="shared" si="13"/>
        <v>0</v>
      </c>
      <c r="AD127" s="44">
        <f t="shared" si="14"/>
        <v>0</v>
      </c>
      <c r="AE127" s="51">
        <f t="shared" si="15"/>
        <v>0</v>
      </c>
    </row>
    <row r="128" spans="1:31">
      <c r="A128" s="60" t="str">
        <f t="shared" si="9"/>
        <v/>
      </c>
      <c r="B128" s="60" t="str">
        <f t="shared" si="10"/>
        <v/>
      </c>
      <c r="V128" s="60" t="str">
        <f t="shared" si="11"/>
        <v/>
      </c>
      <c r="W128" s="60" t="str">
        <f t="shared" si="8"/>
        <v/>
      </c>
      <c r="X128" s="60" t="str">
        <f t="shared" si="12"/>
        <v/>
      </c>
      <c r="AC128" s="51">
        <f t="shared" si="13"/>
        <v>0</v>
      </c>
      <c r="AD128" s="44">
        <f t="shared" si="14"/>
        <v>0</v>
      </c>
      <c r="AE128" s="51">
        <f t="shared" si="15"/>
        <v>0</v>
      </c>
    </row>
    <row r="129" spans="1:31">
      <c r="A129" s="60" t="str">
        <f t="shared" si="9"/>
        <v/>
      </c>
      <c r="B129" s="60" t="str">
        <f t="shared" si="10"/>
        <v/>
      </c>
      <c r="V129" s="60" t="str">
        <f t="shared" si="11"/>
        <v/>
      </c>
      <c r="W129" s="60" t="str">
        <f t="shared" si="8"/>
        <v/>
      </c>
      <c r="X129" s="60" t="str">
        <f t="shared" si="12"/>
        <v/>
      </c>
      <c r="AC129" s="51">
        <f t="shared" si="13"/>
        <v>0</v>
      </c>
      <c r="AD129" s="44">
        <f t="shared" si="14"/>
        <v>0</v>
      </c>
      <c r="AE129" s="51">
        <f t="shared" si="15"/>
        <v>0</v>
      </c>
    </row>
    <row r="130" spans="1:31">
      <c r="A130" s="60" t="str">
        <f t="shared" si="9"/>
        <v/>
      </c>
      <c r="B130" s="60" t="str">
        <f t="shared" si="10"/>
        <v/>
      </c>
      <c r="V130" s="60" t="str">
        <f t="shared" si="11"/>
        <v/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60" t="str">
        <f t="shared" si="12"/>
        <v/>
      </c>
      <c r="AC130" s="51">
        <f t="shared" si="13"/>
        <v>0</v>
      </c>
      <c r="AD130" s="44">
        <f t="shared" si="14"/>
        <v>0</v>
      </c>
      <c r="AE130" s="51">
        <f t="shared" si="15"/>
        <v>0</v>
      </c>
    </row>
    <row r="131" spans="1:31">
      <c r="A131" s="60" t="str">
        <f t="shared" ref="A131:A194" si="17">IF(G131&amp;Q131&lt;&gt;"",W131&amp;Q131,"")</f>
        <v/>
      </c>
      <c r="B131" s="60" t="str">
        <f t="shared" ref="B131:B194" si="18">IF(C131&lt;&gt;"",LEFT(C131,9),"")</f>
        <v/>
      </c>
      <c r="V131" s="60" t="str">
        <f t="shared" ref="V131:V194" si="19">W131&amp;H131</f>
        <v/>
      </c>
      <c r="W131" s="60" t="str">
        <f t="shared" si="16"/>
        <v/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0</v>
      </c>
      <c r="AD131" s="44">
        <f t="shared" ref="AD131:AD194" si="22">IFERROR(VALUE(MID($C131,4,3)),0)</f>
        <v>0</v>
      </c>
      <c r="AE131" s="51">
        <f t="shared" ref="AE131:AE194" si="23">VALUE(RIGHT("00"&amp;AC131,2)&amp;RIGHT("000"&amp;AD131,3))</f>
        <v>0</v>
      </c>
    </row>
    <row r="132" spans="1:31">
      <c r="A132" s="60" t="str">
        <f t="shared" si="17"/>
        <v/>
      </c>
      <c r="B132" s="60" t="str">
        <f t="shared" si="18"/>
        <v/>
      </c>
      <c r="V132" s="60" t="str">
        <f t="shared" si="19"/>
        <v/>
      </c>
      <c r="W132" s="60" t="str">
        <f t="shared" si="16"/>
        <v/>
      </c>
      <c r="X132" s="60" t="str">
        <f t="shared" si="20"/>
        <v/>
      </c>
      <c r="AC132" s="51">
        <f t="shared" si="21"/>
        <v>0</v>
      </c>
      <c r="AD132" s="44">
        <f t="shared" si="22"/>
        <v>0</v>
      </c>
      <c r="AE132" s="51">
        <f t="shared" si="23"/>
        <v>0</v>
      </c>
    </row>
    <row r="133" spans="1:31">
      <c r="A133" s="60" t="str">
        <f t="shared" si="17"/>
        <v/>
      </c>
      <c r="B133" s="60" t="str">
        <f t="shared" si="18"/>
        <v/>
      </c>
      <c r="V133" s="60" t="str">
        <f t="shared" si="19"/>
        <v/>
      </c>
      <c r="W133" s="60" t="str">
        <f t="shared" si="16"/>
        <v/>
      </c>
      <c r="X133" s="60" t="str">
        <f t="shared" si="20"/>
        <v/>
      </c>
      <c r="AC133" s="51">
        <f t="shared" si="21"/>
        <v>0</v>
      </c>
      <c r="AD133" s="44">
        <f t="shared" si="22"/>
        <v>0</v>
      </c>
      <c r="AE133" s="51">
        <f t="shared" si="23"/>
        <v>0</v>
      </c>
    </row>
    <row r="134" spans="1:31">
      <c r="A134" s="60" t="str">
        <f t="shared" si="17"/>
        <v/>
      </c>
      <c r="B134" s="60" t="str">
        <f t="shared" si="18"/>
        <v/>
      </c>
      <c r="V134" s="60" t="str">
        <f t="shared" si="19"/>
        <v/>
      </c>
      <c r="W134" s="60" t="str">
        <f t="shared" si="16"/>
        <v/>
      </c>
      <c r="X134" s="60" t="str">
        <f t="shared" si="20"/>
        <v/>
      </c>
      <c r="AC134" s="51">
        <f t="shared" si="21"/>
        <v>0</v>
      </c>
      <c r="AD134" s="44">
        <f t="shared" si="22"/>
        <v>0</v>
      </c>
      <c r="AE134" s="51">
        <f t="shared" si="23"/>
        <v>0</v>
      </c>
    </row>
    <row r="135" spans="1:31">
      <c r="A135" s="60" t="str">
        <f t="shared" si="17"/>
        <v/>
      </c>
      <c r="B135" s="60" t="str">
        <f t="shared" si="18"/>
        <v/>
      </c>
      <c r="V135" s="60" t="str">
        <f t="shared" si="19"/>
        <v/>
      </c>
      <c r="W135" s="60" t="str">
        <f t="shared" si="16"/>
        <v/>
      </c>
      <c r="X135" s="60" t="str">
        <f t="shared" si="20"/>
        <v/>
      </c>
      <c r="AC135" s="51">
        <f t="shared" si="21"/>
        <v>0</v>
      </c>
      <c r="AD135" s="44">
        <f t="shared" si="22"/>
        <v>0</v>
      </c>
      <c r="AE135" s="51">
        <f t="shared" si="23"/>
        <v>0</v>
      </c>
    </row>
    <row r="136" spans="1:31">
      <c r="A136" s="60" t="str">
        <f t="shared" si="17"/>
        <v/>
      </c>
      <c r="B136" s="60" t="str">
        <f t="shared" si="18"/>
        <v/>
      </c>
      <c r="V136" s="60" t="str">
        <f t="shared" si="19"/>
        <v/>
      </c>
      <c r="W136" s="60" t="str">
        <f t="shared" si="16"/>
        <v/>
      </c>
      <c r="X136" s="60" t="str">
        <f t="shared" si="20"/>
        <v/>
      </c>
      <c r="AC136" s="51">
        <f t="shared" si="21"/>
        <v>0</v>
      </c>
      <c r="AD136" s="44">
        <f t="shared" si="22"/>
        <v>0</v>
      </c>
      <c r="AE136" s="51">
        <f t="shared" si="23"/>
        <v>0</v>
      </c>
    </row>
    <row r="137" spans="1:31">
      <c r="A137" s="60" t="str">
        <f t="shared" si="17"/>
        <v/>
      </c>
      <c r="B137" s="60" t="str">
        <f t="shared" si="18"/>
        <v/>
      </c>
      <c r="V137" s="60" t="str">
        <f t="shared" si="19"/>
        <v/>
      </c>
      <c r="W137" s="60" t="str">
        <f t="shared" si="16"/>
        <v/>
      </c>
      <c r="X137" s="60" t="str">
        <f t="shared" si="20"/>
        <v/>
      </c>
      <c r="AC137" s="51">
        <f t="shared" si="21"/>
        <v>0</v>
      </c>
      <c r="AD137" s="44">
        <f t="shared" si="22"/>
        <v>0</v>
      </c>
      <c r="AE137" s="51">
        <f t="shared" si="23"/>
        <v>0</v>
      </c>
    </row>
    <row r="138" spans="1:31">
      <c r="A138" s="60" t="str">
        <f t="shared" si="17"/>
        <v/>
      </c>
      <c r="B138" s="60" t="str">
        <f t="shared" si="18"/>
        <v/>
      </c>
      <c r="V138" s="60" t="str">
        <f t="shared" si="19"/>
        <v/>
      </c>
      <c r="W138" s="60" t="str">
        <f t="shared" si="16"/>
        <v/>
      </c>
      <c r="X138" s="60" t="str">
        <f t="shared" si="20"/>
        <v/>
      </c>
      <c r="AC138" s="51">
        <f t="shared" si="21"/>
        <v>0</v>
      </c>
      <c r="AD138" s="44">
        <f t="shared" si="22"/>
        <v>0</v>
      </c>
      <c r="AE138" s="51">
        <f t="shared" si="23"/>
        <v>0</v>
      </c>
    </row>
    <row r="139" spans="1:31">
      <c r="A139" s="60" t="str">
        <f t="shared" si="17"/>
        <v/>
      </c>
      <c r="B139" s="60" t="str">
        <f t="shared" si="18"/>
        <v/>
      </c>
      <c r="V139" s="60" t="str">
        <f t="shared" si="19"/>
        <v/>
      </c>
      <c r="W139" s="60" t="str">
        <f t="shared" si="16"/>
        <v/>
      </c>
      <c r="X139" s="60" t="str">
        <f t="shared" si="20"/>
        <v/>
      </c>
      <c r="AC139" s="51">
        <f t="shared" si="21"/>
        <v>0</v>
      </c>
      <c r="AD139" s="44">
        <f t="shared" si="22"/>
        <v>0</v>
      </c>
      <c r="AE139" s="51">
        <f t="shared" si="23"/>
        <v>0</v>
      </c>
    </row>
    <row r="140" spans="1:31">
      <c r="A140" s="60" t="str">
        <f t="shared" si="17"/>
        <v/>
      </c>
      <c r="B140" s="60" t="str">
        <f t="shared" si="18"/>
        <v/>
      </c>
      <c r="V140" s="60" t="str">
        <f t="shared" si="19"/>
        <v/>
      </c>
      <c r="W140" s="60" t="str">
        <f t="shared" si="16"/>
        <v/>
      </c>
      <c r="X140" s="60" t="str">
        <f t="shared" si="20"/>
        <v/>
      </c>
      <c r="AC140" s="51">
        <f t="shared" si="21"/>
        <v>0</v>
      </c>
      <c r="AD140" s="44">
        <f t="shared" si="22"/>
        <v>0</v>
      </c>
      <c r="AE140" s="51">
        <f t="shared" si="23"/>
        <v>0</v>
      </c>
    </row>
    <row r="141" spans="1:31">
      <c r="A141" s="60" t="str">
        <f t="shared" si="17"/>
        <v/>
      </c>
      <c r="B141" s="60" t="str">
        <f t="shared" si="18"/>
        <v/>
      </c>
      <c r="V141" s="60" t="str">
        <f t="shared" si="19"/>
        <v/>
      </c>
      <c r="W141" s="60" t="str">
        <f t="shared" si="16"/>
        <v/>
      </c>
      <c r="X141" s="60" t="str">
        <f t="shared" si="20"/>
        <v/>
      </c>
      <c r="AC141" s="51">
        <f t="shared" si="21"/>
        <v>0</v>
      </c>
      <c r="AD141" s="44">
        <f t="shared" si="22"/>
        <v>0</v>
      </c>
      <c r="AE141" s="51">
        <f t="shared" si="23"/>
        <v>0</v>
      </c>
    </row>
    <row r="142" spans="1:31">
      <c r="A142" s="60" t="str">
        <f t="shared" si="17"/>
        <v/>
      </c>
      <c r="B142" s="60" t="str">
        <f t="shared" si="18"/>
        <v/>
      </c>
      <c r="V142" s="60" t="str">
        <f t="shared" si="19"/>
        <v/>
      </c>
      <c r="W142" s="60" t="str">
        <f t="shared" si="16"/>
        <v/>
      </c>
      <c r="X142" s="60" t="str">
        <f t="shared" si="20"/>
        <v/>
      </c>
      <c r="AC142" s="51">
        <f t="shared" si="21"/>
        <v>0</v>
      </c>
      <c r="AD142" s="44">
        <f t="shared" si="22"/>
        <v>0</v>
      </c>
      <c r="AE142" s="51">
        <f t="shared" si="23"/>
        <v>0</v>
      </c>
    </row>
    <row r="143" spans="1:31">
      <c r="A143" s="60" t="str">
        <f t="shared" si="17"/>
        <v/>
      </c>
      <c r="B143" s="60" t="str">
        <f t="shared" si="18"/>
        <v/>
      </c>
      <c r="V143" s="60" t="str">
        <f t="shared" si="19"/>
        <v/>
      </c>
      <c r="W143" s="60" t="str">
        <f t="shared" si="16"/>
        <v/>
      </c>
      <c r="X143" s="60" t="str">
        <f t="shared" si="20"/>
        <v/>
      </c>
      <c r="AC143" s="51">
        <f t="shared" si="21"/>
        <v>0</v>
      </c>
      <c r="AD143" s="44">
        <f t="shared" si="22"/>
        <v>0</v>
      </c>
      <c r="AE143" s="51">
        <f t="shared" si="23"/>
        <v>0</v>
      </c>
    </row>
    <row r="144" spans="1:31">
      <c r="A144" s="60" t="str">
        <f t="shared" si="17"/>
        <v/>
      </c>
      <c r="B144" s="60" t="str">
        <f t="shared" si="18"/>
        <v/>
      </c>
      <c r="V144" s="60" t="str">
        <f t="shared" si="19"/>
        <v/>
      </c>
      <c r="W144" s="60" t="str">
        <f t="shared" si="16"/>
        <v/>
      </c>
      <c r="X144" s="60" t="str">
        <f t="shared" si="20"/>
        <v/>
      </c>
      <c r="AC144" s="51">
        <f t="shared" si="21"/>
        <v>0</v>
      </c>
      <c r="AD144" s="44">
        <f t="shared" si="22"/>
        <v>0</v>
      </c>
      <c r="AE144" s="51">
        <f t="shared" si="23"/>
        <v>0</v>
      </c>
    </row>
    <row r="145" spans="1:31">
      <c r="A145" s="60" t="str">
        <f t="shared" si="17"/>
        <v/>
      </c>
      <c r="B145" s="60" t="str">
        <f t="shared" si="18"/>
        <v/>
      </c>
      <c r="V145" s="60" t="str">
        <f t="shared" si="19"/>
        <v/>
      </c>
      <c r="W145" s="60" t="str">
        <f t="shared" si="16"/>
        <v/>
      </c>
      <c r="X145" s="60" t="str">
        <f t="shared" si="20"/>
        <v/>
      </c>
      <c r="AC145" s="51">
        <f t="shared" si="21"/>
        <v>0</v>
      </c>
      <c r="AD145" s="44">
        <f t="shared" si="22"/>
        <v>0</v>
      </c>
      <c r="AE145" s="51">
        <f t="shared" si="23"/>
        <v>0</v>
      </c>
    </row>
    <row r="146" spans="1:31">
      <c r="A146" s="60" t="str">
        <f t="shared" si="17"/>
        <v/>
      </c>
      <c r="B146" s="60" t="str">
        <f t="shared" si="18"/>
        <v/>
      </c>
      <c r="V146" s="60" t="str">
        <f t="shared" si="19"/>
        <v/>
      </c>
      <c r="W146" s="60" t="str">
        <f t="shared" si="16"/>
        <v/>
      </c>
      <c r="X146" s="60" t="str">
        <f t="shared" si="20"/>
        <v/>
      </c>
      <c r="AC146" s="51">
        <f t="shared" si="21"/>
        <v>0</v>
      </c>
      <c r="AD146" s="44">
        <f t="shared" si="22"/>
        <v>0</v>
      </c>
      <c r="AE146" s="51">
        <f t="shared" si="23"/>
        <v>0</v>
      </c>
    </row>
    <row r="147" spans="1:31">
      <c r="A147" s="60" t="str">
        <f t="shared" si="17"/>
        <v/>
      </c>
      <c r="B147" s="60" t="str">
        <f t="shared" si="18"/>
        <v/>
      </c>
      <c r="V147" s="60" t="str">
        <f t="shared" si="19"/>
        <v/>
      </c>
      <c r="W147" s="60" t="str">
        <f t="shared" si="16"/>
        <v/>
      </c>
      <c r="X147" s="60" t="str">
        <f t="shared" si="20"/>
        <v/>
      </c>
      <c r="AC147" s="51">
        <f t="shared" si="21"/>
        <v>0</v>
      </c>
      <c r="AD147" s="44">
        <f t="shared" si="22"/>
        <v>0</v>
      </c>
      <c r="AE147" s="51">
        <f t="shared" si="23"/>
        <v>0</v>
      </c>
    </row>
    <row r="148" spans="1:31">
      <c r="A148" s="60" t="str">
        <f t="shared" si="17"/>
        <v/>
      </c>
      <c r="B148" s="60" t="str">
        <f t="shared" si="18"/>
        <v/>
      </c>
      <c r="V148" s="60" t="str">
        <f t="shared" si="19"/>
        <v/>
      </c>
      <c r="W148" s="60" t="str">
        <f t="shared" si="16"/>
        <v/>
      </c>
      <c r="X148" s="60" t="str">
        <f t="shared" si="20"/>
        <v/>
      </c>
      <c r="AC148" s="51">
        <f t="shared" si="21"/>
        <v>0</v>
      </c>
      <c r="AD148" s="44">
        <f t="shared" si="22"/>
        <v>0</v>
      </c>
      <c r="AE148" s="51">
        <f t="shared" si="23"/>
        <v>0</v>
      </c>
    </row>
    <row r="149" spans="1:31">
      <c r="A149" s="60" t="str">
        <f t="shared" si="17"/>
        <v/>
      </c>
      <c r="B149" s="60" t="str">
        <f t="shared" si="18"/>
        <v/>
      </c>
      <c r="V149" s="60" t="str">
        <f t="shared" si="19"/>
        <v/>
      </c>
      <c r="W149" s="60" t="str">
        <f t="shared" si="16"/>
        <v/>
      </c>
      <c r="X149" s="60" t="str">
        <f t="shared" si="20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7"/>
        <v/>
      </c>
      <c r="B150" s="60" t="str">
        <f t="shared" si="18"/>
        <v/>
      </c>
      <c r="V150" s="60" t="str">
        <f t="shared" si="19"/>
        <v/>
      </c>
      <c r="W150" s="60" t="str">
        <f t="shared" si="16"/>
        <v/>
      </c>
      <c r="X150" s="60" t="str">
        <f t="shared" si="20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7"/>
        <v/>
      </c>
      <c r="B151" s="60" t="str">
        <f t="shared" si="18"/>
        <v/>
      </c>
      <c r="V151" s="60" t="str">
        <f t="shared" si="19"/>
        <v/>
      </c>
      <c r="W151" s="60" t="str">
        <f t="shared" si="16"/>
        <v/>
      </c>
      <c r="X151" s="60" t="str">
        <f t="shared" si="20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7"/>
        <v/>
      </c>
      <c r="B152" s="60" t="str">
        <f t="shared" si="18"/>
        <v/>
      </c>
      <c r="V152" s="60" t="str">
        <f t="shared" si="19"/>
        <v/>
      </c>
      <c r="W152" s="60" t="str">
        <f t="shared" si="16"/>
        <v/>
      </c>
      <c r="X152" s="60" t="str">
        <f t="shared" si="20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7"/>
        <v/>
      </c>
      <c r="B153" s="60" t="str">
        <f t="shared" si="18"/>
        <v/>
      </c>
      <c r="V153" s="60" t="str">
        <f t="shared" si="19"/>
        <v/>
      </c>
      <c r="W153" s="60" t="str">
        <f t="shared" si="16"/>
        <v/>
      </c>
      <c r="X153" s="60" t="str">
        <f t="shared" si="20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7"/>
        <v/>
      </c>
      <c r="B154" s="60" t="str">
        <f t="shared" si="18"/>
        <v/>
      </c>
      <c r="V154" s="60" t="str">
        <f t="shared" si="19"/>
        <v/>
      </c>
      <c r="W154" s="60" t="str">
        <f t="shared" si="16"/>
        <v/>
      </c>
      <c r="X154" s="60" t="str">
        <f t="shared" si="20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48"/>
  <sheetViews>
    <sheetView workbookViewId="0">
      <selection sqref="A1:S48"/>
    </sheetView>
  </sheetViews>
  <sheetFormatPr defaultColWidth="7.85546875" defaultRowHeight="15"/>
  <sheetData>
    <row r="1" spans="1:19">
      <c r="A1" s="144" t="s">
        <v>366</v>
      </c>
      <c r="B1" s="144" t="s">
        <v>367</v>
      </c>
      <c r="C1" s="144" t="s">
        <v>368</v>
      </c>
      <c r="D1" s="144" t="s">
        <v>369</v>
      </c>
      <c r="E1" s="144" t="s">
        <v>370</v>
      </c>
      <c r="F1" s="144" t="s">
        <v>371</v>
      </c>
      <c r="G1" s="144" t="s">
        <v>372</v>
      </c>
      <c r="H1" s="144" t="s">
        <v>373</v>
      </c>
      <c r="I1" s="144" t="s">
        <v>374</v>
      </c>
      <c r="J1" s="144" t="s">
        <v>375</v>
      </c>
      <c r="K1" s="144" t="s">
        <v>840</v>
      </c>
      <c r="L1" s="144" t="s">
        <v>841</v>
      </c>
      <c r="M1" s="144" t="s">
        <v>376</v>
      </c>
      <c r="N1" s="144" t="s">
        <v>377</v>
      </c>
      <c r="O1" s="144" t="s">
        <v>378</v>
      </c>
      <c r="P1" s="144" t="s">
        <v>379</v>
      </c>
      <c r="Q1" s="144" t="s">
        <v>380</v>
      </c>
      <c r="R1" s="144" t="s">
        <v>381</v>
      </c>
      <c r="S1" s="144" t="s">
        <v>842</v>
      </c>
    </row>
    <row r="2" spans="1:19">
      <c r="A2" s="145" t="s">
        <v>917</v>
      </c>
      <c r="B2" s="145" t="s">
        <v>918</v>
      </c>
      <c r="C2" s="145" t="s">
        <v>909</v>
      </c>
      <c r="D2" s="146">
        <v>0</v>
      </c>
      <c r="E2" s="145" t="s">
        <v>919</v>
      </c>
      <c r="F2" s="145" t="s">
        <v>217</v>
      </c>
      <c r="G2" s="145" t="s">
        <v>910</v>
      </c>
      <c r="H2" s="145" t="s">
        <v>327</v>
      </c>
      <c r="I2" s="145" t="s">
        <v>382</v>
      </c>
      <c r="J2" s="145" t="s">
        <v>887</v>
      </c>
      <c r="K2" s="145" t="s">
        <v>911</v>
      </c>
      <c r="L2" s="145" t="s">
        <v>912</v>
      </c>
      <c r="M2" s="145" t="s">
        <v>388</v>
      </c>
      <c r="N2" s="145" t="s">
        <v>43</v>
      </c>
      <c r="O2" s="145" t="s">
        <v>541</v>
      </c>
      <c r="P2" s="145" t="s">
        <v>920</v>
      </c>
      <c r="Q2" s="145" t="s">
        <v>921</v>
      </c>
      <c r="R2" s="145" t="s">
        <v>86</v>
      </c>
      <c r="S2" s="145"/>
    </row>
    <row r="3" spans="1:19">
      <c r="A3" s="145" t="s">
        <v>922</v>
      </c>
      <c r="B3" s="145" t="s">
        <v>923</v>
      </c>
      <c r="C3" s="145" t="s">
        <v>909</v>
      </c>
      <c r="D3" s="146">
        <v>0</v>
      </c>
      <c r="E3" s="145" t="s">
        <v>924</v>
      </c>
      <c r="F3" s="145" t="s">
        <v>244</v>
      </c>
      <c r="G3" s="145" t="s">
        <v>916</v>
      </c>
      <c r="H3" s="145" t="s">
        <v>327</v>
      </c>
      <c r="I3" s="145" t="s">
        <v>387</v>
      </c>
      <c r="J3" s="145" t="s">
        <v>887</v>
      </c>
      <c r="K3" s="145" t="s">
        <v>911</v>
      </c>
      <c r="L3" s="145" t="s">
        <v>912</v>
      </c>
      <c r="M3" s="145" t="s">
        <v>388</v>
      </c>
      <c r="N3" s="145"/>
      <c r="O3" s="145" t="s">
        <v>386</v>
      </c>
      <c r="P3" s="145" t="s">
        <v>920</v>
      </c>
      <c r="Q3" s="145" t="s">
        <v>925</v>
      </c>
      <c r="R3" s="145" t="s">
        <v>83</v>
      </c>
      <c r="S3" s="145"/>
    </row>
    <row r="4" spans="1:19">
      <c r="A4" s="145" t="s">
        <v>926</v>
      </c>
      <c r="B4" s="145" t="s">
        <v>927</v>
      </c>
      <c r="C4" s="145" t="s">
        <v>909</v>
      </c>
      <c r="D4" s="146">
        <v>0</v>
      </c>
      <c r="E4" s="145" t="s">
        <v>928</v>
      </c>
      <c r="F4" s="145" t="s">
        <v>195</v>
      </c>
      <c r="G4" s="145" t="s">
        <v>910</v>
      </c>
      <c r="H4" s="145" t="s">
        <v>356</v>
      </c>
      <c r="I4" s="145" t="s">
        <v>382</v>
      </c>
      <c r="J4" s="145" t="s">
        <v>887</v>
      </c>
      <c r="K4" s="145" t="s">
        <v>911</v>
      </c>
      <c r="L4" s="145" t="s">
        <v>914</v>
      </c>
      <c r="M4" s="145" t="s">
        <v>388</v>
      </c>
      <c r="N4" s="145" t="s">
        <v>43</v>
      </c>
      <c r="O4" s="145" t="s">
        <v>541</v>
      </c>
      <c r="P4" s="145" t="s">
        <v>920</v>
      </c>
      <c r="Q4" s="145" t="s">
        <v>929</v>
      </c>
      <c r="R4" s="145" t="s">
        <v>195</v>
      </c>
      <c r="S4" s="145"/>
    </row>
    <row r="5" spans="1:19">
      <c r="A5" s="145" t="s">
        <v>930</v>
      </c>
      <c r="B5" s="145" t="s">
        <v>931</v>
      </c>
      <c r="C5" s="145" t="s">
        <v>909</v>
      </c>
      <c r="D5" s="146">
        <v>0</v>
      </c>
      <c r="E5" s="145" t="s">
        <v>932</v>
      </c>
      <c r="F5" s="145" t="s">
        <v>307</v>
      </c>
      <c r="G5" s="145" t="s">
        <v>910</v>
      </c>
      <c r="H5" s="145" t="s">
        <v>327</v>
      </c>
      <c r="I5" s="145" t="s">
        <v>387</v>
      </c>
      <c r="J5" s="145" t="s">
        <v>887</v>
      </c>
      <c r="K5" s="145" t="s">
        <v>911</v>
      </c>
      <c r="L5" s="145" t="s">
        <v>912</v>
      </c>
      <c r="M5" s="145" t="s">
        <v>388</v>
      </c>
      <c r="N5" s="145" t="s">
        <v>43</v>
      </c>
      <c r="O5" s="145" t="s">
        <v>541</v>
      </c>
      <c r="P5" s="145" t="s">
        <v>920</v>
      </c>
      <c r="Q5" s="145" t="s">
        <v>933</v>
      </c>
      <c r="R5" s="145" t="s">
        <v>53</v>
      </c>
      <c r="S5" s="145"/>
    </row>
    <row r="6" spans="1:19">
      <c r="A6" s="145" t="s">
        <v>934</v>
      </c>
      <c r="B6" s="145" t="s">
        <v>935</v>
      </c>
      <c r="C6" s="145" t="s">
        <v>909</v>
      </c>
      <c r="D6" s="146">
        <v>0</v>
      </c>
      <c r="E6" s="145" t="s">
        <v>936</v>
      </c>
      <c r="F6" s="145" t="s">
        <v>231</v>
      </c>
      <c r="G6" s="145" t="s">
        <v>910</v>
      </c>
      <c r="H6" s="145" t="s">
        <v>327</v>
      </c>
      <c r="I6" s="145" t="s">
        <v>387</v>
      </c>
      <c r="J6" s="145" t="s">
        <v>887</v>
      </c>
      <c r="K6" s="145" t="s">
        <v>911</v>
      </c>
      <c r="L6" s="145" t="s">
        <v>914</v>
      </c>
      <c r="M6" s="145" t="s">
        <v>388</v>
      </c>
      <c r="N6" s="145" t="s">
        <v>43</v>
      </c>
      <c r="O6" s="145" t="s">
        <v>541</v>
      </c>
      <c r="P6" s="145" t="s">
        <v>920</v>
      </c>
      <c r="Q6" s="145" t="s">
        <v>937</v>
      </c>
      <c r="R6" s="145" t="s">
        <v>83</v>
      </c>
      <c r="S6" s="145"/>
    </row>
    <row r="7" spans="1:19">
      <c r="A7" s="145" t="s">
        <v>938</v>
      </c>
      <c r="B7" s="145" t="s">
        <v>939</v>
      </c>
      <c r="C7" s="145" t="s">
        <v>909</v>
      </c>
      <c r="D7" s="146">
        <v>0</v>
      </c>
      <c r="E7" s="145" t="s">
        <v>940</v>
      </c>
      <c r="F7" s="145" t="s">
        <v>199</v>
      </c>
      <c r="G7" s="145" t="s">
        <v>910</v>
      </c>
      <c r="H7" s="145" t="s">
        <v>356</v>
      </c>
      <c r="I7" s="145" t="s">
        <v>382</v>
      </c>
      <c r="J7" s="145" t="s">
        <v>887</v>
      </c>
      <c r="K7" s="145" t="s">
        <v>911</v>
      </c>
      <c r="L7" s="145" t="s">
        <v>914</v>
      </c>
      <c r="M7" s="145" t="s">
        <v>388</v>
      </c>
      <c r="N7" s="145" t="s">
        <v>43</v>
      </c>
      <c r="O7" s="145" t="s">
        <v>541</v>
      </c>
      <c r="P7" s="145" t="s">
        <v>920</v>
      </c>
      <c r="Q7" s="145" t="s">
        <v>941</v>
      </c>
      <c r="R7" s="145" t="s">
        <v>199</v>
      </c>
      <c r="S7" s="145"/>
    </row>
    <row r="8" spans="1:19">
      <c r="A8" s="145" t="s">
        <v>942</v>
      </c>
      <c r="B8" s="145" t="s">
        <v>943</v>
      </c>
      <c r="C8" s="145" t="s">
        <v>909</v>
      </c>
      <c r="D8" s="146">
        <v>0</v>
      </c>
      <c r="E8" s="145" t="s">
        <v>944</v>
      </c>
      <c r="F8" s="145" t="s">
        <v>71</v>
      </c>
      <c r="G8" s="145" t="s">
        <v>910</v>
      </c>
      <c r="H8" s="145" t="s">
        <v>356</v>
      </c>
      <c r="I8" s="145" t="s">
        <v>382</v>
      </c>
      <c r="J8" s="145" t="s">
        <v>887</v>
      </c>
      <c r="K8" s="145" t="s">
        <v>911</v>
      </c>
      <c r="L8" s="145" t="s">
        <v>914</v>
      </c>
      <c r="M8" s="145" t="s">
        <v>388</v>
      </c>
      <c r="N8" s="145" t="s">
        <v>43</v>
      </c>
      <c r="O8" s="145" t="s">
        <v>541</v>
      </c>
      <c r="P8" s="145" t="s">
        <v>920</v>
      </c>
      <c r="Q8" s="145" t="s">
        <v>945</v>
      </c>
      <c r="R8" s="145" t="s">
        <v>71</v>
      </c>
      <c r="S8" s="145"/>
    </row>
    <row r="9" spans="1:19">
      <c r="A9" s="145" t="s">
        <v>946</v>
      </c>
      <c r="B9" s="145" t="s">
        <v>947</v>
      </c>
      <c r="C9" s="145" t="s">
        <v>909</v>
      </c>
      <c r="D9" s="146">
        <v>0</v>
      </c>
      <c r="E9" s="145" t="s">
        <v>948</v>
      </c>
      <c r="F9" s="145" t="s">
        <v>53</v>
      </c>
      <c r="G9" s="145" t="s">
        <v>916</v>
      </c>
      <c r="H9" s="145" t="s">
        <v>327</v>
      </c>
      <c r="I9" s="145" t="s">
        <v>382</v>
      </c>
      <c r="J9" s="145" t="s">
        <v>887</v>
      </c>
      <c r="K9" s="145" t="s">
        <v>911</v>
      </c>
      <c r="L9" s="145" t="s">
        <v>914</v>
      </c>
      <c r="M9" s="145" t="s">
        <v>388</v>
      </c>
      <c r="N9" s="145"/>
      <c r="O9" s="145" t="s">
        <v>541</v>
      </c>
      <c r="P9" s="145" t="s">
        <v>920</v>
      </c>
      <c r="Q9" s="145" t="s">
        <v>949</v>
      </c>
      <c r="R9" s="145" t="s">
        <v>53</v>
      </c>
      <c r="S9" s="145"/>
    </row>
    <row r="10" spans="1:19">
      <c r="A10" s="145" t="s">
        <v>950</v>
      </c>
      <c r="B10" s="145" t="s">
        <v>951</v>
      </c>
      <c r="C10" s="145" t="s">
        <v>909</v>
      </c>
      <c r="D10" s="146">
        <v>0</v>
      </c>
      <c r="E10" s="145" t="s">
        <v>952</v>
      </c>
      <c r="F10" s="145" t="s">
        <v>120</v>
      </c>
      <c r="G10" s="145" t="s">
        <v>910</v>
      </c>
      <c r="H10" s="145" t="s">
        <v>327</v>
      </c>
      <c r="I10" s="145" t="s">
        <v>387</v>
      </c>
      <c r="J10" s="145" t="s">
        <v>887</v>
      </c>
      <c r="K10" s="145" t="s">
        <v>911</v>
      </c>
      <c r="L10" s="145" t="s">
        <v>914</v>
      </c>
      <c r="M10" s="145" t="s">
        <v>388</v>
      </c>
      <c r="N10" s="145" t="s">
        <v>43</v>
      </c>
      <c r="O10" s="145" t="s">
        <v>541</v>
      </c>
      <c r="P10" s="145" t="s">
        <v>920</v>
      </c>
      <c r="Q10" s="145" t="s">
        <v>937</v>
      </c>
      <c r="R10" s="145" t="s">
        <v>91</v>
      </c>
      <c r="S10" s="145"/>
    </row>
    <row r="11" spans="1:19">
      <c r="A11" s="145" t="s">
        <v>953</v>
      </c>
      <c r="B11" s="145" t="s">
        <v>954</v>
      </c>
      <c r="C11" s="145" t="s">
        <v>909</v>
      </c>
      <c r="D11" s="146">
        <v>0</v>
      </c>
      <c r="E11" s="145" t="s">
        <v>955</v>
      </c>
      <c r="F11" s="145" t="s">
        <v>55</v>
      </c>
      <c r="G11" s="145" t="s">
        <v>916</v>
      </c>
      <c r="H11" s="145" t="s">
        <v>327</v>
      </c>
      <c r="I11" s="145" t="s">
        <v>382</v>
      </c>
      <c r="J11" s="145" t="s">
        <v>887</v>
      </c>
      <c r="K11" s="145" t="s">
        <v>911</v>
      </c>
      <c r="L11" s="145" t="s">
        <v>912</v>
      </c>
      <c r="M11" s="145" t="s">
        <v>388</v>
      </c>
      <c r="N11" s="145"/>
      <c r="O11" s="145" t="s">
        <v>541</v>
      </c>
      <c r="P11" s="145" t="s">
        <v>920</v>
      </c>
      <c r="Q11" s="145" t="s">
        <v>956</v>
      </c>
      <c r="R11" s="145" t="s">
        <v>71</v>
      </c>
      <c r="S11" s="145"/>
    </row>
    <row r="12" spans="1:19">
      <c r="A12" s="145" t="s">
        <v>957</v>
      </c>
      <c r="B12" s="145" t="s">
        <v>958</v>
      </c>
      <c r="C12" s="145" t="s">
        <v>909</v>
      </c>
      <c r="D12" s="146">
        <v>0</v>
      </c>
      <c r="E12" s="145" t="s">
        <v>959</v>
      </c>
      <c r="F12" s="145" t="s">
        <v>301</v>
      </c>
      <c r="G12" s="145" t="s">
        <v>910</v>
      </c>
      <c r="H12" s="145" t="s">
        <v>327</v>
      </c>
      <c r="I12" s="145" t="s">
        <v>382</v>
      </c>
      <c r="J12" s="145" t="s">
        <v>887</v>
      </c>
      <c r="K12" s="145" t="s">
        <v>911</v>
      </c>
      <c r="L12" s="145" t="s">
        <v>914</v>
      </c>
      <c r="M12" s="145" t="s">
        <v>388</v>
      </c>
      <c r="N12" s="145" t="s">
        <v>43</v>
      </c>
      <c r="O12" s="145" t="s">
        <v>541</v>
      </c>
      <c r="P12" s="145" t="s">
        <v>920</v>
      </c>
      <c r="Q12" s="145" t="s">
        <v>960</v>
      </c>
      <c r="R12" s="145" t="s">
        <v>53</v>
      </c>
      <c r="S12" s="145"/>
    </row>
    <row r="13" spans="1:19">
      <c r="A13" s="145" t="s">
        <v>961</v>
      </c>
      <c r="B13" s="145" t="s">
        <v>962</v>
      </c>
      <c r="C13" s="145" t="s">
        <v>909</v>
      </c>
      <c r="D13" s="146">
        <v>0</v>
      </c>
      <c r="E13" s="145" t="s">
        <v>963</v>
      </c>
      <c r="F13" s="145" t="s">
        <v>71</v>
      </c>
      <c r="G13" s="145" t="s">
        <v>910</v>
      </c>
      <c r="H13" s="145" t="s">
        <v>327</v>
      </c>
      <c r="I13" s="145" t="s">
        <v>382</v>
      </c>
      <c r="J13" s="145" t="s">
        <v>887</v>
      </c>
      <c r="K13" s="145" t="s">
        <v>911</v>
      </c>
      <c r="L13" s="145" t="s">
        <v>912</v>
      </c>
      <c r="M13" s="145" t="s">
        <v>388</v>
      </c>
      <c r="N13" s="145" t="s">
        <v>43</v>
      </c>
      <c r="O13" s="145" t="s">
        <v>541</v>
      </c>
      <c r="P13" s="145" t="s">
        <v>920</v>
      </c>
      <c r="Q13" s="145" t="s">
        <v>945</v>
      </c>
      <c r="R13" s="145" t="s">
        <v>71</v>
      </c>
      <c r="S13" s="145"/>
    </row>
    <row r="14" spans="1:19">
      <c r="A14" s="145" t="s">
        <v>964</v>
      </c>
      <c r="B14" s="145" t="s">
        <v>965</v>
      </c>
      <c r="C14" s="145" t="s">
        <v>966</v>
      </c>
      <c r="D14" s="147">
        <v>58</v>
      </c>
      <c r="E14" s="145" t="s">
        <v>967</v>
      </c>
      <c r="F14" s="145" t="s">
        <v>71</v>
      </c>
      <c r="G14" s="145" t="s">
        <v>910</v>
      </c>
      <c r="H14" s="145" t="s">
        <v>783</v>
      </c>
      <c r="I14" s="145" t="s">
        <v>382</v>
      </c>
      <c r="J14" s="145" t="s">
        <v>887</v>
      </c>
      <c r="K14" s="145" t="s">
        <v>911</v>
      </c>
      <c r="L14" s="145" t="s">
        <v>912</v>
      </c>
      <c r="M14" s="145" t="s">
        <v>388</v>
      </c>
      <c r="N14" s="145" t="s">
        <v>43</v>
      </c>
      <c r="O14" s="145" t="s">
        <v>541</v>
      </c>
      <c r="P14" s="145" t="s">
        <v>920</v>
      </c>
      <c r="Q14" s="145" t="s">
        <v>968</v>
      </c>
      <c r="R14" s="145" t="s">
        <v>71</v>
      </c>
      <c r="S14" s="145"/>
    </row>
    <row r="15" spans="1:19">
      <c r="A15" s="145" t="s">
        <v>969</v>
      </c>
      <c r="B15" s="145" t="s">
        <v>965</v>
      </c>
      <c r="C15" s="145" t="s">
        <v>970</v>
      </c>
      <c r="D15" s="147">
        <v>56</v>
      </c>
      <c r="E15" s="145" t="s">
        <v>967</v>
      </c>
      <c r="F15" s="145" t="s">
        <v>71</v>
      </c>
      <c r="G15" s="145" t="s">
        <v>910</v>
      </c>
      <c r="H15" s="145" t="s">
        <v>783</v>
      </c>
      <c r="I15" s="145" t="s">
        <v>382</v>
      </c>
      <c r="J15" s="145" t="s">
        <v>887</v>
      </c>
      <c r="K15" s="145" t="s">
        <v>911</v>
      </c>
      <c r="L15" s="145" t="s">
        <v>912</v>
      </c>
      <c r="M15" s="145" t="s">
        <v>388</v>
      </c>
      <c r="N15" s="145" t="s">
        <v>43</v>
      </c>
      <c r="O15" s="145" t="s">
        <v>541</v>
      </c>
      <c r="P15" s="145" t="s">
        <v>920</v>
      </c>
      <c r="Q15" s="145" t="s">
        <v>968</v>
      </c>
      <c r="R15" s="145" t="s">
        <v>71</v>
      </c>
      <c r="S15" s="145"/>
    </row>
    <row r="16" spans="1:19">
      <c r="A16" s="145" t="s">
        <v>971</v>
      </c>
      <c r="B16" s="145" t="s">
        <v>972</v>
      </c>
      <c r="C16" s="145" t="s">
        <v>909</v>
      </c>
      <c r="D16" s="146">
        <v>0</v>
      </c>
      <c r="E16" s="145" t="s">
        <v>973</v>
      </c>
      <c r="F16" s="145" t="s">
        <v>53</v>
      </c>
      <c r="G16" s="145" t="s">
        <v>910</v>
      </c>
      <c r="H16" s="145" t="s">
        <v>327</v>
      </c>
      <c r="I16" s="145" t="s">
        <v>382</v>
      </c>
      <c r="J16" s="145" t="s">
        <v>887</v>
      </c>
      <c r="K16" s="145" t="s">
        <v>911</v>
      </c>
      <c r="L16" s="145" t="s">
        <v>912</v>
      </c>
      <c r="M16" s="145" t="s">
        <v>388</v>
      </c>
      <c r="N16" s="145" t="s">
        <v>43</v>
      </c>
      <c r="O16" s="145" t="s">
        <v>386</v>
      </c>
      <c r="P16" s="145" t="s">
        <v>920</v>
      </c>
      <c r="Q16" s="145" t="s">
        <v>974</v>
      </c>
      <c r="R16" s="145" t="s">
        <v>53</v>
      </c>
      <c r="S16" s="145" t="s">
        <v>913</v>
      </c>
    </row>
    <row r="17" spans="1:19">
      <c r="A17" s="145" t="s">
        <v>975</v>
      </c>
      <c r="B17" s="145" t="s">
        <v>976</v>
      </c>
      <c r="C17" s="145" t="s">
        <v>909</v>
      </c>
      <c r="D17" s="146">
        <v>0</v>
      </c>
      <c r="E17" s="145" t="s">
        <v>977</v>
      </c>
      <c r="F17" s="145" t="s">
        <v>53</v>
      </c>
      <c r="G17" s="145" t="s">
        <v>910</v>
      </c>
      <c r="H17" s="145" t="s">
        <v>356</v>
      </c>
      <c r="I17" s="145" t="s">
        <v>382</v>
      </c>
      <c r="J17" s="145" t="s">
        <v>887</v>
      </c>
      <c r="K17" s="145" t="s">
        <v>911</v>
      </c>
      <c r="L17" s="145" t="s">
        <v>914</v>
      </c>
      <c r="M17" s="145" t="s">
        <v>388</v>
      </c>
      <c r="N17" s="145" t="s">
        <v>43</v>
      </c>
      <c r="O17" s="145" t="s">
        <v>386</v>
      </c>
      <c r="P17" s="145" t="s">
        <v>920</v>
      </c>
      <c r="Q17" s="145" t="s">
        <v>949</v>
      </c>
      <c r="R17" s="145" t="s">
        <v>53</v>
      </c>
      <c r="S17" s="145" t="s">
        <v>913</v>
      </c>
    </row>
    <row r="18" spans="1:19">
      <c r="A18" s="145" t="s">
        <v>978</v>
      </c>
      <c r="B18" s="145" t="s">
        <v>979</v>
      </c>
      <c r="C18" s="145" t="s">
        <v>909</v>
      </c>
      <c r="D18" s="146">
        <v>0</v>
      </c>
      <c r="E18" s="145" t="s">
        <v>980</v>
      </c>
      <c r="F18" s="145" t="s">
        <v>195</v>
      </c>
      <c r="G18" s="145" t="s">
        <v>910</v>
      </c>
      <c r="H18" s="145" t="s">
        <v>327</v>
      </c>
      <c r="I18" s="145" t="s">
        <v>382</v>
      </c>
      <c r="J18" s="145" t="s">
        <v>887</v>
      </c>
      <c r="K18" s="145" t="s">
        <v>911</v>
      </c>
      <c r="L18" s="145" t="s">
        <v>914</v>
      </c>
      <c r="M18" s="145" t="s">
        <v>388</v>
      </c>
      <c r="N18" s="145" t="s">
        <v>43</v>
      </c>
      <c r="O18" s="145" t="s">
        <v>386</v>
      </c>
      <c r="P18" s="145" t="s">
        <v>920</v>
      </c>
      <c r="Q18" s="145" t="s">
        <v>929</v>
      </c>
      <c r="R18" s="145" t="s">
        <v>195</v>
      </c>
      <c r="S18" s="145" t="s">
        <v>913</v>
      </c>
    </row>
    <row r="19" spans="1:19">
      <c r="A19" s="145" t="s">
        <v>981</v>
      </c>
      <c r="B19" s="145" t="s">
        <v>982</v>
      </c>
      <c r="C19" s="145" t="s">
        <v>909</v>
      </c>
      <c r="D19" s="146">
        <v>0</v>
      </c>
      <c r="E19" s="145" t="s">
        <v>983</v>
      </c>
      <c r="F19" s="145" t="s">
        <v>68</v>
      </c>
      <c r="G19" s="145" t="s">
        <v>910</v>
      </c>
      <c r="H19" s="145" t="s">
        <v>327</v>
      </c>
      <c r="I19" s="145" t="s">
        <v>382</v>
      </c>
      <c r="J19" s="145" t="s">
        <v>887</v>
      </c>
      <c r="K19" s="145" t="s">
        <v>911</v>
      </c>
      <c r="L19" s="145" t="s">
        <v>914</v>
      </c>
      <c r="M19" s="145" t="s">
        <v>388</v>
      </c>
      <c r="N19" s="145" t="s">
        <v>43</v>
      </c>
      <c r="O19" s="145" t="s">
        <v>386</v>
      </c>
      <c r="P19" s="145" t="s">
        <v>920</v>
      </c>
      <c r="Q19" s="145" t="s">
        <v>984</v>
      </c>
      <c r="R19" s="145" t="s">
        <v>68</v>
      </c>
      <c r="S19" s="145" t="s">
        <v>913</v>
      </c>
    </row>
    <row r="20" spans="1:19">
      <c r="A20" s="145" t="s">
        <v>985</v>
      </c>
      <c r="B20" s="145" t="s">
        <v>986</v>
      </c>
      <c r="C20" s="145" t="s">
        <v>909</v>
      </c>
      <c r="D20" s="146">
        <v>0</v>
      </c>
      <c r="E20" s="145" t="s">
        <v>987</v>
      </c>
      <c r="F20" s="145" t="s">
        <v>53</v>
      </c>
      <c r="G20" s="145" t="s">
        <v>910</v>
      </c>
      <c r="H20" s="145" t="s">
        <v>356</v>
      </c>
      <c r="I20" s="145" t="s">
        <v>382</v>
      </c>
      <c r="J20" s="145" t="s">
        <v>887</v>
      </c>
      <c r="K20" s="145" t="s">
        <v>988</v>
      </c>
      <c r="L20" s="145" t="s">
        <v>989</v>
      </c>
      <c r="M20" s="145" t="s">
        <v>388</v>
      </c>
      <c r="N20" s="145" t="s">
        <v>43</v>
      </c>
      <c r="O20" s="145" t="s">
        <v>386</v>
      </c>
      <c r="P20" s="145" t="s">
        <v>920</v>
      </c>
      <c r="Q20" s="145" t="s">
        <v>990</v>
      </c>
      <c r="R20" s="145" t="s">
        <v>53</v>
      </c>
      <c r="S20" s="145" t="s">
        <v>913</v>
      </c>
    </row>
    <row r="21" spans="1:19">
      <c r="A21" s="145" t="s">
        <v>991</v>
      </c>
      <c r="B21" s="145" t="s">
        <v>992</v>
      </c>
      <c r="C21" s="145" t="s">
        <v>909</v>
      </c>
      <c r="D21" s="146">
        <v>0</v>
      </c>
      <c r="E21" s="145" t="s">
        <v>993</v>
      </c>
      <c r="F21" s="145" t="s">
        <v>53</v>
      </c>
      <c r="G21" s="145" t="s">
        <v>910</v>
      </c>
      <c r="H21" s="145" t="s">
        <v>356</v>
      </c>
      <c r="I21" s="145" t="s">
        <v>382</v>
      </c>
      <c r="J21" s="145" t="s">
        <v>887</v>
      </c>
      <c r="K21" s="145" t="s">
        <v>988</v>
      </c>
      <c r="L21" s="145" t="s">
        <v>994</v>
      </c>
      <c r="M21" s="145" t="s">
        <v>388</v>
      </c>
      <c r="N21" s="145" t="s">
        <v>43</v>
      </c>
      <c r="O21" s="145" t="s">
        <v>386</v>
      </c>
      <c r="P21" s="145" t="s">
        <v>920</v>
      </c>
      <c r="Q21" s="145" t="s">
        <v>990</v>
      </c>
      <c r="R21" s="145" t="s">
        <v>53</v>
      </c>
      <c r="S21" s="145" t="s">
        <v>913</v>
      </c>
    </row>
    <row r="22" spans="1:19">
      <c r="A22" s="145" t="s">
        <v>995</v>
      </c>
      <c r="B22" s="145" t="s">
        <v>996</v>
      </c>
      <c r="C22" s="145" t="s">
        <v>909</v>
      </c>
      <c r="D22" s="146">
        <v>0</v>
      </c>
      <c r="E22" s="145" t="s">
        <v>997</v>
      </c>
      <c r="F22" s="145" t="s">
        <v>78</v>
      </c>
      <c r="G22" s="145" t="s">
        <v>910</v>
      </c>
      <c r="H22" s="145" t="s">
        <v>327</v>
      </c>
      <c r="I22" s="145" t="s">
        <v>382</v>
      </c>
      <c r="J22" s="145" t="s">
        <v>887</v>
      </c>
      <c r="K22" s="145" t="s">
        <v>911</v>
      </c>
      <c r="L22" s="145" t="s">
        <v>914</v>
      </c>
      <c r="M22" s="145" t="s">
        <v>388</v>
      </c>
      <c r="N22" s="145" t="s">
        <v>43</v>
      </c>
      <c r="O22" s="145" t="s">
        <v>386</v>
      </c>
      <c r="P22" s="145" t="s">
        <v>920</v>
      </c>
      <c r="Q22" s="145" t="s">
        <v>998</v>
      </c>
      <c r="R22" s="145" t="s">
        <v>78</v>
      </c>
      <c r="S22" s="145" t="s">
        <v>913</v>
      </c>
    </row>
    <row r="23" spans="1:19">
      <c r="A23" s="145" t="s">
        <v>999</v>
      </c>
      <c r="B23" s="145" t="s">
        <v>1000</v>
      </c>
      <c r="C23" s="145" t="s">
        <v>909</v>
      </c>
      <c r="D23" s="146">
        <v>0</v>
      </c>
      <c r="E23" s="145" t="s">
        <v>1001</v>
      </c>
      <c r="F23" s="145" t="s">
        <v>53</v>
      </c>
      <c r="G23" s="145" t="s">
        <v>910</v>
      </c>
      <c r="H23" s="145" t="s">
        <v>356</v>
      </c>
      <c r="I23" s="145" t="s">
        <v>382</v>
      </c>
      <c r="J23" s="145" t="s">
        <v>887</v>
      </c>
      <c r="K23" s="145" t="s">
        <v>911</v>
      </c>
      <c r="L23" s="145" t="s">
        <v>915</v>
      </c>
      <c r="M23" s="145" t="s">
        <v>388</v>
      </c>
      <c r="N23" s="145" t="s">
        <v>43</v>
      </c>
      <c r="O23" s="145" t="s">
        <v>541</v>
      </c>
      <c r="P23" s="145" t="s">
        <v>920</v>
      </c>
      <c r="Q23" s="145" t="s">
        <v>949</v>
      </c>
      <c r="R23" s="145" t="s">
        <v>53</v>
      </c>
      <c r="S23" s="145" t="s">
        <v>913</v>
      </c>
    </row>
    <row r="24" spans="1:19">
      <c r="A24" s="145" t="s">
        <v>1002</v>
      </c>
      <c r="B24" s="145" t="s">
        <v>1003</v>
      </c>
      <c r="C24" s="145" t="s">
        <v>909</v>
      </c>
      <c r="D24" s="146">
        <v>0</v>
      </c>
      <c r="E24" s="145" t="s">
        <v>1004</v>
      </c>
      <c r="F24" s="145" t="s">
        <v>1005</v>
      </c>
      <c r="G24" s="145" t="s">
        <v>910</v>
      </c>
      <c r="H24" s="145" t="s">
        <v>327</v>
      </c>
      <c r="I24" s="145" t="s">
        <v>387</v>
      </c>
      <c r="J24" s="145" t="s">
        <v>887</v>
      </c>
      <c r="K24" s="145" t="s">
        <v>911</v>
      </c>
      <c r="L24" s="145" t="s">
        <v>914</v>
      </c>
      <c r="M24" s="145" t="s">
        <v>388</v>
      </c>
      <c r="N24" s="145" t="s">
        <v>43</v>
      </c>
      <c r="O24" s="145" t="s">
        <v>541</v>
      </c>
      <c r="P24" s="145" t="s">
        <v>920</v>
      </c>
      <c r="Q24" s="145" t="s">
        <v>937</v>
      </c>
      <c r="R24" s="145" t="s">
        <v>68</v>
      </c>
      <c r="S24" s="145" t="s">
        <v>913</v>
      </c>
    </row>
    <row r="25" spans="1:19">
      <c r="A25" s="145" t="s">
        <v>1006</v>
      </c>
      <c r="B25" s="145" t="s">
        <v>1007</v>
      </c>
      <c r="C25" s="145" t="s">
        <v>909</v>
      </c>
      <c r="D25" s="146">
        <v>0</v>
      </c>
      <c r="E25" s="145" t="s">
        <v>1008</v>
      </c>
      <c r="F25" s="145" t="s">
        <v>1009</v>
      </c>
      <c r="G25" s="145" t="s">
        <v>910</v>
      </c>
      <c r="H25" s="145" t="s">
        <v>327</v>
      </c>
      <c r="I25" s="145" t="s">
        <v>387</v>
      </c>
      <c r="J25" s="145" t="s">
        <v>887</v>
      </c>
      <c r="K25" s="145" t="s">
        <v>911</v>
      </c>
      <c r="L25" s="145" t="s">
        <v>914</v>
      </c>
      <c r="M25" s="145" t="s">
        <v>388</v>
      </c>
      <c r="N25" s="145" t="s">
        <v>43</v>
      </c>
      <c r="O25" s="145" t="s">
        <v>541</v>
      </c>
      <c r="P25" s="145" t="s">
        <v>920</v>
      </c>
      <c r="Q25" s="145" t="s">
        <v>937</v>
      </c>
      <c r="R25" s="145" t="s">
        <v>286</v>
      </c>
      <c r="S25" s="145" t="s">
        <v>913</v>
      </c>
    </row>
    <row r="26" spans="1:19">
      <c r="A26" s="145" t="s">
        <v>1010</v>
      </c>
      <c r="B26" s="145" t="s">
        <v>1011</v>
      </c>
      <c r="C26" s="145" t="s">
        <v>909</v>
      </c>
      <c r="D26" s="146">
        <v>0</v>
      </c>
      <c r="E26" s="145" t="s">
        <v>1012</v>
      </c>
      <c r="F26" s="145" t="s">
        <v>293</v>
      </c>
      <c r="G26" s="145" t="s">
        <v>916</v>
      </c>
      <c r="H26" s="145" t="s">
        <v>327</v>
      </c>
      <c r="I26" s="145" t="s">
        <v>382</v>
      </c>
      <c r="J26" s="145" t="s">
        <v>887</v>
      </c>
      <c r="K26" s="145" t="s">
        <v>911</v>
      </c>
      <c r="L26" s="145" t="s">
        <v>912</v>
      </c>
      <c r="M26" s="145" t="s">
        <v>388</v>
      </c>
      <c r="N26" s="145"/>
      <c r="O26" s="145" t="s">
        <v>386</v>
      </c>
      <c r="P26" s="145" t="s">
        <v>920</v>
      </c>
      <c r="Q26" s="145" t="s">
        <v>949</v>
      </c>
      <c r="R26" s="145" t="s">
        <v>53</v>
      </c>
      <c r="S26" s="145" t="s">
        <v>913</v>
      </c>
    </row>
    <row r="27" spans="1:19">
      <c r="A27" s="145" t="s">
        <v>1013</v>
      </c>
      <c r="B27" s="145" t="s">
        <v>1014</v>
      </c>
      <c r="C27" s="145" t="s">
        <v>909</v>
      </c>
      <c r="D27" s="146">
        <v>0</v>
      </c>
      <c r="E27" s="145" t="s">
        <v>1015</v>
      </c>
      <c r="F27" s="145" t="s">
        <v>293</v>
      </c>
      <c r="G27" s="145" t="s">
        <v>916</v>
      </c>
      <c r="H27" s="145" t="s">
        <v>327</v>
      </c>
      <c r="I27" s="145" t="s">
        <v>382</v>
      </c>
      <c r="J27" s="145" t="s">
        <v>887</v>
      </c>
      <c r="K27" s="145" t="s">
        <v>988</v>
      </c>
      <c r="L27" s="145" t="s">
        <v>994</v>
      </c>
      <c r="M27" s="145" t="s">
        <v>388</v>
      </c>
      <c r="N27" s="145"/>
      <c r="O27" s="145" t="s">
        <v>386</v>
      </c>
      <c r="P27" s="145" t="s">
        <v>920</v>
      </c>
      <c r="Q27" s="145" t="s">
        <v>949</v>
      </c>
      <c r="R27" s="145" t="s">
        <v>53</v>
      </c>
      <c r="S27" s="145" t="s">
        <v>913</v>
      </c>
    </row>
    <row r="28" spans="1:19">
      <c r="A28" s="145" t="s">
        <v>1016</v>
      </c>
      <c r="B28" s="145" t="s">
        <v>1017</v>
      </c>
      <c r="C28" s="145" t="s">
        <v>909</v>
      </c>
      <c r="D28" s="146">
        <v>0</v>
      </c>
      <c r="E28" s="145" t="s">
        <v>1018</v>
      </c>
      <c r="F28" s="145" t="s">
        <v>293</v>
      </c>
      <c r="G28" s="145" t="s">
        <v>916</v>
      </c>
      <c r="H28" s="145" t="s">
        <v>327</v>
      </c>
      <c r="I28" s="145" t="s">
        <v>382</v>
      </c>
      <c r="J28" s="145" t="s">
        <v>887</v>
      </c>
      <c r="K28" s="145" t="s">
        <v>988</v>
      </c>
      <c r="L28" s="145" t="s">
        <v>989</v>
      </c>
      <c r="M28" s="145" t="s">
        <v>388</v>
      </c>
      <c r="N28" s="145"/>
      <c r="O28" s="145" t="s">
        <v>386</v>
      </c>
      <c r="P28" s="145" t="s">
        <v>920</v>
      </c>
      <c r="Q28" s="145" t="s">
        <v>949</v>
      </c>
      <c r="R28" s="145" t="s">
        <v>53</v>
      </c>
      <c r="S28" s="145" t="s">
        <v>913</v>
      </c>
    </row>
    <row r="29" spans="1:19">
      <c r="A29" s="145" t="s">
        <v>1019</v>
      </c>
      <c r="B29" s="145" t="s">
        <v>1020</v>
      </c>
      <c r="C29" s="145" t="s">
        <v>909</v>
      </c>
      <c r="D29" s="146">
        <v>0</v>
      </c>
      <c r="E29" s="145" t="s">
        <v>1021</v>
      </c>
      <c r="F29" s="145" t="s">
        <v>71</v>
      </c>
      <c r="G29" s="145" t="s">
        <v>910</v>
      </c>
      <c r="H29" s="145" t="s">
        <v>327</v>
      </c>
      <c r="I29" s="145" t="s">
        <v>382</v>
      </c>
      <c r="J29" s="145" t="s">
        <v>887</v>
      </c>
      <c r="K29" s="145" t="s">
        <v>911</v>
      </c>
      <c r="L29" s="145" t="s">
        <v>914</v>
      </c>
      <c r="M29" s="145" t="s">
        <v>388</v>
      </c>
      <c r="N29" s="145" t="s">
        <v>43</v>
      </c>
      <c r="O29" s="145" t="s">
        <v>541</v>
      </c>
      <c r="P29" s="145" t="s">
        <v>920</v>
      </c>
      <c r="Q29" s="145" t="s">
        <v>1022</v>
      </c>
      <c r="R29" s="145" t="s">
        <v>71</v>
      </c>
      <c r="S29" s="145" t="s">
        <v>913</v>
      </c>
    </row>
    <row r="30" spans="1:19">
      <c r="A30" s="145" t="s">
        <v>1023</v>
      </c>
      <c r="B30" s="145" t="s">
        <v>1024</v>
      </c>
      <c r="C30" s="145" t="s">
        <v>909</v>
      </c>
      <c r="D30" s="146">
        <v>0</v>
      </c>
      <c r="E30" s="145" t="s">
        <v>1025</v>
      </c>
      <c r="F30" s="145" t="s">
        <v>149</v>
      </c>
      <c r="G30" s="145" t="s">
        <v>1026</v>
      </c>
      <c r="H30" s="145" t="s">
        <v>327</v>
      </c>
      <c r="I30" s="145" t="s">
        <v>387</v>
      </c>
      <c r="J30" s="145" t="s">
        <v>887</v>
      </c>
      <c r="K30" s="145" t="s">
        <v>911</v>
      </c>
      <c r="L30" s="145" t="s">
        <v>914</v>
      </c>
      <c r="M30" s="145" t="s">
        <v>388</v>
      </c>
      <c r="N30" s="145" t="s">
        <v>43</v>
      </c>
      <c r="O30" s="145" t="s">
        <v>386</v>
      </c>
      <c r="P30" s="145" t="s">
        <v>920</v>
      </c>
      <c r="Q30" s="145" t="s">
        <v>1027</v>
      </c>
      <c r="R30" s="145" t="s">
        <v>60</v>
      </c>
      <c r="S30" s="145" t="s">
        <v>913</v>
      </c>
    </row>
    <row r="31" spans="1:19">
      <c r="A31" s="145" t="s">
        <v>1028</v>
      </c>
      <c r="B31" s="145" t="s">
        <v>1029</v>
      </c>
      <c r="C31" s="145" t="s">
        <v>909</v>
      </c>
      <c r="D31" s="146">
        <v>0</v>
      </c>
      <c r="E31" s="145" t="s">
        <v>1030</v>
      </c>
      <c r="F31" s="145" t="s">
        <v>237</v>
      </c>
      <c r="G31" s="145" t="s">
        <v>1026</v>
      </c>
      <c r="H31" s="145" t="s">
        <v>327</v>
      </c>
      <c r="I31" s="145" t="s">
        <v>387</v>
      </c>
      <c r="J31" s="145" t="s">
        <v>887</v>
      </c>
      <c r="K31" s="145" t="s">
        <v>911</v>
      </c>
      <c r="L31" s="145" t="s">
        <v>914</v>
      </c>
      <c r="M31" s="145" t="s">
        <v>388</v>
      </c>
      <c r="N31" s="145" t="s">
        <v>43</v>
      </c>
      <c r="O31" s="145" t="s">
        <v>386</v>
      </c>
      <c r="P31" s="145" t="s">
        <v>920</v>
      </c>
      <c r="Q31" s="145" t="s">
        <v>1031</v>
      </c>
      <c r="R31" s="145" t="s">
        <v>83</v>
      </c>
      <c r="S31" s="145" t="s">
        <v>913</v>
      </c>
    </row>
    <row r="32" spans="1:19">
      <c r="A32" s="145" t="s">
        <v>1032</v>
      </c>
      <c r="B32" s="145" t="s">
        <v>1033</v>
      </c>
      <c r="C32" s="145" t="s">
        <v>909</v>
      </c>
      <c r="D32" s="146">
        <v>0</v>
      </c>
      <c r="E32" s="145" t="s">
        <v>1034</v>
      </c>
      <c r="F32" s="145" t="s">
        <v>1035</v>
      </c>
      <c r="G32" s="145" t="s">
        <v>910</v>
      </c>
      <c r="H32" s="145" t="s">
        <v>327</v>
      </c>
      <c r="I32" s="145" t="s">
        <v>382</v>
      </c>
      <c r="J32" s="145" t="s">
        <v>887</v>
      </c>
      <c r="K32" s="145" t="s">
        <v>911</v>
      </c>
      <c r="L32" s="145" t="s">
        <v>914</v>
      </c>
      <c r="M32" s="145" t="s">
        <v>388</v>
      </c>
      <c r="N32" s="145" t="s">
        <v>43</v>
      </c>
      <c r="O32" s="145" t="s">
        <v>386</v>
      </c>
      <c r="P32" s="145" t="s">
        <v>920</v>
      </c>
      <c r="Q32" s="145" t="s">
        <v>1036</v>
      </c>
      <c r="R32" s="145" t="s">
        <v>60</v>
      </c>
      <c r="S32" s="145" t="s">
        <v>913</v>
      </c>
    </row>
    <row r="33" spans="1:19">
      <c r="A33" s="145" t="s">
        <v>1037</v>
      </c>
      <c r="B33" s="145" t="s">
        <v>1038</v>
      </c>
      <c r="C33" s="145" t="s">
        <v>909</v>
      </c>
      <c r="D33" s="146">
        <v>0</v>
      </c>
      <c r="E33" s="145" t="s">
        <v>1039</v>
      </c>
      <c r="F33" s="145" t="s">
        <v>248</v>
      </c>
      <c r="G33" s="145" t="s">
        <v>1040</v>
      </c>
      <c r="H33" s="145" t="s">
        <v>356</v>
      </c>
      <c r="I33" s="145" t="s">
        <v>382</v>
      </c>
      <c r="J33" s="145" t="s">
        <v>887</v>
      </c>
      <c r="K33" s="145" t="s">
        <v>911</v>
      </c>
      <c r="L33" s="145" t="s">
        <v>912</v>
      </c>
      <c r="M33" s="145" t="s">
        <v>388</v>
      </c>
      <c r="N33" s="145" t="s">
        <v>43</v>
      </c>
      <c r="O33" s="145" t="s">
        <v>541</v>
      </c>
      <c r="P33" s="145" t="s">
        <v>920</v>
      </c>
      <c r="Q33" s="145" t="s">
        <v>1041</v>
      </c>
      <c r="R33" s="145" t="s">
        <v>71</v>
      </c>
      <c r="S33" s="145" t="s">
        <v>913</v>
      </c>
    </row>
    <row r="34" spans="1:19">
      <c r="A34" s="145" t="s">
        <v>1042</v>
      </c>
      <c r="B34" s="145" t="s">
        <v>1043</v>
      </c>
      <c r="C34" s="145" t="s">
        <v>909</v>
      </c>
      <c r="D34" s="146">
        <v>0</v>
      </c>
      <c r="E34" s="145" t="s">
        <v>1044</v>
      </c>
      <c r="F34" s="145" t="s">
        <v>1045</v>
      </c>
      <c r="G34" s="145" t="s">
        <v>910</v>
      </c>
      <c r="H34" s="145" t="s">
        <v>327</v>
      </c>
      <c r="I34" s="145" t="s">
        <v>382</v>
      </c>
      <c r="J34" s="145" t="s">
        <v>887</v>
      </c>
      <c r="K34" s="145" t="s">
        <v>911</v>
      </c>
      <c r="L34" s="145" t="s">
        <v>912</v>
      </c>
      <c r="M34" s="145" t="s">
        <v>388</v>
      </c>
      <c r="N34" s="145" t="s">
        <v>43</v>
      </c>
      <c r="O34" s="145" t="s">
        <v>386</v>
      </c>
      <c r="P34" s="145" t="s">
        <v>920</v>
      </c>
      <c r="Q34" s="145" t="s">
        <v>960</v>
      </c>
      <c r="R34" s="145" t="s">
        <v>86</v>
      </c>
      <c r="S34" s="145" t="s">
        <v>913</v>
      </c>
    </row>
    <row r="35" spans="1:19">
      <c r="A35" s="145" t="s">
        <v>1046</v>
      </c>
      <c r="B35" s="145" t="s">
        <v>1047</v>
      </c>
      <c r="C35" s="145" t="s">
        <v>909</v>
      </c>
      <c r="D35" s="146">
        <v>0</v>
      </c>
      <c r="E35" s="145" t="s">
        <v>1048</v>
      </c>
      <c r="F35" s="145" t="s">
        <v>678</v>
      </c>
      <c r="G35" s="145" t="s">
        <v>916</v>
      </c>
      <c r="H35" s="145" t="s">
        <v>356</v>
      </c>
      <c r="I35" s="145" t="s">
        <v>382</v>
      </c>
      <c r="J35" s="145" t="s">
        <v>887</v>
      </c>
      <c r="K35" s="145" t="s">
        <v>911</v>
      </c>
      <c r="L35" s="145" t="s">
        <v>914</v>
      </c>
      <c r="M35" s="145" t="s">
        <v>388</v>
      </c>
      <c r="N35" s="145"/>
      <c r="O35" s="145" t="s">
        <v>386</v>
      </c>
      <c r="P35" s="145" t="s">
        <v>920</v>
      </c>
      <c r="Q35" s="145" t="s">
        <v>937</v>
      </c>
      <c r="R35" s="145" t="s">
        <v>71</v>
      </c>
      <c r="S35" s="145" t="s">
        <v>913</v>
      </c>
    </row>
    <row r="36" spans="1:19">
      <c r="A36" s="145" t="s">
        <v>1049</v>
      </c>
      <c r="B36" s="145" t="s">
        <v>1050</v>
      </c>
      <c r="C36" s="145" t="s">
        <v>909</v>
      </c>
      <c r="D36" s="146">
        <v>0</v>
      </c>
      <c r="E36" s="145" t="s">
        <v>1051</v>
      </c>
      <c r="F36" s="145" t="s">
        <v>246</v>
      </c>
      <c r="G36" s="145" t="s">
        <v>916</v>
      </c>
      <c r="H36" s="145" t="s">
        <v>356</v>
      </c>
      <c r="I36" s="145" t="s">
        <v>382</v>
      </c>
      <c r="J36" s="145" t="s">
        <v>887</v>
      </c>
      <c r="K36" s="145" t="s">
        <v>1052</v>
      </c>
      <c r="L36" s="145" t="s">
        <v>1053</v>
      </c>
      <c r="M36" s="145" t="s">
        <v>388</v>
      </c>
      <c r="N36" s="145"/>
      <c r="O36" s="145" t="s">
        <v>386</v>
      </c>
      <c r="P36" s="145" t="s">
        <v>920</v>
      </c>
      <c r="Q36" s="145" t="s">
        <v>1054</v>
      </c>
      <c r="R36" s="145" t="s">
        <v>83</v>
      </c>
      <c r="S36" s="145" t="s">
        <v>913</v>
      </c>
    </row>
    <row r="37" spans="1:19">
      <c r="A37" s="145" t="s">
        <v>1055</v>
      </c>
      <c r="B37" s="145" t="s">
        <v>1056</v>
      </c>
      <c r="C37" s="145" t="s">
        <v>909</v>
      </c>
      <c r="D37" s="146">
        <v>0</v>
      </c>
      <c r="E37" s="145" t="s">
        <v>1057</v>
      </c>
      <c r="F37" s="145" t="s">
        <v>769</v>
      </c>
      <c r="G37" s="145" t="s">
        <v>910</v>
      </c>
      <c r="H37" s="145" t="s">
        <v>356</v>
      </c>
      <c r="I37" s="145" t="s">
        <v>382</v>
      </c>
      <c r="J37" s="145" t="s">
        <v>887</v>
      </c>
      <c r="K37" s="145" t="s">
        <v>911</v>
      </c>
      <c r="L37" s="145" t="s">
        <v>914</v>
      </c>
      <c r="M37" s="145" t="s">
        <v>388</v>
      </c>
      <c r="N37" s="145" t="s">
        <v>43</v>
      </c>
      <c r="O37" s="145" t="s">
        <v>541</v>
      </c>
      <c r="P37" s="145" t="s">
        <v>920</v>
      </c>
      <c r="Q37" s="145" t="s">
        <v>960</v>
      </c>
      <c r="R37" s="145" t="s">
        <v>86</v>
      </c>
      <c r="S37" s="145" t="s">
        <v>913</v>
      </c>
    </row>
    <row r="38" spans="1:19">
      <c r="A38" s="145" t="s">
        <v>1058</v>
      </c>
      <c r="B38" s="145" t="s">
        <v>1059</v>
      </c>
      <c r="C38" s="145" t="s">
        <v>909</v>
      </c>
      <c r="D38" s="146">
        <v>0</v>
      </c>
      <c r="E38" s="145" t="s">
        <v>1060</v>
      </c>
      <c r="F38" s="145" t="s">
        <v>690</v>
      </c>
      <c r="G38" s="145" t="s">
        <v>910</v>
      </c>
      <c r="H38" s="145" t="s">
        <v>327</v>
      </c>
      <c r="I38" s="145" t="s">
        <v>382</v>
      </c>
      <c r="J38" s="145" t="s">
        <v>887</v>
      </c>
      <c r="K38" s="145" t="s">
        <v>911</v>
      </c>
      <c r="L38" s="145" t="s">
        <v>915</v>
      </c>
      <c r="M38" s="145" t="s">
        <v>388</v>
      </c>
      <c r="N38" s="145" t="s">
        <v>43</v>
      </c>
      <c r="O38" s="145" t="s">
        <v>386</v>
      </c>
      <c r="P38" s="145" t="s">
        <v>920</v>
      </c>
      <c r="Q38" s="145" t="s">
        <v>1061</v>
      </c>
      <c r="R38" s="145" t="s">
        <v>53</v>
      </c>
      <c r="S38" s="145" t="s">
        <v>913</v>
      </c>
    </row>
    <row r="39" spans="1:19">
      <c r="A39" s="145" t="s">
        <v>1062</v>
      </c>
      <c r="B39" s="145" t="s">
        <v>1063</v>
      </c>
      <c r="C39" s="145" t="s">
        <v>909</v>
      </c>
      <c r="D39" s="146">
        <v>0</v>
      </c>
      <c r="E39" s="145" t="s">
        <v>1064</v>
      </c>
      <c r="F39" s="145" t="s">
        <v>212</v>
      </c>
      <c r="G39" s="145" t="s">
        <v>1026</v>
      </c>
      <c r="H39" s="145" t="s">
        <v>327</v>
      </c>
      <c r="I39" s="145" t="s">
        <v>387</v>
      </c>
      <c r="J39" s="145" t="s">
        <v>887</v>
      </c>
      <c r="K39" s="145" t="s">
        <v>911</v>
      </c>
      <c r="L39" s="145" t="s">
        <v>914</v>
      </c>
      <c r="M39" s="145" t="s">
        <v>388</v>
      </c>
      <c r="N39" s="145"/>
      <c r="O39" s="145" t="s">
        <v>386</v>
      </c>
      <c r="P39" s="145" t="s">
        <v>920</v>
      </c>
      <c r="Q39" s="145" t="s">
        <v>933</v>
      </c>
      <c r="R39" s="145" t="s">
        <v>68</v>
      </c>
      <c r="S39" s="145" t="s">
        <v>913</v>
      </c>
    </row>
    <row r="40" spans="1:19">
      <c r="A40" s="145" t="s">
        <v>1065</v>
      </c>
      <c r="B40" s="145" t="s">
        <v>1066</v>
      </c>
      <c r="C40" s="145" t="s">
        <v>909</v>
      </c>
      <c r="D40" s="146">
        <v>0</v>
      </c>
      <c r="E40" s="145" t="s">
        <v>1067</v>
      </c>
      <c r="F40" s="145" t="s">
        <v>149</v>
      </c>
      <c r="G40" s="145" t="s">
        <v>910</v>
      </c>
      <c r="H40" s="145" t="s">
        <v>356</v>
      </c>
      <c r="I40" s="145" t="s">
        <v>382</v>
      </c>
      <c r="J40" s="145" t="s">
        <v>887</v>
      </c>
      <c r="K40" s="145" t="s">
        <v>911</v>
      </c>
      <c r="L40" s="145" t="s">
        <v>914</v>
      </c>
      <c r="M40" s="145" t="s">
        <v>388</v>
      </c>
      <c r="N40" s="145" t="s">
        <v>43</v>
      </c>
      <c r="O40" s="145" t="s">
        <v>541</v>
      </c>
      <c r="P40" s="145" t="s">
        <v>920</v>
      </c>
      <c r="Q40" s="145" t="s">
        <v>1068</v>
      </c>
      <c r="R40" s="145" t="s">
        <v>60</v>
      </c>
      <c r="S40" s="145" t="s">
        <v>913</v>
      </c>
    </row>
    <row r="41" spans="1:19">
      <c r="A41" s="145" t="s">
        <v>1069</v>
      </c>
      <c r="B41" s="145" t="s">
        <v>1070</v>
      </c>
      <c r="C41" s="145" t="s">
        <v>909</v>
      </c>
      <c r="D41" s="146">
        <v>0</v>
      </c>
      <c r="E41" s="145" t="s">
        <v>1071</v>
      </c>
      <c r="F41" s="145" t="s">
        <v>53</v>
      </c>
      <c r="G41" s="145" t="s">
        <v>910</v>
      </c>
      <c r="H41" s="145" t="s">
        <v>327</v>
      </c>
      <c r="I41" s="145" t="s">
        <v>382</v>
      </c>
      <c r="J41" s="145" t="s">
        <v>887</v>
      </c>
      <c r="K41" s="145" t="s">
        <v>911</v>
      </c>
      <c r="L41" s="145" t="s">
        <v>914</v>
      </c>
      <c r="M41" s="145" t="s">
        <v>388</v>
      </c>
      <c r="N41" s="145" t="s">
        <v>43</v>
      </c>
      <c r="O41" s="145" t="s">
        <v>386</v>
      </c>
      <c r="P41" s="145" t="s">
        <v>920</v>
      </c>
      <c r="Q41" s="145" t="s">
        <v>949</v>
      </c>
      <c r="R41" s="145" t="s">
        <v>53</v>
      </c>
      <c r="S41" s="145" t="s">
        <v>913</v>
      </c>
    </row>
    <row r="42" spans="1:19">
      <c r="A42" s="145" t="s">
        <v>1072</v>
      </c>
      <c r="B42" s="145" t="s">
        <v>1073</v>
      </c>
      <c r="C42" s="145" t="s">
        <v>909</v>
      </c>
      <c r="D42" s="146">
        <v>0</v>
      </c>
      <c r="E42" s="145" t="s">
        <v>1074</v>
      </c>
      <c r="F42" s="145" t="s">
        <v>71</v>
      </c>
      <c r="G42" s="145" t="s">
        <v>916</v>
      </c>
      <c r="H42" s="145" t="s">
        <v>356</v>
      </c>
      <c r="I42" s="145" t="s">
        <v>382</v>
      </c>
      <c r="J42" s="145" t="s">
        <v>887</v>
      </c>
      <c r="K42" s="145" t="s">
        <v>911</v>
      </c>
      <c r="L42" s="145" t="s">
        <v>912</v>
      </c>
      <c r="M42" s="145" t="s">
        <v>388</v>
      </c>
      <c r="N42" s="145"/>
      <c r="O42" s="145" t="s">
        <v>386</v>
      </c>
      <c r="P42" s="145" t="s">
        <v>920</v>
      </c>
      <c r="Q42" s="145" t="s">
        <v>1075</v>
      </c>
      <c r="R42" s="145" t="s">
        <v>71</v>
      </c>
      <c r="S42" s="145" t="s">
        <v>913</v>
      </c>
    </row>
    <row r="43" spans="1:19">
      <c r="A43" s="145" t="s">
        <v>1076</v>
      </c>
      <c r="B43" s="145" t="s">
        <v>1077</v>
      </c>
      <c r="C43" s="145" t="s">
        <v>909</v>
      </c>
      <c r="D43" s="146">
        <v>0</v>
      </c>
      <c r="E43" s="145" t="s">
        <v>1078</v>
      </c>
      <c r="F43" s="145" t="s">
        <v>307</v>
      </c>
      <c r="G43" s="145" t="s">
        <v>910</v>
      </c>
      <c r="H43" s="145" t="s">
        <v>327</v>
      </c>
      <c r="I43" s="145" t="s">
        <v>382</v>
      </c>
      <c r="J43" s="145" t="s">
        <v>887</v>
      </c>
      <c r="K43" s="145" t="s">
        <v>911</v>
      </c>
      <c r="L43" s="145" t="s">
        <v>912</v>
      </c>
      <c r="M43" s="145" t="s">
        <v>388</v>
      </c>
      <c r="N43" s="145" t="s">
        <v>43</v>
      </c>
      <c r="O43" s="145" t="s">
        <v>541</v>
      </c>
      <c r="P43" s="145" t="s">
        <v>920</v>
      </c>
      <c r="Q43" s="145" t="s">
        <v>1079</v>
      </c>
      <c r="R43" s="145" t="s">
        <v>53</v>
      </c>
      <c r="S43" s="145" t="s">
        <v>913</v>
      </c>
    </row>
    <row r="44" spans="1:19">
      <c r="A44" s="145" t="s">
        <v>1080</v>
      </c>
      <c r="B44" s="145" t="s">
        <v>1081</v>
      </c>
      <c r="C44" s="145" t="s">
        <v>909</v>
      </c>
      <c r="D44" s="146">
        <v>0</v>
      </c>
      <c r="E44" s="145" t="s">
        <v>1082</v>
      </c>
      <c r="F44" s="145" t="s">
        <v>594</v>
      </c>
      <c r="G44" s="145" t="s">
        <v>910</v>
      </c>
      <c r="H44" s="145" t="s">
        <v>327</v>
      </c>
      <c r="I44" s="145" t="s">
        <v>382</v>
      </c>
      <c r="J44" s="145" t="s">
        <v>887</v>
      </c>
      <c r="K44" s="145" t="s">
        <v>911</v>
      </c>
      <c r="L44" s="145" t="s">
        <v>915</v>
      </c>
      <c r="M44" s="145" t="s">
        <v>388</v>
      </c>
      <c r="N44" s="145" t="s">
        <v>43</v>
      </c>
      <c r="O44" s="145" t="s">
        <v>541</v>
      </c>
      <c r="P44" s="145" t="s">
        <v>920</v>
      </c>
      <c r="Q44" s="145" t="s">
        <v>960</v>
      </c>
      <c r="R44" s="145" t="s">
        <v>71</v>
      </c>
      <c r="S44" s="145" t="s">
        <v>913</v>
      </c>
    </row>
    <row r="45" spans="1:19">
      <c r="A45" s="145" t="s">
        <v>1083</v>
      </c>
      <c r="B45" s="145" t="s">
        <v>1084</v>
      </c>
      <c r="C45" s="145" t="s">
        <v>909</v>
      </c>
      <c r="D45" s="146">
        <v>0</v>
      </c>
      <c r="E45" s="145" t="s">
        <v>1085</v>
      </c>
      <c r="F45" s="145" t="s">
        <v>302</v>
      </c>
      <c r="G45" s="145" t="s">
        <v>916</v>
      </c>
      <c r="H45" s="145" t="s">
        <v>356</v>
      </c>
      <c r="I45" s="145" t="s">
        <v>382</v>
      </c>
      <c r="J45" s="145" t="s">
        <v>887</v>
      </c>
      <c r="K45" s="145" t="s">
        <v>988</v>
      </c>
      <c r="L45" s="145" t="s">
        <v>989</v>
      </c>
      <c r="M45" s="145" t="s">
        <v>388</v>
      </c>
      <c r="N45" s="145"/>
      <c r="O45" s="145" t="s">
        <v>386</v>
      </c>
      <c r="P45" s="145" t="s">
        <v>920</v>
      </c>
      <c r="Q45" s="145" t="s">
        <v>1086</v>
      </c>
      <c r="R45" s="145" t="s">
        <v>53</v>
      </c>
      <c r="S45" s="145" t="s">
        <v>913</v>
      </c>
    </row>
    <row r="46" spans="1:19">
      <c r="A46" s="145" t="s">
        <v>1087</v>
      </c>
      <c r="B46" s="145" t="s">
        <v>1088</v>
      </c>
      <c r="C46" s="145" t="s">
        <v>909</v>
      </c>
      <c r="D46" s="146">
        <v>0</v>
      </c>
      <c r="E46" s="145" t="s">
        <v>1089</v>
      </c>
      <c r="F46" s="145" t="s">
        <v>847</v>
      </c>
      <c r="G46" s="145" t="s">
        <v>910</v>
      </c>
      <c r="H46" s="145" t="s">
        <v>327</v>
      </c>
      <c r="I46" s="145" t="s">
        <v>382</v>
      </c>
      <c r="J46" s="145" t="s">
        <v>887</v>
      </c>
      <c r="K46" s="145" t="s">
        <v>911</v>
      </c>
      <c r="L46" s="145" t="s">
        <v>914</v>
      </c>
      <c r="M46" s="145" t="s">
        <v>388</v>
      </c>
      <c r="N46" s="145" t="s">
        <v>43</v>
      </c>
      <c r="O46" s="145" t="s">
        <v>386</v>
      </c>
      <c r="P46" s="145" t="s">
        <v>920</v>
      </c>
      <c r="Q46" s="145" t="s">
        <v>1090</v>
      </c>
      <c r="R46" s="145" t="s">
        <v>60</v>
      </c>
      <c r="S46" s="145" t="s">
        <v>913</v>
      </c>
    </row>
    <row r="47" spans="1:19">
      <c r="A47" s="145" t="s">
        <v>1091</v>
      </c>
      <c r="B47" s="145" t="s">
        <v>1092</v>
      </c>
      <c r="C47" s="145" t="s">
        <v>909</v>
      </c>
      <c r="D47" s="146">
        <v>0</v>
      </c>
      <c r="E47" s="145" t="s">
        <v>1093</v>
      </c>
      <c r="F47" s="145" t="s">
        <v>298</v>
      </c>
      <c r="G47" s="145" t="s">
        <v>916</v>
      </c>
      <c r="H47" s="145" t="s">
        <v>327</v>
      </c>
      <c r="I47" s="145" t="s">
        <v>382</v>
      </c>
      <c r="J47" s="145" t="s">
        <v>887</v>
      </c>
      <c r="K47" s="145" t="s">
        <v>911</v>
      </c>
      <c r="L47" s="145" t="s">
        <v>914</v>
      </c>
      <c r="M47" s="145" t="s">
        <v>388</v>
      </c>
      <c r="N47" s="145"/>
      <c r="O47" s="145" t="s">
        <v>541</v>
      </c>
      <c r="P47" s="145" t="s">
        <v>920</v>
      </c>
      <c r="Q47" s="145" t="s">
        <v>941</v>
      </c>
      <c r="R47" s="145" t="s">
        <v>53</v>
      </c>
      <c r="S47" s="145" t="s">
        <v>913</v>
      </c>
    </row>
    <row r="48" spans="1:19">
      <c r="A48" s="145" t="s">
        <v>1094</v>
      </c>
      <c r="B48" s="145" t="s">
        <v>1095</v>
      </c>
      <c r="C48" s="145" t="s">
        <v>909</v>
      </c>
      <c r="D48" s="146">
        <v>0</v>
      </c>
      <c r="E48" s="145" t="s">
        <v>1096</v>
      </c>
      <c r="F48" s="145" t="s">
        <v>769</v>
      </c>
      <c r="G48" s="145" t="s">
        <v>910</v>
      </c>
      <c r="H48" s="145" t="s">
        <v>327</v>
      </c>
      <c r="I48" s="145" t="s">
        <v>382</v>
      </c>
      <c r="J48" s="145" t="s">
        <v>887</v>
      </c>
      <c r="K48" s="145" t="s">
        <v>911</v>
      </c>
      <c r="L48" s="145" t="s">
        <v>914</v>
      </c>
      <c r="M48" s="145" t="s">
        <v>388</v>
      </c>
      <c r="N48" s="145" t="s">
        <v>43</v>
      </c>
      <c r="O48" s="145" t="s">
        <v>541</v>
      </c>
      <c r="P48" s="145" t="s">
        <v>920</v>
      </c>
      <c r="Q48" s="145" t="s">
        <v>960</v>
      </c>
      <c r="R48" s="145" t="s">
        <v>86</v>
      </c>
      <c r="S48" s="145" t="s">
        <v>913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2022-06-16T11:21:09Z</dcterms:modified>
</cp:coreProperties>
</file>