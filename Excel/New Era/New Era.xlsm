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"/>
    </mc:Choice>
  </mc:AlternateContent>
  <xr:revisionPtr revIDLastSave="0" documentId="13_ncr:1_{53EDE653-2ECD-4C88-A93E-BA5AB95C40A4}" xr6:coauthVersionLast="47" xr6:coauthVersionMax="47" xr10:uidLastSave="{00000000-0000-0000-0000-000000000000}"/>
  <bookViews>
    <workbookView xWindow="-120" yWindow="-120" windowWidth="29040" windowHeight="15840" xr2:uid="{3A48B2BB-835E-4247-BB6E-D08F5B3ED053}"/>
  </bookViews>
  <sheets>
    <sheet name="Справочник" sheetId="2" r:id="rId1"/>
    <sheet name="Data" sheetId="3" r:id="rId2"/>
    <sheet name="КомандыИзНазвания" sheetId="4" r:id="rId3"/>
    <sheet name="Транспонирование" sheetId="6" r:id="rId4"/>
  </sheets>
  <functionGroups builtInGroupCount="19"/>
  <definedNames>
    <definedName name="_xlpm.sizeCol" hidden="1" xlm="1">#NAME?</definedName>
    <definedName name="_xlnm._FilterDatabase" localSheetId="1" hidden="1">Data!$A$1:$M$65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1" i="6" l="1" a="1"/>
  <c r="AG1" i="6" s="1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Q1" i="6" a="1"/>
  <c r="Q1" i="6" s="1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R65" i="3"/>
  <c r="Q65" i="3"/>
  <c r="P65" i="3"/>
  <c r="A65" i="3"/>
  <c r="R64" i="3"/>
  <c r="Q64" i="3"/>
  <c r="P64" i="3"/>
  <c r="A64" i="3"/>
  <c r="R63" i="3"/>
  <c r="Q63" i="3"/>
  <c r="P63" i="3"/>
  <c r="A63" i="3"/>
  <c r="R62" i="3"/>
  <c r="Q62" i="3"/>
  <c r="P62" i="3"/>
  <c r="A62" i="3"/>
  <c r="R61" i="3"/>
  <c r="Q61" i="3"/>
  <c r="P61" i="3"/>
  <c r="A61" i="3"/>
  <c r="R60" i="3"/>
  <c r="Q60" i="3"/>
  <c r="P60" i="3"/>
  <c r="A60" i="3"/>
  <c r="R59" i="3"/>
  <c r="Q59" i="3"/>
  <c r="P59" i="3"/>
  <c r="A59" i="3"/>
  <c r="R58" i="3"/>
  <c r="A58" i="3"/>
  <c r="R57" i="3"/>
  <c r="A57" i="3"/>
  <c r="R56" i="3"/>
  <c r="Q56" i="3"/>
  <c r="P56" i="3"/>
  <c r="A56" i="3"/>
  <c r="R55" i="3"/>
  <c r="Q55" i="3"/>
  <c r="P55" i="3"/>
  <c r="A55" i="3"/>
  <c r="R54" i="3"/>
  <c r="Q54" i="3"/>
  <c r="P54" i="3"/>
  <c r="A54" i="3"/>
  <c r="R53" i="3"/>
  <c r="Q53" i="3"/>
  <c r="P53" i="3"/>
  <c r="A53" i="3"/>
  <c r="R52" i="3"/>
  <c r="Q52" i="3"/>
  <c r="P52" i="3"/>
  <c r="A52" i="3"/>
  <c r="R51" i="3"/>
  <c r="Q51" i="3"/>
  <c r="P51" i="3"/>
  <c r="A51" i="3"/>
  <c r="R50" i="3"/>
  <c r="Q50" i="3"/>
  <c r="P50" i="3"/>
  <c r="A50" i="3"/>
  <c r="R49" i="3"/>
  <c r="Q49" i="3"/>
  <c r="P49" i="3"/>
  <c r="A49" i="3"/>
  <c r="R48" i="3"/>
  <c r="Q48" i="3"/>
  <c r="P48" i="3"/>
  <c r="A48" i="3"/>
  <c r="R47" i="3"/>
  <c r="Q47" i="3"/>
  <c r="P47" i="3"/>
  <c r="A47" i="3"/>
  <c r="R46" i="3"/>
  <c r="Q46" i="3"/>
  <c r="P46" i="3"/>
  <c r="A46" i="3"/>
  <c r="R45" i="3"/>
  <c r="Q45" i="3"/>
  <c r="P45" i="3"/>
  <c r="A45" i="3"/>
  <c r="R44" i="3"/>
  <c r="Q44" i="3"/>
  <c r="P44" i="3"/>
  <c r="A44" i="3"/>
  <c r="R43" i="3"/>
  <c r="Q43" i="3"/>
  <c r="P43" i="3"/>
  <c r="A43" i="3"/>
  <c r="R42" i="3"/>
  <c r="Q42" i="3"/>
  <c r="P42" i="3"/>
  <c r="A42" i="3"/>
  <c r="R41" i="3"/>
  <c r="Q41" i="3"/>
  <c r="P41" i="3"/>
  <c r="A41" i="3"/>
  <c r="R40" i="3"/>
  <c r="Q40" i="3"/>
  <c r="P40" i="3"/>
  <c r="A40" i="3"/>
  <c r="R39" i="3"/>
  <c r="Q39" i="3"/>
  <c r="P39" i="3"/>
  <c r="A39" i="3"/>
  <c r="R38" i="3"/>
  <c r="Q38" i="3"/>
  <c r="P38" i="3"/>
  <c r="A38" i="3"/>
  <c r="R37" i="3"/>
  <c r="Q37" i="3"/>
  <c r="P37" i="3"/>
  <c r="A37" i="3"/>
  <c r="R36" i="3"/>
  <c r="Q36" i="3"/>
  <c r="P36" i="3"/>
  <c r="A36" i="3"/>
  <c r="R35" i="3"/>
  <c r="Q35" i="3"/>
  <c r="P35" i="3"/>
  <c r="A35" i="3"/>
  <c r="R34" i="3"/>
  <c r="Q34" i="3"/>
  <c r="P34" i="3"/>
  <c r="A34" i="3"/>
  <c r="R33" i="3"/>
  <c r="Q33" i="3"/>
  <c r="P33" i="3"/>
  <c r="A33" i="3"/>
  <c r="R32" i="3"/>
  <c r="Q32" i="3"/>
  <c r="P32" i="3"/>
  <c r="A32" i="3"/>
  <c r="R31" i="3"/>
  <c r="Q31" i="3"/>
  <c r="P31" i="3"/>
  <c r="A31" i="3"/>
  <c r="R30" i="3"/>
  <c r="Q30" i="3"/>
  <c r="P30" i="3"/>
  <c r="A30" i="3"/>
  <c r="R29" i="3"/>
  <c r="Q29" i="3"/>
  <c r="P29" i="3"/>
  <c r="A29" i="3"/>
  <c r="R28" i="3"/>
  <c r="Q28" i="3"/>
  <c r="P28" i="3"/>
  <c r="A28" i="3"/>
  <c r="R27" i="3"/>
  <c r="Q27" i="3"/>
  <c r="P27" i="3"/>
  <c r="A27" i="3"/>
  <c r="R26" i="3"/>
  <c r="Q26" i="3"/>
  <c r="P26" i="3"/>
  <c r="A26" i="3"/>
  <c r="R25" i="3"/>
  <c r="Q25" i="3"/>
  <c r="P25" i="3"/>
  <c r="A25" i="3"/>
  <c r="R24" i="3"/>
  <c r="Q24" i="3"/>
  <c r="P24" i="3"/>
  <c r="A24" i="3"/>
  <c r="R23" i="3"/>
  <c r="Q23" i="3"/>
  <c r="P23" i="3"/>
  <c r="A23" i="3"/>
  <c r="R22" i="3"/>
  <c r="Q22" i="3"/>
  <c r="P22" i="3"/>
  <c r="A22" i="3"/>
  <c r="R21" i="3"/>
  <c r="Q21" i="3"/>
  <c r="P21" i="3"/>
  <c r="A21" i="3"/>
  <c r="R20" i="3"/>
  <c r="Q20" i="3"/>
  <c r="P20" i="3"/>
  <c r="A20" i="3"/>
  <c r="R19" i="3"/>
  <c r="Q19" i="3"/>
  <c r="P19" i="3"/>
  <c r="A19" i="3"/>
  <c r="R18" i="3"/>
  <c r="Q18" i="3"/>
  <c r="P18" i="3"/>
  <c r="A18" i="3"/>
  <c r="R17" i="3"/>
  <c r="Q17" i="3"/>
  <c r="P17" i="3"/>
  <c r="A17" i="3"/>
  <c r="R16" i="3"/>
  <c r="Q16" i="3"/>
  <c r="P16" i="3"/>
  <c r="A16" i="3"/>
  <c r="R15" i="3"/>
  <c r="Q15" i="3"/>
  <c r="P15" i="3"/>
  <c r="A15" i="3"/>
  <c r="R14" i="3"/>
  <c r="Q14" i="3"/>
  <c r="P14" i="3"/>
  <c r="A14" i="3"/>
  <c r="R13" i="3"/>
  <c r="Q13" i="3"/>
  <c r="P13" i="3"/>
  <c r="A13" i="3"/>
  <c r="R12" i="3"/>
  <c r="Q12" i="3"/>
  <c r="P12" i="3"/>
  <c r="A12" i="3"/>
  <c r="R11" i="3"/>
  <c r="Q11" i="3"/>
  <c r="P11" i="3"/>
  <c r="A11" i="3"/>
  <c r="R10" i="3"/>
  <c r="Q10" i="3"/>
  <c r="P10" i="3"/>
  <c r="A10" i="3"/>
  <c r="R9" i="3"/>
  <c r="Q9" i="3"/>
  <c r="P9" i="3"/>
  <c r="A9" i="3"/>
  <c r="R8" i="3"/>
  <c r="Q8" i="3"/>
  <c r="P8" i="3"/>
  <c r="A8" i="3"/>
  <c r="R7" i="3"/>
  <c r="Q7" i="3"/>
  <c r="P7" i="3"/>
  <c r="A7" i="3"/>
  <c r="R6" i="3"/>
  <c r="Q6" i="3"/>
  <c r="P6" i="3"/>
  <c r="A6" i="3"/>
  <c r="R5" i="3"/>
  <c r="Q5" i="3"/>
  <c r="P5" i="3"/>
  <c r="A5" i="3"/>
  <c r="R4" i="3"/>
  <c r="Q4" i="3"/>
  <c r="P4" i="3"/>
  <c r="A4" i="3"/>
  <c r="R3" i="3"/>
  <c r="Q3" i="3"/>
  <c r="P3" i="3"/>
  <c r="A3" i="3"/>
  <c r="R2" i="3"/>
  <c r="Q2" i="3"/>
  <c r="P2" i="3"/>
  <c r="A2" i="3"/>
  <c r="O6" i="3" l="1"/>
  <c r="S6" i="3" s="1"/>
  <c r="O9" i="3"/>
  <c r="S9" i="3" s="1"/>
  <c r="O7" i="3"/>
  <c r="S7" i="3" s="1"/>
  <c r="O39" i="3"/>
  <c r="S39" i="3" s="1"/>
  <c r="O26" i="3"/>
  <c r="S26" i="3" s="1"/>
  <c r="O30" i="3"/>
  <c r="S30" i="3" s="1"/>
  <c r="O34" i="3"/>
  <c r="S34" i="3" s="1"/>
  <c r="O42" i="3"/>
  <c r="S42" i="3" s="1"/>
  <c r="O60" i="3"/>
  <c r="S60" i="3" s="1"/>
  <c r="O10" i="3"/>
  <c r="S10" i="3" s="1"/>
  <c r="O22" i="3"/>
  <c r="S22" i="3" s="1"/>
  <c r="O54" i="3"/>
  <c r="S54" i="3" s="1"/>
  <c r="O43" i="3"/>
  <c r="S43" i="3" s="1"/>
  <c r="O45" i="3"/>
  <c r="S45" i="3" s="1"/>
  <c r="O61" i="3"/>
  <c r="S61" i="3" s="1"/>
  <c r="O63" i="3"/>
  <c r="S63" i="3" s="1"/>
  <c r="O41" i="3"/>
  <c r="S41" i="3" s="1"/>
  <c r="O13" i="3"/>
  <c r="S13" i="3" s="1"/>
  <c r="O15" i="3"/>
  <c r="S15" i="3" s="1"/>
  <c r="O17" i="3"/>
  <c r="S17" i="3" s="1"/>
  <c r="O32" i="3"/>
  <c r="S32" i="3" s="1"/>
  <c r="O47" i="3"/>
  <c r="S47" i="3" s="1"/>
  <c r="O49" i="3"/>
  <c r="S49" i="3" s="1"/>
  <c r="O65" i="3"/>
  <c r="S65" i="3" s="1"/>
  <c r="O28" i="3"/>
  <c r="S28" i="3" s="1"/>
  <c r="O2" i="3"/>
  <c r="S2" i="3" s="1"/>
  <c r="O4" i="3"/>
  <c r="S4" i="3" s="1"/>
  <c r="O19" i="3"/>
  <c r="S19" i="3" s="1"/>
  <c r="O21" i="3"/>
  <c r="S21" i="3" s="1"/>
  <c r="O36" i="3"/>
  <c r="S36" i="3" s="1"/>
  <c r="O51" i="3"/>
  <c r="S51" i="3" s="1"/>
  <c r="O53" i="3"/>
  <c r="S53" i="3" s="1"/>
  <c r="O56" i="3"/>
  <c r="S56" i="3" s="1"/>
  <c r="O11" i="3"/>
  <c r="S11" i="3" s="1"/>
  <c r="O8" i="3"/>
  <c r="S8" i="3" s="1"/>
  <c r="O23" i="3"/>
  <c r="S23" i="3" s="1"/>
  <c r="O25" i="3"/>
  <c r="S25" i="3" s="1"/>
  <c r="O38" i="3"/>
  <c r="S38" i="3" s="1"/>
  <c r="O40" i="3"/>
  <c r="S40" i="3" s="1"/>
  <c r="O55" i="3"/>
  <c r="S55" i="3" s="1"/>
  <c r="O57" i="3"/>
  <c r="S57" i="3" s="1"/>
  <c r="O12" i="3"/>
  <c r="S12" i="3" s="1"/>
  <c r="O27" i="3"/>
  <c r="S27" i="3" s="1"/>
  <c r="O29" i="3"/>
  <c r="S29" i="3" s="1"/>
  <c r="O44" i="3"/>
  <c r="S44" i="3" s="1"/>
  <c r="O62" i="3"/>
  <c r="S62" i="3" s="1"/>
  <c r="O14" i="3"/>
  <c r="S14" i="3" s="1"/>
  <c r="O16" i="3"/>
  <c r="S16" i="3" s="1"/>
  <c r="O31" i="3"/>
  <c r="S31" i="3" s="1"/>
  <c r="O33" i="3"/>
  <c r="S33" i="3" s="1"/>
  <c r="O46" i="3"/>
  <c r="S46" i="3" s="1"/>
  <c r="O48" i="3"/>
  <c r="S48" i="3" s="1"/>
  <c r="O58" i="3"/>
  <c r="S58" i="3" s="1"/>
  <c r="O64" i="3"/>
  <c r="S64" i="3" s="1"/>
  <c r="O24" i="3"/>
  <c r="S24" i="3" s="1"/>
  <c r="O59" i="3"/>
  <c r="S59" i="3" s="1"/>
  <c r="O3" i="3"/>
  <c r="S3" i="3" s="1"/>
  <c r="O5" i="3"/>
  <c r="S5" i="3" s="1"/>
  <c r="O18" i="3"/>
  <c r="S18" i="3" s="1"/>
  <c r="O20" i="3"/>
  <c r="S20" i="3" s="1"/>
  <c r="O35" i="3"/>
  <c r="S35" i="3" s="1"/>
  <c r="O37" i="3"/>
  <c r="S37" i="3" s="1"/>
  <c r="O50" i="3"/>
  <c r="S50" i="3" s="1"/>
  <c r="O52" i="3"/>
  <c r="S5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<sst xmlns="http://schemas.openxmlformats.org/spreadsheetml/2006/main" count="1336" uniqueCount="210">
  <si>
    <t>Style/Color</t>
  </si>
  <si>
    <t>Size</t>
  </si>
  <si>
    <t>Count</t>
  </si>
  <si>
    <t>Color</t>
  </si>
  <si>
    <t>Style</t>
  </si>
  <si>
    <t>Цена</t>
  </si>
  <si>
    <t>BLKBLK</t>
  </si>
  <si>
    <t>WHI</t>
  </si>
  <si>
    <t>O/S</t>
  </si>
  <si>
    <t>BLKWHI</t>
  </si>
  <si>
    <t>GRAWHI</t>
  </si>
  <si>
    <t>OTC</t>
  </si>
  <si>
    <t>BLK</t>
  </si>
  <si>
    <t>STN</t>
  </si>
  <si>
    <t>NAVY</t>
  </si>
  <si>
    <t>GM</t>
  </si>
  <si>
    <t>GRN</t>
  </si>
  <si>
    <t>NVYWHT</t>
  </si>
  <si>
    <t>BLAWHT</t>
  </si>
  <si>
    <t>NVYWHI</t>
  </si>
  <si>
    <t>TEAM</t>
  </si>
  <si>
    <t>LRYWHI</t>
  </si>
  <si>
    <t>SCAWHI</t>
  </si>
  <si>
    <t>BLKOTC</t>
  </si>
  <si>
    <t>MNCBLK</t>
  </si>
  <si>
    <t>STNWHI</t>
  </si>
  <si>
    <t>NOVWHI</t>
  </si>
  <si>
    <t>WHIWHI</t>
  </si>
  <si>
    <t>GRAPNK</t>
  </si>
  <si>
    <t>CARWHI</t>
  </si>
  <si>
    <t>Код команды</t>
  </si>
  <si>
    <t>Название</t>
  </si>
  <si>
    <t>Лига</t>
  </si>
  <si>
    <t>Команды</t>
  </si>
  <si>
    <t>Лиги</t>
  </si>
  <si>
    <t>Размер их</t>
  </si>
  <si>
    <t>Наш</t>
  </si>
  <si>
    <t>NEYYAN</t>
  </si>
  <si>
    <t>New York Yankees</t>
  </si>
  <si>
    <t>MLB</t>
  </si>
  <si>
    <t>Los Angeles Dodgers</t>
  </si>
  <si>
    <t>L/XL</t>
  </si>
  <si>
    <t>LOSDOD</t>
  </si>
  <si>
    <t>o/s</t>
  </si>
  <si>
    <t>CHIBUL</t>
  </si>
  <si>
    <t>Chicago Bulls</t>
  </si>
  <si>
    <t>NBA</t>
  </si>
  <si>
    <t>M/L</t>
  </si>
  <si>
    <t>LOSLAK</t>
  </si>
  <si>
    <t>Los Angeles Lakers</t>
  </si>
  <si>
    <t>S/M</t>
  </si>
  <si>
    <t>OAKATH</t>
  </si>
  <si>
    <t>Oakland Athletics</t>
  </si>
  <si>
    <t>Boston Red Sox</t>
  </si>
  <si>
    <t>7 1/2</t>
  </si>
  <si>
    <t>BOSRED</t>
  </si>
  <si>
    <t>Las Vegas Raiders</t>
  </si>
  <si>
    <t>NFL</t>
  </si>
  <si>
    <t>L</t>
  </si>
  <si>
    <t>LOSCLI</t>
  </si>
  <si>
    <t>Los Angeles Clippers</t>
  </si>
  <si>
    <t>M</t>
  </si>
  <si>
    <t>OTCBROOKLYN</t>
  </si>
  <si>
    <t>Brooklyn Nets</t>
  </si>
  <si>
    <t>S</t>
  </si>
  <si>
    <t>MIAHEA</t>
  </si>
  <si>
    <t>Miami Heat</t>
  </si>
  <si>
    <t>LASRAI</t>
  </si>
  <si>
    <t>CHELFC</t>
  </si>
  <si>
    <t>Chelsea</t>
  </si>
  <si>
    <t>EPL</t>
  </si>
  <si>
    <t>MANUTD</t>
  </si>
  <si>
    <t>Manchester United</t>
  </si>
  <si>
    <t>NEYGIA</t>
  </si>
  <si>
    <t>New York Giants</t>
  </si>
  <si>
    <t>TOTHAT</t>
  </si>
  <si>
    <t>Tottenham Hotspur</t>
  </si>
  <si>
    <t>CRYPAL</t>
  </si>
  <si>
    <t>Crystal Palace</t>
  </si>
  <si>
    <t>ATHMAD</t>
  </si>
  <si>
    <t>Atletico Madrid</t>
  </si>
  <si>
    <t>LaLiga</t>
  </si>
  <si>
    <t>FAI</t>
  </si>
  <si>
    <t>FA Ireland</t>
  </si>
  <si>
    <t>UEFA</t>
  </si>
  <si>
    <t>ATLBRA</t>
  </si>
  <si>
    <t>Atlanta Braves</t>
  </si>
  <si>
    <t>CHIWHI</t>
  </si>
  <si>
    <t>Chicago White Socks</t>
  </si>
  <si>
    <t>PITPIR</t>
  </si>
  <si>
    <t>Pittsburgh Pirates</t>
  </si>
  <si>
    <t>Средняя цена</t>
  </si>
  <si>
    <t>Name</t>
  </si>
  <si>
    <t>Рос</t>
  </si>
  <si>
    <t>Наш размер</t>
  </si>
  <si>
    <t>Страна по ГТД</t>
  </si>
  <si>
    <t>Кол-во</t>
  </si>
  <si>
    <t>ГТД</t>
  </si>
  <si>
    <t>Состав</t>
  </si>
  <si>
    <t>Описание</t>
  </si>
  <si>
    <t>Пол</t>
  </si>
  <si>
    <t>Команда</t>
  </si>
  <si>
    <t>Сумма</t>
  </si>
  <si>
    <t>Сумма по средней</t>
  </si>
  <si>
    <t>10047507-NAVY o/s  Бейсболка THE LEAGUE ATLBRA GM тёмно-синий р. o/s</t>
  </si>
  <si>
    <t>Б/р</t>
  </si>
  <si>
    <t>БАНГЛАДЕШ</t>
  </si>
  <si>
    <t>10013160/090622/3291500/1</t>
  </si>
  <si>
    <t>100% Полиэстер</t>
  </si>
  <si>
    <t>унисекс</t>
  </si>
  <si>
    <t>10047511-OTC o/s  Бейсболка THE LEAGUE BOSRED GM тёмно-синий р. o/s</t>
  </si>
  <si>
    <t>10047515-BLKWHI o/s  Бейсболка THE LEAGUE CHIWHI GM черный р. o/s</t>
  </si>
  <si>
    <t>Модель 9FIFTY с логотипом команды MLB CHICAGO WHITE SOX и логотипом New Era.</t>
  </si>
  <si>
    <t>10047531-GM o/s  Бейсболка THE LEAGUE LOSDOD GM синий р. o/s</t>
  </si>
  <si>
    <t>Модель 9FIFTY с логотипом команды MLB LOS ANGELES DODGERS и логотипом New Era.</t>
  </si>
  <si>
    <t>КИТАЙ</t>
  </si>
  <si>
    <t>10216170/160120/0009423/3</t>
  </si>
  <si>
    <t>10047538-NAVY o/s  Бейсболка THE LEAGUE NEYYAN GM тёмно-синий р. o/s</t>
  </si>
  <si>
    <t>Модель 9FIFTY с логотипом команды MLB NEW YORK YANKEES и логотипом New Era.</t>
  </si>
  <si>
    <t>10047540-GRN o/s  Бейсболка THE LEAGUE OAKATH HM зеленый р. o/s</t>
  </si>
  <si>
    <t>Модель 9FIFTY с логотипом команды MLB OAKLAND ATHLETICS и логотипом New Era.</t>
  </si>
  <si>
    <t>10047544-OTC o/s  Бейсболка THE LEAGUE PITPIR GM чёрный р. o/s</t>
  </si>
  <si>
    <t>Модель 9FIFTY с логотипом команды MLB PITTSBURGH PIRATES и логотипом New Era.</t>
  </si>
  <si>
    <t>10145636-NVYWHT M/L  Бейсболка 39THIRTY LEAGUE BASIC NEYYAN NAVY/WHITE синий р. M/L</t>
  </si>
  <si>
    <t>57-60</t>
  </si>
  <si>
    <t>97% Хлопок - 3% Эластан</t>
  </si>
  <si>
    <t>Модель 39THIRTY с логотипом команды MLB NEW YORK YANKEES и логотипом New Era.</t>
  </si>
  <si>
    <t>10145636-NVYWHT S/M  Бейсболка 39THIRTY LEAGUE BASIC NEYYAN NAVY/WHITE синий р. S/M</t>
  </si>
  <si>
    <t>10145637-BLKBLK M/L  Бейсболка 39THIRTY LEAGUE BASIC NEYYAN BLACK/BLACK черный р. M/L</t>
  </si>
  <si>
    <t>10702070/060921/0281005/1</t>
  </si>
  <si>
    <t>10145637-BLKBLK S/M  Бейсболка 39THIRTY LEAGUE BASIC NEYYAN BLACK/BLACK черный р. S/M</t>
  </si>
  <si>
    <t>10145638-BLAWHT M/L  Бейсболка 39THIRTY LEAGUE BASIC NEYYAN BLACK/WHITE черный р. M/L</t>
  </si>
  <si>
    <t>10145638-BLAWHT S/M  Бейсболка 39THIRTY LEAGUE BASIC NEYYAN BLACK/WHITE черный р. S/M</t>
  </si>
  <si>
    <t>10531939-NVYWHI o/s  Бейсболка 940 LEAG BASIC NEYYAN NAVY/WHITE синий р. o/s</t>
  </si>
  <si>
    <t>100% Хлопок</t>
  </si>
  <si>
    <t>Бренд New Era создает кепки, которые не выходят из моды многие годы. Данная модель имеет изогнутый козырек и удобную систему регулировки размера. Хлопок обеспечивает отличную вентиляцию, для лучшего доступа воздуха предусмотрены люверсы на каждом "лепестке".</t>
  </si>
  <si>
    <t>10531941-BLKWHI o/s  Бейсболка 940 LEAG BASIC NEYYAN BLACK/WHITE чёрный р. o/s</t>
  </si>
  <si>
    <t>Отличная базовая бейсболка с объемным логотипом команды MLB New York Yankees. Выполнена из 100% хлопка.</t>
  </si>
  <si>
    <t>10531953-NVYWHI M/L  Бейсболка MLB 9FIFTY NEYYAN TEAM черный р. M/L</t>
  </si>
  <si>
    <t>10531953-NVYWHI S/M  Бейсболка MLB 9FIFTY NEYYAN TEAM черный р. S/M</t>
  </si>
  <si>
    <t>10531954-TEAM M/L  Бейсболка MLB 9FIFTY LOSDOD TEAM синий р. M/L</t>
  </si>
  <si>
    <t>10531954-TEAM S/M  Бейсболка MLB 9FIFTY LOSDOD TEAM синий р. S/M</t>
  </si>
  <si>
    <t>10531956-TEAM M/L  Бейсболка MLB 9FIFTY BOSRED TEAM черный р. M/L</t>
  </si>
  <si>
    <t>Модель 9FIFTY с логотипом команды MLB BOSTON RED и логотипом New Era.</t>
  </si>
  <si>
    <t>10531956-TEAM S/M  Бейсболка MLB 9FIFTY BOSRED TEAM черный р. S/M</t>
  </si>
  <si>
    <t>10879529-BLK M/L  Бейсболка NFL COTTON BLOCK LASRAI GREY/BLACK черный/серый р. M/L</t>
  </si>
  <si>
    <t>10879529-BLK S/M  Бейсболка NFL COTTON BLOCK LASRAI GREY/BLACK черный/серый р. S/M</t>
  </si>
  <si>
    <t>11157578-WHI o/s  Бейсболка FASHION ESS 940 NEYYAN PNKWHI розовый р. o/s</t>
  </si>
  <si>
    <t>Бейсболка модели 9Forty c логотипом команды MLB New York YANKEES и логотипом New Era. Удобная посадка и отличное качество вышивки.</t>
  </si>
  <si>
    <t>женский</t>
  </si>
  <si>
    <t>11157579-LRYWHI o/s  Бейсболка 940 LEAGUE BASIC NEYYAN LRYWHI синий р. o/s</t>
  </si>
  <si>
    <t>11180834-BLKBLK M/L  Бейсболка MLB 9FIFTY NEYYAN BLKBLK черный р. M/L</t>
  </si>
  <si>
    <t>Бейсболка модели 9Fifty с логотипом команды MLB New York Yankees и логотипом New Era. Бейсболка регулируется сзади.</t>
  </si>
  <si>
    <t>11180834-BLKBLK S/M  Бейсболка MLB 9FIFTY NEYYAN BLKBLK черный р. S/M</t>
  </si>
  <si>
    <t>11405497-LRYWHI o/s  Бейсболка CLEAN TRUCKER LOSDOD LRYWHI синий р. o/s</t>
  </si>
  <si>
    <t>Классическая бейсболка-тракер А-силуэта с логотипом клуба LOS ANGELES DODGERS и логотипом New Era.</t>
  </si>
  <si>
    <t>11405614-OTC o/s  Бейсболка THE LEAGUE CHIBUL OTC чёрный р. o/s</t>
  </si>
  <si>
    <t>Модель 9FIFTY с логотипом команды NBA CHICAGO BULLS и логотипом New Era.</t>
  </si>
  <si>
    <t>11576724-NAVY o/s  Бейсболка THE LEAGUE DETTIG HM 18 тёмно-синий р. o/s</t>
  </si>
  <si>
    <t>11579473-BLK o/s  Бейсболка CLEAN TRUCKER NEYYAN WDCBLK камуфляж р. o/s</t>
  </si>
  <si>
    <t>11588488-SCAWHI o/s  Бейсболка CLEAN TRUCKER 2 NEYYAN SCAWHI красный р. o/s</t>
  </si>
  <si>
    <t>11588490-GRAWHI o/s  Бейсболка CLEAN TRUCKER 2 NEYYAN GRAWHI серый р. o/s</t>
  </si>
  <si>
    <t>11871279-. M/L  Бейсболка STRETCH SNAP 9FIFTY NEYYAN BLKOTC чёрный р. M/L</t>
  </si>
  <si>
    <t>95% Полиэстер - 5% Эластан</t>
  </si>
  <si>
    <t>11871279-. S/M  Бейсболка STRETCH SNAP 9FIFTY NEYYAN BLKOTC чёрный р. S/M</t>
  </si>
  <si>
    <t>12051998-MNCBLK o/s  Бейсболка LEAGUE ESSENTIAL 940 NEYYAN MNCBLK камуфляж р. o/s</t>
  </si>
  <si>
    <t>Бейсболка модели 9Forty c эмблемой команды NEW YORK YANKEES и логотипом New Era.</t>
  </si>
  <si>
    <t>12052000-BLK o/s  Бейсболка LEAGUE ESSENTIAL 940 LOSDOD BLKBLK 2 чёрный р. o/s</t>
  </si>
  <si>
    <t>Бейсболка модели 9Forty c эмблемой команды LOS ANGELES DODGERS и логотипом New Era.</t>
  </si>
  <si>
    <t>12122741-BLKWHI o/s  Бейсболка ESSENTIAL 940 WMNS NEYYAN BLKWHI чёрный р. o/s</t>
  </si>
  <si>
    <t>12122742-BLKBLK o/s  Бейсболка ESSENTIAL 940 WMNS NEYYAN BLKBLK чёрный р. o/s</t>
  </si>
  <si>
    <t>12285467-WHI o/s  Бейсболка ESSENTIAL AF TRUCKER NEYYAN WHI белый р. o/s</t>
  </si>
  <si>
    <t>100% хлопок</t>
  </si>
  <si>
    <t>12380590-STN o/s  Бейсболка LEAGUE ESSENTIAL 940 NEYYAN STN 3 бежевый р. o/s</t>
  </si>
  <si>
    <t>12380594-BLK o/s  Бейсболка LEAGUE ESSENTIAL 940 NEYYAN BLK 2 чёрный р. o/s</t>
  </si>
  <si>
    <t>12380796-OTC o/s  Бейсболка TEAM COLOUR BLOCK TRUCKER NEYYAN OTC синий р. o/s</t>
  </si>
  <si>
    <t>12523893-STNWHI o/s  Бейсболка LEAGUE ESSENL 940 AF TRCKR NEYYAN STNWHI бежевый р. o/s</t>
  </si>
  <si>
    <t>12523894-NOVWHI o/s  Бейсболка LEAGUE ESSENL 940 AF TRCKR NEYYAN NOVWHI оливковый р.o/s</t>
  </si>
  <si>
    <t>12523903-WHIWHI o/s  Бейсболка DIAMOND ERA 9FORTY NEYYAN WHIWHI белый р. o/s</t>
  </si>
  <si>
    <t>12523912-BLKBLK o/s  Бейсболка BOB TEAM LOGO 940 AF TRCKR LOSDOD BLKBLK черный р. o/s</t>
  </si>
  <si>
    <t>12572845-OTC 7 1/8  Бейсболка ACPERF EMEA CHIWHI GM 5950 CHIWHI OTC чёрный р. 7 1/8</t>
  </si>
  <si>
    <t>7 1/8</t>
  </si>
  <si>
    <t>80468932-BLK o/s  Бейсболка MLB LEAGUE ESS 940 NEYYAN BLKBLK чёрный р. o/s</t>
  </si>
  <si>
    <t>80489231-GRAPNK o/s  Бейсболка TECH JERSEY 9FORTY WMN NEYYAN GRAPNK серый р. o/s</t>
  </si>
  <si>
    <t>100% полиэстер</t>
  </si>
  <si>
    <t>Женская модель 9Forty c логотипом команды MLB New York YANKEES и логотипом New Era. Удобная посадка и отличное качество вышивки.</t>
  </si>
  <si>
    <t>80524868-WHI o/s  Бейсболка WMN ESSENTIAL 940 NEYYAN WHI белый р. o/s</t>
  </si>
  <si>
    <t>80636012-CARWHI o/s  Бейсболка LEAG ESNL 940 NEYYAN CARWHI тёмно-красный р. o/s</t>
  </si>
  <si>
    <t>Формула</t>
  </si>
  <si>
    <t>TOTHOT</t>
  </si>
  <si>
    <t>PRP</t>
  </si>
  <si>
    <t>LPK</t>
  </si>
  <si>
    <t>GRH</t>
  </si>
  <si>
    <t>NVY</t>
  </si>
  <si>
    <t>NVYRE</t>
  </si>
  <si>
    <t>GRP</t>
  </si>
  <si>
    <t>GRA</t>
  </si>
  <si>
    <t>CAB</t>
  </si>
  <si>
    <t>RED</t>
  </si>
  <si>
    <t>GRBLK</t>
  </si>
  <si>
    <t>DKG</t>
  </si>
  <si>
    <t>GRE</t>
  </si>
  <si>
    <t>SCA</t>
  </si>
  <si>
    <t>ltckgr</t>
  </si>
  <si>
    <t>BLACK</t>
  </si>
  <si>
    <t>GRAWHT</t>
  </si>
  <si>
    <t>7 1/4</t>
  </si>
  <si>
    <t>7 7/8</t>
  </si>
  <si>
    <t>7 3/4</t>
  </si>
  <si>
    <t>7 3/8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</si>
</sst>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0" borderId="0" xfId="0" applyAlignment="1">
      <alignment horizontal="left" vertical="center"/>
    </xf>
    <xf numFmtId="0" fontId="1" fillId="0" borderId="1" xfId="0" applyFont="1" applyBorder="1"/>
    <xf numFmtId="0" fontId="0" fillId="0" borderId="1" xfId="0" applyBorder="1"/>
    <xf numFmtId="0" fontId="2" fillId="0" borderId="1" xfId="0" applyFont="1" applyBorder="1"/>
    <xf numFmtId="0" fontId="1" fillId="3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4" xfId="0" applyFont="1" applyFill="1" applyBorder="1"/>
    <xf numFmtId="0" fontId="1" fillId="2" borderId="5" xfId="0" applyFont="1" applyFill="1" applyBorder="1"/>
    <xf numFmtId="0" fontId="0" fillId="0" borderId="6" xfId="0" applyBorder="1" applyAlignment="1">
      <alignment horizontal="left" vertical="center"/>
    </xf>
    <xf numFmtId="0" fontId="0" fillId="0" borderId="7" xfId="0" applyBorder="1"/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1" fillId="2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1" fontId="1" fillId="3" borderId="5" xfId="0" applyNumberFormat="1" applyFont="1" applyFill="1" applyBorder="1" applyAlignment="1">
      <alignment horizontal="center" vertical="center"/>
    </xf>
    <xf numFmtId="0" fontId="1" fillId="5" borderId="2" xfId="0" applyFont="1" applyFill="1" applyBorder="1"/>
  </cellXfs>
  <cellStyles count="1"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333375</xdr:colOff>
          <xdr:row>1</xdr:row>
          <xdr:rowOff>57150</xdr:rowOff>
        </xdr:from>
        <xdr:to>
          <xdr:col>32</xdr:col>
          <xdr:colOff>114300</xdr:colOff>
          <xdr:row>3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5896E-AED8-46D7-99E5-2E8D359DA3D0}">
  <sheetPr codeName="Лист1">
    <tabColor theme="0" tint="-4.9989318521683403E-2"/>
  </sheetPr>
  <dimension ref="A1:I22"/>
  <sheetViews>
    <sheetView showGridLines="0" tabSelected="1" workbookViewId="0">
      <selection activeCell="K7" sqref="K7"/>
    </sheetView>
  </sheetViews>
  <sheetFormatPr defaultRowHeight="15" x14ac:dyDescent="0.25"/>
  <cols>
    <col min="1" max="1" width="13.28515625" bestFit="1" customWidth="1"/>
    <col min="2" max="2" width="19.42578125" bestFit="1" customWidth="1"/>
    <col min="5" max="5" width="19.42578125" bestFit="1" customWidth="1"/>
    <col min="8" max="8" width="10.28515625" bestFit="1" customWidth="1"/>
    <col min="9" max="9" width="4.85546875" bestFit="1" customWidth="1"/>
  </cols>
  <sheetData>
    <row r="1" spans="1:9" s="1" customFormat="1" x14ac:dyDescent="0.25">
      <c r="A1" s="3" t="s">
        <v>30</v>
      </c>
      <c r="B1" s="3" t="s">
        <v>31</v>
      </c>
      <c r="C1" s="3" t="s">
        <v>32</v>
      </c>
      <c r="E1" s="3" t="s">
        <v>33</v>
      </c>
      <c r="F1" s="3" t="s">
        <v>34</v>
      </c>
      <c r="H1" s="3" t="s">
        <v>35</v>
      </c>
      <c r="I1" s="3" t="s">
        <v>36</v>
      </c>
    </row>
    <row r="2" spans="1:9" x14ac:dyDescent="0.25">
      <c r="A2" s="4" t="s">
        <v>37</v>
      </c>
      <c r="B2" s="4" t="s">
        <v>38</v>
      </c>
      <c r="C2" s="4" t="s">
        <v>39</v>
      </c>
      <c r="E2" s="4" t="s">
        <v>40</v>
      </c>
      <c r="F2" s="4" t="s">
        <v>39</v>
      </c>
      <c r="H2" s="4" t="s">
        <v>41</v>
      </c>
      <c r="I2" s="4">
        <v>60</v>
      </c>
    </row>
    <row r="3" spans="1:9" x14ac:dyDescent="0.25">
      <c r="A3" s="4" t="s">
        <v>42</v>
      </c>
      <c r="B3" s="4" t="s">
        <v>40</v>
      </c>
      <c r="C3" s="4" t="s">
        <v>39</v>
      </c>
      <c r="E3" s="4" t="s">
        <v>38</v>
      </c>
      <c r="F3" s="4" t="s">
        <v>39</v>
      </c>
      <c r="H3" s="4" t="s">
        <v>43</v>
      </c>
      <c r="I3" s="4" t="s">
        <v>8</v>
      </c>
    </row>
    <row r="4" spans="1:9" x14ac:dyDescent="0.25">
      <c r="A4" s="4" t="s">
        <v>44</v>
      </c>
      <c r="B4" s="4" t="s">
        <v>45</v>
      </c>
      <c r="C4" s="4" t="s">
        <v>46</v>
      </c>
      <c r="E4" s="4" t="s">
        <v>45</v>
      </c>
      <c r="F4" s="4" t="s">
        <v>46</v>
      </c>
      <c r="H4" s="4" t="s">
        <v>47</v>
      </c>
      <c r="I4" s="4">
        <v>58</v>
      </c>
    </row>
    <row r="5" spans="1:9" x14ac:dyDescent="0.25">
      <c r="A5" s="4" t="s">
        <v>48</v>
      </c>
      <c r="B5" s="4" t="s">
        <v>49</v>
      </c>
      <c r="C5" s="4" t="s">
        <v>46</v>
      </c>
      <c r="E5" s="4" t="s">
        <v>49</v>
      </c>
      <c r="F5" s="4" t="s">
        <v>46</v>
      </c>
      <c r="H5" s="4" t="s">
        <v>50</v>
      </c>
      <c r="I5" s="4">
        <v>56</v>
      </c>
    </row>
    <row r="6" spans="1:9" x14ac:dyDescent="0.25">
      <c r="A6" s="4" t="s">
        <v>51</v>
      </c>
      <c r="B6" s="4" t="s">
        <v>52</v>
      </c>
      <c r="C6" s="4" t="s">
        <v>39</v>
      </c>
      <c r="E6" s="4" t="s">
        <v>53</v>
      </c>
      <c r="F6" s="4" t="s">
        <v>39</v>
      </c>
      <c r="H6" s="4" t="s">
        <v>54</v>
      </c>
      <c r="I6" s="4">
        <v>60</v>
      </c>
    </row>
    <row r="7" spans="1:9" x14ac:dyDescent="0.25">
      <c r="A7" s="4" t="s">
        <v>55</v>
      </c>
      <c r="B7" s="4" t="s">
        <v>53</v>
      </c>
      <c r="C7" s="4" t="s">
        <v>39</v>
      </c>
      <c r="E7" s="4" t="s">
        <v>56</v>
      </c>
      <c r="F7" s="4" t="s">
        <v>57</v>
      </c>
      <c r="H7" s="4" t="s">
        <v>58</v>
      </c>
      <c r="I7" s="4">
        <v>59</v>
      </c>
    </row>
    <row r="8" spans="1:9" x14ac:dyDescent="0.25">
      <c r="A8" s="4" t="s">
        <v>59</v>
      </c>
      <c r="B8" s="4" t="s">
        <v>60</v>
      </c>
      <c r="C8" s="4" t="s">
        <v>46</v>
      </c>
      <c r="H8" s="4" t="s">
        <v>61</v>
      </c>
      <c r="I8" s="4">
        <v>57</v>
      </c>
    </row>
    <row r="9" spans="1:9" x14ac:dyDescent="0.25">
      <c r="A9" s="4" t="s">
        <v>62</v>
      </c>
      <c r="B9" s="4" t="s">
        <v>63</v>
      </c>
      <c r="C9" s="4" t="s">
        <v>46</v>
      </c>
      <c r="H9" s="4" t="s">
        <v>64</v>
      </c>
      <c r="I9" s="4">
        <v>55</v>
      </c>
    </row>
    <row r="10" spans="1:9" x14ac:dyDescent="0.25">
      <c r="A10" s="4" t="s">
        <v>65</v>
      </c>
      <c r="B10" s="4" t="s">
        <v>66</v>
      </c>
      <c r="C10" s="4" t="s">
        <v>46</v>
      </c>
    </row>
    <row r="11" spans="1:9" x14ac:dyDescent="0.25">
      <c r="A11" s="4" t="s">
        <v>67</v>
      </c>
      <c r="B11" s="4" t="s">
        <v>56</v>
      </c>
      <c r="C11" s="4" t="s">
        <v>57</v>
      </c>
    </row>
    <row r="12" spans="1:9" x14ac:dyDescent="0.25">
      <c r="A12" s="4" t="s">
        <v>68</v>
      </c>
      <c r="B12" s="4" t="s">
        <v>69</v>
      </c>
      <c r="C12" s="4" t="s">
        <v>70</v>
      </c>
    </row>
    <row r="13" spans="1:9" x14ac:dyDescent="0.25">
      <c r="A13" s="4" t="s">
        <v>71</v>
      </c>
      <c r="B13" s="4" t="s">
        <v>72</v>
      </c>
      <c r="C13" s="4" t="s">
        <v>70</v>
      </c>
    </row>
    <row r="14" spans="1:9" x14ac:dyDescent="0.25">
      <c r="A14" s="4" t="s">
        <v>73</v>
      </c>
      <c r="B14" s="4" t="s">
        <v>74</v>
      </c>
      <c r="C14" s="4" t="s">
        <v>57</v>
      </c>
    </row>
    <row r="15" spans="1:9" x14ac:dyDescent="0.25">
      <c r="A15" s="4" t="s">
        <v>75</v>
      </c>
      <c r="B15" s="4" t="s">
        <v>76</v>
      </c>
      <c r="C15" s="4" t="s">
        <v>70</v>
      </c>
    </row>
    <row r="16" spans="1:9" x14ac:dyDescent="0.25">
      <c r="A16" s="4" t="s">
        <v>77</v>
      </c>
      <c r="B16" s="4" t="s">
        <v>78</v>
      </c>
      <c r="C16" s="4" t="s">
        <v>70</v>
      </c>
    </row>
    <row r="17" spans="1:3" x14ac:dyDescent="0.25">
      <c r="A17" s="4" t="s">
        <v>79</v>
      </c>
      <c r="B17" s="4" t="s">
        <v>80</v>
      </c>
      <c r="C17" s="5" t="s">
        <v>81</v>
      </c>
    </row>
    <row r="18" spans="1:3" x14ac:dyDescent="0.25">
      <c r="A18" s="4" t="s">
        <v>82</v>
      </c>
      <c r="B18" s="4" t="s">
        <v>83</v>
      </c>
      <c r="C18" s="5" t="s">
        <v>84</v>
      </c>
    </row>
    <row r="19" spans="1:3" x14ac:dyDescent="0.25">
      <c r="A19" s="4" t="s">
        <v>85</v>
      </c>
      <c r="B19" s="4" t="s">
        <v>86</v>
      </c>
      <c r="C19" s="4" t="s">
        <v>39</v>
      </c>
    </row>
    <row r="20" spans="1:3" x14ac:dyDescent="0.25">
      <c r="A20" s="4" t="s">
        <v>87</v>
      </c>
      <c r="B20" s="4" t="s">
        <v>88</v>
      </c>
      <c r="C20" s="4" t="s">
        <v>39</v>
      </c>
    </row>
    <row r="21" spans="1:3" x14ac:dyDescent="0.25">
      <c r="A21" s="4" t="s">
        <v>89</v>
      </c>
      <c r="B21" s="4" t="s">
        <v>90</v>
      </c>
      <c r="C21" s="4" t="s">
        <v>39</v>
      </c>
    </row>
    <row r="22" spans="1:3" x14ac:dyDescent="0.25">
      <c r="A22" s="4" t="s">
        <v>189</v>
      </c>
      <c r="B22" s="4" t="s">
        <v>76</v>
      </c>
      <c r="C22" s="4" t="s">
        <v>70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58FB4-F2AB-4AE6-B62B-F50433A3610B}">
  <sheetPr codeName="Лист3">
    <tabColor rgb="FFFFFF00"/>
  </sheetPr>
  <dimension ref="A1:S65"/>
  <sheetViews>
    <sheetView showGridLines="0" workbookViewId="0">
      <selection activeCell="F2" sqref="F2"/>
    </sheetView>
  </sheetViews>
  <sheetFormatPr defaultRowHeight="15" x14ac:dyDescent="0.25"/>
  <cols>
    <col min="1" max="1" width="17" style="2" bestFit="1" customWidth="1"/>
    <col min="2" max="2" width="9" style="2" bestFit="1" customWidth="1"/>
    <col min="3" max="3" width="8.85546875" style="2" bestFit="1" customWidth="1"/>
    <col min="4" max="4" width="91.5703125" style="2" bestFit="1" customWidth="1"/>
    <col min="5" max="5" width="6.85546875" style="2" bestFit="1" customWidth="1"/>
    <col min="6" max="6" width="14.42578125" style="2" bestFit="1" customWidth="1"/>
    <col min="7" max="7" width="16.140625" style="2" bestFit="1" customWidth="1"/>
    <col min="8" max="8" width="9.5703125" style="2" customWidth="1"/>
    <col min="9" max="9" width="26.140625" style="2" bestFit="1" customWidth="1"/>
    <col min="10" max="10" width="27" style="2" bestFit="1" customWidth="1"/>
    <col min="11" max="11" width="15.7109375" style="2" customWidth="1"/>
    <col min="12" max="12" width="8.85546875" style="2" bestFit="1" customWidth="1"/>
    <col min="13" max="13" width="8" style="2" bestFit="1" customWidth="1"/>
    <col min="14" max="14" width="13.85546875" style="2" bestFit="1" customWidth="1"/>
    <col min="15" max="15" width="16.140625" style="2" bestFit="1" customWidth="1"/>
    <col min="16" max="16" width="19.42578125" style="2" bestFit="1" customWidth="1"/>
    <col min="17" max="17" width="5.140625" style="2" bestFit="1" customWidth="1"/>
    <col min="18" max="18" width="9" style="2" bestFit="1" customWidth="1"/>
    <col min="19" max="19" width="18.5703125" style="2" bestFit="1" customWidth="1"/>
  </cols>
  <sheetData>
    <row r="1" spans="1:19" s="1" customFormat="1" x14ac:dyDescent="0.25">
      <c r="A1" s="7" t="s">
        <v>0</v>
      </c>
      <c r="B1" s="6" t="s">
        <v>4</v>
      </c>
      <c r="C1" s="6" t="s">
        <v>3</v>
      </c>
      <c r="D1" s="17" t="s">
        <v>92</v>
      </c>
      <c r="E1" s="17" t="s">
        <v>1</v>
      </c>
      <c r="F1" s="17" t="s">
        <v>94</v>
      </c>
      <c r="G1" s="17" t="s">
        <v>95</v>
      </c>
      <c r="H1" s="17" t="s">
        <v>96</v>
      </c>
      <c r="I1" s="17" t="s">
        <v>97</v>
      </c>
      <c r="J1" s="17" t="s">
        <v>98</v>
      </c>
      <c r="K1" s="17" t="s">
        <v>99</v>
      </c>
      <c r="L1" s="17" t="s">
        <v>100</v>
      </c>
      <c r="M1" s="17" t="s">
        <v>5</v>
      </c>
      <c r="N1" s="17" t="s">
        <v>30</v>
      </c>
      <c r="O1" s="7" t="s">
        <v>91</v>
      </c>
      <c r="P1" s="7" t="s">
        <v>101</v>
      </c>
      <c r="Q1" s="7" t="s">
        <v>32</v>
      </c>
      <c r="R1" s="7" t="s">
        <v>102</v>
      </c>
      <c r="S1" s="7" t="s">
        <v>103</v>
      </c>
    </row>
    <row r="2" spans="1:19" x14ac:dyDescent="0.25">
      <c r="A2" s="2" t="str">
        <f t="shared" ref="A2:A65" si="0">B2&amp;C2</f>
        <v>60222356PRP</v>
      </c>
      <c r="B2" s="2">
        <v>60222356</v>
      </c>
      <c r="C2" s="2" t="s">
        <v>190</v>
      </c>
      <c r="D2" s="2" t="s">
        <v>104</v>
      </c>
      <c r="E2" s="2" t="s">
        <v>43</v>
      </c>
      <c r="F2" s="2" t="s">
        <v>8</v>
      </c>
      <c r="G2" s="2" t="s">
        <v>106</v>
      </c>
      <c r="H2" s="2">
        <v>18</v>
      </c>
      <c r="I2" s="2" t="s">
        <v>107</v>
      </c>
      <c r="J2" s="2" t="s">
        <v>108</v>
      </c>
      <c r="L2" s="2" t="s">
        <v>109</v>
      </c>
      <c r="M2" s="2">
        <v>1687.44</v>
      </c>
      <c r="N2" s="2" t="s">
        <v>85</v>
      </c>
      <c r="O2" s="2">
        <f>SUMIF(A:A,A2,R:R)/SUMIF(A:A,A2,H:H)</f>
        <v>1687.44</v>
      </c>
      <c r="P2" s="2" t="str">
        <f>VLOOKUP(N2,Справочник!A:B,2,0)</f>
        <v>Atlanta Braves</v>
      </c>
      <c r="Q2" s="2" t="str">
        <f>VLOOKUP(N2,Справочник!A:C,3,0)</f>
        <v>MLB</v>
      </c>
      <c r="R2" s="2">
        <f>M2*H2</f>
        <v>30373.920000000002</v>
      </c>
      <c r="S2" s="2">
        <f t="shared" ref="S2:S33" si="1">O2*H2</f>
        <v>30373.920000000002</v>
      </c>
    </row>
    <row r="3" spans="1:19" x14ac:dyDescent="0.25">
      <c r="A3" s="2" t="str">
        <f t="shared" si="0"/>
        <v>60222561LPK</v>
      </c>
      <c r="B3" s="2">
        <v>60222561</v>
      </c>
      <c r="C3" s="2" t="s">
        <v>191</v>
      </c>
      <c r="D3" s="2" t="s">
        <v>104</v>
      </c>
      <c r="E3" s="2" t="s">
        <v>43</v>
      </c>
      <c r="F3" s="2" t="s">
        <v>8</v>
      </c>
      <c r="G3" s="2" t="s">
        <v>106</v>
      </c>
      <c r="H3" s="2">
        <v>6</v>
      </c>
      <c r="I3" s="2" t="s">
        <v>107</v>
      </c>
      <c r="J3" s="2" t="s">
        <v>108</v>
      </c>
      <c r="L3" s="2" t="s">
        <v>109</v>
      </c>
      <c r="M3" s="2">
        <v>1442.76</v>
      </c>
      <c r="N3" s="2" t="s">
        <v>85</v>
      </c>
      <c r="O3" s="2">
        <f>SUMIF(A:A,A3,R:R)/SUMIF(A:A,A3,H:H)</f>
        <v>1442.76</v>
      </c>
      <c r="P3" s="2" t="str">
        <f>VLOOKUP(N3,Справочник!A:B,2,0)</f>
        <v>Atlanta Braves</v>
      </c>
      <c r="Q3" s="2" t="str">
        <f>VLOOKUP(N3,Справочник!A:C,3,0)</f>
        <v>MLB</v>
      </c>
      <c r="R3" s="2">
        <f t="shared" ref="R3:R65" si="2">M3*H3</f>
        <v>8656.56</v>
      </c>
      <c r="S3" s="2">
        <f t="shared" si="1"/>
        <v>8656.56</v>
      </c>
    </row>
    <row r="4" spans="1:19" x14ac:dyDescent="0.25">
      <c r="A4" s="2" t="str">
        <f t="shared" si="0"/>
        <v>11180833BLKWHI</v>
      </c>
      <c r="B4" s="2">
        <v>11180833</v>
      </c>
      <c r="C4" s="2" t="s">
        <v>9</v>
      </c>
      <c r="D4" s="2" t="s">
        <v>110</v>
      </c>
      <c r="E4" s="2" t="s">
        <v>50</v>
      </c>
      <c r="F4" s="2" t="s">
        <v>8</v>
      </c>
      <c r="G4" s="2" t="s">
        <v>106</v>
      </c>
      <c r="H4" s="2">
        <v>6</v>
      </c>
      <c r="I4" s="2" t="s">
        <v>107</v>
      </c>
      <c r="J4" s="2" t="s">
        <v>108</v>
      </c>
      <c r="L4" s="2" t="s">
        <v>109</v>
      </c>
      <c r="M4" s="2">
        <v>1442.76</v>
      </c>
      <c r="N4" s="2" t="s">
        <v>55</v>
      </c>
      <c r="O4" s="2">
        <f>SUMIF(A:A,A4,R:R)/SUMIF(A:A,A4,H:H)</f>
        <v>1442.76</v>
      </c>
      <c r="P4" s="2" t="str">
        <f>VLOOKUP(N4,Справочник!A:B,2,0)</f>
        <v>Boston Red Sox</v>
      </c>
      <c r="Q4" s="2" t="str">
        <f>VLOOKUP(N4,Справочник!A:C,3,0)</f>
        <v>MLB</v>
      </c>
      <c r="R4" s="2">
        <f t="shared" si="2"/>
        <v>8656.56</v>
      </c>
      <c r="S4" s="2">
        <f t="shared" si="1"/>
        <v>8656.56</v>
      </c>
    </row>
    <row r="5" spans="1:19" x14ac:dyDescent="0.25">
      <c r="A5" s="2" t="str">
        <f t="shared" si="0"/>
        <v>12523897GRAWHI</v>
      </c>
      <c r="B5" s="2">
        <v>12523897</v>
      </c>
      <c r="C5" s="2" t="s">
        <v>10</v>
      </c>
      <c r="D5" s="2" t="s">
        <v>110</v>
      </c>
      <c r="E5" s="2" t="s">
        <v>43</v>
      </c>
      <c r="F5" s="2" t="s">
        <v>8</v>
      </c>
      <c r="G5" s="2" t="s">
        <v>106</v>
      </c>
      <c r="H5" s="2">
        <v>12</v>
      </c>
      <c r="I5" s="2" t="s">
        <v>107</v>
      </c>
      <c r="J5" s="2" t="s">
        <v>108</v>
      </c>
      <c r="L5" s="2" t="s">
        <v>109</v>
      </c>
      <c r="M5" s="2">
        <v>1349.95</v>
      </c>
      <c r="N5" s="2" t="s">
        <v>55</v>
      </c>
      <c r="O5" s="2">
        <f>SUMIF(A:A,A5,R:R)/SUMIF(A:A,A5,H:H)</f>
        <v>1349.95</v>
      </c>
      <c r="P5" s="2" t="str">
        <f>VLOOKUP(N5,Справочник!A:B,2,0)</f>
        <v>Boston Red Sox</v>
      </c>
      <c r="Q5" s="2" t="str">
        <f>VLOOKUP(N5,Справочник!A:C,3,0)</f>
        <v>MLB</v>
      </c>
      <c r="R5" s="2">
        <f t="shared" si="2"/>
        <v>16199.400000000001</v>
      </c>
      <c r="S5" s="2">
        <f t="shared" si="1"/>
        <v>16199.400000000001</v>
      </c>
    </row>
    <row r="6" spans="1:19" x14ac:dyDescent="0.25">
      <c r="A6" s="2" t="str">
        <f t="shared" si="0"/>
        <v>60222237GRH</v>
      </c>
      <c r="B6" s="2">
        <v>60222237</v>
      </c>
      <c r="C6" s="2" t="s">
        <v>192</v>
      </c>
      <c r="D6" s="2" t="s">
        <v>111</v>
      </c>
      <c r="E6" s="2" t="s">
        <v>43</v>
      </c>
      <c r="F6" s="2" t="s">
        <v>8</v>
      </c>
      <c r="G6" s="2" t="s">
        <v>106</v>
      </c>
      <c r="H6" s="2">
        <v>12</v>
      </c>
      <c r="I6" s="2" t="s">
        <v>107</v>
      </c>
      <c r="J6" s="2" t="s">
        <v>108</v>
      </c>
      <c r="K6" s="2" t="s">
        <v>112</v>
      </c>
      <c r="L6" s="2" t="s">
        <v>109</v>
      </c>
      <c r="M6" s="2">
        <v>1349.95</v>
      </c>
      <c r="N6" s="2" t="s">
        <v>87</v>
      </c>
      <c r="O6" s="2">
        <f>SUMIF(A:A,A6,R:R)/SUMIF(A:A,A6,H:H)</f>
        <v>1349.95</v>
      </c>
      <c r="P6" s="2" t="str">
        <f>VLOOKUP(N6,Справочник!A:B,2,0)</f>
        <v>Chicago White Socks</v>
      </c>
      <c r="Q6" s="2" t="str">
        <f>VLOOKUP(N6,Справочник!A:C,3,0)</f>
        <v>MLB</v>
      </c>
      <c r="R6" s="2">
        <f t="shared" si="2"/>
        <v>16199.400000000001</v>
      </c>
      <c r="S6" s="2">
        <f t="shared" si="1"/>
        <v>16199.400000000001</v>
      </c>
    </row>
    <row r="7" spans="1:19" x14ac:dyDescent="0.25">
      <c r="A7" s="2" t="str">
        <f t="shared" si="0"/>
        <v>60222257NVY</v>
      </c>
      <c r="B7" s="2">
        <v>60222257</v>
      </c>
      <c r="C7" s="2" t="s">
        <v>193</v>
      </c>
      <c r="D7" s="2" t="s">
        <v>111</v>
      </c>
      <c r="E7" s="2" t="s">
        <v>43</v>
      </c>
      <c r="F7" s="2" t="s">
        <v>8</v>
      </c>
      <c r="G7" s="2" t="s">
        <v>106</v>
      </c>
      <c r="H7" s="2">
        <v>6</v>
      </c>
      <c r="I7" s="2" t="s">
        <v>107</v>
      </c>
      <c r="J7" s="2" t="s">
        <v>108</v>
      </c>
      <c r="K7" s="2" t="s">
        <v>112</v>
      </c>
      <c r="L7" s="2" t="s">
        <v>109</v>
      </c>
      <c r="M7" s="2">
        <v>1442.76</v>
      </c>
      <c r="N7" s="2" t="s">
        <v>87</v>
      </c>
      <c r="O7" s="2">
        <f>SUMIF(A:A,A7,R:R)/SUMIF(A:A,A7,H:H)</f>
        <v>1442.76</v>
      </c>
      <c r="P7" s="2" t="str">
        <f>VLOOKUP(N7,Справочник!A:B,2,0)</f>
        <v>Chicago White Socks</v>
      </c>
      <c r="Q7" s="2" t="str">
        <f>VLOOKUP(N7,Справочник!A:C,3,0)</f>
        <v>MLB</v>
      </c>
      <c r="R7" s="2">
        <f t="shared" si="2"/>
        <v>8656.56</v>
      </c>
      <c r="S7" s="2">
        <f t="shared" si="1"/>
        <v>8656.56</v>
      </c>
    </row>
    <row r="8" spans="1:19" x14ac:dyDescent="0.25">
      <c r="A8" s="2" t="str">
        <f t="shared" si="0"/>
        <v>60222275NVYRE</v>
      </c>
      <c r="B8" s="2">
        <v>60222275</v>
      </c>
      <c r="C8" s="2" t="s">
        <v>194</v>
      </c>
      <c r="D8" s="2" t="s">
        <v>113</v>
      </c>
      <c r="E8" s="2" t="s">
        <v>47</v>
      </c>
      <c r="F8" s="2" t="s">
        <v>8</v>
      </c>
      <c r="G8" s="2" t="s">
        <v>106</v>
      </c>
      <c r="H8" s="2">
        <v>24</v>
      </c>
      <c r="I8" s="2" t="s">
        <v>107</v>
      </c>
      <c r="J8" s="2" t="s">
        <v>108</v>
      </c>
      <c r="K8" s="2" t="s">
        <v>114</v>
      </c>
      <c r="L8" s="2" t="s">
        <v>109</v>
      </c>
      <c r="M8" s="2">
        <v>1687.44</v>
      </c>
      <c r="N8" s="2" t="s">
        <v>42</v>
      </c>
      <c r="O8" s="2">
        <f>SUMIF(A:A,A8,R:R)/SUMIF(A:A,A8,H:H)</f>
        <v>1687.4399999999998</v>
      </c>
      <c r="P8" s="2" t="str">
        <f>VLOOKUP(N8,Справочник!A:B,2,0)</f>
        <v>Los Angeles Dodgers</v>
      </c>
      <c r="Q8" s="2" t="str">
        <f>VLOOKUP(N8,Справочник!A:C,3,0)</f>
        <v>MLB</v>
      </c>
      <c r="R8" s="2">
        <f t="shared" si="2"/>
        <v>40498.559999999998</v>
      </c>
      <c r="S8" s="2">
        <f t="shared" si="1"/>
        <v>40498.559999999998</v>
      </c>
    </row>
    <row r="9" spans="1:19" x14ac:dyDescent="0.25">
      <c r="A9" s="2" t="str">
        <f t="shared" si="0"/>
        <v>60222277NVY</v>
      </c>
      <c r="B9" s="2">
        <v>60222277</v>
      </c>
      <c r="C9" s="2" t="s">
        <v>193</v>
      </c>
      <c r="D9" s="2" t="s">
        <v>113</v>
      </c>
      <c r="E9" s="2" t="s">
        <v>43</v>
      </c>
      <c r="F9" s="2" t="s">
        <v>8</v>
      </c>
      <c r="G9" s="2" t="s">
        <v>115</v>
      </c>
      <c r="H9" s="2">
        <v>2</v>
      </c>
      <c r="I9" s="2" t="s">
        <v>116</v>
      </c>
      <c r="J9" s="2" t="s">
        <v>108</v>
      </c>
      <c r="K9" s="2" t="s">
        <v>114</v>
      </c>
      <c r="L9" s="2" t="s">
        <v>109</v>
      </c>
      <c r="M9" s="2">
        <v>1442.76</v>
      </c>
      <c r="N9" s="2" t="s">
        <v>42</v>
      </c>
      <c r="O9" s="2">
        <f>SUMIF(A:A,A9,R:R)/SUMIF(A:A,A9,H:H)</f>
        <v>1442.76</v>
      </c>
      <c r="P9" s="2" t="str">
        <f>VLOOKUP(N9,Справочник!A:B,2,0)</f>
        <v>Los Angeles Dodgers</v>
      </c>
      <c r="Q9" s="2" t="str">
        <f>VLOOKUP(N9,Справочник!A:C,3,0)</f>
        <v>MLB</v>
      </c>
      <c r="R9" s="2">
        <f t="shared" si="2"/>
        <v>2885.52</v>
      </c>
      <c r="S9" s="2">
        <f t="shared" si="1"/>
        <v>2885.52</v>
      </c>
    </row>
    <row r="10" spans="1:19" x14ac:dyDescent="0.25">
      <c r="A10" s="2" t="str">
        <f t="shared" si="0"/>
        <v>60222318GRP</v>
      </c>
      <c r="B10" s="2">
        <v>60222318</v>
      </c>
      <c r="C10" s="2" t="s">
        <v>195</v>
      </c>
      <c r="D10" s="2" t="s">
        <v>117</v>
      </c>
      <c r="E10" s="2" t="s">
        <v>43</v>
      </c>
      <c r="F10" s="2" t="s">
        <v>8</v>
      </c>
      <c r="G10" s="2" t="s">
        <v>106</v>
      </c>
      <c r="H10" s="2">
        <v>20</v>
      </c>
      <c r="I10" s="2" t="s">
        <v>107</v>
      </c>
      <c r="J10" s="2" t="s">
        <v>108</v>
      </c>
      <c r="K10" s="2" t="s">
        <v>118</v>
      </c>
      <c r="L10" s="2" t="s">
        <v>109</v>
      </c>
      <c r="M10" s="2">
        <v>1442.76</v>
      </c>
      <c r="N10" s="2" t="s">
        <v>37</v>
      </c>
      <c r="O10" s="2">
        <f>SUMIF(A:A,A10,R:R)/SUMIF(A:A,A10,H:H)</f>
        <v>1442.76</v>
      </c>
      <c r="P10" s="2" t="str">
        <f>VLOOKUP(N10,Справочник!A:B,2,0)</f>
        <v>New York Yankees</v>
      </c>
      <c r="Q10" s="2" t="str">
        <f>VLOOKUP(N10,Справочник!A:C,3,0)</f>
        <v>MLB</v>
      </c>
      <c r="R10" s="2">
        <f t="shared" si="2"/>
        <v>28855.200000000001</v>
      </c>
      <c r="S10" s="2">
        <f t="shared" si="1"/>
        <v>28855.200000000001</v>
      </c>
    </row>
    <row r="11" spans="1:19" x14ac:dyDescent="0.25">
      <c r="A11" s="2" t="str">
        <f t="shared" si="0"/>
        <v>60222362NVY</v>
      </c>
      <c r="B11" s="2">
        <v>60222362</v>
      </c>
      <c r="C11" s="2" t="s">
        <v>193</v>
      </c>
      <c r="D11" s="2" t="s">
        <v>117</v>
      </c>
      <c r="E11" s="2" t="s">
        <v>47</v>
      </c>
      <c r="F11" s="2" t="s">
        <v>8</v>
      </c>
      <c r="G11" s="2" t="s">
        <v>106</v>
      </c>
      <c r="H11" s="2">
        <v>42</v>
      </c>
      <c r="I11" s="2" t="s">
        <v>107</v>
      </c>
      <c r="J11" s="2" t="s">
        <v>108</v>
      </c>
      <c r="K11" s="2" t="s">
        <v>118</v>
      </c>
      <c r="L11" s="2" t="s">
        <v>109</v>
      </c>
      <c r="M11" s="2">
        <v>1349.95</v>
      </c>
      <c r="N11" s="2" t="s">
        <v>37</v>
      </c>
      <c r="O11" s="2">
        <f>SUMIF(A:A,A11,R:R)/SUMIF(A:A,A11,H:H)</f>
        <v>1361.55125</v>
      </c>
      <c r="P11" s="2" t="str">
        <f>VLOOKUP(N11,Справочник!A:B,2,0)</f>
        <v>New York Yankees</v>
      </c>
      <c r="Q11" s="2" t="str">
        <f>VLOOKUP(N11,Справочник!A:C,3,0)</f>
        <v>MLB</v>
      </c>
      <c r="R11" s="2">
        <f t="shared" si="2"/>
        <v>56697.9</v>
      </c>
      <c r="S11" s="2">
        <f t="shared" si="1"/>
        <v>57185.152499999997</v>
      </c>
    </row>
    <row r="12" spans="1:19" x14ac:dyDescent="0.25">
      <c r="A12" s="2" t="str">
        <f t="shared" si="0"/>
        <v>60222362NVY</v>
      </c>
      <c r="B12" s="2">
        <v>60222362</v>
      </c>
      <c r="C12" s="2" t="s">
        <v>193</v>
      </c>
      <c r="D12" s="2" t="s">
        <v>119</v>
      </c>
      <c r="E12" s="2" t="s">
        <v>50</v>
      </c>
      <c r="F12" s="2" t="s">
        <v>8</v>
      </c>
      <c r="G12" s="2" t="s">
        <v>106</v>
      </c>
      <c r="H12" s="2">
        <v>6</v>
      </c>
      <c r="I12" s="2" t="s">
        <v>107</v>
      </c>
      <c r="J12" s="2" t="s">
        <v>108</v>
      </c>
      <c r="K12" s="2" t="s">
        <v>120</v>
      </c>
      <c r="L12" s="2" t="s">
        <v>109</v>
      </c>
      <c r="M12" s="2">
        <v>1442.76</v>
      </c>
      <c r="N12" s="2" t="s">
        <v>51</v>
      </c>
      <c r="O12" s="2">
        <f>SUMIF(A:A,A12,R:R)/SUMIF(A:A,A12,H:H)</f>
        <v>1361.55125</v>
      </c>
      <c r="P12" s="2" t="str">
        <f>VLOOKUP(N12,Справочник!A:B,2,0)</f>
        <v>Oakland Athletics</v>
      </c>
      <c r="Q12" s="2" t="str">
        <f>VLOOKUP(N12,Справочник!A:C,3,0)</f>
        <v>MLB</v>
      </c>
      <c r="R12" s="2">
        <f t="shared" si="2"/>
        <v>8656.56</v>
      </c>
      <c r="S12" s="2">
        <f t="shared" si="1"/>
        <v>8169.3074999999999</v>
      </c>
    </row>
    <row r="13" spans="1:19" x14ac:dyDescent="0.25">
      <c r="A13" s="2" t="str">
        <f t="shared" si="0"/>
        <v>60221568NVY</v>
      </c>
      <c r="B13" s="2">
        <v>60221568</v>
      </c>
      <c r="C13" s="2" t="s">
        <v>193</v>
      </c>
      <c r="D13" s="2" t="s">
        <v>119</v>
      </c>
      <c r="E13" s="2" t="s">
        <v>47</v>
      </c>
      <c r="F13" s="2" t="s">
        <v>8</v>
      </c>
      <c r="G13" s="2" t="s">
        <v>106</v>
      </c>
      <c r="H13" s="2">
        <v>24</v>
      </c>
      <c r="I13" s="2" t="s">
        <v>107</v>
      </c>
      <c r="J13" s="2" t="s">
        <v>108</v>
      </c>
      <c r="K13" s="2" t="s">
        <v>120</v>
      </c>
      <c r="L13" s="2" t="s">
        <v>109</v>
      </c>
      <c r="M13" s="2">
        <v>1349.95</v>
      </c>
      <c r="N13" s="2" t="s">
        <v>51</v>
      </c>
      <c r="O13" s="2">
        <f>SUMIF(A:A,A13,R:R)/SUMIF(A:A,A13,H:H)</f>
        <v>1360.2622222222224</v>
      </c>
      <c r="P13" s="2" t="str">
        <f>VLOOKUP(N13,Справочник!A:B,2,0)</f>
        <v>Oakland Athletics</v>
      </c>
      <c r="Q13" s="2" t="str">
        <f>VLOOKUP(N13,Справочник!A:C,3,0)</f>
        <v>MLB</v>
      </c>
      <c r="R13" s="2">
        <f t="shared" si="2"/>
        <v>32398.800000000003</v>
      </c>
      <c r="S13" s="2">
        <f t="shared" si="1"/>
        <v>32646.293333333335</v>
      </c>
    </row>
    <row r="14" spans="1:19" x14ac:dyDescent="0.25">
      <c r="A14" s="2" t="str">
        <f t="shared" si="0"/>
        <v>60221568NVY</v>
      </c>
      <c r="B14" s="2">
        <v>60221568</v>
      </c>
      <c r="C14" s="2" t="s">
        <v>193</v>
      </c>
      <c r="D14" s="2" t="s">
        <v>121</v>
      </c>
      <c r="E14" s="2" t="s">
        <v>50</v>
      </c>
      <c r="F14" s="2" t="s">
        <v>8</v>
      </c>
      <c r="G14" s="2" t="s">
        <v>106</v>
      </c>
      <c r="H14" s="2">
        <v>3</v>
      </c>
      <c r="I14" s="2" t="s">
        <v>107</v>
      </c>
      <c r="J14" s="2" t="s">
        <v>108</v>
      </c>
      <c r="K14" s="2" t="s">
        <v>122</v>
      </c>
      <c r="L14" s="2" t="s">
        <v>109</v>
      </c>
      <c r="M14" s="2">
        <v>1442.76</v>
      </c>
      <c r="N14" s="2" t="s">
        <v>89</v>
      </c>
      <c r="O14" s="2">
        <f>SUMIF(A:A,A14,R:R)/SUMIF(A:A,A14,H:H)</f>
        <v>1360.2622222222224</v>
      </c>
      <c r="P14" s="2" t="str">
        <f>VLOOKUP(N14,Справочник!A:B,2,0)</f>
        <v>Pittsburgh Pirates</v>
      </c>
      <c r="Q14" s="2" t="str">
        <f>VLOOKUP(N14,Справочник!A:C,3,0)</f>
        <v>MLB</v>
      </c>
      <c r="R14" s="2">
        <f t="shared" si="2"/>
        <v>4328.28</v>
      </c>
      <c r="S14" s="2">
        <f t="shared" si="1"/>
        <v>4080.7866666666669</v>
      </c>
    </row>
    <row r="15" spans="1:19" x14ac:dyDescent="0.25">
      <c r="A15" s="2" t="str">
        <f t="shared" si="0"/>
        <v>12122725BLK</v>
      </c>
      <c r="B15" s="2">
        <v>12122725</v>
      </c>
      <c r="C15" s="2" t="s">
        <v>12</v>
      </c>
      <c r="D15" s="2" t="s">
        <v>121</v>
      </c>
      <c r="E15" s="2" t="s">
        <v>47</v>
      </c>
      <c r="F15" s="2" t="s">
        <v>8</v>
      </c>
      <c r="G15" s="2" t="s">
        <v>106</v>
      </c>
      <c r="H15" s="2">
        <v>12</v>
      </c>
      <c r="I15" s="2" t="s">
        <v>107</v>
      </c>
      <c r="J15" s="2" t="s">
        <v>108</v>
      </c>
      <c r="K15" s="2" t="s">
        <v>122</v>
      </c>
      <c r="L15" s="2" t="s">
        <v>109</v>
      </c>
      <c r="M15" s="2">
        <v>1349.95</v>
      </c>
      <c r="N15" s="2" t="s">
        <v>89</v>
      </c>
      <c r="O15" s="2">
        <f>SUMIF(A:A,A15,R:R)/SUMIF(A:A,A15,H:H)</f>
        <v>1427.5611111111111</v>
      </c>
      <c r="P15" s="2" t="str">
        <f>VLOOKUP(N15,Справочник!A:B,2,0)</f>
        <v>Pittsburgh Pirates</v>
      </c>
      <c r="Q15" s="2" t="str">
        <f>VLOOKUP(N15,Справочник!A:C,3,0)</f>
        <v>MLB</v>
      </c>
      <c r="R15" s="2">
        <f t="shared" si="2"/>
        <v>16199.400000000001</v>
      </c>
      <c r="S15" s="2">
        <f t="shared" si="1"/>
        <v>17130.733333333334</v>
      </c>
    </row>
    <row r="16" spans="1:19" x14ac:dyDescent="0.25">
      <c r="A16" s="2" t="str">
        <f t="shared" si="0"/>
        <v>12122725BLK</v>
      </c>
      <c r="B16" s="2">
        <v>12122725</v>
      </c>
      <c r="C16" s="2" t="s">
        <v>12</v>
      </c>
      <c r="D16" s="2" t="s">
        <v>123</v>
      </c>
      <c r="E16" s="2" t="s">
        <v>50</v>
      </c>
      <c r="F16" s="2">
        <v>58</v>
      </c>
      <c r="G16" s="2" t="s">
        <v>106</v>
      </c>
      <c r="H16" s="2">
        <v>15</v>
      </c>
      <c r="I16" s="2" t="s">
        <v>107</v>
      </c>
      <c r="J16" s="2" t="s">
        <v>125</v>
      </c>
      <c r="K16" s="2" t="s">
        <v>126</v>
      </c>
      <c r="L16" s="2" t="s">
        <v>109</v>
      </c>
      <c r="M16" s="2">
        <v>1489.65</v>
      </c>
      <c r="N16" s="2" t="s">
        <v>37</v>
      </c>
      <c r="O16" s="2">
        <f>SUMIF(A:A,A16,R:R)/SUMIF(A:A,A16,H:H)</f>
        <v>1427.5611111111111</v>
      </c>
      <c r="P16" s="2" t="str">
        <f>VLOOKUP(N16,Справочник!A:B,2,0)</f>
        <v>New York Yankees</v>
      </c>
      <c r="Q16" s="2" t="str">
        <f>VLOOKUP(N16,Справочник!A:C,3,0)</f>
        <v>MLB</v>
      </c>
      <c r="R16" s="2">
        <f t="shared" si="2"/>
        <v>22344.75</v>
      </c>
      <c r="S16" s="2">
        <f t="shared" si="1"/>
        <v>21413.416666666668</v>
      </c>
    </row>
    <row r="17" spans="1:19" x14ac:dyDescent="0.25">
      <c r="A17" s="2" t="str">
        <f t="shared" si="0"/>
        <v>12503924GRA</v>
      </c>
      <c r="B17" s="2">
        <v>12503924</v>
      </c>
      <c r="C17" s="2" t="s">
        <v>196</v>
      </c>
      <c r="D17" s="2" t="s">
        <v>123</v>
      </c>
      <c r="E17" s="2" t="s">
        <v>43</v>
      </c>
      <c r="F17" s="2">
        <v>58</v>
      </c>
      <c r="G17" s="2" t="s">
        <v>106</v>
      </c>
      <c r="H17" s="2">
        <v>5</v>
      </c>
      <c r="I17" s="2" t="s">
        <v>107</v>
      </c>
      <c r="J17" s="2" t="s">
        <v>125</v>
      </c>
      <c r="K17" s="2" t="s">
        <v>126</v>
      </c>
      <c r="L17" s="2" t="s">
        <v>109</v>
      </c>
      <c r="M17" s="2">
        <v>1592.06</v>
      </c>
      <c r="N17" s="2" t="s">
        <v>37</v>
      </c>
      <c r="O17" s="2">
        <f>SUMIF(A:A,A17,R:R)/SUMIF(A:A,A17,H:H)</f>
        <v>1592.06</v>
      </c>
      <c r="P17" s="2" t="str">
        <f>VLOOKUP(N17,Справочник!A:B,2,0)</f>
        <v>New York Yankees</v>
      </c>
      <c r="Q17" s="2" t="str">
        <f>VLOOKUP(N17,Справочник!A:C,3,0)</f>
        <v>MLB</v>
      </c>
      <c r="R17" s="2">
        <f t="shared" si="2"/>
        <v>7960.2999999999993</v>
      </c>
      <c r="S17" s="2">
        <f t="shared" si="1"/>
        <v>7960.2999999999993</v>
      </c>
    </row>
    <row r="18" spans="1:19" x14ac:dyDescent="0.25">
      <c r="A18" s="2" t="str">
        <f t="shared" si="0"/>
        <v>12503934CAB</v>
      </c>
      <c r="B18" s="2">
        <v>12503934</v>
      </c>
      <c r="C18" s="2" t="s">
        <v>197</v>
      </c>
      <c r="D18" s="2" t="s">
        <v>127</v>
      </c>
      <c r="E18" s="2" t="s">
        <v>43</v>
      </c>
      <c r="F18" s="2">
        <v>56</v>
      </c>
      <c r="G18" s="2" t="s">
        <v>106</v>
      </c>
      <c r="H18" s="2">
        <v>12</v>
      </c>
      <c r="I18" s="2" t="s">
        <v>107</v>
      </c>
      <c r="J18" s="2" t="s">
        <v>125</v>
      </c>
      <c r="K18" s="2" t="s">
        <v>126</v>
      </c>
      <c r="L18" s="2" t="s">
        <v>109</v>
      </c>
      <c r="M18" s="2">
        <v>1489.65</v>
      </c>
      <c r="N18" s="2" t="s">
        <v>37</v>
      </c>
      <c r="O18" s="2">
        <f>SUMIF(A:A,A18,R:R)/SUMIF(A:A,A18,H:H)</f>
        <v>1489.6500000000003</v>
      </c>
      <c r="P18" s="2" t="str">
        <f>VLOOKUP(N18,Справочник!A:B,2,0)</f>
        <v>New York Yankees</v>
      </c>
      <c r="Q18" s="2" t="str">
        <f>VLOOKUP(N18,Справочник!A:C,3,0)</f>
        <v>MLB</v>
      </c>
      <c r="R18" s="2">
        <f t="shared" si="2"/>
        <v>17875.800000000003</v>
      </c>
      <c r="S18" s="2">
        <f t="shared" si="1"/>
        <v>17875.800000000003</v>
      </c>
    </row>
    <row r="19" spans="1:19" x14ac:dyDescent="0.25">
      <c r="A19" s="2" t="str">
        <f t="shared" si="0"/>
        <v>10879530RED</v>
      </c>
      <c r="B19" s="2">
        <v>10879530</v>
      </c>
      <c r="C19" s="2" t="s">
        <v>198</v>
      </c>
      <c r="D19" s="2" t="s">
        <v>127</v>
      </c>
      <c r="E19" s="2" t="s">
        <v>47</v>
      </c>
      <c r="F19" s="2">
        <v>56</v>
      </c>
      <c r="G19" s="2" t="s">
        <v>106</v>
      </c>
      <c r="H19" s="2">
        <v>3</v>
      </c>
      <c r="I19" s="2" t="s">
        <v>107</v>
      </c>
      <c r="J19" s="2" t="s">
        <v>125</v>
      </c>
      <c r="K19" s="2" t="s">
        <v>126</v>
      </c>
      <c r="L19" s="2" t="s">
        <v>109</v>
      </c>
      <c r="M19" s="2">
        <v>1592.06</v>
      </c>
      <c r="N19" s="2" t="s">
        <v>37</v>
      </c>
      <c r="O19" s="2">
        <f>SUMIF(A:A,A19,R:R)/SUMIF(A:A,A19,H:H)</f>
        <v>1592.06</v>
      </c>
      <c r="P19" s="2" t="str">
        <f>VLOOKUP(N19,Справочник!A:B,2,0)</f>
        <v>New York Yankees</v>
      </c>
      <c r="Q19" s="2" t="str">
        <f>VLOOKUP(N19,Справочник!A:C,3,0)</f>
        <v>MLB</v>
      </c>
      <c r="R19" s="2">
        <f t="shared" si="2"/>
        <v>4776.18</v>
      </c>
      <c r="S19" s="2">
        <f t="shared" si="1"/>
        <v>4776.18</v>
      </c>
    </row>
    <row r="20" spans="1:19" x14ac:dyDescent="0.25">
      <c r="A20" s="2" t="str">
        <f t="shared" si="0"/>
        <v>10879530RED</v>
      </c>
      <c r="B20" s="2">
        <v>10879530</v>
      </c>
      <c r="C20" s="2" t="s">
        <v>198</v>
      </c>
      <c r="D20" s="2" t="s">
        <v>128</v>
      </c>
      <c r="E20" s="2" t="s">
        <v>50</v>
      </c>
      <c r="F20" s="2">
        <v>58</v>
      </c>
      <c r="G20" s="2" t="s">
        <v>106</v>
      </c>
      <c r="H20" s="2">
        <v>5</v>
      </c>
      <c r="I20" s="2" t="s">
        <v>129</v>
      </c>
      <c r="J20" s="2" t="s">
        <v>125</v>
      </c>
      <c r="K20" s="2" t="s">
        <v>126</v>
      </c>
      <c r="L20" s="2" t="s">
        <v>109</v>
      </c>
      <c r="M20" s="2">
        <v>1592.06</v>
      </c>
      <c r="N20" s="2" t="s">
        <v>37</v>
      </c>
      <c r="O20" s="2">
        <f>SUMIF(A:A,A20,R:R)/SUMIF(A:A,A20,H:H)</f>
        <v>1592.06</v>
      </c>
      <c r="P20" s="2" t="str">
        <f>VLOOKUP(N20,Справочник!A:B,2,0)</f>
        <v>New York Yankees</v>
      </c>
      <c r="Q20" s="2" t="str">
        <f>VLOOKUP(N20,Справочник!A:C,3,0)</f>
        <v>MLB</v>
      </c>
      <c r="R20" s="2">
        <f t="shared" si="2"/>
        <v>7960.2999999999993</v>
      </c>
      <c r="S20" s="2">
        <f t="shared" si="1"/>
        <v>7960.2999999999993</v>
      </c>
    </row>
    <row r="21" spans="1:19" x14ac:dyDescent="0.25">
      <c r="A21" s="2" t="str">
        <f t="shared" si="0"/>
        <v>11086491BLK</v>
      </c>
      <c r="B21" s="2">
        <v>11086491</v>
      </c>
      <c r="C21" s="2" t="s">
        <v>12</v>
      </c>
      <c r="D21" s="2" t="s">
        <v>128</v>
      </c>
      <c r="E21" s="2" t="s">
        <v>50</v>
      </c>
      <c r="F21" s="2">
        <v>58</v>
      </c>
      <c r="G21" s="2" t="s">
        <v>106</v>
      </c>
      <c r="H21" s="2">
        <v>15</v>
      </c>
      <c r="I21" s="2" t="s">
        <v>107</v>
      </c>
      <c r="J21" s="2" t="s">
        <v>125</v>
      </c>
      <c r="K21" s="2" t="s">
        <v>126</v>
      </c>
      <c r="L21" s="2" t="s">
        <v>109</v>
      </c>
      <c r="M21" s="2">
        <v>1489.65</v>
      </c>
      <c r="N21" s="2" t="s">
        <v>37</v>
      </c>
      <c r="O21" s="2">
        <f>SUMIF(A:A,A21,R:R)/SUMIF(A:A,A21,H:H)</f>
        <v>1489.65</v>
      </c>
      <c r="P21" s="2" t="str">
        <f>VLOOKUP(N21,Справочник!A:B,2,0)</f>
        <v>New York Yankees</v>
      </c>
      <c r="Q21" s="2" t="str">
        <f>VLOOKUP(N21,Справочник!A:C,3,0)</f>
        <v>MLB</v>
      </c>
      <c r="R21" s="2">
        <f t="shared" si="2"/>
        <v>22344.75</v>
      </c>
      <c r="S21" s="2">
        <f t="shared" si="1"/>
        <v>22344.75</v>
      </c>
    </row>
    <row r="22" spans="1:19" x14ac:dyDescent="0.25">
      <c r="A22" s="2" t="str">
        <f t="shared" si="0"/>
        <v>10862335TEAM</v>
      </c>
      <c r="B22" s="2">
        <v>10862335</v>
      </c>
      <c r="C22" s="2" t="s">
        <v>20</v>
      </c>
      <c r="D22" s="2" t="s">
        <v>130</v>
      </c>
      <c r="E22" s="2" t="s">
        <v>54</v>
      </c>
      <c r="F22" s="2">
        <v>56</v>
      </c>
      <c r="G22" s="2" t="s">
        <v>106</v>
      </c>
      <c r="H22" s="2">
        <v>12</v>
      </c>
      <c r="I22" s="2" t="s">
        <v>107</v>
      </c>
      <c r="J22" s="2" t="s">
        <v>125</v>
      </c>
      <c r="K22" s="2" t="s">
        <v>126</v>
      </c>
      <c r="L22" s="2" t="s">
        <v>109</v>
      </c>
      <c r="M22" s="2">
        <v>1489.65</v>
      </c>
      <c r="N22" s="2" t="s">
        <v>37</v>
      </c>
      <c r="O22" s="2">
        <f>SUMIF(A:A,A22,R:R)/SUMIF(A:A,A22,H:H)</f>
        <v>1510.1320000000003</v>
      </c>
      <c r="P22" s="2" t="str">
        <f>VLOOKUP(N22,Справочник!A:B,2,0)</f>
        <v>New York Yankees</v>
      </c>
      <c r="Q22" s="2" t="str">
        <f>VLOOKUP(N22,Справочник!A:C,3,0)</f>
        <v>MLB</v>
      </c>
      <c r="R22" s="2">
        <f t="shared" si="2"/>
        <v>17875.800000000003</v>
      </c>
      <c r="S22" s="2">
        <f t="shared" si="1"/>
        <v>18121.584000000003</v>
      </c>
    </row>
    <row r="23" spans="1:19" x14ac:dyDescent="0.25">
      <c r="A23" s="2" t="str">
        <f t="shared" si="0"/>
        <v>10862335TEAM</v>
      </c>
      <c r="B23" s="2">
        <v>10862335</v>
      </c>
      <c r="C23" s="2" t="s">
        <v>20</v>
      </c>
      <c r="D23" s="2" t="s">
        <v>130</v>
      </c>
      <c r="E23" s="2" t="s">
        <v>206</v>
      </c>
      <c r="F23" s="2">
        <v>56</v>
      </c>
      <c r="G23" s="2" t="s">
        <v>106</v>
      </c>
      <c r="H23" s="2">
        <v>3</v>
      </c>
      <c r="I23" s="2" t="s">
        <v>107</v>
      </c>
      <c r="J23" s="2" t="s">
        <v>125</v>
      </c>
      <c r="K23" s="2" t="s">
        <v>126</v>
      </c>
      <c r="L23" s="2" t="s">
        <v>109</v>
      </c>
      <c r="M23" s="2">
        <v>1592.06</v>
      </c>
      <c r="N23" s="2" t="s">
        <v>37</v>
      </c>
      <c r="O23" s="2">
        <f>SUMIF(A:A,A23,R:R)/SUMIF(A:A,A23,H:H)</f>
        <v>1510.1320000000003</v>
      </c>
      <c r="P23" s="2" t="str">
        <f>VLOOKUP(N23,Справочник!A:B,2,0)</f>
        <v>New York Yankees</v>
      </c>
      <c r="Q23" s="2" t="str">
        <f>VLOOKUP(N23,Справочник!A:C,3,0)</f>
        <v>MLB</v>
      </c>
      <c r="R23" s="2">
        <f t="shared" si="2"/>
        <v>4776.18</v>
      </c>
      <c r="S23" s="2">
        <f t="shared" si="1"/>
        <v>4530.3960000000006</v>
      </c>
    </row>
    <row r="24" spans="1:19" x14ac:dyDescent="0.25">
      <c r="A24" s="2" t="str">
        <f t="shared" si="0"/>
        <v>10862336GRBLK</v>
      </c>
      <c r="B24" s="2">
        <v>10862336</v>
      </c>
      <c r="C24" s="2" t="s">
        <v>199</v>
      </c>
      <c r="D24" s="2" t="s">
        <v>131</v>
      </c>
      <c r="E24" s="2" t="s">
        <v>207</v>
      </c>
      <c r="F24" s="2">
        <v>58</v>
      </c>
      <c r="G24" s="2" t="s">
        <v>106</v>
      </c>
      <c r="H24" s="2">
        <v>6</v>
      </c>
      <c r="I24" s="2" t="s">
        <v>107</v>
      </c>
      <c r="J24" s="2" t="s">
        <v>125</v>
      </c>
      <c r="K24" s="2" t="s">
        <v>126</v>
      </c>
      <c r="L24" s="2" t="s">
        <v>109</v>
      </c>
      <c r="M24" s="2">
        <v>1489.65</v>
      </c>
      <c r="N24" s="2" t="s">
        <v>37</v>
      </c>
      <c r="O24" s="2">
        <f>SUMIF(A:A,A24,R:R)/SUMIF(A:A,A24,H:H)</f>
        <v>1489.65</v>
      </c>
      <c r="P24" s="2" t="str">
        <f>VLOOKUP(N24,Справочник!A:B,2,0)</f>
        <v>New York Yankees</v>
      </c>
      <c r="Q24" s="2" t="str">
        <f>VLOOKUP(N24,Справочник!A:C,3,0)</f>
        <v>MLB</v>
      </c>
      <c r="R24" s="2">
        <f t="shared" si="2"/>
        <v>8937.9000000000015</v>
      </c>
      <c r="S24" s="2">
        <f t="shared" si="1"/>
        <v>8937.9000000000015</v>
      </c>
    </row>
    <row r="25" spans="1:19" x14ac:dyDescent="0.25">
      <c r="A25" s="2" t="str">
        <f t="shared" si="0"/>
        <v>10862336GRBLK</v>
      </c>
      <c r="B25" s="2">
        <v>10862336</v>
      </c>
      <c r="C25" s="2" t="s">
        <v>199</v>
      </c>
      <c r="D25" s="2" t="s">
        <v>132</v>
      </c>
      <c r="E25" s="2">
        <v>8</v>
      </c>
      <c r="F25" s="2">
        <v>56</v>
      </c>
      <c r="G25" s="2" t="s">
        <v>106</v>
      </c>
      <c r="H25" s="2">
        <v>4</v>
      </c>
      <c r="I25" s="2" t="s">
        <v>107</v>
      </c>
      <c r="J25" s="2" t="s">
        <v>125</v>
      </c>
      <c r="K25" s="2" t="s">
        <v>126</v>
      </c>
      <c r="L25" s="2" t="s">
        <v>109</v>
      </c>
      <c r="M25" s="2">
        <v>1489.65</v>
      </c>
      <c r="N25" s="2" t="s">
        <v>37</v>
      </c>
      <c r="O25" s="2">
        <f>SUMIF(A:A,A25,R:R)/SUMIF(A:A,A25,H:H)</f>
        <v>1489.65</v>
      </c>
      <c r="P25" s="2" t="str">
        <f>VLOOKUP(N25,Справочник!A:B,2,0)</f>
        <v>New York Yankees</v>
      </c>
      <c r="Q25" s="2" t="str">
        <f>VLOOKUP(N25,Справочник!A:C,3,0)</f>
        <v>MLB</v>
      </c>
      <c r="R25" s="2">
        <f t="shared" si="2"/>
        <v>5958.6</v>
      </c>
      <c r="S25" s="2">
        <f t="shared" si="1"/>
        <v>5958.6</v>
      </c>
    </row>
    <row r="26" spans="1:19" x14ac:dyDescent="0.25">
      <c r="A26" s="2" t="str">
        <f t="shared" si="0"/>
        <v>11871284BLK</v>
      </c>
      <c r="B26" s="2">
        <v>11871284</v>
      </c>
      <c r="C26" s="2" t="s">
        <v>12</v>
      </c>
      <c r="D26" s="2" t="s">
        <v>133</v>
      </c>
      <c r="E26" s="2" t="s">
        <v>50</v>
      </c>
      <c r="F26" s="2" t="s">
        <v>8</v>
      </c>
      <c r="G26" s="2" t="s">
        <v>106</v>
      </c>
      <c r="H26" s="2">
        <v>31</v>
      </c>
      <c r="I26" s="2" t="s">
        <v>107</v>
      </c>
      <c r="J26" s="2" t="s">
        <v>134</v>
      </c>
      <c r="K26" s="2" t="s">
        <v>135</v>
      </c>
      <c r="L26" s="2" t="s">
        <v>109</v>
      </c>
      <c r="M26" s="2">
        <v>1210.25</v>
      </c>
      <c r="N26" s="2" t="s">
        <v>37</v>
      </c>
      <c r="O26" s="2">
        <f>SUMIF(A:A,A26,R:R)/SUMIF(A:A,A26,H:H)</f>
        <v>1210.25</v>
      </c>
      <c r="P26" s="2" t="str">
        <f>VLOOKUP(N26,Справочник!A:B,2,0)</f>
        <v>New York Yankees</v>
      </c>
      <c r="Q26" s="2" t="str">
        <f>VLOOKUP(N26,Справочник!A:C,3,0)</f>
        <v>MLB</v>
      </c>
      <c r="R26" s="2">
        <f t="shared" si="2"/>
        <v>37517.75</v>
      </c>
      <c r="S26" s="2">
        <f t="shared" si="1"/>
        <v>37517.75</v>
      </c>
    </row>
    <row r="27" spans="1:19" x14ac:dyDescent="0.25">
      <c r="A27" s="2" t="str">
        <f t="shared" si="0"/>
        <v>11901827BLK</v>
      </c>
      <c r="B27" s="2">
        <v>11901827</v>
      </c>
      <c r="C27" s="2" t="s">
        <v>12</v>
      </c>
      <c r="D27" s="2" t="s">
        <v>133</v>
      </c>
      <c r="E27" s="2" t="s">
        <v>47</v>
      </c>
      <c r="F27" s="2" t="s">
        <v>8</v>
      </c>
      <c r="G27" s="2" t="s">
        <v>106</v>
      </c>
      <c r="H27" s="2">
        <v>20</v>
      </c>
      <c r="I27" s="2" t="s">
        <v>107</v>
      </c>
      <c r="J27" s="2" t="s">
        <v>134</v>
      </c>
      <c r="K27" s="2" t="s">
        <v>135</v>
      </c>
      <c r="L27" s="2" t="s">
        <v>109</v>
      </c>
      <c r="M27" s="2">
        <v>1293.46</v>
      </c>
      <c r="N27" s="2" t="s">
        <v>37</v>
      </c>
      <c r="O27" s="2">
        <f>SUMIF(A:A,A27,R:R)/SUMIF(A:A,A27,H:H)</f>
        <v>1293.46</v>
      </c>
      <c r="P27" s="2" t="str">
        <f>VLOOKUP(N27,Справочник!A:B,2,0)</f>
        <v>New York Yankees</v>
      </c>
      <c r="Q27" s="2" t="str">
        <f>VLOOKUP(N27,Справочник!A:C,3,0)</f>
        <v>MLB</v>
      </c>
      <c r="R27" s="2">
        <f t="shared" si="2"/>
        <v>25869.200000000001</v>
      </c>
      <c r="S27" s="2">
        <f t="shared" si="1"/>
        <v>25869.200000000001</v>
      </c>
    </row>
    <row r="28" spans="1:19" x14ac:dyDescent="0.25">
      <c r="A28" s="2" t="str">
        <f t="shared" si="0"/>
        <v>12523910BLKBLK</v>
      </c>
      <c r="B28" s="2">
        <v>12523910</v>
      </c>
      <c r="C28" s="2" t="s">
        <v>6</v>
      </c>
      <c r="D28" s="2" t="s">
        <v>136</v>
      </c>
      <c r="E28" s="2" t="s">
        <v>47</v>
      </c>
      <c r="F28" s="2" t="s">
        <v>8</v>
      </c>
      <c r="G28" s="2" t="s">
        <v>106</v>
      </c>
      <c r="H28" s="2">
        <v>60</v>
      </c>
      <c r="I28" s="2" t="s">
        <v>107</v>
      </c>
      <c r="J28" s="2" t="s">
        <v>134</v>
      </c>
      <c r="K28" s="2" t="s">
        <v>137</v>
      </c>
      <c r="L28" s="2" t="s">
        <v>109</v>
      </c>
      <c r="M28" s="2">
        <v>1210.25</v>
      </c>
      <c r="N28" s="2" t="s">
        <v>37</v>
      </c>
      <c r="O28" s="2">
        <f>SUMIF(A:A,A28,R:R)/SUMIF(A:A,A28,H:H)</f>
        <v>1237.9866666666667</v>
      </c>
      <c r="P28" s="2" t="str">
        <f>VLOOKUP(N28,Справочник!A:B,2,0)</f>
        <v>New York Yankees</v>
      </c>
      <c r="Q28" s="2" t="str">
        <f>VLOOKUP(N28,Справочник!A:C,3,0)</f>
        <v>MLB</v>
      </c>
      <c r="R28" s="2">
        <f t="shared" si="2"/>
        <v>72615</v>
      </c>
      <c r="S28" s="2">
        <f t="shared" si="1"/>
        <v>74279.199999999997</v>
      </c>
    </row>
    <row r="29" spans="1:19" x14ac:dyDescent="0.25">
      <c r="A29" s="2" t="str">
        <f t="shared" si="0"/>
        <v>12523910BLKBLK</v>
      </c>
      <c r="B29" s="2">
        <v>12523910</v>
      </c>
      <c r="C29" s="2" t="s">
        <v>6</v>
      </c>
      <c r="D29" s="2" t="s">
        <v>136</v>
      </c>
      <c r="E29" s="2" t="s">
        <v>50</v>
      </c>
      <c r="F29" s="2" t="s">
        <v>8</v>
      </c>
      <c r="G29" s="2" t="s">
        <v>106</v>
      </c>
      <c r="H29" s="2">
        <v>30</v>
      </c>
      <c r="I29" s="2" t="s">
        <v>107</v>
      </c>
      <c r="J29" s="2" t="s">
        <v>134</v>
      </c>
      <c r="K29" s="2" t="s">
        <v>137</v>
      </c>
      <c r="L29" s="2" t="s">
        <v>109</v>
      </c>
      <c r="M29" s="2">
        <v>1293.46</v>
      </c>
      <c r="N29" s="2" t="s">
        <v>37</v>
      </c>
      <c r="O29" s="2">
        <f>SUMIF(A:A,A29,R:R)/SUMIF(A:A,A29,H:H)</f>
        <v>1237.9866666666667</v>
      </c>
      <c r="P29" s="2" t="str">
        <f>VLOOKUP(N29,Справочник!A:B,2,0)</f>
        <v>New York Yankees</v>
      </c>
      <c r="Q29" s="2" t="str">
        <f>VLOOKUP(N29,Справочник!A:C,3,0)</f>
        <v>MLB</v>
      </c>
      <c r="R29" s="2">
        <f t="shared" si="2"/>
        <v>38803.800000000003</v>
      </c>
      <c r="S29" s="2">
        <f t="shared" si="1"/>
        <v>37139.599999999999</v>
      </c>
    </row>
    <row r="30" spans="1:19" x14ac:dyDescent="0.25">
      <c r="A30" s="2" t="str">
        <f t="shared" si="0"/>
        <v>60222290DKG</v>
      </c>
      <c r="B30" s="2">
        <v>60222290</v>
      </c>
      <c r="C30" s="2" t="s">
        <v>200</v>
      </c>
      <c r="D30" s="2" t="s">
        <v>138</v>
      </c>
      <c r="E30" s="2" t="s">
        <v>47</v>
      </c>
      <c r="F30" s="2">
        <v>58</v>
      </c>
      <c r="G30" s="2" t="s">
        <v>106</v>
      </c>
      <c r="H30" s="2">
        <v>5</v>
      </c>
      <c r="I30" s="2" t="s">
        <v>107</v>
      </c>
      <c r="J30" s="2" t="s">
        <v>134</v>
      </c>
      <c r="L30" s="2" t="s">
        <v>109</v>
      </c>
      <c r="M30" s="2">
        <v>1769.05</v>
      </c>
      <c r="N30" s="2" t="s">
        <v>37</v>
      </c>
      <c r="O30" s="2">
        <f>SUMIF(A:A,A30,R:R)/SUMIF(A:A,A30,H:H)</f>
        <v>1829.86</v>
      </c>
      <c r="P30" s="2" t="str">
        <f>VLOOKUP(N30,Справочник!A:B,2,0)</f>
        <v>New York Yankees</v>
      </c>
      <c r="Q30" s="2" t="str">
        <f>VLOOKUP(N30,Справочник!A:C,3,0)</f>
        <v>MLB</v>
      </c>
      <c r="R30" s="2">
        <f t="shared" si="2"/>
        <v>8845.25</v>
      </c>
      <c r="S30" s="2">
        <f t="shared" si="1"/>
        <v>9149.2999999999993</v>
      </c>
    </row>
    <row r="31" spans="1:19" x14ac:dyDescent="0.25">
      <c r="A31" s="2" t="str">
        <f t="shared" si="0"/>
        <v>60222290DKG</v>
      </c>
      <c r="B31" s="2">
        <v>60222290</v>
      </c>
      <c r="C31" s="2" t="s">
        <v>200</v>
      </c>
      <c r="D31" s="2" t="s">
        <v>138</v>
      </c>
      <c r="E31" s="2" t="s">
        <v>50</v>
      </c>
      <c r="F31" s="2">
        <v>58</v>
      </c>
      <c r="G31" s="2" t="s">
        <v>106</v>
      </c>
      <c r="H31" s="2">
        <v>5</v>
      </c>
      <c r="I31" s="2" t="s">
        <v>107</v>
      </c>
      <c r="J31" s="2" t="s">
        <v>134</v>
      </c>
      <c r="L31" s="2" t="s">
        <v>109</v>
      </c>
      <c r="M31" s="2">
        <v>1890.67</v>
      </c>
      <c r="N31" s="2" t="s">
        <v>37</v>
      </c>
      <c r="O31" s="2">
        <f>SUMIF(A:A,A31,R:R)/SUMIF(A:A,A31,H:H)</f>
        <v>1829.86</v>
      </c>
      <c r="P31" s="2" t="str">
        <f>VLOOKUP(N31,Справочник!A:B,2,0)</f>
        <v>New York Yankees</v>
      </c>
      <c r="Q31" s="2" t="str">
        <f>VLOOKUP(N31,Справочник!A:C,3,0)</f>
        <v>MLB</v>
      </c>
      <c r="R31" s="2">
        <f t="shared" si="2"/>
        <v>9453.35</v>
      </c>
      <c r="S31" s="2">
        <f t="shared" si="1"/>
        <v>9149.2999999999993</v>
      </c>
    </row>
    <row r="32" spans="1:19" x14ac:dyDescent="0.25">
      <c r="A32" s="2" t="str">
        <f t="shared" si="0"/>
        <v>60222367NVY</v>
      </c>
      <c r="B32" s="2">
        <v>60222367</v>
      </c>
      <c r="C32" s="2" t="s">
        <v>193</v>
      </c>
      <c r="D32" s="2" t="s">
        <v>139</v>
      </c>
      <c r="E32" s="2" t="s">
        <v>54</v>
      </c>
      <c r="F32" s="2">
        <v>56</v>
      </c>
      <c r="G32" s="2" t="s">
        <v>106</v>
      </c>
      <c r="H32" s="2">
        <v>4</v>
      </c>
      <c r="I32" s="2" t="s">
        <v>107</v>
      </c>
      <c r="J32" s="2" t="s">
        <v>134</v>
      </c>
      <c r="L32" s="2" t="s">
        <v>109</v>
      </c>
      <c r="M32" s="2">
        <v>1890.67</v>
      </c>
      <c r="N32" s="2" t="s">
        <v>37</v>
      </c>
      <c r="O32" s="2">
        <f>SUMIF(A:A,A32,R:R)/SUMIF(A:A,A32,H:H)</f>
        <v>1824.3318181818183</v>
      </c>
      <c r="P32" s="2" t="str">
        <f>VLOOKUP(N32,Справочник!A:B,2,0)</f>
        <v>New York Yankees</v>
      </c>
      <c r="Q32" s="2" t="str">
        <f>VLOOKUP(N32,Справочник!A:C,3,0)</f>
        <v>MLB</v>
      </c>
      <c r="R32" s="2">
        <f t="shared" si="2"/>
        <v>7562.68</v>
      </c>
      <c r="S32" s="2">
        <f t="shared" si="1"/>
        <v>7297.3272727272733</v>
      </c>
    </row>
    <row r="33" spans="1:19" x14ac:dyDescent="0.25">
      <c r="A33" s="2" t="str">
        <f t="shared" si="0"/>
        <v>60222367NVY</v>
      </c>
      <c r="B33" s="2">
        <v>60222367</v>
      </c>
      <c r="C33" s="2" t="s">
        <v>193</v>
      </c>
      <c r="D33" s="2" t="s">
        <v>139</v>
      </c>
      <c r="E33" s="2" t="s">
        <v>206</v>
      </c>
      <c r="F33" s="2">
        <v>56</v>
      </c>
      <c r="G33" s="2" t="s">
        <v>106</v>
      </c>
      <c r="H33" s="2">
        <v>6</v>
      </c>
      <c r="I33" s="2" t="s">
        <v>107</v>
      </c>
      <c r="J33" s="2" t="s">
        <v>134</v>
      </c>
      <c r="L33" s="2" t="s">
        <v>109</v>
      </c>
      <c r="M33" s="2">
        <v>1769.05</v>
      </c>
      <c r="N33" s="2" t="s">
        <v>37</v>
      </c>
      <c r="O33" s="2">
        <f>SUMIF(A:A,A33,R:R)/SUMIF(A:A,A33,H:H)</f>
        <v>1824.3318181818183</v>
      </c>
      <c r="P33" s="2" t="str">
        <f>VLOOKUP(N33,Справочник!A:B,2,0)</f>
        <v>New York Yankees</v>
      </c>
      <c r="Q33" s="2" t="str">
        <f>VLOOKUP(N33,Справочник!A:C,3,0)</f>
        <v>MLB</v>
      </c>
      <c r="R33" s="2">
        <f t="shared" si="2"/>
        <v>10614.3</v>
      </c>
      <c r="S33" s="2">
        <f t="shared" si="1"/>
        <v>10945.99090909091</v>
      </c>
    </row>
    <row r="34" spans="1:19" x14ac:dyDescent="0.25">
      <c r="A34" s="2" t="str">
        <f t="shared" si="0"/>
        <v>60222367NVY</v>
      </c>
      <c r="B34" s="2">
        <v>60222367</v>
      </c>
      <c r="C34" s="2" t="s">
        <v>193</v>
      </c>
      <c r="D34" s="2" t="s">
        <v>140</v>
      </c>
      <c r="E34" s="2" t="s">
        <v>208</v>
      </c>
      <c r="F34" s="2">
        <v>58</v>
      </c>
      <c r="G34" s="2" t="s">
        <v>106</v>
      </c>
      <c r="H34" s="2">
        <v>1</v>
      </c>
      <c r="I34" s="2" t="s">
        <v>107</v>
      </c>
      <c r="J34" s="2" t="s">
        <v>134</v>
      </c>
      <c r="L34" s="2" t="s">
        <v>109</v>
      </c>
      <c r="M34" s="2">
        <v>1890.67</v>
      </c>
      <c r="N34" s="2" t="s">
        <v>42</v>
      </c>
      <c r="O34" s="2">
        <f>SUMIF(A:A,A34,R:R)/SUMIF(A:A,A34,H:H)</f>
        <v>1824.3318181818183</v>
      </c>
      <c r="P34" s="2" t="str">
        <f>VLOOKUP(N34,Справочник!A:B,2,0)</f>
        <v>Los Angeles Dodgers</v>
      </c>
      <c r="Q34" s="2" t="str">
        <f>VLOOKUP(N34,Справочник!A:C,3,0)</f>
        <v>MLB</v>
      </c>
      <c r="R34" s="2">
        <f t="shared" si="2"/>
        <v>1890.67</v>
      </c>
      <c r="S34" s="2">
        <f t="shared" ref="S34:S65" si="3">O34*H34</f>
        <v>1824.3318181818183</v>
      </c>
    </row>
    <row r="35" spans="1:19" x14ac:dyDescent="0.25">
      <c r="A35" s="2" t="str">
        <f t="shared" si="0"/>
        <v>60222424WHI</v>
      </c>
      <c r="B35" s="2">
        <v>60222424</v>
      </c>
      <c r="C35" s="2" t="s">
        <v>7</v>
      </c>
      <c r="D35" s="2" t="s">
        <v>140</v>
      </c>
      <c r="E35" s="2" t="s">
        <v>43</v>
      </c>
      <c r="F35" s="2">
        <v>58</v>
      </c>
      <c r="G35" s="2" t="s">
        <v>106</v>
      </c>
      <c r="H35" s="2">
        <v>5</v>
      </c>
      <c r="I35" s="2" t="s">
        <v>107</v>
      </c>
      <c r="J35" s="2" t="s">
        <v>134</v>
      </c>
      <c r="L35" s="2" t="s">
        <v>109</v>
      </c>
      <c r="M35" s="2">
        <v>1769.05</v>
      </c>
      <c r="N35" s="2" t="s">
        <v>42</v>
      </c>
      <c r="O35" s="2">
        <f>SUMIF(A:A,A35,R:R)/SUMIF(A:A,A35,H:H)</f>
        <v>1769.05</v>
      </c>
      <c r="P35" s="2" t="str">
        <f>VLOOKUP(N35,Справочник!A:B,2,0)</f>
        <v>Los Angeles Dodgers</v>
      </c>
      <c r="Q35" s="2" t="str">
        <f>VLOOKUP(N35,Справочник!A:C,3,0)</f>
        <v>MLB</v>
      </c>
      <c r="R35" s="2">
        <f t="shared" si="2"/>
        <v>8845.25</v>
      </c>
      <c r="S35" s="2">
        <f t="shared" si="3"/>
        <v>8845.25</v>
      </c>
    </row>
    <row r="36" spans="1:19" x14ac:dyDescent="0.25">
      <c r="A36" s="2" t="str">
        <f t="shared" si="0"/>
        <v>60222529BLK</v>
      </c>
      <c r="B36" s="2">
        <v>60222529</v>
      </c>
      <c r="C36" s="2" t="s">
        <v>12</v>
      </c>
      <c r="D36" s="2" t="s">
        <v>141</v>
      </c>
      <c r="E36" s="2" t="s">
        <v>43</v>
      </c>
      <c r="F36" s="2">
        <v>56</v>
      </c>
      <c r="G36" s="2" t="s">
        <v>106</v>
      </c>
      <c r="H36" s="2">
        <v>5</v>
      </c>
      <c r="I36" s="2" t="s">
        <v>107</v>
      </c>
      <c r="J36" s="2" t="s">
        <v>134</v>
      </c>
      <c r="L36" s="2" t="s">
        <v>109</v>
      </c>
      <c r="M36" s="2">
        <v>1769.05</v>
      </c>
      <c r="N36" s="2" t="s">
        <v>42</v>
      </c>
      <c r="O36" s="2">
        <f>SUMIF(A:A,A36,R:R)/SUMIF(A:A,A36,H:H)</f>
        <v>1769.05</v>
      </c>
      <c r="P36" s="2" t="str">
        <f>VLOOKUP(N36,Справочник!A:B,2,0)</f>
        <v>Los Angeles Dodgers</v>
      </c>
      <c r="Q36" s="2" t="str">
        <f>VLOOKUP(N36,Справочник!A:C,3,0)</f>
        <v>MLB</v>
      </c>
      <c r="R36" s="2">
        <f t="shared" si="2"/>
        <v>8845.25</v>
      </c>
      <c r="S36" s="2">
        <f t="shared" si="3"/>
        <v>8845.25</v>
      </c>
    </row>
    <row r="37" spans="1:19" x14ac:dyDescent="0.25">
      <c r="A37" s="2" t="str">
        <f t="shared" si="0"/>
        <v>60222530GRH</v>
      </c>
      <c r="B37" s="2">
        <v>60222530</v>
      </c>
      <c r="C37" s="2" t="s">
        <v>192</v>
      </c>
      <c r="D37" s="2" t="s">
        <v>142</v>
      </c>
      <c r="E37" s="2">
        <v>7</v>
      </c>
      <c r="F37" s="2">
        <v>58</v>
      </c>
      <c r="G37" s="2" t="s">
        <v>106</v>
      </c>
      <c r="H37" s="2">
        <v>4</v>
      </c>
      <c r="I37" s="2" t="s">
        <v>129</v>
      </c>
      <c r="J37" s="2" t="s">
        <v>134</v>
      </c>
      <c r="K37" s="2" t="s">
        <v>143</v>
      </c>
      <c r="L37" s="2" t="s">
        <v>109</v>
      </c>
      <c r="M37" s="2">
        <v>1890.67</v>
      </c>
      <c r="N37" s="2" t="s">
        <v>55</v>
      </c>
      <c r="O37" s="2">
        <f>SUMIF(A:A,A37,R:R)/SUMIF(A:A,A37,H:H)</f>
        <v>1819.1288235294119</v>
      </c>
      <c r="P37" s="2" t="str">
        <f>VLOOKUP(N37,Справочник!A:B,2,0)</f>
        <v>Boston Red Sox</v>
      </c>
      <c r="Q37" s="2" t="str">
        <f>VLOOKUP(N37,Справочник!A:C,3,0)</f>
        <v>MLB</v>
      </c>
      <c r="R37" s="2">
        <f t="shared" si="2"/>
        <v>7562.68</v>
      </c>
      <c r="S37" s="2">
        <f t="shared" si="3"/>
        <v>7276.5152941176475</v>
      </c>
    </row>
    <row r="38" spans="1:19" x14ac:dyDescent="0.25">
      <c r="A38" s="2" t="str">
        <f t="shared" si="0"/>
        <v>60222530GRH</v>
      </c>
      <c r="B38" s="2">
        <v>60222530</v>
      </c>
      <c r="C38" s="2" t="s">
        <v>192</v>
      </c>
      <c r="D38" s="2" t="s">
        <v>142</v>
      </c>
      <c r="E38" s="2" t="s">
        <v>206</v>
      </c>
      <c r="F38" s="2">
        <v>58</v>
      </c>
      <c r="G38" s="2" t="s">
        <v>106</v>
      </c>
      <c r="H38" s="2">
        <v>6</v>
      </c>
      <c r="I38" s="2" t="s">
        <v>107</v>
      </c>
      <c r="J38" s="2" t="s">
        <v>134</v>
      </c>
      <c r="K38" s="2" t="s">
        <v>143</v>
      </c>
      <c r="L38" s="2" t="s">
        <v>109</v>
      </c>
      <c r="M38" s="2">
        <v>1769.05</v>
      </c>
      <c r="N38" s="2" t="s">
        <v>55</v>
      </c>
      <c r="O38" s="2">
        <f>SUMIF(A:A,A38,R:R)/SUMIF(A:A,A38,H:H)</f>
        <v>1819.1288235294119</v>
      </c>
      <c r="P38" s="2" t="str">
        <f>VLOOKUP(N38,Справочник!A:B,2,0)</f>
        <v>Boston Red Sox</v>
      </c>
      <c r="Q38" s="2" t="str">
        <f>VLOOKUP(N38,Справочник!A:C,3,0)</f>
        <v>MLB</v>
      </c>
      <c r="R38" s="2">
        <f t="shared" si="2"/>
        <v>10614.3</v>
      </c>
      <c r="S38" s="2">
        <f t="shared" si="3"/>
        <v>10914.77294117647</v>
      </c>
    </row>
    <row r="39" spans="1:19" x14ac:dyDescent="0.25">
      <c r="A39" s="2" t="str">
        <f t="shared" si="0"/>
        <v>60222530GRH</v>
      </c>
      <c r="B39" s="2">
        <v>60222530</v>
      </c>
      <c r="C39" s="2" t="s">
        <v>192</v>
      </c>
      <c r="D39" s="2" t="s">
        <v>144</v>
      </c>
      <c r="E39" s="2" t="s">
        <v>181</v>
      </c>
      <c r="F39" s="2">
        <v>56</v>
      </c>
      <c r="G39" s="2" t="s">
        <v>106</v>
      </c>
      <c r="H39" s="2">
        <v>4</v>
      </c>
      <c r="I39" s="2" t="s">
        <v>107</v>
      </c>
      <c r="J39" s="2" t="s">
        <v>134</v>
      </c>
      <c r="K39" s="2" t="s">
        <v>143</v>
      </c>
      <c r="L39" s="2" t="s">
        <v>109</v>
      </c>
      <c r="M39" s="2">
        <v>1769.05</v>
      </c>
      <c r="N39" s="2" t="s">
        <v>55</v>
      </c>
      <c r="O39" s="2">
        <f>SUMIF(A:A,A39,R:R)/SUMIF(A:A,A39,H:H)</f>
        <v>1819.1288235294119</v>
      </c>
      <c r="P39" s="2" t="str">
        <f>VLOOKUP(N39,Справочник!A:B,2,0)</f>
        <v>Boston Red Sox</v>
      </c>
      <c r="Q39" s="2" t="str">
        <f>VLOOKUP(N39,Справочник!A:C,3,0)</f>
        <v>MLB</v>
      </c>
      <c r="R39" s="2">
        <f t="shared" si="2"/>
        <v>7076.2</v>
      </c>
      <c r="S39" s="2">
        <f t="shared" si="3"/>
        <v>7276.5152941176475</v>
      </c>
    </row>
    <row r="40" spans="1:19" x14ac:dyDescent="0.25">
      <c r="A40" s="2" t="str">
        <f t="shared" si="0"/>
        <v>60222530GRH</v>
      </c>
      <c r="B40" s="2">
        <v>60222530</v>
      </c>
      <c r="C40" s="2" t="s">
        <v>192</v>
      </c>
      <c r="D40" s="2" t="s">
        <v>144</v>
      </c>
      <c r="E40" s="2" t="s">
        <v>209</v>
      </c>
      <c r="F40" s="2">
        <v>56</v>
      </c>
      <c r="G40" s="2" t="s">
        <v>106</v>
      </c>
      <c r="H40" s="2">
        <v>3</v>
      </c>
      <c r="I40" s="2" t="s">
        <v>129</v>
      </c>
      <c r="J40" s="2" t="s">
        <v>134</v>
      </c>
      <c r="K40" s="2" t="s">
        <v>143</v>
      </c>
      <c r="L40" s="2" t="s">
        <v>109</v>
      </c>
      <c r="M40" s="2">
        <v>1890.67</v>
      </c>
      <c r="N40" s="2" t="s">
        <v>55</v>
      </c>
      <c r="O40" s="2">
        <f>SUMIF(A:A,A40,R:R)/SUMIF(A:A,A40,H:H)</f>
        <v>1819.1288235294119</v>
      </c>
      <c r="P40" s="2" t="str">
        <f>VLOOKUP(N40,Справочник!A:B,2,0)</f>
        <v>Boston Red Sox</v>
      </c>
      <c r="Q40" s="2" t="str">
        <f>VLOOKUP(N40,Справочник!A:C,3,0)</f>
        <v>MLB</v>
      </c>
      <c r="R40" s="2">
        <f t="shared" si="2"/>
        <v>5672.01</v>
      </c>
      <c r="S40" s="2">
        <f t="shared" si="3"/>
        <v>5457.3864705882352</v>
      </c>
    </row>
    <row r="41" spans="1:19" x14ac:dyDescent="0.25">
      <c r="A41" s="2" t="str">
        <f t="shared" si="0"/>
        <v>60221494GRH</v>
      </c>
      <c r="B41" s="2">
        <v>60221494</v>
      </c>
      <c r="C41" s="2" t="s">
        <v>192</v>
      </c>
      <c r="D41" s="2" t="s">
        <v>145</v>
      </c>
      <c r="E41" s="2" t="s">
        <v>47</v>
      </c>
      <c r="F41" s="2">
        <v>58</v>
      </c>
      <c r="G41" s="2" t="s">
        <v>106</v>
      </c>
      <c r="H41" s="2">
        <v>3</v>
      </c>
      <c r="I41" s="2" t="s">
        <v>107</v>
      </c>
      <c r="J41" s="2" t="s">
        <v>134</v>
      </c>
      <c r="L41" s="2" t="s">
        <v>109</v>
      </c>
      <c r="M41" s="2">
        <v>1769.05</v>
      </c>
      <c r="N41" s="2" t="s">
        <v>67</v>
      </c>
      <c r="O41" s="2">
        <f>SUMIF(A:A,A41,R:R)/SUMIF(A:A,A41,H:H)</f>
        <v>1829.86</v>
      </c>
      <c r="P41" s="2" t="str">
        <f>VLOOKUP(N41,Справочник!A:B,2,0)</f>
        <v>Las Vegas Raiders</v>
      </c>
      <c r="Q41" s="2" t="str">
        <f>VLOOKUP(N41,Справочник!A:C,3,0)</f>
        <v>NFL</v>
      </c>
      <c r="R41" s="2">
        <f t="shared" si="2"/>
        <v>5307.15</v>
      </c>
      <c r="S41" s="2">
        <f t="shared" si="3"/>
        <v>5489.58</v>
      </c>
    </row>
    <row r="42" spans="1:19" x14ac:dyDescent="0.25">
      <c r="A42" s="2" t="str">
        <f t="shared" si="0"/>
        <v>60221494GRH</v>
      </c>
      <c r="B42" s="2">
        <v>60221494</v>
      </c>
      <c r="C42" s="2" t="s">
        <v>192</v>
      </c>
      <c r="D42" s="2" t="s">
        <v>145</v>
      </c>
      <c r="E42" s="2" t="s">
        <v>50</v>
      </c>
      <c r="F42" s="2">
        <v>58</v>
      </c>
      <c r="G42" s="2" t="s">
        <v>106</v>
      </c>
      <c r="H42" s="2">
        <v>3</v>
      </c>
      <c r="I42" s="2" t="s">
        <v>107</v>
      </c>
      <c r="J42" s="2" t="s">
        <v>134</v>
      </c>
      <c r="L42" s="2" t="s">
        <v>109</v>
      </c>
      <c r="M42" s="2">
        <v>1890.67</v>
      </c>
      <c r="N42" s="2" t="s">
        <v>67</v>
      </c>
      <c r="O42" s="2">
        <f>SUMIF(A:A,A42,R:R)/SUMIF(A:A,A42,H:H)</f>
        <v>1829.86</v>
      </c>
      <c r="P42" s="2" t="str">
        <f>VLOOKUP(N42,Справочник!A:B,2,0)</f>
        <v>Las Vegas Raiders</v>
      </c>
      <c r="Q42" s="2" t="str">
        <f>VLOOKUP(N42,Справочник!A:C,3,0)</f>
        <v>NFL</v>
      </c>
      <c r="R42" s="2">
        <f t="shared" si="2"/>
        <v>5672.01</v>
      </c>
      <c r="S42" s="2">
        <f t="shared" si="3"/>
        <v>5489.58</v>
      </c>
    </row>
    <row r="43" spans="1:19" x14ac:dyDescent="0.25">
      <c r="A43" s="2" t="str">
        <f t="shared" si="0"/>
        <v>60221531BLK</v>
      </c>
      <c r="B43" s="2">
        <v>60221531</v>
      </c>
      <c r="C43" s="2" t="s">
        <v>12</v>
      </c>
      <c r="D43" s="2" t="s">
        <v>146</v>
      </c>
      <c r="E43" s="2" t="s">
        <v>43</v>
      </c>
      <c r="F43" s="2">
        <v>56</v>
      </c>
      <c r="G43" s="2" t="s">
        <v>106</v>
      </c>
      <c r="H43" s="2">
        <v>2</v>
      </c>
      <c r="I43" s="2" t="s">
        <v>107</v>
      </c>
      <c r="J43" s="2" t="s">
        <v>134</v>
      </c>
      <c r="L43" s="2" t="s">
        <v>109</v>
      </c>
      <c r="M43" s="2">
        <v>1769.05</v>
      </c>
      <c r="N43" s="2" t="s">
        <v>67</v>
      </c>
      <c r="O43" s="2">
        <f>SUMIF(A:A,A43,R:R)/SUMIF(A:A,A43,H:H)</f>
        <v>1769.05</v>
      </c>
      <c r="P43" s="2" t="str">
        <f>VLOOKUP(N43,Справочник!A:B,2,0)</f>
        <v>Las Vegas Raiders</v>
      </c>
      <c r="Q43" s="2" t="str">
        <f>VLOOKUP(N43,Справочник!A:C,3,0)</f>
        <v>NFL</v>
      </c>
      <c r="R43" s="2">
        <f t="shared" si="2"/>
        <v>3538.1</v>
      </c>
      <c r="S43" s="2">
        <f t="shared" si="3"/>
        <v>3538.1</v>
      </c>
    </row>
    <row r="44" spans="1:19" x14ac:dyDescent="0.25">
      <c r="A44" s="2" t="str">
        <f t="shared" si="0"/>
        <v>10861624TEAM</v>
      </c>
      <c r="B44" s="2">
        <v>10861624</v>
      </c>
      <c r="C44" s="2" t="s">
        <v>20</v>
      </c>
      <c r="D44" s="2" t="s">
        <v>146</v>
      </c>
      <c r="E44" s="2" t="s">
        <v>208</v>
      </c>
      <c r="F44" s="2">
        <v>56</v>
      </c>
      <c r="G44" s="2" t="s">
        <v>106</v>
      </c>
      <c r="H44" s="2">
        <v>2</v>
      </c>
      <c r="I44" s="2" t="s">
        <v>107</v>
      </c>
      <c r="J44" s="2" t="s">
        <v>134</v>
      </c>
      <c r="L44" s="2" t="s">
        <v>109</v>
      </c>
      <c r="M44" s="2">
        <v>1890.67</v>
      </c>
      <c r="N44" s="2" t="s">
        <v>67</v>
      </c>
      <c r="O44" s="2">
        <f>SUMIF(A:A,A44,R:R)/SUMIF(A:A,A44,H:H)</f>
        <v>1464.0914285714284</v>
      </c>
      <c r="P44" s="2" t="str">
        <f>VLOOKUP(N44,Справочник!A:B,2,0)</f>
        <v>Las Vegas Raiders</v>
      </c>
      <c r="Q44" s="2" t="str">
        <f>VLOOKUP(N44,Справочник!A:C,3,0)</f>
        <v>NFL</v>
      </c>
      <c r="R44" s="2">
        <f t="shared" si="2"/>
        <v>3781.34</v>
      </c>
      <c r="S44" s="2">
        <f t="shared" si="3"/>
        <v>2928.1828571428568</v>
      </c>
    </row>
    <row r="45" spans="1:19" x14ac:dyDescent="0.25">
      <c r="A45" s="2" t="str">
        <f t="shared" si="0"/>
        <v>10861624TEAM</v>
      </c>
      <c r="B45" s="2">
        <v>10861624</v>
      </c>
      <c r="C45" s="2" t="s">
        <v>20</v>
      </c>
      <c r="D45" s="2" t="s">
        <v>147</v>
      </c>
      <c r="E45" s="2" t="s">
        <v>209</v>
      </c>
      <c r="F45" s="2" t="s">
        <v>8</v>
      </c>
      <c r="G45" s="2" t="s">
        <v>106</v>
      </c>
      <c r="H45" s="2">
        <v>5</v>
      </c>
      <c r="I45" s="2" t="s">
        <v>107</v>
      </c>
      <c r="J45" s="2" t="s">
        <v>134</v>
      </c>
      <c r="K45" s="2" t="s">
        <v>148</v>
      </c>
      <c r="L45" s="2" t="s">
        <v>149</v>
      </c>
      <c r="M45" s="2">
        <v>1293.46</v>
      </c>
      <c r="N45" s="2" t="s">
        <v>37</v>
      </c>
      <c r="O45" s="2">
        <f>SUMIF(A:A,A45,R:R)/SUMIF(A:A,A45,H:H)</f>
        <v>1464.0914285714284</v>
      </c>
      <c r="P45" s="2" t="str">
        <f>VLOOKUP(N45,Справочник!A:B,2,0)</f>
        <v>New York Yankees</v>
      </c>
      <c r="Q45" s="2" t="str">
        <f>VLOOKUP(N45,Справочник!A:C,3,0)</f>
        <v>MLB</v>
      </c>
      <c r="R45" s="2">
        <f t="shared" si="2"/>
        <v>6467.3</v>
      </c>
      <c r="S45" s="2">
        <f t="shared" si="3"/>
        <v>7320.4571428571417</v>
      </c>
    </row>
    <row r="46" spans="1:19" x14ac:dyDescent="0.25">
      <c r="A46" s="2" t="str">
        <f t="shared" si="0"/>
        <v>12033266LOSDOD</v>
      </c>
      <c r="B46" s="2">
        <v>12033266</v>
      </c>
      <c r="C46" s="2" t="s">
        <v>42</v>
      </c>
      <c r="D46" s="2" t="s">
        <v>147</v>
      </c>
      <c r="E46" s="2" t="s">
        <v>43</v>
      </c>
      <c r="F46" s="2" t="s">
        <v>8</v>
      </c>
      <c r="G46" s="2" t="s">
        <v>106</v>
      </c>
      <c r="H46" s="2">
        <v>5</v>
      </c>
      <c r="I46" s="2" t="s">
        <v>107</v>
      </c>
      <c r="J46" s="2" t="s">
        <v>134</v>
      </c>
      <c r="K46" s="2" t="s">
        <v>148</v>
      </c>
      <c r="L46" s="2" t="s">
        <v>149</v>
      </c>
      <c r="M46" s="2">
        <v>1210.25</v>
      </c>
      <c r="N46" s="2" t="s">
        <v>37</v>
      </c>
      <c r="O46" s="2">
        <f>SUMIF(A:A,A46,R:R)/SUMIF(A:A,A46,H:H)</f>
        <v>1210.25</v>
      </c>
      <c r="P46" s="2" t="str">
        <f>VLOOKUP(N46,Справочник!A:B,2,0)</f>
        <v>New York Yankees</v>
      </c>
      <c r="Q46" s="2" t="str">
        <f>VLOOKUP(N46,Справочник!A:C,3,0)</f>
        <v>MLB</v>
      </c>
      <c r="R46" s="2">
        <f t="shared" si="2"/>
        <v>6051.25</v>
      </c>
      <c r="S46" s="2">
        <f t="shared" si="3"/>
        <v>6051.25</v>
      </c>
    </row>
    <row r="47" spans="1:19" x14ac:dyDescent="0.25">
      <c r="A47" s="2" t="str">
        <f t="shared" si="0"/>
        <v>12033100GRE</v>
      </c>
      <c r="B47" s="2">
        <v>12033100</v>
      </c>
      <c r="C47" s="2" t="s">
        <v>201</v>
      </c>
      <c r="D47" s="2" t="s">
        <v>150</v>
      </c>
      <c r="E47" s="2" t="s">
        <v>43</v>
      </c>
      <c r="F47" s="2" t="s">
        <v>8</v>
      </c>
      <c r="G47" s="2" t="s">
        <v>106</v>
      </c>
      <c r="H47" s="2">
        <v>40</v>
      </c>
      <c r="I47" s="2" t="s">
        <v>107</v>
      </c>
      <c r="J47" s="2" t="s">
        <v>134</v>
      </c>
      <c r="K47" s="2" t="s">
        <v>148</v>
      </c>
      <c r="L47" s="2" t="s">
        <v>109</v>
      </c>
      <c r="M47" s="2">
        <v>1210.25</v>
      </c>
      <c r="N47" s="2" t="s">
        <v>37</v>
      </c>
      <c r="O47" s="2">
        <f>SUMIF(A:A,A47,R:R)/SUMIF(A:A,A47,H:H)</f>
        <v>1210.25</v>
      </c>
      <c r="P47" s="2" t="str">
        <f>VLOOKUP(N47,Справочник!A:B,2,0)</f>
        <v>New York Yankees</v>
      </c>
      <c r="Q47" s="2" t="str">
        <f>VLOOKUP(N47,Справочник!A:C,3,0)</f>
        <v>MLB</v>
      </c>
      <c r="R47" s="2">
        <f t="shared" si="2"/>
        <v>48410</v>
      </c>
      <c r="S47" s="2">
        <f t="shared" si="3"/>
        <v>48410</v>
      </c>
    </row>
    <row r="48" spans="1:19" x14ac:dyDescent="0.25">
      <c r="A48" s="2" t="str">
        <f t="shared" si="0"/>
        <v>12033103BLK</v>
      </c>
      <c r="B48" s="2">
        <v>12033103</v>
      </c>
      <c r="C48" s="2" t="s">
        <v>12</v>
      </c>
      <c r="D48" s="2" t="s">
        <v>150</v>
      </c>
      <c r="E48" s="2" t="s">
        <v>43</v>
      </c>
      <c r="F48" s="2" t="s">
        <v>8</v>
      </c>
      <c r="G48" s="2" t="s">
        <v>106</v>
      </c>
      <c r="H48" s="2">
        <v>10</v>
      </c>
      <c r="I48" s="2" t="s">
        <v>107</v>
      </c>
      <c r="J48" s="2" t="s">
        <v>134</v>
      </c>
      <c r="K48" s="2" t="s">
        <v>148</v>
      </c>
      <c r="L48" s="2" t="s">
        <v>109</v>
      </c>
      <c r="M48" s="2">
        <v>1293.46</v>
      </c>
      <c r="N48" s="2" t="s">
        <v>37</v>
      </c>
      <c r="O48" s="2">
        <f>SUMIF(A:A,A48,R:R)/SUMIF(A:A,A48,H:H)</f>
        <v>1293.46</v>
      </c>
      <c r="P48" s="2" t="str">
        <f>VLOOKUP(N48,Справочник!A:B,2,0)</f>
        <v>New York Yankees</v>
      </c>
      <c r="Q48" s="2" t="str">
        <f>VLOOKUP(N48,Справочник!A:C,3,0)</f>
        <v>MLB</v>
      </c>
      <c r="R48" s="2">
        <f t="shared" si="2"/>
        <v>12934.6</v>
      </c>
      <c r="S48" s="2">
        <f t="shared" si="3"/>
        <v>12934.6</v>
      </c>
    </row>
    <row r="49" spans="1:19" x14ac:dyDescent="0.25">
      <c r="A49" s="2" t="str">
        <f t="shared" si="0"/>
        <v>60102679OTC</v>
      </c>
      <c r="B49" s="2">
        <v>60102679</v>
      </c>
      <c r="C49" s="2" t="s">
        <v>11</v>
      </c>
      <c r="D49" s="2" t="s">
        <v>151</v>
      </c>
      <c r="E49" s="2" t="s">
        <v>43</v>
      </c>
      <c r="F49" s="2">
        <v>58</v>
      </c>
      <c r="G49" s="2" t="s">
        <v>106</v>
      </c>
      <c r="H49" s="2">
        <v>10</v>
      </c>
      <c r="I49" s="2" t="s">
        <v>107</v>
      </c>
      <c r="J49" s="2" t="s">
        <v>134</v>
      </c>
      <c r="K49" s="2" t="s">
        <v>152</v>
      </c>
      <c r="L49" s="2" t="s">
        <v>109</v>
      </c>
      <c r="M49" s="2">
        <v>1769.05</v>
      </c>
      <c r="N49" s="2" t="s">
        <v>37</v>
      </c>
      <c r="O49" s="2">
        <f>SUMIF(A:A,A49,R:R)/SUMIF(A:A,A49,H:H)</f>
        <v>1769.05</v>
      </c>
      <c r="P49" s="2" t="str">
        <f>VLOOKUP(N49,Справочник!A:B,2,0)</f>
        <v>New York Yankees</v>
      </c>
      <c r="Q49" s="2" t="str">
        <f>VLOOKUP(N49,Справочник!A:C,3,0)</f>
        <v>MLB</v>
      </c>
      <c r="R49" s="2">
        <f t="shared" si="2"/>
        <v>17690.5</v>
      </c>
      <c r="S49" s="2">
        <f t="shared" si="3"/>
        <v>17690.5</v>
      </c>
    </row>
    <row r="50" spans="1:19" x14ac:dyDescent="0.25">
      <c r="A50" s="2" t="str">
        <f t="shared" si="0"/>
        <v>60102684OTC</v>
      </c>
      <c r="B50" s="2">
        <v>60102684</v>
      </c>
      <c r="C50" s="2" t="s">
        <v>11</v>
      </c>
      <c r="D50" s="2" t="s">
        <v>151</v>
      </c>
      <c r="E50" s="2" t="s">
        <v>43</v>
      </c>
      <c r="F50" s="2">
        <v>58</v>
      </c>
      <c r="G50" s="2" t="s">
        <v>106</v>
      </c>
      <c r="H50" s="2">
        <v>10</v>
      </c>
      <c r="I50" s="2" t="s">
        <v>107</v>
      </c>
      <c r="J50" s="2" t="s">
        <v>134</v>
      </c>
      <c r="K50" s="2" t="s">
        <v>152</v>
      </c>
      <c r="L50" s="2" t="s">
        <v>109</v>
      </c>
      <c r="M50" s="2">
        <v>1890.67</v>
      </c>
      <c r="N50" s="2" t="s">
        <v>37</v>
      </c>
      <c r="O50" s="2">
        <f>SUMIF(A:A,A50,R:R)/SUMIF(A:A,A50,H:H)</f>
        <v>1890.67</v>
      </c>
      <c r="P50" s="2" t="str">
        <f>VLOOKUP(N50,Справочник!A:B,2,0)</f>
        <v>New York Yankees</v>
      </c>
      <c r="Q50" s="2" t="str">
        <f>VLOOKUP(N50,Справочник!A:C,3,0)</f>
        <v>MLB</v>
      </c>
      <c r="R50" s="2">
        <f t="shared" si="2"/>
        <v>18906.7</v>
      </c>
      <c r="S50" s="2">
        <f t="shared" si="3"/>
        <v>18906.7</v>
      </c>
    </row>
    <row r="51" spans="1:19" x14ac:dyDescent="0.25">
      <c r="A51" s="2" t="str">
        <f t="shared" si="0"/>
        <v>60102856OTC</v>
      </c>
      <c r="B51" s="2">
        <v>60102856</v>
      </c>
      <c r="C51" s="2" t="s">
        <v>11</v>
      </c>
      <c r="D51" s="2" t="s">
        <v>153</v>
      </c>
      <c r="E51" s="2" t="s">
        <v>43</v>
      </c>
      <c r="F51" s="2">
        <v>56</v>
      </c>
      <c r="G51" s="2" t="s">
        <v>106</v>
      </c>
      <c r="H51" s="2">
        <v>6</v>
      </c>
      <c r="I51" s="2" t="s">
        <v>107</v>
      </c>
      <c r="J51" s="2" t="s">
        <v>134</v>
      </c>
      <c r="K51" s="2" t="s">
        <v>152</v>
      </c>
      <c r="L51" s="2" t="s">
        <v>109</v>
      </c>
      <c r="M51" s="2">
        <v>1890.67</v>
      </c>
      <c r="N51" s="2" t="s">
        <v>37</v>
      </c>
      <c r="O51" s="2">
        <f>SUMIF(A:A,A51,R:R)/SUMIF(A:A,A51,H:H)</f>
        <v>1890.67</v>
      </c>
      <c r="P51" s="2" t="str">
        <f>VLOOKUP(N51,Справочник!A:B,2,0)</f>
        <v>New York Yankees</v>
      </c>
      <c r="Q51" s="2" t="str">
        <f>VLOOKUP(N51,Справочник!A:C,3,0)</f>
        <v>MLB</v>
      </c>
      <c r="R51" s="2">
        <f t="shared" si="2"/>
        <v>11344.02</v>
      </c>
      <c r="S51" s="2">
        <f t="shared" si="3"/>
        <v>11344.02</v>
      </c>
    </row>
    <row r="52" spans="1:19" x14ac:dyDescent="0.25">
      <c r="A52" s="2" t="str">
        <f t="shared" si="0"/>
        <v>60102426OTC</v>
      </c>
      <c r="B52" s="2">
        <v>60102426</v>
      </c>
      <c r="C52" s="2" t="s">
        <v>11</v>
      </c>
      <c r="D52" s="2" t="s">
        <v>153</v>
      </c>
      <c r="E52" s="2" t="s">
        <v>43</v>
      </c>
      <c r="F52" s="2">
        <v>56</v>
      </c>
      <c r="G52" s="2" t="s">
        <v>106</v>
      </c>
      <c r="H52" s="2">
        <v>8</v>
      </c>
      <c r="I52" s="2" t="s">
        <v>107</v>
      </c>
      <c r="J52" s="2" t="s">
        <v>134</v>
      </c>
      <c r="K52" s="2" t="s">
        <v>152</v>
      </c>
      <c r="L52" s="2" t="s">
        <v>109</v>
      </c>
      <c r="M52" s="2">
        <v>1769.05</v>
      </c>
      <c r="N52" s="2" t="s">
        <v>37</v>
      </c>
      <c r="O52" s="2">
        <f>SUMIF(A:A,A52,R:R)/SUMIF(A:A,A52,H:H)</f>
        <v>1769.05</v>
      </c>
      <c r="P52" s="2" t="str">
        <f>VLOOKUP(N52,Справочник!A:B,2,0)</f>
        <v>New York Yankees</v>
      </c>
      <c r="Q52" s="2" t="str">
        <f>VLOOKUP(N52,Справочник!A:C,3,0)</f>
        <v>MLB</v>
      </c>
      <c r="R52" s="2">
        <f t="shared" si="2"/>
        <v>14152.4</v>
      </c>
      <c r="S52" s="2">
        <f t="shared" si="3"/>
        <v>14152.4</v>
      </c>
    </row>
    <row r="53" spans="1:19" x14ac:dyDescent="0.25">
      <c r="A53" s="2" t="str">
        <f t="shared" si="0"/>
        <v>10531938SCAWHI</v>
      </c>
      <c r="B53" s="2">
        <v>10531938</v>
      </c>
      <c r="C53" s="2" t="s">
        <v>22</v>
      </c>
      <c r="D53" s="2" t="s">
        <v>154</v>
      </c>
      <c r="E53" s="2" t="s">
        <v>43</v>
      </c>
      <c r="F53" s="2" t="s">
        <v>8</v>
      </c>
      <c r="G53" s="2" t="s">
        <v>106</v>
      </c>
      <c r="H53" s="2">
        <v>8</v>
      </c>
      <c r="I53" s="2" t="s">
        <v>107</v>
      </c>
      <c r="J53" s="2" t="s">
        <v>134</v>
      </c>
      <c r="K53" s="2" t="s">
        <v>155</v>
      </c>
      <c r="L53" s="2" t="s">
        <v>109</v>
      </c>
      <c r="M53" s="2">
        <v>1489.65</v>
      </c>
      <c r="N53" s="2" t="s">
        <v>42</v>
      </c>
      <c r="O53" s="2">
        <f>SUMIF(A:A,A53,R:R)/SUMIF(A:A,A53,H:H)</f>
        <v>1489.65</v>
      </c>
      <c r="P53" s="2" t="str">
        <f>VLOOKUP(N53,Справочник!A:B,2,0)</f>
        <v>Los Angeles Dodgers</v>
      </c>
      <c r="Q53" s="2" t="str">
        <f>VLOOKUP(N53,Справочник!A:C,3,0)</f>
        <v>MLB</v>
      </c>
      <c r="R53" s="2">
        <f t="shared" si="2"/>
        <v>11917.2</v>
      </c>
      <c r="S53" s="2">
        <f t="shared" si="3"/>
        <v>11917.2</v>
      </c>
    </row>
    <row r="54" spans="1:19" x14ac:dyDescent="0.25">
      <c r="A54" s="2" t="str">
        <f t="shared" si="0"/>
        <v>11588489NVYWHI</v>
      </c>
      <c r="B54" s="2">
        <v>11588489</v>
      </c>
      <c r="C54" s="2" t="s">
        <v>19</v>
      </c>
      <c r="D54" s="2" t="s">
        <v>154</v>
      </c>
      <c r="E54" s="2" t="s">
        <v>43</v>
      </c>
      <c r="F54" s="2" t="s">
        <v>8</v>
      </c>
      <c r="G54" s="2" t="s">
        <v>106</v>
      </c>
      <c r="H54" s="2">
        <v>7</v>
      </c>
      <c r="I54" s="2" t="s">
        <v>107</v>
      </c>
      <c r="J54" s="2" t="s">
        <v>134</v>
      </c>
      <c r="K54" s="2" t="s">
        <v>155</v>
      </c>
      <c r="L54" s="2" t="s">
        <v>109</v>
      </c>
      <c r="M54" s="2">
        <v>1592.06</v>
      </c>
      <c r="N54" s="2" t="s">
        <v>42</v>
      </c>
      <c r="O54" s="2">
        <f>SUMIF(A:A,A54,R:R)/SUMIF(A:A,A54,H:H)</f>
        <v>1592.06</v>
      </c>
      <c r="P54" s="2" t="str">
        <f>VLOOKUP(N54,Справочник!A:B,2,0)</f>
        <v>Los Angeles Dodgers</v>
      </c>
      <c r="Q54" s="2" t="str">
        <f>VLOOKUP(N54,Справочник!A:C,3,0)</f>
        <v>MLB</v>
      </c>
      <c r="R54" s="2">
        <f t="shared" si="2"/>
        <v>11144.42</v>
      </c>
      <c r="S54" s="2">
        <f t="shared" si="3"/>
        <v>11144.42</v>
      </c>
    </row>
    <row r="55" spans="1:19" x14ac:dyDescent="0.25">
      <c r="A55" s="2" t="str">
        <f t="shared" si="0"/>
        <v>11198849GRA</v>
      </c>
      <c r="B55" s="2">
        <v>11198849</v>
      </c>
      <c r="C55" s="2" t="s">
        <v>196</v>
      </c>
      <c r="D55" s="2" t="s">
        <v>156</v>
      </c>
      <c r="E55" s="2" t="s">
        <v>43</v>
      </c>
      <c r="F55" s="2" t="s">
        <v>8</v>
      </c>
      <c r="G55" s="2" t="s">
        <v>106</v>
      </c>
      <c r="H55" s="2">
        <v>8</v>
      </c>
      <c r="I55" s="2" t="s">
        <v>107</v>
      </c>
      <c r="J55" s="2" t="s">
        <v>108</v>
      </c>
      <c r="K55" s="2" t="s">
        <v>157</v>
      </c>
      <c r="L55" s="2" t="s">
        <v>109</v>
      </c>
      <c r="M55" s="2">
        <v>1442.76</v>
      </c>
      <c r="N55" s="2" t="s">
        <v>44</v>
      </c>
      <c r="O55" s="2">
        <f>SUMIF(A:A,A55,R:R)/SUMIF(A:A,A55,H:H)</f>
        <v>1442.76</v>
      </c>
      <c r="P55" s="2" t="str">
        <f>VLOOKUP(N55,Справочник!A:B,2,0)</f>
        <v>Chicago Bulls</v>
      </c>
      <c r="Q55" s="2" t="str">
        <f>VLOOKUP(N55,Справочник!A:C,3,0)</f>
        <v>NBA</v>
      </c>
      <c r="R55" s="2">
        <f t="shared" si="2"/>
        <v>11542.08</v>
      </c>
      <c r="S55" s="2">
        <f t="shared" si="3"/>
        <v>11542.08</v>
      </c>
    </row>
    <row r="56" spans="1:19" x14ac:dyDescent="0.25">
      <c r="A56" s="2" t="str">
        <f t="shared" si="0"/>
        <v>12503535SCA</v>
      </c>
      <c r="B56" s="2">
        <v>12503535</v>
      </c>
      <c r="C56" s="2" t="s">
        <v>202</v>
      </c>
      <c r="D56" s="2" t="s">
        <v>156</v>
      </c>
      <c r="E56" s="2" t="s">
        <v>43</v>
      </c>
      <c r="F56" s="2" t="s">
        <v>8</v>
      </c>
      <c r="G56" s="2" t="s">
        <v>106</v>
      </c>
      <c r="H56" s="2">
        <v>2</v>
      </c>
      <c r="I56" s="2" t="s">
        <v>107</v>
      </c>
      <c r="J56" s="2" t="s">
        <v>108</v>
      </c>
      <c r="K56" s="2" t="s">
        <v>157</v>
      </c>
      <c r="L56" s="2" t="s">
        <v>109</v>
      </c>
      <c r="M56" s="2">
        <v>1349.95</v>
      </c>
      <c r="N56" s="2" t="s">
        <v>44</v>
      </c>
      <c r="O56" s="2">
        <f>SUMIF(A:A,A56,R:R)/SUMIF(A:A,A56,H:H)</f>
        <v>1349.95</v>
      </c>
      <c r="P56" s="2" t="str">
        <f>VLOOKUP(N56,Справочник!A:B,2,0)</f>
        <v>Chicago Bulls</v>
      </c>
      <c r="Q56" s="2" t="str">
        <f>VLOOKUP(N56,Справочник!A:C,3,0)</f>
        <v>NBA</v>
      </c>
      <c r="R56" s="2">
        <f t="shared" si="2"/>
        <v>2699.9</v>
      </c>
      <c r="S56" s="2">
        <f t="shared" si="3"/>
        <v>2699.9</v>
      </c>
    </row>
    <row r="57" spans="1:19" x14ac:dyDescent="0.25">
      <c r="A57" s="2" t="str">
        <f t="shared" si="0"/>
        <v>60142978ltckgr</v>
      </c>
      <c r="B57" s="2">
        <v>60142978</v>
      </c>
      <c r="C57" s="2" t="s">
        <v>203</v>
      </c>
      <c r="D57" s="2" t="s">
        <v>158</v>
      </c>
      <c r="E57" s="2" t="s">
        <v>43</v>
      </c>
      <c r="F57" s="2" t="s">
        <v>8</v>
      </c>
      <c r="G57" s="2" t="s">
        <v>106</v>
      </c>
      <c r="H57" s="2">
        <v>4</v>
      </c>
      <c r="I57" s="2" t="s">
        <v>107</v>
      </c>
      <c r="J57" s="2" t="s">
        <v>108</v>
      </c>
      <c r="L57" s="2" t="s">
        <v>109</v>
      </c>
      <c r="M57" s="2">
        <v>1442.76</v>
      </c>
      <c r="O57" s="2">
        <f>SUMIF(A:A,A57,R:R)/SUMIF(A:A,A57,H:H)</f>
        <v>1442.76</v>
      </c>
      <c r="R57" s="2">
        <f t="shared" si="2"/>
        <v>5771.04</v>
      </c>
      <c r="S57" s="2">
        <f t="shared" si="3"/>
        <v>5771.04</v>
      </c>
    </row>
    <row r="58" spans="1:19" x14ac:dyDescent="0.25">
      <c r="A58" s="2" t="str">
        <f t="shared" si="0"/>
        <v>60143388BLK</v>
      </c>
      <c r="B58" s="2">
        <v>60143388</v>
      </c>
      <c r="C58" s="2" t="s">
        <v>12</v>
      </c>
      <c r="D58" s="2" t="s">
        <v>158</v>
      </c>
      <c r="E58" s="2" t="s">
        <v>43</v>
      </c>
      <c r="F58" s="2" t="s">
        <v>8</v>
      </c>
      <c r="G58" s="2" t="s">
        <v>106</v>
      </c>
      <c r="H58" s="2">
        <v>8</v>
      </c>
      <c r="I58" s="2" t="s">
        <v>107</v>
      </c>
      <c r="J58" s="2" t="s">
        <v>108</v>
      </c>
      <c r="L58" s="2" t="s">
        <v>109</v>
      </c>
      <c r="M58" s="2">
        <v>1349.95</v>
      </c>
      <c r="O58" s="2">
        <f>SUMIF(A:A,A58,R:R)/SUMIF(A:A,A58,H:H)</f>
        <v>1349.95</v>
      </c>
      <c r="R58" s="2">
        <f t="shared" si="2"/>
        <v>10799.6</v>
      </c>
      <c r="S58" s="2">
        <f t="shared" si="3"/>
        <v>10799.6</v>
      </c>
    </row>
    <row r="59" spans="1:19" x14ac:dyDescent="0.25">
      <c r="A59" s="2" t="str">
        <f t="shared" si="0"/>
        <v>11213222BLK</v>
      </c>
      <c r="B59" s="2">
        <v>11213222</v>
      </c>
      <c r="C59" s="2" t="s">
        <v>12</v>
      </c>
      <c r="D59" s="2" t="s">
        <v>159</v>
      </c>
      <c r="E59" s="2" t="s">
        <v>43</v>
      </c>
      <c r="F59" s="2" t="s">
        <v>8</v>
      </c>
      <c r="G59" s="2" t="s">
        <v>106</v>
      </c>
      <c r="H59" s="2">
        <v>4</v>
      </c>
      <c r="I59" s="2" t="s">
        <v>107</v>
      </c>
      <c r="J59" s="2" t="s">
        <v>134</v>
      </c>
      <c r="L59" s="2" t="s">
        <v>109</v>
      </c>
      <c r="M59" s="2">
        <v>1691.6</v>
      </c>
      <c r="N59" s="2" t="s">
        <v>37</v>
      </c>
      <c r="O59" s="2">
        <f>SUMIF(A:A,A59,R:R)/SUMIF(A:A,A59,H:H)</f>
        <v>1691.6</v>
      </c>
      <c r="P59" s="2" t="str">
        <f>VLOOKUP(N59,Справочник!A:B,2,0)</f>
        <v>New York Yankees</v>
      </c>
      <c r="Q59" s="2" t="str">
        <f>VLOOKUP(N59,Справочник!A:C,3,0)</f>
        <v>MLB</v>
      </c>
      <c r="R59" s="2">
        <f t="shared" si="2"/>
        <v>6766.4</v>
      </c>
      <c r="S59" s="2">
        <f t="shared" si="3"/>
        <v>6766.4</v>
      </c>
    </row>
    <row r="60" spans="1:19" x14ac:dyDescent="0.25">
      <c r="A60" s="2" t="str">
        <f t="shared" si="0"/>
        <v>11405495BLK</v>
      </c>
      <c r="B60" s="2">
        <v>11405495</v>
      </c>
      <c r="C60" s="2" t="s">
        <v>12</v>
      </c>
      <c r="D60" s="2" t="s">
        <v>159</v>
      </c>
      <c r="E60" s="2" t="s">
        <v>47</v>
      </c>
      <c r="F60" s="2" t="s">
        <v>8</v>
      </c>
      <c r="G60" s="2" t="s">
        <v>106</v>
      </c>
      <c r="H60" s="2">
        <v>32</v>
      </c>
      <c r="I60" s="2" t="s">
        <v>107</v>
      </c>
      <c r="J60" s="2" t="s">
        <v>134</v>
      </c>
      <c r="L60" s="2" t="s">
        <v>109</v>
      </c>
      <c r="M60" s="2">
        <v>1582.78</v>
      </c>
      <c r="N60" s="2" t="s">
        <v>37</v>
      </c>
      <c r="O60" s="2">
        <f>SUMIF(A:A,A60,R:R)/SUMIF(A:A,A60,H:H)</f>
        <v>1582.78</v>
      </c>
      <c r="P60" s="2" t="str">
        <f>VLOOKUP(N60,Справочник!A:B,2,0)</f>
        <v>New York Yankees</v>
      </c>
      <c r="Q60" s="2" t="str">
        <f>VLOOKUP(N60,Справочник!A:C,3,0)</f>
        <v>MLB</v>
      </c>
      <c r="R60" s="2">
        <f t="shared" si="2"/>
        <v>50648.959999999999</v>
      </c>
      <c r="S60" s="2">
        <f t="shared" si="3"/>
        <v>50648.959999999999</v>
      </c>
    </row>
    <row r="61" spans="1:19" x14ac:dyDescent="0.25">
      <c r="A61" s="2" t="str">
        <f t="shared" si="0"/>
        <v>12503527BLACK</v>
      </c>
      <c r="B61" s="2">
        <v>12503527</v>
      </c>
      <c r="C61" s="2" t="s">
        <v>204</v>
      </c>
      <c r="D61" s="2" t="s">
        <v>160</v>
      </c>
      <c r="E61" s="2" t="s">
        <v>50</v>
      </c>
      <c r="F61" s="2" t="s">
        <v>8</v>
      </c>
      <c r="G61" s="2" t="s">
        <v>106</v>
      </c>
      <c r="H61" s="2">
        <v>2</v>
      </c>
      <c r="I61" s="2" t="s">
        <v>107</v>
      </c>
      <c r="J61" s="2" t="s">
        <v>134</v>
      </c>
      <c r="L61" s="2" t="s">
        <v>109</v>
      </c>
      <c r="M61" s="2">
        <v>1592.06</v>
      </c>
      <c r="N61" s="2" t="s">
        <v>37</v>
      </c>
      <c r="O61" s="2">
        <f>SUMIF(A:A,A61,R:R)/SUMIF(A:A,A61,H:H)</f>
        <v>1592.06</v>
      </c>
      <c r="P61" s="2" t="str">
        <f>VLOOKUP(N61,Справочник!A:B,2,0)</f>
        <v>New York Yankees</v>
      </c>
      <c r="Q61" s="2" t="str">
        <f>VLOOKUP(N61,Справочник!A:C,3,0)</f>
        <v>MLB</v>
      </c>
      <c r="R61" s="2">
        <f t="shared" si="2"/>
        <v>3184.12</v>
      </c>
      <c r="S61" s="2">
        <f t="shared" si="3"/>
        <v>3184.12</v>
      </c>
    </row>
    <row r="62" spans="1:19" x14ac:dyDescent="0.25">
      <c r="A62" s="2" t="str">
        <f t="shared" si="0"/>
        <v>12503546BLK</v>
      </c>
      <c r="B62" s="2">
        <v>12503546</v>
      </c>
      <c r="C62" s="2" t="s">
        <v>12</v>
      </c>
      <c r="D62" s="2" t="s">
        <v>160</v>
      </c>
      <c r="E62" s="2" t="s">
        <v>50</v>
      </c>
      <c r="F62" s="2" t="s">
        <v>8</v>
      </c>
      <c r="G62" s="2" t="s">
        <v>106</v>
      </c>
      <c r="H62" s="2">
        <v>4</v>
      </c>
      <c r="I62" s="2" t="s">
        <v>107</v>
      </c>
      <c r="J62" s="2" t="s">
        <v>134</v>
      </c>
      <c r="L62" s="2" t="s">
        <v>109</v>
      </c>
      <c r="M62" s="2">
        <v>1489.65</v>
      </c>
      <c r="N62" s="2" t="s">
        <v>37</v>
      </c>
      <c r="O62" s="2">
        <f>SUMIF(A:A,A62,R:R)/SUMIF(A:A,A62,H:H)</f>
        <v>1489.65</v>
      </c>
      <c r="P62" s="2" t="str">
        <f>VLOOKUP(N62,Справочник!A:B,2,0)</f>
        <v>New York Yankees</v>
      </c>
      <c r="Q62" s="2" t="str">
        <f>VLOOKUP(N62,Справочник!A:C,3,0)</f>
        <v>MLB</v>
      </c>
      <c r="R62" s="2">
        <f t="shared" si="2"/>
        <v>5958.6</v>
      </c>
      <c r="S62" s="2">
        <f t="shared" si="3"/>
        <v>5958.6</v>
      </c>
    </row>
    <row r="63" spans="1:19" x14ac:dyDescent="0.25">
      <c r="A63" s="2" t="str">
        <f t="shared" si="0"/>
        <v>11448335BLK</v>
      </c>
      <c r="B63" s="2">
        <v>11448335</v>
      </c>
      <c r="C63" s="2" t="s">
        <v>12</v>
      </c>
      <c r="D63" s="2" t="s">
        <v>161</v>
      </c>
      <c r="E63" s="2" t="s">
        <v>43</v>
      </c>
      <c r="F63" s="2" t="s">
        <v>8</v>
      </c>
      <c r="G63" s="2" t="s">
        <v>106</v>
      </c>
      <c r="H63" s="2">
        <v>10</v>
      </c>
      <c r="I63" s="2" t="s">
        <v>107</v>
      </c>
      <c r="J63" s="2" t="s">
        <v>134</v>
      </c>
      <c r="L63" s="2" t="s">
        <v>109</v>
      </c>
      <c r="M63" s="2">
        <v>1489.65</v>
      </c>
      <c r="N63" s="2" t="s">
        <v>37</v>
      </c>
      <c r="O63" s="2">
        <f>SUMIF(A:A,A63,R:R)/SUMIF(A:A,A63,H:H)</f>
        <v>1489.65</v>
      </c>
      <c r="P63" s="2" t="str">
        <f>VLOOKUP(N63,Справочник!A:B,2,0)</f>
        <v>New York Yankees</v>
      </c>
      <c r="Q63" s="2" t="str">
        <f>VLOOKUP(N63,Справочник!A:C,3,0)</f>
        <v>MLB</v>
      </c>
      <c r="R63" s="2">
        <f t="shared" si="2"/>
        <v>14896.5</v>
      </c>
      <c r="S63" s="2">
        <f t="shared" si="3"/>
        <v>14896.5</v>
      </c>
    </row>
    <row r="64" spans="1:19" x14ac:dyDescent="0.25">
      <c r="A64" s="2" t="str">
        <f t="shared" si="0"/>
        <v>11074364GRA</v>
      </c>
      <c r="B64" s="2">
        <v>11074364</v>
      </c>
      <c r="C64" s="2" t="s">
        <v>196</v>
      </c>
      <c r="D64" s="2" t="s">
        <v>161</v>
      </c>
      <c r="E64" s="2" t="s">
        <v>43</v>
      </c>
      <c r="F64" s="2" t="s">
        <v>8</v>
      </c>
      <c r="G64" s="2" t="s">
        <v>106</v>
      </c>
      <c r="H64" s="2">
        <v>7</v>
      </c>
      <c r="I64" s="2" t="s">
        <v>107</v>
      </c>
      <c r="J64" s="2" t="s">
        <v>134</v>
      </c>
      <c r="L64" s="2" t="s">
        <v>109</v>
      </c>
      <c r="M64" s="2">
        <v>1592.06</v>
      </c>
      <c r="N64" s="2" t="s">
        <v>37</v>
      </c>
      <c r="O64" s="2">
        <f>SUMIF(A:A,A64,R:R)/SUMIF(A:A,A64,H:H)</f>
        <v>1592.06</v>
      </c>
      <c r="P64" s="2" t="str">
        <f>VLOOKUP(N64,Справочник!A:B,2,0)</f>
        <v>New York Yankees</v>
      </c>
      <c r="Q64" s="2" t="str">
        <f>VLOOKUP(N64,Справочник!A:C,3,0)</f>
        <v>MLB</v>
      </c>
      <c r="R64" s="2">
        <f t="shared" si="2"/>
        <v>11144.42</v>
      </c>
      <c r="S64" s="2">
        <f t="shared" si="3"/>
        <v>11144.42</v>
      </c>
    </row>
    <row r="65" spans="1:19" x14ac:dyDescent="0.25">
      <c r="A65" s="2" t="str">
        <f t="shared" si="0"/>
        <v>12489434GRAWHT</v>
      </c>
      <c r="B65" s="2">
        <v>12489434</v>
      </c>
      <c r="C65" s="2" t="s">
        <v>205</v>
      </c>
      <c r="D65" s="2" t="s">
        <v>162</v>
      </c>
      <c r="E65" s="2" t="s">
        <v>43</v>
      </c>
      <c r="F65" s="2">
        <v>58</v>
      </c>
      <c r="G65" s="2" t="s">
        <v>106</v>
      </c>
      <c r="H65" s="2">
        <v>9</v>
      </c>
      <c r="I65" s="2" t="s">
        <v>107</v>
      </c>
      <c r="J65" s="2" t="s">
        <v>163</v>
      </c>
      <c r="L65" s="2" t="s">
        <v>109</v>
      </c>
      <c r="M65" s="2">
        <v>1769.05</v>
      </c>
      <c r="N65" s="2" t="s">
        <v>37</v>
      </c>
      <c r="O65" s="2">
        <f>SUMIF(A:A,A65,R:R)/SUMIF(A:A,A65,H:H)</f>
        <v>1769.05</v>
      </c>
      <c r="P65" s="2" t="str">
        <f>VLOOKUP(N65,Справочник!A:B,2,0)</f>
        <v>New York Yankees</v>
      </c>
      <c r="Q65" s="2" t="str">
        <f>VLOOKUP(N65,Справочник!A:C,3,0)</f>
        <v>MLB</v>
      </c>
      <c r="R65" s="2">
        <f t="shared" si="2"/>
        <v>15921.449999999999</v>
      </c>
      <c r="S65" s="2">
        <f t="shared" si="3"/>
        <v>15921.449999999999</v>
      </c>
    </row>
  </sheetData>
  <autoFilter ref="A1:M65" xr:uid="{4F2EB173-0EDC-4F0F-9B37-5860C9D8972C}"/>
  <conditionalFormatting sqref="A1:A1048576">
    <cfRule type="duplicateValues" dxfId="0" priority="3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7F24A-E13E-47B6-8553-86BABA76D193}">
  <sheetPr codeName="Лист4">
    <tabColor theme="7" tint="0.39997558519241921"/>
  </sheetPr>
  <dimension ref="A1:B99"/>
  <sheetViews>
    <sheetView workbookViewId="0">
      <selection activeCell="A26" sqref="A26"/>
    </sheetView>
  </sheetViews>
  <sheetFormatPr defaultRowHeight="15" x14ac:dyDescent="0.25"/>
  <cols>
    <col min="1" max="1" width="96" bestFit="1" customWidth="1"/>
    <col min="2" max="2" width="19.7109375" customWidth="1"/>
  </cols>
  <sheetData>
    <row r="1" spans="1:2" x14ac:dyDescent="0.25">
      <c r="A1" t="s">
        <v>92</v>
      </c>
      <c r="B1" t="s">
        <v>30</v>
      </c>
    </row>
    <row r="2" spans="1:2" x14ac:dyDescent="0.25">
      <c r="A2" t="s">
        <v>104</v>
      </c>
      <c r="B2" t="s">
        <v>85</v>
      </c>
    </row>
    <row r="3" spans="1:2" x14ac:dyDescent="0.25">
      <c r="A3" t="s">
        <v>104</v>
      </c>
      <c r="B3" t="s">
        <v>85</v>
      </c>
    </row>
    <row r="4" spans="1:2" x14ac:dyDescent="0.25">
      <c r="A4" t="s">
        <v>110</v>
      </c>
      <c r="B4" t="s">
        <v>55</v>
      </c>
    </row>
    <row r="5" spans="1:2" x14ac:dyDescent="0.25">
      <c r="A5" t="s">
        <v>110</v>
      </c>
      <c r="B5" t="s">
        <v>55</v>
      </c>
    </row>
    <row r="6" spans="1:2" x14ac:dyDescent="0.25">
      <c r="A6" t="s">
        <v>111</v>
      </c>
      <c r="B6" t="s">
        <v>87</v>
      </c>
    </row>
    <row r="7" spans="1:2" x14ac:dyDescent="0.25">
      <c r="A7" t="s">
        <v>111</v>
      </c>
      <c r="B7" t="s">
        <v>87</v>
      </c>
    </row>
    <row r="8" spans="1:2" x14ac:dyDescent="0.25">
      <c r="A8" t="s">
        <v>113</v>
      </c>
      <c r="B8" t="s">
        <v>42</v>
      </c>
    </row>
    <row r="9" spans="1:2" x14ac:dyDescent="0.25">
      <c r="A9" t="s">
        <v>113</v>
      </c>
      <c r="B9" t="s">
        <v>42</v>
      </c>
    </row>
    <row r="10" spans="1:2" x14ac:dyDescent="0.25">
      <c r="A10" t="s">
        <v>117</v>
      </c>
      <c r="B10" t="s">
        <v>37</v>
      </c>
    </row>
    <row r="11" spans="1:2" x14ac:dyDescent="0.25">
      <c r="A11" t="s">
        <v>117</v>
      </c>
      <c r="B11" t="s">
        <v>37</v>
      </c>
    </row>
    <row r="12" spans="1:2" x14ac:dyDescent="0.25">
      <c r="A12" t="s">
        <v>119</v>
      </c>
      <c r="B12" t="s">
        <v>51</v>
      </c>
    </row>
    <row r="13" spans="1:2" x14ac:dyDescent="0.25">
      <c r="A13" t="s">
        <v>119</v>
      </c>
      <c r="B13" t="s">
        <v>51</v>
      </c>
    </row>
    <row r="14" spans="1:2" x14ac:dyDescent="0.25">
      <c r="A14" t="s">
        <v>121</v>
      </c>
      <c r="B14" t="s">
        <v>89</v>
      </c>
    </row>
    <row r="15" spans="1:2" x14ac:dyDescent="0.25">
      <c r="A15" t="s">
        <v>121</v>
      </c>
      <c r="B15" t="s">
        <v>89</v>
      </c>
    </row>
    <row r="16" spans="1:2" x14ac:dyDescent="0.25">
      <c r="A16" t="s">
        <v>123</v>
      </c>
      <c r="B16" t="s">
        <v>37</v>
      </c>
    </row>
    <row r="17" spans="1:2" x14ac:dyDescent="0.25">
      <c r="A17" t="s">
        <v>123</v>
      </c>
      <c r="B17" t="s">
        <v>37</v>
      </c>
    </row>
    <row r="18" spans="1:2" x14ac:dyDescent="0.25">
      <c r="A18" t="s">
        <v>127</v>
      </c>
      <c r="B18" t="s">
        <v>37</v>
      </c>
    </row>
    <row r="19" spans="1:2" x14ac:dyDescent="0.25">
      <c r="A19" t="s">
        <v>127</v>
      </c>
      <c r="B19" t="s">
        <v>37</v>
      </c>
    </row>
    <row r="20" spans="1:2" x14ac:dyDescent="0.25">
      <c r="A20" t="s">
        <v>128</v>
      </c>
      <c r="B20" t="s">
        <v>37</v>
      </c>
    </row>
    <row r="21" spans="1:2" x14ac:dyDescent="0.25">
      <c r="A21" t="s">
        <v>128</v>
      </c>
      <c r="B21" t="s">
        <v>37</v>
      </c>
    </row>
    <row r="22" spans="1:2" x14ac:dyDescent="0.25">
      <c r="A22" t="s">
        <v>130</v>
      </c>
      <c r="B22" t="s">
        <v>37</v>
      </c>
    </row>
    <row r="23" spans="1:2" x14ac:dyDescent="0.25">
      <c r="A23" t="s">
        <v>130</v>
      </c>
      <c r="B23" t="s">
        <v>37</v>
      </c>
    </row>
    <row r="24" spans="1:2" x14ac:dyDescent="0.25">
      <c r="A24" t="s">
        <v>131</v>
      </c>
      <c r="B24" t="s">
        <v>37</v>
      </c>
    </row>
    <row r="25" spans="1:2" x14ac:dyDescent="0.25">
      <c r="A25" t="s">
        <v>132</v>
      </c>
      <c r="B25" t="s">
        <v>37</v>
      </c>
    </row>
    <row r="26" spans="1:2" x14ac:dyDescent="0.25">
      <c r="A26" t="s">
        <v>133</v>
      </c>
      <c r="B26" t="s">
        <v>37</v>
      </c>
    </row>
    <row r="27" spans="1:2" x14ac:dyDescent="0.25">
      <c r="A27" t="s">
        <v>133</v>
      </c>
      <c r="B27" t="s">
        <v>37</v>
      </c>
    </row>
    <row r="28" spans="1:2" x14ac:dyDescent="0.25">
      <c r="A28" t="s">
        <v>136</v>
      </c>
      <c r="B28" t="s">
        <v>37</v>
      </c>
    </row>
    <row r="29" spans="1:2" x14ac:dyDescent="0.25">
      <c r="A29" t="s">
        <v>136</v>
      </c>
      <c r="B29" t="s">
        <v>37</v>
      </c>
    </row>
    <row r="30" spans="1:2" x14ac:dyDescent="0.25">
      <c r="A30" t="s">
        <v>138</v>
      </c>
      <c r="B30" t="s">
        <v>37</v>
      </c>
    </row>
    <row r="31" spans="1:2" x14ac:dyDescent="0.25">
      <c r="A31" t="s">
        <v>138</v>
      </c>
      <c r="B31" t="s">
        <v>37</v>
      </c>
    </row>
    <row r="32" spans="1:2" x14ac:dyDescent="0.25">
      <c r="A32" t="s">
        <v>139</v>
      </c>
      <c r="B32" t="s">
        <v>37</v>
      </c>
    </row>
    <row r="33" spans="1:2" x14ac:dyDescent="0.25">
      <c r="A33" t="s">
        <v>139</v>
      </c>
      <c r="B33" t="s">
        <v>37</v>
      </c>
    </row>
    <row r="34" spans="1:2" x14ac:dyDescent="0.25">
      <c r="A34" t="s">
        <v>140</v>
      </c>
      <c r="B34" t="s">
        <v>42</v>
      </c>
    </row>
    <row r="35" spans="1:2" x14ac:dyDescent="0.25">
      <c r="A35" t="s">
        <v>140</v>
      </c>
      <c r="B35" t="s">
        <v>42</v>
      </c>
    </row>
    <row r="36" spans="1:2" x14ac:dyDescent="0.25">
      <c r="A36" t="s">
        <v>141</v>
      </c>
      <c r="B36" t="s">
        <v>42</v>
      </c>
    </row>
    <row r="37" spans="1:2" x14ac:dyDescent="0.25">
      <c r="A37" t="s">
        <v>142</v>
      </c>
      <c r="B37" t="s">
        <v>55</v>
      </c>
    </row>
    <row r="38" spans="1:2" x14ac:dyDescent="0.25">
      <c r="A38" t="s">
        <v>142</v>
      </c>
      <c r="B38" t="s">
        <v>55</v>
      </c>
    </row>
    <row r="39" spans="1:2" x14ac:dyDescent="0.25">
      <c r="A39" t="s">
        <v>144</v>
      </c>
      <c r="B39" t="s">
        <v>55</v>
      </c>
    </row>
    <row r="40" spans="1:2" x14ac:dyDescent="0.25">
      <c r="A40" t="s">
        <v>144</v>
      </c>
      <c r="B40" t="s">
        <v>55</v>
      </c>
    </row>
    <row r="41" spans="1:2" x14ac:dyDescent="0.25">
      <c r="A41" t="s">
        <v>145</v>
      </c>
      <c r="B41" t="s">
        <v>67</v>
      </c>
    </row>
    <row r="42" spans="1:2" x14ac:dyDescent="0.25">
      <c r="A42" t="s">
        <v>145</v>
      </c>
      <c r="B42" t="s">
        <v>67</v>
      </c>
    </row>
    <row r="43" spans="1:2" x14ac:dyDescent="0.25">
      <c r="A43" t="s">
        <v>146</v>
      </c>
      <c r="B43" t="s">
        <v>67</v>
      </c>
    </row>
    <row r="44" spans="1:2" x14ac:dyDescent="0.25">
      <c r="A44" t="s">
        <v>146</v>
      </c>
      <c r="B44" t="s">
        <v>67</v>
      </c>
    </row>
    <row r="45" spans="1:2" x14ac:dyDescent="0.25">
      <c r="A45" t="s">
        <v>147</v>
      </c>
      <c r="B45" t="s">
        <v>37</v>
      </c>
    </row>
    <row r="46" spans="1:2" x14ac:dyDescent="0.25">
      <c r="A46" t="s">
        <v>147</v>
      </c>
      <c r="B46" t="s">
        <v>37</v>
      </c>
    </row>
    <row r="47" spans="1:2" x14ac:dyDescent="0.25">
      <c r="A47" t="s">
        <v>150</v>
      </c>
      <c r="B47" t="s">
        <v>37</v>
      </c>
    </row>
    <row r="48" spans="1:2" x14ac:dyDescent="0.25">
      <c r="A48" t="s">
        <v>150</v>
      </c>
      <c r="B48" t="s">
        <v>37</v>
      </c>
    </row>
    <row r="49" spans="1:2" x14ac:dyDescent="0.25">
      <c r="A49" t="s">
        <v>151</v>
      </c>
      <c r="B49" t="s">
        <v>37</v>
      </c>
    </row>
    <row r="50" spans="1:2" x14ac:dyDescent="0.25">
      <c r="A50" t="s">
        <v>151</v>
      </c>
      <c r="B50" t="s">
        <v>37</v>
      </c>
    </row>
    <row r="51" spans="1:2" x14ac:dyDescent="0.25">
      <c r="A51" t="s">
        <v>153</v>
      </c>
      <c r="B51" t="s">
        <v>37</v>
      </c>
    </row>
    <row r="52" spans="1:2" x14ac:dyDescent="0.25">
      <c r="A52" t="s">
        <v>153</v>
      </c>
      <c r="B52" t="s">
        <v>37</v>
      </c>
    </row>
    <row r="53" spans="1:2" x14ac:dyDescent="0.25">
      <c r="A53" t="s">
        <v>154</v>
      </c>
      <c r="B53" t="s">
        <v>42</v>
      </c>
    </row>
    <row r="54" spans="1:2" x14ac:dyDescent="0.25">
      <c r="A54" t="s">
        <v>154</v>
      </c>
      <c r="B54" t="s">
        <v>42</v>
      </c>
    </row>
    <row r="55" spans="1:2" x14ac:dyDescent="0.25">
      <c r="A55" t="s">
        <v>156</v>
      </c>
      <c r="B55" t="s">
        <v>44</v>
      </c>
    </row>
    <row r="56" spans="1:2" x14ac:dyDescent="0.25">
      <c r="A56" t="s">
        <v>156</v>
      </c>
      <c r="B56" t="s">
        <v>44</v>
      </c>
    </row>
    <row r="57" spans="1:2" x14ac:dyDescent="0.25">
      <c r="A57" t="s">
        <v>158</v>
      </c>
    </row>
    <row r="58" spans="1:2" x14ac:dyDescent="0.25">
      <c r="A58" t="s">
        <v>158</v>
      </c>
    </row>
    <row r="59" spans="1:2" x14ac:dyDescent="0.25">
      <c r="A59" t="s">
        <v>159</v>
      </c>
      <c r="B59" t="s">
        <v>37</v>
      </c>
    </row>
    <row r="60" spans="1:2" x14ac:dyDescent="0.25">
      <c r="A60" t="s">
        <v>159</v>
      </c>
      <c r="B60" t="s">
        <v>37</v>
      </c>
    </row>
    <row r="61" spans="1:2" x14ac:dyDescent="0.25">
      <c r="A61" t="s">
        <v>160</v>
      </c>
      <c r="B61" t="s">
        <v>37</v>
      </c>
    </row>
    <row r="62" spans="1:2" x14ac:dyDescent="0.25">
      <c r="A62" t="s">
        <v>160</v>
      </c>
      <c r="B62" t="s">
        <v>37</v>
      </c>
    </row>
    <row r="63" spans="1:2" x14ac:dyDescent="0.25">
      <c r="A63" t="s">
        <v>161</v>
      </c>
      <c r="B63" t="s">
        <v>37</v>
      </c>
    </row>
    <row r="64" spans="1:2" x14ac:dyDescent="0.25">
      <c r="A64" t="s">
        <v>161</v>
      </c>
      <c r="B64" t="s">
        <v>37</v>
      </c>
    </row>
    <row r="65" spans="1:2" x14ac:dyDescent="0.25">
      <c r="A65" t="s">
        <v>162</v>
      </c>
      <c r="B65" t="s">
        <v>37</v>
      </c>
    </row>
    <row r="66" spans="1:2" x14ac:dyDescent="0.25">
      <c r="A66" t="s">
        <v>162</v>
      </c>
      <c r="B66" t="s">
        <v>37</v>
      </c>
    </row>
    <row r="67" spans="1:2" x14ac:dyDescent="0.25">
      <c r="A67" t="s">
        <v>164</v>
      </c>
      <c r="B67" t="s">
        <v>37</v>
      </c>
    </row>
    <row r="68" spans="1:2" x14ac:dyDescent="0.25">
      <c r="A68" t="s">
        <v>164</v>
      </c>
      <c r="B68" t="s">
        <v>37</v>
      </c>
    </row>
    <row r="69" spans="1:2" x14ac:dyDescent="0.25">
      <c r="A69" t="s">
        <v>165</v>
      </c>
      <c r="B69" t="s">
        <v>37</v>
      </c>
    </row>
    <row r="70" spans="1:2" x14ac:dyDescent="0.25">
      <c r="A70" t="s">
        <v>165</v>
      </c>
      <c r="B70" t="s">
        <v>37</v>
      </c>
    </row>
    <row r="71" spans="1:2" x14ac:dyDescent="0.25">
      <c r="A71" t="s">
        <v>167</v>
      </c>
      <c r="B71" t="s">
        <v>42</v>
      </c>
    </row>
    <row r="72" spans="1:2" x14ac:dyDescent="0.25">
      <c r="A72" t="s">
        <v>167</v>
      </c>
      <c r="B72" t="s">
        <v>42</v>
      </c>
    </row>
    <row r="73" spans="1:2" x14ac:dyDescent="0.25">
      <c r="A73" t="s">
        <v>169</v>
      </c>
      <c r="B73" t="s">
        <v>37</v>
      </c>
    </row>
    <row r="74" spans="1:2" x14ac:dyDescent="0.25">
      <c r="A74" t="s">
        <v>169</v>
      </c>
      <c r="B74" t="s">
        <v>37</v>
      </c>
    </row>
    <row r="75" spans="1:2" x14ac:dyDescent="0.25">
      <c r="A75" t="s">
        <v>170</v>
      </c>
      <c r="B75" t="s">
        <v>37</v>
      </c>
    </row>
    <row r="76" spans="1:2" x14ac:dyDescent="0.25">
      <c r="A76" t="s">
        <v>170</v>
      </c>
      <c r="B76" t="s">
        <v>37</v>
      </c>
    </row>
    <row r="77" spans="1:2" x14ac:dyDescent="0.25">
      <c r="A77" t="s">
        <v>171</v>
      </c>
      <c r="B77" t="s">
        <v>37</v>
      </c>
    </row>
    <row r="78" spans="1:2" x14ac:dyDescent="0.25">
      <c r="A78" t="s">
        <v>173</v>
      </c>
      <c r="B78" t="s">
        <v>37</v>
      </c>
    </row>
    <row r="79" spans="1:2" x14ac:dyDescent="0.25">
      <c r="A79" t="s">
        <v>173</v>
      </c>
      <c r="B79" t="s">
        <v>37</v>
      </c>
    </row>
    <row r="80" spans="1:2" x14ac:dyDescent="0.25">
      <c r="A80" t="s">
        <v>174</v>
      </c>
      <c r="B80" t="s">
        <v>37</v>
      </c>
    </row>
    <row r="81" spans="1:2" x14ac:dyDescent="0.25">
      <c r="A81" t="s">
        <v>175</v>
      </c>
      <c r="B81" t="s">
        <v>37</v>
      </c>
    </row>
    <row r="82" spans="1:2" x14ac:dyDescent="0.25">
      <c r="A82" t="s">
        <v>175</v>
      </c>
      <c r="B82" t="s">
        <v>37</v>
      </c>
    </row>
    <row r="83" spans="1:2" x14ac:dyDescent="0.25">
      <c r="A83" t="s">
        <v>176</v>
      </c>
      <c r="B83" t="s">
        <v>37</v>
      </c>
    </row>
    <row r="84" spans="1:2" x14ac:dyDescent="0.25">
      <c r="A84" t="s">
        <v>176</v>
      </c>
      <c r="B84" t="s">
        <v>37</v>
      </c>
    </row>
    <row r="85" spans="1:2" x14ac:dyDescent="0.25">
      <c r="A85" t="s">
        <v>177</v>
      </c>
      <c r="B85" t="s">
        <v>37</v>
      </c>
    </row>
    <row r="86" spans="1:2" x14ac:dyDescent="0.25">
      <c r="A86" t="s">
        <v>177</v>
      </c>
      <c r="B86" t="s">
        <v>37</v>
      </c>
    </row>
    <row r="87" spans="1:2" x14ac:dyDescent="0.25">
      <c r="A87" t="s">
        <v>178</v>
      </c>
      <c r="B87" t="s">
        <v>37</v>
      </c>
    </row>
    <row r="88" spans="1:2" x14ac:dyDescent="0.25">
      <c r="A88" t="s">
        <v>178</v>
      </c>
      <c r="B88" t="s">
        <v>37</v>
      </c>
    </row>
    <row r="89" spans="1:2" x14ac:dyDescent="0.25">
      <c r="A89" t="s">
        <v>179</v>
      </c>
      <c r="B89" t="s">
        <v>42</v>
      </c>
    </row>
    <row r="90" spans="1:2" x14ac:dyDescent="0.25">
      <c r="A90" t="s">
        <v>179</v>
      </c>
      <c r="B90" t="s">
        <v>42</v>
      </c>
    </row>
    <row r="91" spans="1:2" x14ac:dyDescent="0.25">
      <c r="A91" t="s">
        <v>180</v>
      </c>
      <c r="B91" t="s">
        <v>87</v>
      </c>
    </row>
    <row r="92" spans="1:2" x14ac:dyDescent="0.25">
      <c r="A92" t="s">
        <v>182</v>
      </c>
      <c r="B92" t="s">
        <v>37</v>
      </c>
    </row>
    <row r="93" spans="1:2" x14ac:dyDescent="0.25">
      <c r="A93" t="s">
        <v>182</v>
      </c>
      <c r="B93" t="s">
        <v>37</v>
      </c>
    </row>
    <row r="94" spans="1:2" x14ac:dyDescent="0.25">
      <c r="A94" t="s">
        <v>183</v>
      </c>
      <c r="B94" t="s">
        <v>37</v>
      </c>
    </row>
    <row r="95" spans="1:2" x14ac:dyDescent="0.25">
      <c r="A95" t="s">
        <v>183</v>
      </c>
      <c r="B95" t="s">
        <v>37</v>
      </c>
    </row>
    <row r="96" spans="1:2" x14ac:dyDescent="0.25">
      <c r="A96" t="s">
        <v>186</v>
      </c>
      <c r="B96" t="s">
        <v>37</v>
      </c>
    </row>
    <row r="97" spans="1:2" x14ac:dyDescent="0.25">
      <c r="A97" t="s">
        <v>186</v>
      </c>
      <c r="B97" t="s">
        <v>37</v>
      </c>
    </row>
    <row r="98" spans="1:2" x14ac:dyDescent="0.25">
      <c r="A98" t="s">
        <v>187</v>
      </c>
      <c r="B98" t="s">
        <v>37</v>
      </c>
    </row>
    <row r="99" spans="1:2" x14ac:dyDescent="0.25">
      <c r="A99" t="s">
        <v>187</v>
      </c>
      <c r="B99" t="s">
        <v>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D9D7E-459B-4304-AFE6-BF8FDDBFC251}">
  <sheetPr codeName="Лист2"/>
  <dimension ref="A1:AI44"/>
  <sheetViews>
    <sheetView showGridLines="0" workbookViewId="0">
      <pane ySplit="1" topLeftCell="A2" activePane="bottomLeft" state="frozen"/>
      <selection pane="bottomLeft" activeCell="F23" sqref="F23"/>
    </sheetView>
  </sheetViews>
  <sheetFormatPr defaultRowHeight="15" x14ac:dyDescent="0.25"/>
  <cols>
    <col min="1" max="1" width="38.85546875" style="14" bestFit="1" customWidth="1"/>
    <col min="2" max="2" width="4.5703125" style="15" bestFit="1" customWidth="1"/>
    <col min="3" max="3" width="6.28515625" style="16" bestFit="1" customWidth="1"/>
    <col min="4" max="4" width="9.140625" style="2" customWidth="1"/>
    <col min="5" max="5" width="10.85546875" style="2" bestFit="1" customWidth="1"/>
    <col min="6" max="6" width="91.5703125" style="2" bestFit="1" customWidth="1"/>
    <col min="7" max="7" width="6.85546875" style="2" bestFit="1" customWidth="1"/>
    <col min="8" max="8" width="6.42578125" style="2" bestFit="1" customWidth="1"/>
    <col min="9" max="9" width="14.42578125" style="2" bestFit="1" customWidth="1"/>
    <col min="10" max="10" width="16.140625" style="2" bestFit="1" customWidth="1"/>
    <col min="11" max="11" width="9.5703125" style="2" customWidth="1"/>
    <col min="12" max="12" width="26.140625" style="2" bestFit="1" customWidth="1"/>
    <col min="13" max="13" width="27" style="2" bestFit="1" customWidth="1"/>
    <col min="14" max="14" width="15.7109375" style="2" customWidth="1"/>
    <col min="15" max="15" width="8.85546875" style="2" bestFit="1" customWidth="1"/>
    <col min="16" max="16" width="8" style="2" bestFit="1" customWidth="1"/>
    <col min="17" max="17" width="9.140625" style="12"/>
    <col min="18" max="21" width="9.140625" style="2"/>
    <col min="28" max="28" width="9.140625" style="13"/>
    <col min="32" max="32" width="9.5703125" bestFit="1" customWidth="1"/>
    <col min="33" max="33" width="34.28515625" customWidth="1"/>
  </cols>
  <sheetData>
    <row r="1" spans="1:35" s="1" customFormat="1" ht="15.75" thickBot="1" x14ac:dyDescent="0.3">
      <c r="A1" s="18" t="s">
        <v>0</v>
      </c>
      <c r="B1" s="19" t="s">
        <v>1</v>
      </c>
      <c r="C1" s="20" t="s">
        <v>2</v>
      </c>
      <c r="D1" s="6" t="s">
        <v>4</v>
      </c>
      <c r="E1" s="6" t="s">
        <v>3</v>
      </c>
      <c r="F1" s="17" t="s">
        <v>92</v>
      </c>
      <c r="G1" s="17" t="s">
        <v>1</v>
      </c>
      <c r="H1" s="17" t="s">
        <v>93</v>
      </c>
      <c r="I1" s="17" t="s">
        <v>94</v>
      </c>
      <c r="J1" s="17" t="s">
        <v>95</v>
      </c>
      <c r="K1" s="17" t="s">
        <v>96</v>
      </c>
      <c r="L1" s="17" t="s">
        <v>97</v>
      </c>
      <c r="M1" s="17" t="s">
        <v>98</v>
      </c>
      <c r="N1" s="17" t="s">
        <v>99</v>
      </c>
      <c r="O1" s="17" t="s">
        <v>100</v>
      </c>
      <c r="P1" s="17" t="s">
        <v>5</v>
      </c>
      <c r="Q1" s="8" cm="1">
        <f t="array" ref="Q1:S1">_xlfn.LET(_xlpm.sizeCol,B2:B490,TRANSPOSE(_xlfn._xlws.SORT(_xlfn.UNIQUE(_xlfn._xlws.FILTER(_xlpm.sizeCol,_xlpm.sizeCol&lt;&gt;"","")))))</f>
        <v>57</v>
      </c>
      <c r="R1" s="9">
        <v>58</v>
      </c>
      <c r="S1" s="9" t="str">
        <v>O/S</v>
      </c>
      <c r="T1" s="9"/>
      <c r="U1" s="9"/>
      <c r="V1" s="10"/>
      <c r="W1" s="10"/>
      <c r="X1" s="10"/>
      <c r="Y1" s="10"/>
      <c r="Z1" s="10"/>
      <c r="AA1" s="10"/>
      <c r="AB1" s="11"/>
      <c r="AF1" s="1" t="s">
        <v>188</v>
      </c>
      <c r="AG1" s="21" cm="1">
        <f t="array" ref="AG1:AI1">_xlfn.LET(_xlpm.sizeCol,B2:B490,TRANSPOSE(_xlfn._xlws.SORT(_xlfn.UNIQUE(_xlfn._xlws.FILTER(_xlpm.sizeCol,_xlpm.sizeCol&lt;&gt;"","")))))</f>
        <v>57</v>
      </c>
      <c r="AH1" s="1">
        <v>58</v>
      </c>
      <c r="AI1" s="1" t="str">
        <v>O/S</v>
      </c>
    </row>
    <row r="2" spans="1:35" x14ac:dyDescent="0.25">
      <c r="A2" s="14" t="str">
        <f t="shared" ref="A2:A17" si="0">D2&amp;E2</f>
        <v>10047507NAVY</v>
      </c>
      <c r="B2" s="15" t="s">
        <v>8</v>
      </c>
      <c r="C2" s="16">
        <v>18</v>
      </c>
      <c r="D2" s="2">
        <v>10047507</v>
      </c>
      <c r="E2" s="2" t="s">
        <v>14</v>
      </c>
      <c r="F2" s="2" t="s">
        <v>104</v>
      </c>
      <c r="G2" s="2" t="s">
        <v>43</v>
      </c>
      <c r="H2" s="2" t="s">
        <v>105</v>
      </c>
      <c r="I2" s="2" t="s">
        <v>8</v>
      </c>
      <c r="J2" s="2" t="s">
        <v>106</v>
      </c>
      <c r="K2" s="2">
        <v>18</v>
      </c>
      <c r="L2" s="2" t="s">
        <v>107</v>
      </c>
      <c r="M2" s="2" t="s">
        <v>108</v>
      </c>
      <c r="O2" s="2" t="s">
        <v>109</v>
      </c>
      <c r="P2" s="2">
        <v>1687.44</v>
      </c>
      <c r="S2" s="2">
        <v>24</v>
      </c>
    </row>
    <row r="3" spans="1:35" x14ac:dyDescent="0.25">
      <c r="A3" s="14" t="str">
        <f t="shared" si="0"/>
        <v>10047511OTC</v>
      </c>
      <c r="B3" s="15" t="s">
        <v>8</v>
      </c>
      <c r="C3" s="16">
        <v>6</v>
      </c>
      <c r="D3" s="2">
        <v>10047511</v>
      </c>
      <c r="E3" s="2" t="s">
        <v>11</v>
      </c>
      <c r="F3" s="2" t="s">
        <v>110</v>
      </c>
      <c r="G3" s="2" t="s">
        <v>43</v>
      </c>
      <c r="H3" s="2" t="s">
        <v>105</v>
      </c>
      <c r="I3" s="2" t="s">
        <v>8</v>
      </c>
      <c r="J3" s="2" t="s">
        <v>106</v>
      </c>
      <c r="K3" s="2">
        <v>6</v>
      </c>
      <c r="L3" s="2" t="s">
        <v>107</v>
      </c>
      <c r="M3" s="2" t="s">
        <v>108</v>
      </c>
      <c r="O3" s="2" t="s">
        <v>109</v>
      </c>
      <c r="P3" s="2">
        <v>1442.76</v>
      </c>
      <c r="S3" s="2">
        <v>18</v>
      </c>
    </row>
    <row r="4" spans="1:35" x14ac:dyDescent="0.25">
      <c r="A4" s="14" t="str">
        <f t="shared" si="0"/>
        <v>10047515BLKWHI</v>
      </c>
      <c r="B4" s="15" t="s">
        <v>8</v>
      </c>
      <c r="C4" s="16">
        <v>12</v>
      </c>
      <c r="D4" s="2">
        <v>10047515</v>
      </c>
      <c r="E4" s="2" t="s">
        <v>9</v>
      </c>
      <c r="F4" s="2" t="s">
        <v>111</v>
      </c>
      <c r="G4" s="2" t="s">
        <v>43</v>
      </c>
      <c r="H4" s="2" t="s">
        <v>105</v>
      </c>
      <c r="I4" s="2" t="s">
        <v>8</v>
      </c>
      <c r="J4" s="2" t="s">
        <v>106</v>
      </c>
      <c r="K4" s="2">
        <v>12</v>
      </c>
      <c r="L4" s="2" t="s">
        <v>107</v>
      </c>
      <c r="M4" s="2" t="s">
        <v>108</v>
      </c>
      <c r="N4" s="2" t="s">
        <v>112</v>
      </c>
      <c r="O4" s="2" t="s">
        <v>109</v>
      </c>
      <c r="P4" s="2">
        <v>1349.95</v>
      </c>
      <c r="S4" s="2">
        <v>18</v>
      </c>
    </row>
    <row r="5" spans="1:35" x14ac:dyDescent="0.25">
      <c r="A5" s="14" t="str">
        <f t="shared" si="0"/>
        <v>10047531GM</v>
      </c>
      <c r="B5" s="15" t="s">
        <v>8</v>
      </c>
      <c r="C5" s="16">
        <v>24</v>
      </c>
      <c r="D5" s="2">
        <v>10047531</v>
      </c>
      <c r="E5" s="2" t="s">
        <v>15</v>
      </c>
      <c r="F5" s="2" t="s">
        <v>113</v>
      </c>
      <c r="G5" s="2" t="s">
        <v>43</v>
      </c>
      <c r="H5" s="2" t="s">
        <v>105</v>
      </c>
      <c r="I5" s="2" t="s">
        <v>8</v>
      </c>
      <c r="J5" s="2" t="s">
        <v>106</v>
      </c>
      <c r="K5" s="2">
        <v>24</v>
      </c>
      <c r="L5" s="2" t="s">
        <v>107</v>
      </c>
      <c r="M5" s="2" t="s">
        <v>108</v>
      </c>
      <c r="N5" s="2" t="s">
        <v>114</v>
      </c>
      <c r="O5" s="2" t="s">
        <v>109</v>
      </c>
      <c r="P5" s="2">
        <v>1687.44</v>
      </c>
      <c r="S5" s="2">
        <v>26</v>
      </c>
    </row>
    <row r="6" spans="1:35" s="2" customFormat="1" x14ac:dyDescent="0.25">
      <c r="A6" s="14" t="str">
        <f t="shared" si="0"/>
        <v>10047538NAVY</v>
      </c>
      <c r="B6" s="15" t="s">
        <v>8</v>
      </c>
      <c r="C6" s="16">
        <v>20</v>
      </c>
      <c r="D6" s="2">
        <v>10047538</v>
      </c>
      <c r="E6" s="2" t="s">
        <v>14</v>
      </c>
      <c r="F6" s="2" t="s">
        <v>117</v>
      </c>
      <c r="G6" s="2" t="s">
        <v>43</v>
      </c>
      <c r="H6" s="2" t="s">
        <v>105</v>
      </c>
      <c r="I6" s="2" t="s">
        <v>8</v>
      </c>
      <c r="J6" s="2" t="s">
        <v>106</v>
      </c>
      <c r="K6" s="2">
        <v>20</v>
      </c>
      <c r="L6" s="2" t="s">
        <v>107</v>
      </c>
      <c r="M6" s="2" t="s">
        <v>108</v>
      </c>
      <c r="N6" s="2" t="s">
        <v>118</v>
      </c>
      <c r="O6" s="2" t="s">
        <v>109</v>
      </c>
      <c r="P6" s="2">
        <v>1442.76</v>
      </c>
      <c r="Q6" s="12"/>
      <c r="S6" s="2">
        <v>62</v>
      </c>
      <c r="V6"/>
      <c r="W6"/>
      <c r="X6"/>
      <c r="Y6"/>
      <c r="Z6"/>
      <c r="AA6"/>
      <c r="AB6" s="13"/>
    </row>
    <row r="7" spans="1:35" s="2" customFormat="1" x14ac:dyDescent="0.25">
      <c r="A7" s="14" t="str">
        <f t="shared" si="0"/>
        <v>10047540GRN</v>
      </c>
      <c r="B7" s="15" t="s">
        <v>8</v>
      </c>
      <c r="C7" s="16">
        <v>6</v>
      </c>
      <c r="D7" s="2">
        <v>10047540</v>
      </c>
      <c r="E7" s="2" t="s">
        <v>16</v>
      </c>
      <c r="F7" s="2" t="s">
        <v>119</v>
      </c>
      <c r="G7" s="2" t="s">
        <v>43</v>
      </c>
      <c r="H7" s="2" t="s">
        <v>105</v>
      </c>
      <c r="I7" s="2" t="s">
        <v>8</v>
      </c>
      <c r="J7" s="2" t="s">
        <v>106</v>
      </c>
      <c r="K7" s="2">
        <v>6</v>
      </c>
      <c r="L7" s="2" t="s">
        <v>107</v>
      </c>
      <c r="M7" s="2" t="s">
        <v>108</v>
      </c>
      <c r="N7" s="2" t="s">
        <v>120</v>
      </c>
      <c r="O7" s="2" t="s">
        <v>109</v>
      </c>
      <c r="P7" s="2">
        <v>1442.76</v>
      </c>
      <c r="Q7" s="12"/>
      <c r="S7" s="2">
        <v>30</v>
      </c>
      <c r="V7"/>
      <c r="W7"/>
      <c r="X7"/>
      <c r="Y7"/>
      <c r="Z7"/>
      <c r="AA7"/>
      <c r="AB7" s="13"/>
    </row>
    <row r="8" spans="1:35" s="2" customFormat="1" x14ac:dyDescent="0.25">
      <c r="A8" s="14" t="str">
        <f t="shared" si="0"/>
        <v>10047544OTC</v>
      </c>
      <c r="B8" s="15" t="s">
        <v>8</v>
      </c>
      <c r="C8" s="16">
        <v>3</v>
      </c>
      <c r="D8" s="2">
        <v>10047544</v>
      </c>
      <c r="E8" s="2" t="s">
        <v>11</v>
      </c>
      <c r="F8" s="2" t="s">
        <v>121</v>
      </c>
      <c r="G8" s="2" t="s">
        <v>43</v>
      </c>
      <c r="H8" s="2" t="s">
        <v>105</v>
      </c>
      <c r="I8" s="2" t="s">
        <v>8</v>
      </c>
      <c r="J8" s="2" t="s">
        <v>106</v>
      </c>
      <c r="K8" s="2">
        <v>3</v>
      </c>
      <c r="L8" s="2" t="s">
        <v>107</v>
      </c>
      <c r="M8" s="2" t="s">
        <v>108</v>
      </c>
      <c r="N8" s="2" t="s">
        <v>122</v>
      </c>
      <c r="O8" s="2" t="s">
        <v>109</v>
      </c>
      <c r="P8" s="2">
        <v>1442.76</v>
      </c>
      <c r="Q8" s="12"/>
      <c r="S8" s="2">
        <v>15</v>
      </c>
      <c r="V8"/>
      <c r="W8"/>
      <c r="X8"/>
      <c r="Y8"/>
      <c r="Z8"/>
      <c r="AA8"/>
      <c r="AB8" s="13"/>
    </row>
    <row r="9" spans="1:35" s="2" customFormat="1" x14ac:dyDescent="0.25">
      <c r="A9" s="14" t="str">
        <f t="shared" si="0"/>
        <v>10145636NVYWHT</v>
      </c>
      <c r="B9" s="15">
        <v>58</v>
      </c>
      <c r="C9" s="16">
        <v>15</v>
      </c>
      <c r="D9" s="2">
        <v>10145636</v>
      </c>
      <c r="E9" s="2" t="s">
        <v>17</v>
      </c>
      <c r="F9" s="2" t="s">
        <v>123</v>
      </c>
      <c r="G9" s="2" t="s">
        <v>47</v>
      </c>
      <c r="H9" s="2" t="s">
        <v>124</v>
      </c>
      <c r="I9" s="2">
        <v>58</v>
      </c>
      <c r="J9" s="2" t="s">
        <v>106</v>
      </c>
      <c r="K9" s="2">
        <v>15</v>
      </c>
      <c r="L9" s="2" t="s">
        <v>107</v>
      </c>
      <c r="M9" s="2" t="s">
        <v>125</v>
      </c>
      <c r="N9" s="2" t="s">
        <v>126</v>
      </c>
      <c r="O9" s="2" t="s">
        <v>109</v>
      </c>
      <c r="P9" s="2">
        <v>1489.65</v>
      </c>
      <c r="Q9" s="12">
        <v>15</v>
      </c>
      <c r="R9" s="2">
        <v>20</v>
      </c>
      <c r="V9"/>
      <c r="W9"/>
      <c r="X9"/>
      <c r="Y9"/>
      <c r="Z9"/>
      <c r="AA9"/>
      <c r="AB9" s="13"/>
    </row>
    <row r="10" spans="1:35" s="2" customFormat="1" x14ac:dyDescent="0.25">
      <c r="A10" s="14" t="str">
        <f t="shared" si="0"/>
        <v>10145637BLKBLK</v>
      </c>
      <c r="B10" s="15">
        <v>58</v>
      </c>
      <c r="C10" s="16">
        <v>5</v>
      </c>
      <c r="D10" s="2">
        <v>10145637</v>
      </c>
      <c r="E10" s="2" t="s">
        <v>6</v>
      </c>
      <c r="F10" s="2" t="s">
        <v>128</v>
      </c>
      <c r="G10" s="2" t="s">
        <v>47</v>
      </c>
      <c r="H10" s="2" t="s">
        <v>124</v>
      </c>
      <c r="I10" s="2">
        <v>58</v>
      </c>
      <c r="J10" s="2" t="s">
        <v>106</v>
      </c>
      <c r="K10" s="2">
        <v>5</v>
      </c>
      <c r="L10" s="2" t="s">
        <v>129</v>
      </c>
      <c r="M10" s="2" t="s">
        <v>125</v>
      </c>
      <c r="N10" s="2" t="s">
        <v>126</v>
      </c>
      <c r="O10" s="2" t="s">
        <v>109</v>
      </c>
      <c r="P10" s="2">
        <v>1592.06</v>
      </c>
      <c r="Q10" s="12">
        <v>15</v>
      </c>
      <c r="S10" s="2">
        <v>20</v>
      </c>
      <c r="V10"/>
      <c r="W10"/>
      <c r="X10"/>
      <c r="Y10"/>
      <c r="Z10"/>
      <c r="AA10"/>
      <c r="AB10" s="13"/>
    </row>
    <row r="11" spans="1:35" s="2" customFormat="1" x14ac:dyDescent="0.25">
      <c r="A11" s="14" t="str">
        <f t="shared" si="0"/>
        <v>10145638BLAWHT</v>
      </c>
      <c r="B11" s="15">
        <v>58</v>
      </c>
      <c r="C11" s="16">
        <v>6</v>
      </c>
      <c r="D11" s="2">
        <v>10145638</v>
      </c>
      <c r="E11" s="2" t="s">
        <v>18</v>
      </c>
      <c r="F11" s="2" t="s">
        <v>131</v>
      </c>
      <c r="G11" s="2" t="s">
        <v>47</v>
      </c>
      <c r="H11" s="2" t="s">
        <v>124</v>
      </c>
      <c r="I11" s="2">
        <v>58</v>
      </c>
      <c r="J11" s="2" t="s">
        <v>106</v>
      </c>
      <c r="K11" s="2">
        <v>6</v>
      </c>
      <c r="L11" s="2" t="s">
        <v>107</v>
      </c>
      <c r="M11" s="2" t="s">
        <v>125</v>
      </c>
      <c r="N11" s="2" t="s">
        <v>126</v>
      </c>
      <c r="O11" s="2" t="s">
        <v>109</v>
      </c>
      <c r="P11" s="2">
        <v>1489.65</v>
      </c>
      <c r="Q11" s="12">
        <v>4</v>
      </c>
      <c r="S11" s="2">
        <v>6</v>
      </c>
      <c r="V11"/>
      <c r="W11"/>
      <c r="X11"/>
      <c r="Y11"/>
      <c r="Z11"/>
      <c r="AA11"/>
      <c r="AB11" s="13"/>
    </row>
    <row r="12" spans="1:35" s="2" customFormat="1" x14ac:dyDescent="0.25">
      <c r="A12" s="14" t="str">
        <f t="shared" si="0"/>
        <v>10531939NVYWHI</v>
      </c>
      <c r="B12" s="15" t="s">
        <v>8</v>
      </c>
      <c r="C12" s="16">
        <v>31</v>
      </c>
      <c r="D12" s="2">
        <v>10531939</v>
      </c>
      <c r="E12" s="2" t="s">
        <v>19</v>
      </c>
      <c r="F12" s="2" t="s">
        <v>133</v>
      </c>
      <c r="G12" s="2" t="s">
        <v>43</v>
      </c>
      <c r="H12" s="2" t="s">
        <v>105</v>
      </c>
      <c r="I12" s="2" t="s">
        <v>8</v>
      </c>
      <c r="J12" s="2" t="s">
        <v>106</v>
      </c>
      <c r="K12" s="2">
        <v>31</v>
      </c>
      <c r="L12" s="2" t="s">
        <v>107</v>
      </c>
      <c r="M12" s="2" t="s">
        <v>134</v>
      </c>
      <c r="N12" s="2" t="s">
        <v>135</v>
      </c>
      <c r="O12" s="2" t="s">
        <v>109</v>
      </c>
      <c r="P12" s="2">
        <v>1210.25</v>
      </c>
      <c r="Q12" s="12"/>
      <c r="T12" s="2">
        <v>51</v>
      </c>
      <c r="V12"/>
      <c r="W12"/>
      <c r="X12"/>
      <c r="Y12"/>
      <c r="Z12"/>
      <c r="AA12"/>
      <c r="AB12" s="13"/>
    </row>
    <row r="13" spans="1:35" s="2" customFormat="1" x14ac:dyDescent="0.25">
      <c r="A13" s="14" t="str">
        <f t="shared" si="0"/>
        <v>10531941BLKWHI</v>
      </c>
      <c r="B13" s="15" t="s">
        <v>8</v>
      </c>
      <c r="C13" s="16">
        <v>60</v>
      </c>
      <c r="D13" s="2">
        <v>10531941</v>
      </c>
      <c r="E13" s="2" t="s">
        <v>9</v>
      </c>
      <c r="F13" s="2" t="s">
        <v>136</v>
      </c>
      <c r="G13" s="2" t="s">
        <v>43</v>
      </c>
      <c r="H13" s="2" t="s">
        <v>105</v>
      </c>
      <c r="I13" s="2" t="s">
        <v>8</v>
      </c>
      <c r="J13" s="2" t="s">
        <v>106</v>
      </c>
      <c r="K13" s="2">
        <v>60</v>
      </c>
      <c r="L13" s="2" t="s">
        <v>107</v>
      </c>
      <c r="M13" s="2" t="s">
        <v>134</v>
      </c>
      <c r="N13" s="2" t="s">
        <v>137</v>
      </c>
      <c r="O13" s="2" t="s">
        <v>109</v>
      </c>
      <c r="P13" s="2">
        <v>1210.25</v>
      </c>
      <c r="Q13" s="12"/>
      <c r="T13" s="2">
        <v>90</v>
      </c>
      <c r="V13"/>
      <c r="W13"/>
      <c r="X13"/>
      <c r="Y13"/>
      <c r="Z13"/>
      <c r="AA13"/>
      <c r="AB13" s="13"/>
    </row>
    <row r="14" spans="1:35" s="2" customFormat="1" x14ac:dyDescent="0.25">
      <c r="A14" s="14" t="str">
        <f t="shared" si="0"/>
        <v>10531953NVYWHI</v>
      </c>
      <c r="B14" s="15">
        <v>58</v>
      </c>
      <c r="C14" s="16">
        <v>5</v>
      </c>
      <c r="D14" s="2">
        <v>10531953</v>
      </c>
      <c r="E14" s="2" t="s">
        <v>19</v>
      </c>
      <c r="F14" s="2" t="s">
        <v>138</v>
      </c>
      <c r="G14" s="2" t="s">
        <v>47</v>
      </c>
      <c r="H14" s="2" t="s">
        <v>124</v>
      </c>
      <c r="I14" s="2">
        <v>58</v>
      </c>
      <c r="J14" s="2" t="s">
        <v>106</v>
      </c>
      <c r="K14" s="2">
        <v>5</v>
      </c>
      <c r="L14" s="2" t="s">
        <v>107</v>
      </c>
      <c r="M14" s="2" t="s">
        <v>134</v>
      </c>
      <c r="O14" s="2" t="s">
        <v>109</v>
      </c>
      <c r="P14" s="2">
        <v>1769.05</v>
      </c>
      <c r="Q14" s="12">
        <v>10</v>
      </c>
      <c r="S14" s="2">
        <v>10</v>
      </c>
      <c r="V14"/>
      <c r="W14"/>
      <c r="X14"/>
      <c r="Y14"/>
      <c r="Z14"/>
      <c r="AA14"/>
      <c r="AB14" s="13"/>
    </row>
    <row r="15" spans="1:35" s="2" customFormat="1" x14ac:dyDescent="0.25">
      <c r="A15" s="14" t="str">
        <f t="shared" si="0"/>
        <v>10531954TEAM</v>
      </c>
      <c r="B15" s="15">
        <v>58</v>
      </c>
      <c r="C15" s="16">
        <v>1</v>
      </c>
      <c r="D15" s="2">
        <v>10531954</v>
      </c>
      <c r="E15" s="2" t="s">
        <v>20</v>
      </c>
      <c r="F15" s="2" t="s">
        <v>140</v>
      </c>
      <c r="G15" s="2" t="s">
        <v>47</v>
      </c>
      <c r="H15" s="2" t="s">
        <v>124</v>
      </c>
      <c r="I15" s="2">
        <v>58</v>
      </c>
      <c r="J15" s="2" t="s">
        <v>106</v>
      </c>
      <c r="K15" s="2">
        <v>1</v>
      </c>
      <c r="L15" s="2" t="s">
        <v>107</v>
      </c>
      <c r="M15" s="2" t="s">
        <v>134</v>
      </c>
      <c r="O15" s="2" t="s">
        <v>109</v>
      </c>
      <c r="P15" s="2">
        <v>1890.67</v>
      </c>
      <c r="Q15" s="12">
        <v>5</v>
      </c>
      <c r="S15" s="2">
        <v>6</v>
      </c>
      <c r="V15"/>
      <c r="W15"/>
      <c r="X15"/>
      <c r="Y15"/>
      <c r="Z15"/>
      <c r="AA15"/>
      <c r="AB15" s="13"/>
    </row>
    <row r="16" spans="1:35" s="2" customFormat="1" x14ac:dyDescent="0.25">
      <c r="A16" s="14" t="str">
        <f t="shared" si="0"/>
        <v>10531956TEAM</v>
      </c>
      <c r="B16" s="15">
        <v>58</v>
      </c>
      <c r="C16" s="16">
        <v>4</v>
      </c>
      <c r="D16" s="2">
        <v>10531956</v>
      </c>
      <c r="E16" s="2" t="s">
        <v>20</v>
      </c>
      <c r="F16" s="2" t="s">
        <v>142</v>
      </c>
      <c r="G16" s="2" t="s">
        <v>47</v>
      </c>
      <c r="H16" s="2" t="s">
        <v>124</v>
      </c>
      <c r="I16" s="2">
        <v>58</v>
      </c>
      <c r="J16" s="2" t="s">
        <v>106</v>
      </c>
      <c r="K16" s="2">
        <v>4</v>
      </c>
      <c r="L16" s="2" t="s">
        <v>129</v>
      </c>
      <c r="M16" s="2" t="s">
        <v>134</v>
      </c>
      <c r="N16" s="2" t="s">
        <v>143</v>
      </c>
      <c r="O16" s="2" t="s">
        <v>109</v>
      </c>
      <c r="P16" s="2">
        <v>1890.67</v>
      </c>
      <c r="Q16" s="12">
        <v>7</v>
      </c>
      <c r="S16" s="2">
        <v>10</v>
      </c>
      <c r="V16"/>
      <c r="W16"/>
      <c r="X16"/>
      <c r="Y16"/>
      <c r="Z16"/>
      <c r="AA16"/>
      <c r="AB16" s="13"/>
    </row>
    <row r="17" spans="1:28" s="2" customFormat="1" x14ac:dyDescent="0.25">
      <c r="A17" s="14" t="str">
        <f t="shared" si="0"/>
        <v>10879529BLK</v>
      </c>
      <c r="B17" s="15">
        <v>58</v>
      </c>
      <c r="C17" s="16">
        <v>3</v>
      </c>
      <c r="D17" s="2">
        <v>10879529</v>
      </c>
      <c r="E17" s="2" t="s">
        <v>12</v>
      </c>
      <c r="F17" s="2" t="s">
        <v>145</v>
      </c>
      <c r="G17" s="2" t="s">
        <v>47</v>
      </c>
      <c r="H17" s="2" t="s">
        <v>124</v>
      </c>
      <c r="I17" s="2">
        <v>58</v>
      </c>
      <c r="J17" s="2" t="s">
        <v>106</v>
      </c>
      <c r="K17" s="2">
        <v>3</v>
      </c>
      <c r="L17" s="2" t="s">
        <v>107</v>
      </c>
      <c r="M17" s="2" t="s">
        <v>134</v>
      </c>
      <c r="O17" s="2" t="s">
        <v>109</v>
      </c>
      <c r="P17" s="2">
        <v>1769.05</v>
      </c>
      <c r="Q17" s="12">
        <v>4</v>
      </c>
      <c r="S17" s="2">
        <v>6</v>
      </c>
      <c r="V17"/>
      <c r="W17"/>
      <c r="X17"/>
      <c r="Y17"/>
      <c r="Z17"/>
      <c r="AA17"/>
      <c r="AB17" s="13"/>
    </row>
    <row r="18" spans="1:28" x14ac:dyDescent="0.25">
      <c r="A18" s="14" t="str">
        <f t="shared" ref="A18:A44" si="1">D18&amp;E18</f>
        <v>11157578WHI</v>
      </c>
      <c r="B18" s="15" t="s">
        <v>8</v>
      </c>
      <c r="C18" s="16">
        <v>5</v>
      </c>
      <c r="D18" s="2">
        <v>11157578</v>
      </c>
      <c r="E18" s="2" t="s">
        <v>7</v>
      </c>
      <c r="F18" s="2" t="s">
        <v>147</v>
      </c>
      <c r="G18" s="2" t="s">
        <v>43</v>
      </c>
      <c r="H18" s="2" t="s">
        <v>105</v>
      </c>
      <c r="I18" s="2" t="s">
        <v>8</v>
      </c>
      <c r="J18" s="2" t="s">
        <v>106</v>
      </c>
      <c r="K18" s="2">
        <v>5</v>
      </c>
      <c r="L18" s="2" t="s">
        <v>107</v>
      </c>
      <c r="M18" s="2" t="s">
        <v>134</v>
      </c>
      <c r="N18" s="2" t="s">
        <v>148</v>
      </c>
      <c r="O18" s="2" t="s">
        <v>149</v>
      </c>
      <c r="P18" s="2">
        <v>1293.46</v>
      </c>
      <c r="T18" s="2">
        <v>10</v>
      </c>
    </row>
    <row r="19" spans="1:28" x14ac:dyDescent="0.25">
      <c r="A19" s="14" t="str">
        <f t="shared" si="1"/>
        <v>11157579LRYWHI</v>
      </c>
      <c r="B19" s="15" t="s">
        <v>8</v>
      </c>
      <c r="C19" s="16">
        <v>40</v>
      </c>
      <c r="D19" s="2">
        <v>11157579</v>
      </c>
      <c r="E19" s="2" t="s">
        <v>21</v>
      </c>
      <c r="F19" s="2" t="s">
        <v>150</v>
      </c>
      <c r="G19" s="2" t="s">
        <v>43</v>
      </c>
      <c r="H19" s="2" t="s">
        <v>105</v>
      </c>
      <c r="I19" s="2" t="s">
        <v>8</v>
      </c>
      <c r="J19" s="2" t="s">
        <v>106</v>
      </c>
      <c r="K19" s="2">
        <v>40</v>
      </c>
      <c r="L19" s="2" t="s">
        <v>107</v>
      </c>
      <c r="M19" s="2" t="s">
        <v>134</v>
      </c>
      <c r="N19" s="2" t="s">
        <v>148</v>
      </c>
      <c r="O19" s="2" t="s">
        <v>109</v>
      </c>
      <c r="P19" s="2">
        <v>1210.25</v>
      </c>
      <c r="T19" s="2">
        <v>50</v>
      </c>
    </row>
    <row r="20" spans="1:28" x14ac:dyDescent="0.25">
      <c r="A20" s="14" t="str">
        <f t="shared" si="1"/>
        <v>11180834BLKBLK</v>
      </c>
      <c r="B20" s="15">
        <v>58</v>
      </c>
      <c r="C20" s="16">
        <v>10</v>
      </c>
      <c r="D20" s="2">
        <v>11180834</v>
      </c>
      <c r="E20" s="2" t="s">
        <v>6</v>
      </c>
      <c r="F20" s="2" t="s">
        <v>151</v>
      </c>
      <c r="G20" s="2" t="s">
        <v>47</v>
      </c>
      <c r="H20" s="2" t="s">
        <v>124</v>
      </c>
      <c r="I20" s="2">
        <v>58</v>
      </c>
      <c r="J20" s="2" t="s">
        <v>106</v>
      </c>
      <c r="K20" s="2">
        <v>10</v>
      </c>
      <c r="L20" s="2" t="s">
        <v>107</v>
      </c>
      <c r="M20" s="2" t="s">
        <v>134</v>
      </c>
      <c r="N20" s="2" t="s">
        <v>152</v>
      </c>
      <c r="O20" s="2" t="s">
        <v>109</v>
      </c>
      <c r="P20" s="2">
        <v>1769.05</v>
      </c>
      <c r="Q20" s="12">
        <v>14</v>
      </c>
      <c r="S20" s="2">
        <v>20</v>
      </c>
    </row>
    <row r="21" spans="1:28" x14ac:dyDescent="0.25">
      <c r="A21" s="14" t="str">
        <f t="shared" si="1"/>
        <v>11405497LRYWHI</v>
      </c>
      <c r="B21" s="15" t="s">
        <v>8</v>
      </c>
      <c r="C21" s="16">
        <v>8</v>
      </c>
      <c r="D21" s="2">
        <v>11405497</v>
      </c>
      <c r="E21" s="2" t="s">
        <v>21</v>
      </c>
      <c r="F21" s="2" t="s">
        <v>154</v>
      </c>
      <c r="G21" s="2" t="s">
        <v>43</v>
      </c>
      <c r="H21" s="2" t="s">
        <v>105</v>
      </c>
      <c r="I21" s="2" t="s">
        <v>8</v>
      </c>
      <c r="J21" s="2" t="s">
        <v>106</v>
      </c>
      <c r="K21" s="2">
        <v>8</v>
      </c>
      <c r="L21" s="2" t="s">
        <v>107</v>
      </c>
      <c r="M21" s="2" t="s">
        <v>134</v>
      </c>
      <c r="N21" s="2" t="s">
        <v>155</v>
      </c>
      <c r="O21" s="2" t="s">
        <v>109</v>
      </c>
      <c r="P21" s="2">
        <v>1489.65</v>
      </c>
      <c r="T21" s="2">
        <v>15</v>
      </c>
    </row>
    <row r="22" spans="1:28" x14ac:dyDescent="0.25">
      <c r="A22" s="14" t="str">
        <f t="shared" si="1"/>
        <v>11405614OTC</v>
      </c>
      <c r="B22" s="15" t="s">
        <v>8</v>
      </c>
      <c r="C22" s="16">
        <v>8</v>
      </c>
      <c r="D22" s="2">
        <v>11405614</v>
      </c>
      <c r="E22" s="2" t="s">
        <v>11</v>
      </c>
      <c r="F22" s="2" t="s">
        <v>156</v>
      </c>
      <c r="G22" s="2" t="s">
        <v>43</v>
      </c>
      <c r="H22" s="2" t="s">
        <v>105</v>
      </c>
      <c r="I22" s="2" t="s">
        <v>8</v>
      </c>
      <c r="J22" s="2" t="s">
        <v>106</v>
      </c>
      <c r="K22" s="2">
        <v>8</v>
      </c>
      <c r="L22" s="2" t="s">
        <v>107</v>
      </c>
      <c r="M22" s="2" t="s">
        <v>108</v>
      </c>
      <c r="N22" s="2" t="s">
        <v>157</v>
      </c>
      <c r="O22" s="2" t="s">
        <v>109</v>
      </c>
      <c r="P22" s="2">
        <v>1442.76</v>
      </c>
      <c r="T22" s="2">
        <v>10</v>
      </c>
    </row>
    <row r="23" spans="1:28" x14ac:dyDescent="0.25">
      <c r="A23" s="14" t="str">
        <f t="shared" si="1"/>
        <v>11576724NAVY</v>
      </c>
      <c r="B23" s="15" t="s">
        <v>8</v>
      </c>
      <c r="C23" s="16">
        <v>4</v>
      </c>
      <c r="D23" s="2">
        <v>11576724</v>
      </c>
      <c r="E23" s="2" t="s">
        <v>14</v>
      </c>
      <c r="F23" s="2" t="s">
        <v>158</v>
      </c>
      <c r="G23" s="2" t="s">
        <v>43</v>
      </c>
      <c r="H23" s="2" t="s">
        <v>105</v>
      </c>
      <c r="I23" s="2" t="s">
        <v>8</v>
      </c>
      <c r="J23" s="2" t="s">
        <v>106</v>
      </c>
      <c r="K23" s="2">
        <v>4</v>
      </c>
      <c r="L23" s="2" t="s">
        <v>107</v>
      </c>
      <c r="M23" s="2" t="s">
        <v>108</v>
      </c>
      <c r="O23" s="2" t="s">
        <v>109</v>
      </c>
      <c r="P23" s="2">
        <v>1442.76</v>
      </c>
      <c r="T23" s="2">
        <v>12</v>
      </c>
    </row>
    <row r="24" spans="1:28" x14ac:dyDescent="0.25">
      <c r="A24" s="14" t="str">
        <f t="shared" si="1"/>
        <v>11579473BLK</v>
      </c>
      <c r="B24" s="15" t="s">
        <v>8</v>
      </c>
      <c r="C24" s="16">
        <v>4</v>
      </c>
      <c r="D24" s="2">
        <v>11579473</v>
      </c>
      <c r="E24" s="2" t="s">
        <v>12</v>
      </c>
      <c r="F24" s="2" t="s">
        <v>159</v>
      </c>
      <c r="G24" s="2" t="s">
        <v>43</v>
      </c>
      <c r="H24" s="2" t="s">
        <v>105</v>
      </c>
      <c r="I24" s="2" t="s">
        <v>8</v>
      </c>
      <c r="J24" s="2" t="s">
        <v>106</v>
      </c>
      <c r="K24" s="2">
        <v>4</v>
      </c>
      <c r="L24" s="2" t="s">
        <v>107</v>
      </c>
      <c r="M24" s="2" t="s">
        <v>134</v>
      </c>
      <c r="O24" s="2" t="s">
        <v>109</v>
      </c>
      <c r="P24" s="2">
        <v>1691.6</v>
      </c>
      <c r="T24" s="2">
        <v>36</v>
      </c>
    </row>
    <row r="25" spans="1:28" x14ac:dyDescent="0.25">
      <c r="A25" s="14" t="str">
        <f t="shared" si="1"/>
        <v>11588488SCAWHI</v>
      </c>
      <c r="B25" s="15" t="s">
        <v>8</v>
      </c>
      <c r="C25" s="16">
        <v>2</v>
      </c>
      <c r="D25" s="2">
        <v>11588488</v>
      </c>
      <c r="E25" s="2" t="s">
        <v>22</v>
      </c>
      <c r="F25" s="2" t="s">
        <v>160</v>
      </c>
      <c r="G25" s="2" t="s">
        <v>43</v>
      </c>
      <c r="H25" s="2" t="s">
        <v>105</v>
      </c>
      <c r="I25" s="2" t="s">
        <v>8</v>
      </c>
      <c r="J25" s="2" t="s">
        <v>106</v>
      </c>
      <c r="K25" s="2">
        <v>2</v>
      </c>
      <c r="L25" s="2" t="s">
        <v>107</v>
      </c>
      <c r="M25" s="2" t="s">
        <v>134</v>
      </c>
      <c r="O25" s="2" t="s">
        <v>109</v>
      </c>
      <c r="P25" s="2">
        <v>1592.06</v>
      </c>
      <c r="T25" s="2">
        <v>6</v>
      </c>
    </row>
    <row r="26" spans="1:28" x14ac:dyDescent="0.25">
      <c r="A26" s="14" t="str">
        <f t="shared" si="1"/>
        <v>11588490GRAWHI</v>
      </c>
      <c r="B26" s="15" t="s">
        <v>8</v>
      </c>
      <c r="C26" s="16">
        <v>10</v>
      </c>
      <c r="D26" s="2">
        <v>11588490</v>
      </c>
      <c r="E26" s="2" t="s">
        <v>10</v>
      </c>
      <c r="F26" s="2" t="s">
        <v>161</v>
      </c>
      <c r="G26" s="2" t="s">
        <v>43</v>
      </c>
      <c r="H26" s="2" t="s">
        <v>105</v>
      </c>
      <c r="I26" s="2" t="s">
        <v>8</v>
      </c>
      <c r="J26" s="2" t="s">
        <v>106</v>
      </c>
      <c r="K26" s="2">
        <v>10</v>
      </c>
      <c r="L26" s="2" t="s">
        <v>107</v>
      </c>
      <c r="M26" s="2" t="s">
        <v>134</v>
      </c>
      <c r="O26" s="2" t="s">
        <v>109</v>
      </c>
      <c r="P26" s="2">
        <v>1489.65</v>
      </c>
      <c r="T26" s="2">
        <v>17</v>
      </c>
    </row>
    <row r="27" spans="1:28" x14ac:dyDescent="0.25">
      <c r="A27" s="14" t="str">
        <f t="shared" si="1"/>
        <v>11871279BLKOTC</v>
      </c>
      <c r="B27" s="15">
        <v>58</v>
      </c>
      <c r="C27" s="16">
        <v>9</v>
      </c>
      <c r="D27" s="2">
        <v>11871279</v>
      </c>
      <c r="E27" s="2" t="s">
        <v>23</v>
      </c>
      <c r="F27" s="2" t="s">
        <v>162</v>
      </c>
      <c r="G27" s="2" t="s">
        <v>47</v>
      </c>
      <c r="H27" s="2" t="s">
        <v>124</v>
      </c>
      <c r="I27" s="2">
        <v>58</v>
      </c>
      <c r="J27" s="2" t="s">
        <v>106</v>
      </c>
      <c r="K27" s="2">
        <v>9</v>
      </c>
      <c r="L27" s="2" t="s">
        <v>107</v>
      </c>
      <c r="M27" s="2" t="s">
        <v>163</v>
      </c>
      <c r="O27" s="2" t="s">
        <v>109</v>
      </c>
      <c r="P27" s="2">
        <v>1769.05</v>
      </c>
      <c r="Q27" s="12">
        <v>16</v>
      </c>
      <c r="S27" s="2">
        <v>15</v>
      </c>
    </row>
    <row r="28" spans="1:28" x14ac:dyDescent="0.25">
      <c r="A28" s="14" t="str">
        <f t="shared" si="1"/>
        <v>12051998MNCBLK</v>
      </c>
      <c r="B28" s="15" t="s">
        <v>8</v>
      </c>
      <c r="C28" s="16">
        <v>8</v>
      </c>
      <c r="D28" s="2">
        <v>12051998</v>
      </c>
      <c r="E28" s="2" t="s">
        <v>24</v>
      </c>
      <c r="F28" s="2" t="s">
        <v>165</v>
      </c>
      <c r="G28" s="2" t="s">
        <v>43</v>
      </c>
      <c r="H28" s="2" t="s">
        <v>105</v>
      </c>
      <c r="I28" s="2" t="s">
        <v>8</v>
      </c>
      <c r="J28" s="2" t="s">
        <v>106</v>
      </c>
      <c r="K28" s="2">
        <v>8</v>
      </c>
      <c r="L28" s="2" t="s">
        <v>107</v>
      </c>
      <c r="M28" s="2" t="s">
        <v>134</v>
      </c>
      <c r="N28" s="2" t="s">
        <v>166</v>
      </c>
      <c r="O28" s="2" t="s">
        <v>109</v>
      </c>
      <c r="P28" s="2">
        <v>1293.46</v>
      </c>
      <c r="T28" s="2">
        <v>58</v>
      </c>
    </row>
    <row r="29" spans="1:28" x14ac:dyDescent="0.25">
      <c r="A29" s="14" t="str">
        <f t="shared" si="1"/>
        <v>12052000BLK</v>
      </c>
      <c r="B29" s="15" t="s">
        <v>8</v>
      </c>
      <c r="C29" s="16">
        <v>15</v>
      </c>
      <c r="D29" s="2">
        <v>12052000</v>
      </c>
      <c r="E29" s="2" t="s">
        <v>12</v>
      </c>
      <c r="F29" s="2" t="s">
        <v>167</v>
      </c>
      <c r="G29" s="2" t="s">
        <v>43</v>
      </c>
      <c r="H29" s="2" t="s">
        <v>105</v>
      </c>
      <c r="I29" s="2" t="s">
        <v>8</v>
      </c>
      <c r="J29" s="2" t="s">
        <v>106</v>
      </c>
      <c r="K29" s="2">
        <v>15</v>
      </c>
      <c r="L29" s="2" t="s">
        <v>107</v>
      </c>
      <c r="M29" s="2" t="s">
        <v>134</v>
      </c>
      <c r="N29" s="2" t="s">
        <v>168</v>
      </c>
      <c r="O29" s="2" t="s">
        <v>109</v>
      </c>
      <c r="P29" s="2">
        <v>1293.46</v>
      </c>
      <c r="T29" s="2">
        <v>50</v>
      </c>
    </row>
    <row r="30" spans="1:28" x14ac:dyDescent="0.25">
      <c r="A30" s="14" t="str">
        <f t="shared" si="1"/>
        <v>12122741BLKWHI</v>
      </c>
      <c r="B30" s="15" t="s">
        <v>8</v>
      </c>
      <c r="C30" s="16">
        <v>10</v>
      </c>
      <c r="D30" s="2">
        <v>12122741</v>
      </c>
      <c r="E30" s="2" t="s">
        <v>9</v>
      </c>
      <c r="F30" s="2" t="s">
        <v>169</v>
      </c>
      <c r="G30" s="2" t="s">
        <v>43</v>
      </c>
      <c r="H30" s="2" t="s">
        <v>105</v>
      </c>
      <c r="I30" s="2" t="s">
        <v>8</v>
      </c>
      <c r="J30" s="2" t="s">
        <v>106</v>
      </c>
      <c r="K30" s="2">
        <v>10</v>
      </c>
      <c r="L30" s="2" t="s">
        <v>107</v>
      </c>
      <c r="M30" s="2" t="s">
        <v>134</v>
      </c>
      <c r="O30" s="2" t="s">
        <v>149</v>
      </c>
      <c r="P30" s="2">
        <v>1293.46</v>
      </c>
      <c r="T30" s="2">
        <v>30</v>
      </c>
    </row>
    <row r="31" spans="1:28" x14ac:dyDescent="0.25">
      <c r="A31" s="14" t="str">
        <f t="shared" si="1"/>
        <v>12122742BLKBLK</v>
      </c>
      <c r="B31" s="15" t="s">
        <v>8</v>
      </c>
      <c r="C31" s="16">
        <v>10</v>
      </c>
      <c r="D31" s="2">
        <v>12122742</v>
      </c>
      <c r="E31" s="2" t="s">
        <v>6</v>
      </c>
      <c r="F31" s="2" t="s">
        <v>170</v>
      </c>
      <c r="G31" s="2" t="s">
        <v>43</v>
      </c>
      <c r="H31" s="2" t="s">
        <v>105</v>
      </c>
      <c r="I31" s="2" t="s">
        <v>8</v>
      </c>
      <c r="J31" s="2" t="s">
        <v>106</v>
      </c>
      <c r="K31" s="2">
        <v>10</v>
      </c>
      <c r="L31" s="2" t="s">
        <v>107</v>
      </c>
      <c r="M31" s="2" t="s">
        <v>134</v>
      </c>
      <c r="O31" s="2" t="s">
        <v>149</v>
      </c>
      <c r="P31" s="2">
        <v>1293.46</v>
      </c>
      <c r="T31" s="2">
        <v>40</v>
      </c>
    </row>
    <row r="32" spans="1:28" x14ac:dyDescent="0.25">
      <c r="A32" s="14" t="str">
        <f t="shared" si="1"/>
        <v>12285467WHI</v>
      </c>
      <c r="B32" s="15" t="s">
        <v>8</v>
      </c>
      <c r="C32" s="16">
        <v>10</v>
      </c>
      <c r="D32" s="2">
        <v>12285467</v>
      </c>
      <c r="E32" s="2" t="s">
        <v>7</v>
      </c>
      <c r="F32" s="2" t="s">
        <v>171</v>
      </c>
      <c r="G32" s="2" t="s">
        <v>43</v>
      </c>
      <c r="H32" s="2" t="s">
        <v>105</v>
      </c>
      <c r="I32" s="2" t="s">
        <v>8</v>
      </c>
      <c r="J32" s="2" t="s">
        <v>106</v>
      </c>
      <c r="K32" s="2">
        <v>10</v>
      </c>
      <c r="L32" s="2" t="s">
        <v>107</v>
      </c>
      <c r="M32" s="2" t="s">
        <v>172</v>
      </c>
      <c r="O32" s="2" t="s">
        <v>109</v>
      </c>
      <c r="P32" s="2">
        <v>1592.06</v>
      </c>
      <c r="T32" s="2">
        <v>10</v>
      </c>
    </row>
    <row r="33" spans="1:20" x14ac:dyDescent="0.25">
      <c r="A33" s="14" t="str">
        <f t="shared" si="1"/>
        <v>12380590STN</v>
      </c>
      <c r="B33" s="15" t="s">
        <v>8</v>
      </c>
      <c r="C33" s="16">
        <v>15</v>
      </c>
      <c r="D33" s="2">
        <v>12380590</v>
      </c>
      <c r="E33" s="2" t="s">
        <v>13</v>
      </c>
      <c r="F33" s="2" t="s">
        <v>173</v>
      </c>
      <c r="G33" s="2" t="s">
        <v>43</v>
      </c>
      <c r="H33" s="2" t="s">
        <v>105</v>
      </c>
      <c r="I33" s="2" t="s">
        <v>8</v>
      </c>
      <c r="J33" s="2" t="s">
        <v>106</v>
      </c>
      <c r="K33" s="2">
        <v>15</v>
      </c>
      <c r="L33" s="2" t="s">
        <v>107</v>
      </c>
      <c r="M33" s="2" t="s">
        <v>134</v>
      </c>
      <c r="O33" s="2" t="s">
        <v>109</v>
      </c>
      <c r="P33" s="2">
        <v>1210.25</v>
      </c>
      <c r="T33" s="2">
        <v>25</v>
      </c>
    </row>
    <row r="34" spans="1:20" x14ac:dyDescent="0.25">
      <c r="A34" s="14" t="str">
        <f t="shared" si="1"/>
        <v>12380594BLK</v>
      </c>
      <c r="B34" s="15" t="s">
        <v>8</v>
      </c>
      <c r="C34" s="16">
        <v>2</v>
      </c>
      <c r="D34" s="2">
        <v>12380594</v>
      </c>
      <c r="E34" s="2" t="s">
        <v>12</v>
      </c>
      <c r="F34" s="2" t="s">
        <v>174</v>
      </c>
      <c r="G34" s="2" t="s">
        <v>43</v>
      </c>
      <c r="H34" s="2" t="s">
        <v>105</v>
      </c>
      <c r="I34" s="2" t="s">
        <v>8</v>
      </c>
      <c r="J34" s="2" t="s">
        <v>106</v>
      </c>
      <c r="K34" s="2">
        <v>2</v>
      </c>
      <c r="L34" s="2" t="s">
        <v>107</v>
      </c>
      <c r="M34" s="2" t="s">
        <v>134</v>
      </c>
      <c r="O34" s="2" t="s">
        <v>109</v>
      </c>
      <c r="P34" s="2">
        <v>1210.25</v>
      </c>
      <c r="T34" s="2">
        <v>2</v>
      </c>
    </row>
    <row r="35" spans="1:20" x14ac:dyDescent="0.25">
      <c r="A35" s="14" t="str">
        <f t="shared" si="1"/>
        <v>12380796OTC</v>
      </c>
      <c r="B35" s="15" t="s">
        <v>8</v>
      </c>
      <c r="C35" s="16">
        <v>7</v>
      </c>
      <c r="D35" s="2">
        <v>12380796</v>
      </c>
      <c r="E35" s="2" t="s">
        <v>11</v>
      </c>
      <c r="F35" s="2" t="s">
        <v>175</v>
      </c>
      <c r="G35" s="2" t="s">
        <v>43</v>
      </c>
      <c r="H35" s="2" t="s">
        <v>105</v>
      </c>
      <c r="I35" s="2" t="s">
        <v>8</v>
      </c>
      <c r="J35" s="2" t="s">
        <v>106</v>
      </c>
      <c r="K35" s="2">
        <v>7</v>
      </c>
      <c r="L35" s="2" t="s">
        <v>107</v>
      </c>
      <c r="M35" s="2" t="s">
        <v>172</v>
      </c>
      <c r="O35" s="2" t="s">
        <v>109</v>
      </c>
      <c r="P35" s="2">
        <v>1592.06</v>
      </c>
      <c r="T35" s="2">
        <v>18</v>
      </c>
    </row>
    <row r="36" spans="1:20" x14ac:dyDescent="0.25">
      <c r="A36" s="14" t="str">
        <f t="shared" si="1"/>
        <v>12523893STNWHI</v>
      </c>
      <c r="B36" s="15" t="s">
        <v>8</v>
      </c>
      <c r="C36" s="16">
        <v>12</v>
      </c>
      <c r="D36" s="2">
        <v>12523893</v>
      </c>
      <c r="E36" s="2" t="s">
        <v>25</v>
      </c>
      <c r="F36" s="2" t="s">
        <v>176</v>
      </c>
      <c r="G36" s="2" t="s">
        <v>43</v>
      </c>
      <c r="H36" s="2" t="s">
        <v>105</v>
      </c>
      <c r="I36" s="2" t="s">
        <v>8</v>
      </c>
      <c r="J36" s="2" t="s">
        <v>106</v>
      </c>
      <c r="K36" s="2">
        <v>12</v>
      </c>
      <c r="L36" s="2" t="s">
        <v>107</v>
      </c>
      <c r="M36" s="2" t="s">
        <v>172</v>
      </c>
      <c r="O36" s="2" t="s">
        <v>109</v>
      </c>
      <c r="P36" s="2">
        <v>1489.65</v>
      </c>
      <c r="T36" s="2">
        <v>19</v>
      </c>
    </row>
    <row r="37" spans="1:20" x14ac:dyDescent="0.25">
      <c r="A37" s="14" t="str">
        <f t="shared" si="1"/>
        <v>12523894NOVWHI</v>
      </c>
      <c r="B37" s="15" t="s">
        <v>8</v>
      </c>
      <c r="C37" s="16">
        <v>7</v>
      </c>
      <c r="D37" s="2">
        <v>12523894</v>
      </c>
      <c r="E37" s="2" t="s">
        <v>26</v>
      </c>
      <c r="F37" s="2" t="s">
        <v>177</v>
      </c>
      <c r="G37" s="2" t="s">
        <v>43</v>
      </c>
      <c r="H37" s="2" t="s">
        <v>105</v>
      </c>
      <c r="I37" s="2" t="s">
        <v>8</v>
      </c>
      <c r="J37" s="2" t="s">
        <v>106</v>
      </c>
      <c r="K37" s="2">
        <v>7</v>
      </c>
      <c r="L37" s="2" t="s">
        <v>107</v>
      </c>
      <c r="M37" s="2" t="s">
        <v>172</v>
      </c>
      <c r="O37" s="2" t="s">
        <v>109</v>
      </c>
      <c r="P37" s="2">
        <v>1592.06</v>
      </c>
      <c r="T37" s="2">
        <v>24</v>
      </c>
    </row>
    <row r="38" spans="1:20" x14ac:dyDescent="0.25">
      <c r="A38" s="14" t="str">
        <f t="shared" si="1"/>
        <v>12523903WHIWHI</v>
      </c>
      <c r="B38" s="15" t="s">
        <v>8</v>
      </c>
      <c r="C38" s="16">
        <v>18</v>
      </c>
      <c r="D38" s="2">
        <v>12523903</v>
      </c>
      <c r="E38" s="2" t="s">
        <v>27</v>
      </c>
      <c r="F38" s="2" t="s">
        <v>178</v>
      </c>
      <c r="G38" s="2" t="s">
        <v>43</v>
      </c>
      <c r="H38" s="2" t="s">
        <v>105</v>
      </c>
      <c r="I38" s="2" t="s">
        <v>8</v>
      </c>
      <c r="J38" s="2" t="s">
        <v>106</v>
      </c>
      <c r="K38" s="2">
        <v>18</v>
      </c>
      <c r="L38" s="2" t="s">
        <v>107</v>
      </c>
      <c r="M38" s="2" t="s">
        <v>108</v>
      </c>
      <c r="O38" s="2" t="s">
        <v>109</v>
      </c>
      <c r="P38" s="2">
        <v>1862.06</v>
      </c>
      <c r="T38" s="2">
        <v>24</v>
      </c>
    </row>
    <row r="39" spans="1:20" x14ac:dyDescent="0.25">
      <c r="A39" s="14" t="str">
        <f t="shared" si="1"/>
        <v>12523912BLKBLK</v>
      </c>
      <c r="B39" s="15" t="s">
        <v>8</v>
      </c>
      <c r="C39" s="16">
        <v>10</v>
      </c>
      <c r="D39" s="2">
        <v>12523912</v>
      </c>
      <c r="E39" s="2" t="s">
        <v>6</v>
      </c>
      <c r="F39" s="2" t="s">
        <v>179</v>
      </c>
      <c r="G39" s="2" t="s">
        <v>43</v>
      </c>
      <c r="H39" s="2" t="s">
        <v>105</v>
      </c>
      <c r="I39" s="2" t="s">
        <v>8</v>
      </c>
      <c r="J39" s="2" t="s">
        <v>106</v>
      </c>
      <c r="K39" s="2">
        <v>10</v>
      </c>
      <c r="L39" s="2" t="s">
        <v>107</v>
      </c>
      <c r="M39" s="2" t="s">
        <v>172</v>
      </c>
      <c r="O39" s="2" t="s">
        <v>109</v>
      </c>
      <c r="P39" s="2">
        <v>1592.06</v>
      </c>
      <c r="T39" s="2">
        <v>35</v>
      </c>
    </row>
    <row r="40" spans="1:20" x14ac:dyDescent="0.25">
      <c r="A40" s="14" t="str">
        <f t="shared" si="1"/>
        <v>12572845OTC</v>
      </c>
      <c r="B40" s="15">
        <v>57</v>
      </c>
      <c r="C40" s="16">
        <v>8</v>
      </c>
      <c r="D40" s="2">
        <v>12572845</v>
      </c>
      <c r="E40" s="2" t="s">
        <v>11</v>
      </c>
      <c r="F40" s="2" t="s">
        <v>180</v>
      </c>
      <c r="G40" s="2" t="s">
        <v>181</v>
      </c>
      <c r="H40" s="2">
        <v>57</v>
      </c>
      <c r="I40" s="2">
        <v>57</v>
      </c>
      <c r="J40" s="2" t="s">
        <v>106</v>
      </c>
      <c r="K40" s="2">
        <v>8</v>
      </c>
      <c r="L40" s="2" t="s">
        <v>107</v>
      </c>
      <c r="M40" s="2" t="s">
        <v>108</v>
      </c>
      <c r="O40" s="2" t="s">
        <v>109</v>
      </c>
      <c r="P40" s="2">
        <v>1846.65</v>
      </c>
      <c r="R40" s="2">
        <v>8</v>
      </c>
    </row>
    <row r="41" spans="1:20" x14ac:dyDescent="0.25">
      <c r="A41" s="14" t="str">
        <f t="shared" si="1"/>
        <v>80468932BLK</v>
      </c>
      <c r="B41" s="15" t="s">
        <v>8</v>
      </c>
      <c r="C41" s="16">
        <v>30</v>
      </c>
      <c r="D41" s="2">
        <v>80468932</v>
      </c>
      <c r="E41" s="2" t="s">
        <v>12</v>
      </c>
      <c r="F41" s="2" t="s">
        <v>182</v>
      </c>
      <c r="G41" s="2" t="s">
        <v>43</v>
      </c>
      <c r="H41" s="2" t="s">
        <v>105</v>
      </c>
      <c r="I41" s="2" t="s">
        <v>8</v>
      </c>
      <c r="J41" s="2" t="s">
        <v>106</v>
      </c>
      <c r="K41" s="2">
        <v>30</v>
      </c>
      <c r="L41" s="2" t="s">
        <v>107</v>
      </c>
      <c r="M41" s="2" t="s">
        <v>134</v>
      </c>
      <c r="N41" s="2" t="s">
        <v>166</v>
      </c>
      <c r="O41" s="2" t="s">
        <v>109</v>
      </c>
      <c r="P41" s="2">
        <v>1210.25</v>
      </c>
      <c r="T41" s="2">
        <v>50</v>
      </c>
    </row>
    <row r="42" spans="1:20" x14ac:dyDescent="0.25">
      <c r="A42" s="14" t="str">
        <f t="shared" si="1"/>
        <v>80489231GRAPNK</v>
      </c>
      <c r="B42" s="15" t="s">
        <v>8</v>
      </c>
      <c r="C42" s="16">
        <v>5</v>
      </c>
      <c r="D42" s="2">
        <v>80489231</v>
      </c>
      <c r="E42" s="2" t="s">
        <v>28</v>
      </c>
      <c r="F42" s="2" t="s">
        <v>183</v>
      </c>
      <c r="G42" s="2" t="s">
        <v>43</v>
      </c>
      <c r="H42" s="2" t="s">
        <v>105</v>
      </c>
      <c r="I42" s="2" t="s">
        <v>8</v>
      </c>
      <c r="J42" s="2" t="s">
        <v>106</v>
      </c>
      <c r="K42" s="2">
        <v>5</v>
      </c>
      <c r="L42" s="2" t="s">
        <v>107</v>
      </c>
      <c r="M42" s="2" t="s">
        <v>184</v>
      </c>
      <c r="N42" s="2" t="s">
        <v>185</v>
      </c>
      <c r="O42" s="2" t="s">
        <v>149</v>
      </c>
      <c r="P42" s="2">
        <v>1442.76</v>
      </c>
      <c r="T42" s="2">
        <v>11</v>
      </c>
    </row>
    <row r="43" spans="1:20" x14ac:dyDescent="0.25">
      <c r="A43" s="14" t="str">
        <f t="shared" si="1"/>
        <v>80524868WHI</v>
      </c>
      <c r="B43" s="15" t="s">
        <v>8</v>
      </c>
      <c r="C43" s="16">
        <v>6</v>
      </c>
      <c r="D43" s="2">
        <v>80524868</v>
      </c>
      <c r="E43" s="2" t="s">
        <v>7</v>
      </c>
      <c r="F43" s="2" t="s">
        <v>186</v>
      </c>
      <c r="G43" s="2" t="s">
        <v>43</v>
      </c>
      <c r="H43" s="2" t="s">
        <v>105</v>
      </c>
      <c r="I43" s="2" t="s">
        <v>8</v>
      </c>
      <c r="J43" s="2" t="s">
        <v>106</v>
      </c>
      <c r="K43" s="2">
        <v>6</v>
      </c>
      <c r="L43" s="2" t="s">
        <v>107</v>
      </c>
      <c r="M43" s="2" t="s">
        <v>134</v>
      </c>
      <c r="N43" s="2" t="s">
        <v>185</v>
      </c>
      <c r="O43" s="2" t="s">
        <v>149</v>
      </c>
      <c r="P43" s="2">
        <v>1293.46</v>
      </c>
      <c r="T43" s="2">
        <v>16</v>
      </c>
    </row>
    <row r="44" spans="1:20" x14ac:dyDescent="0.25">
      <c r="A44" s="14" t="str">
        <f t="shared" si="1"/>
        <v>80636012CARWHI</v>
      </c>
      <c r="B44" s="15" t="s">
        <v>8</v>
      </c>
      <c r="C44" s="16">
        <v>10</v>
      </c>
      <c r="D44" s="2">
        <v>80636012</v>
      </c>
      <c r="E44" s="2" t="s">
        <v>29</v>
      </c>
      <c r="F44" s="2" t="s">
        <v>187</v>
      </c>
      <c r="G44" s="2" t="s">
        <v>43</v>
      </c>
      <c r="H44" s="2" t="s">
        <v>105</v>
      </c>
      <c r="I44" s="2" t="s">
        <v>8</v>
      </c>
      <c r="J44" s="2" t="s">
        <v>106</v>
      </c>
      <c r="K44" s="2">
        <v>10</v>
      </c>
      <c r="L44" s="2" t="s">
        <v>107</v>
      </c>
      <c r="M44" s="2" t="s">
        <v>134</v>
      </c>
      <c r="N44" s="2" t="s">
        <v>166</v>
      </c>
      <c r="O44" s="2" t="s">
        <v>109</v>
      </c>
      <c r="P44" s="2">
        <v>1293.46</v>
      </c>
      <c r="T44" s="2">
        <v>15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ОбратноеТранспонирование">
                <anchor moveWithCells="1" sizeWithCells="1">
                  <from>
                    <xdr:col>28</xdr:col>
                    <xdr:colOff>333375</xdr:colOff>
                    <xdr:row>1</xdr:row>
                    <xdr:rowOff>57150</xdr:rowOff>
                  </from>
                  <to>
                    <xdr:col>32</xdr:col>
                    <xdr:colOff>114300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Справочник</vt:lpstr>
      <vt:lpstr>Data</vt:lpstr>
      <vt:lpstr>КомандыИзНазвания</vt:lpstr>
      <vt:lpstr>Транспонирование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2022-05-11T08:43:27Z</dcterms:created>
  <dcterms:modified xsi:type="dcterms:W3CDTF">2022-09-09T12:54:19Z</dcterms:modified>
</cp:coreProperties>
</file>