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EDDF732E-B7EB-429C-8661-D4E43A60E34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Список товаров" sheetId="1" r:id="rId1"/>
    <sheet name="00911_5032262" sheetId="2" r:id="rId2"/>
    <sheet name="Лист1" sheetId="3" r:id="rId3"/>
  </sheets>
  <definedNames>
    <definedName name="_xlnm._FilterDatabase" localSheetId="1" hidden="1">'00911_5032262'!$A$8:$X$167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2" l="1"/>
  <c r="D80" i="2"/>
  <c r="D74" i="2"/>
  <c r="D72" i="2"/>
  <c r="D63" i="2"/>
  <c r="D54" i="2"/>
  <c r="D53" i="2"/>
  <c r="D51" i="2"/>
  <c r="D46" i="2"/>
  <c r="D18" i="2"/>
  <c r="D17" i="2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O167" i="2"/>
  <c r="M167" i="2"/>
  <c r="O166" i="2"/>
  <c r="M166" i="2"/>
  <c r="O165" i="2"/>
  <c r="M165" i="2"/>
  <c r="O164" i="2"/>
  <c r="M164" i="2"/>
  <c r="O163" i="2"/>
  <c r="M163" i="2"/>
  <c r="O162" i="2"/>
  <c r="M162" i="2"/>
  <c r="O161" i="2"/>
  <c r="M161" i="2"/>
  <c r="O160" i="2"/>
  <c r="M160" i="2"/>
  <c r="O159" i="2"/>
  <c r="M159" i="2"/>
  <c r="O158" i="2"/>
  <c r="M158" i="2"/>
  <c r="O157" i="2"/>
  <c r="M157" i="2"/>
  <c r="O156" i="2"/>
  <c r="M156" i="2"/>
  <c r="O155" i="2"/>
  <c r="M155" i="2"/>
  <c r="O154" i="2"/>
  <c r="M154" i="2"/>
  <c r="O153" i="2"/>
  <c r="M153" i="2"/>
  <c r="O152" i="2"/>
  <c r="M152" i="2"/>
  <c r="O151" i="2"/>
  <c r="M151" i="2"/>
  <c r="O150" i="2"/>
  <c r="M150" i="2"/>
  <c r="O149" i="2"/>
  <c r="M149" i="2"/>
  <c r="O148" i="2"/>
  <c r="M148" i="2"/>
  <c r="O147" i="2"/>
  <c r="M147" i="2"/>
  <c r="O146" i="2"/>
  <c r="M146" i="2"/>
  <c r="O145" i="2"/>
  <c r="M145" i="2"/>
  <c r="O144" i="2"/>
  <c r="M144" i="2"/>
  <c r="O143" i="2"/>
  <c r="M143" i="2"/>
  <c r="O142" i="2"/>
  <c r="M142" i="2"/>
  <c r="O141" i="2"/>
  <c r="M141" i="2"/>
  <c r="O140" i="2"/>
  <c r="M140" i="2"/>
  <c r="O139" i="2"/>
  <c r="M139" i="2"/>
  <c r="O138" i="2"/>
  <c r="M138" i="2"/>
  <c r="O137" i="2"/>
  <c r="M137" i="2"/>
  <c r="O136" i="2"/>
  <c r="M136" i="2"/>
  <c r="O135" i="2"/>
  <c r="M135" i="2"/>
  <c r="O134" i="2"/>
  <c r="M134" i="2"/>
  <c r="O133" i="2"/>
  <c r="M133" i="2"/>
  <c r="O132" i="2"/>
  <c r="M132" i="2"/>
  <c r="O131" i="2"/>
  <c r="M131" i="2"/>
  <c r="O130" i="2"/>
  <c r="M130" i="2"/>
  <c r="O129" i="2"/>
  <c r="M129" i="2"/>
  <c r="O128" i="2"/>
  <c r="M128" i="2"/>
  <c r="O127" i="2"/>
  <c r="M127" i="2"/>
  <c r="O126" i="2"/>
  <c r="M126" i="2"/>
  <c r="O125" i="2"/>
  <c r="M125" i="2"/>
  <c r="O124" i="2"/>
  <c r="M124" i="2"/>
  <c r="O123" i="2"/>
  <c r="M123" i="2"/>
  <c r="O122" i="2"/>
  <c r="M122" i="2"/>
  <c r="O121" i="2"/>
  <c r="M121" i="2"/>
  <c r="O120" i="2"/>
  <c r="M120" i="2"/>
  <c r="O119" i="2"/>
  <c r="M119" i="2"/>
  <c r="O118" i="2"/>
  <c r="M118" i="2"/>
  <c r="O117" i="2"/>
  <c r="M117" i="2"/>
  <c r="O116" i="2"/>
  <c r="M116" i="2"/>
  <c r="O115" i="2"/>
  <c r="M115" i="2"/>
  <c r="O114" i="2"/>
  <c r="M114" i="2"/>
  <c r="O113" i="2"/>
  <c r="M113" i="2"/>
  <c r="O112" i="2"/>
  <c r="M112" i="2"/>
  <c r="O111" i="2"/>
  <c r="M111" i="2"/>
  <c r="O110" i="2"/>
  <c r="M110" i="2"/>
  <c r="O109" i="2"/>
  <c r="M109" i="2"/>
  <c r="O108" i="2"/>
  <c r="M108" i="2"/>
  <c r="O107" i="2"/>
  <c r="M107" i="2"/>
  <c r="O106" i="2"/>
  <c r="M106" i="2"/>
  <c r="O105" i="2"/>
  <c r="M105" i="2"/>
  <c r="O104" i="2"/>
  <c r="M104" i="2"/>
  <c r="O103" i="2"/>
  <c r="M103" i="2"/>
  <c r="O102" i="2"/>
  <c r="M102" i="2"/>
  <c r="O101" i="2"/>
  <c r="M101" i="2"/>
  <c r="O100" i="2"/>
  <c r="M100" i="2"/>
  <c r="O99" i="2"/>
  <c r="M99" i="2"/>
  <c r="O98" i="2"/>
  <c r="M98" i="2"/>
  <c r="O97" i="2"/>
  <c r="M97" i="2"/>
  <c r="O96" i="2"/>
  <c r="M96" i="2"/>
  <c r="O95" i="2"/>
  <c r="M95" i="2"/>
  <c r="O94" i="2"/>
  <c r="M94" i="2"/>
  <c r="O93" i="2"/>
  <c r="M93" i="2"/>
  <c r="O92" i="2"/>
  <c r="M92" i="2"/>
  <c r="O91" i="2"/>
  <c r="M91" i="2"/>
  <c r="O90" i="2"/>
  <c r="M90" i="2"/>
  <c r="O89" i="2"/>
  <c r="M89" i="2"/>
  <c r="O88" i="2"/>
  <c r="M88" i="2"/>
  <c r="O87" i="2"/>
  <c r="M87" i="2"/>
  <c r="O86" i="2"/>
  <c r="M86" i="2"/>
  <c r="O85" i="2"/>
  <c r="M85" i="2"/>
  <c r="O84" i="2"/>
  <c r="M84" i="2"/>
  <c r="O83" i="2"/>
  <c r="M83" i="2"/>
  <c r="O82" i="2"/>
  <c r="M82" i="2"/>
  <c r="O81" i="2"/>
  <c r="M81" i="2"/>
  <c r="O80" i="2"/>
  <c r="M80" i="2"/>
  <c r="O79" i="2"/>
  <c r="M79" i="2"/>
  <c r="O78" i="2"/>
  <c r="M78" i="2"/>
  <c r="O77" i="2"/>
  <c r="M77" i="2"/>
  <c r="O76" i="2"/>
  <c r="M76" i="2"/>
  <c r="O75" i="2"/>
  <c r="M75" i="2"/>
  <c r="O74" i="2"/>
  <c r="M74" i="2"/>
  <c r="O73" i="2"/>
  <c r="M73" i="2"/>
  <c r="O72" i="2"/>
  <c r="M72" i="2"/>
  <c r="O71" i="2"/>
  <c r="M71" i="2"/>
  <c r="O70" i="2"/>
  <c r="M70" i="2"/>
  <c r="O69" i="2"/>
  <c r="M69" i="2"/>
  <c r="O68" i="2"/>
  <c r="M68" i="2"/>
  <c r="O67" i="2"/>
  <c r="M67" i="2"/>
  <c r="O66" i="2"/>
  <c r="M66" i="2"/>
  <c r="O65" i="2"/>
  <c r="M65" i="2"/>
  <c r="O64" i="2"/>
  <c r="M64" i="2"/>
  <c r="O63" i="2"/>
  <c r="M63" i="2"/>
  <c r="O62" i="2"/>
  <c r="M62" i="2"/>
  <c r="O61" i="2"/>
  <c r="M61" i="2"/>
  <c r="O60" i="2"/>
  <c r="M60" i="2"/>
  <c r="O59" i="2"/>
  <c r="M59" i="2"/>
  <c r="O58" i="2"/>
  <c r="M58" i="2"/>
  <c r="O57" i="2"/>
  <c r="M57" i="2"/>
  <c r="O56" i="2"/>
  <c r="M56" i="2"/>
  <c r="O55" i="2"/>
  <c r="M55" i="2"/>
  <c r="O54" i="2"/>
  <c r="M54" i="2"/>
  <c r="O53" i="2"/>
  <c r="M53" i="2"/>
  <c r="O52" i="2"/>
  <c r="M52" i="2"/>
  <c r="O51" i="2"/>
  <c r="M51" i="2"/>
  <c r="O50" i="2"/>
  <c r="M50" i="2"/>
  <c r="O49" i="2"/>
  <c r="M49" i="2"/>
  <c r="O48" i="2"/>
  <c r="M48" i="2"/>
  <c r="O47" i="2"/>
  <c r="M47" i="2"/>
  <c r="O46" i="2"/>
  <c r="M46" i="2"/>
  <c r="O45" i="2"/>
  <c r="M45" i="2"/>
  <c r="O44" i="2"/>
  <c r="M44" i="2"/>
  <c r="O43" i="2"/>
  <c r="M43" i="2"/>
  <c r="O42" i="2"/>
  <c r="M42" i="2"/>
  <c r="O41" i="2"/>
  <c r="M41" i="2"/>
  <c r="O40" i="2"/>
  <c r="M40" i="2"/>
  <c r="O39" i="2"/>
  <c r="M39" i="2"/>
  <c r="O38" i="2"/>
  <c r="M38" i="2"/>
  <c r="O37" i="2"/>
  <c r="M37" i="2"/>
  <c r="O36" i="2"/>
  <c r="M36" i="2"/>
  <c r="O35" i="2"/>
  <c r="M35" i="2"/>
  <c r="O34" i="2"/>
  <c r="M34" i="2"/>
  <c r="O33" i="2"/>
  <c r="M33" i="2"/>
  <c r="O32" i="2"/>
  <c r="M32" i="2"/>
  <c r="O31" i="2"/>
  <c r="M31" i="2"/>
  <c r="O30" i="2"/>
  <c r="M30" i="2"/>
  <c r="O29" i="2"/>
  <c r="M29" i="2"/>
  <c r="O28" i="2"/>
  <c r="M28" i="2"/>
  <c r="O27" i="2"/>
  <c r="M27" i="2"/>
  <c r="O26" i="2"/>
  <c r="M26" i="2"/>
  <c r="O25" i="2"/>
  <c r="M25" i="2"/>
  <c r="O24" i="2"/>
  <c r="M24" i="2"/>
  <c r="O23" i="2"/>
  <c r="M23" i="2"/>
  <c r="O22" i="2"/>
  <c r="M22" i="2"/>
  <c r="O21" i="2"/>
  <c r="M21" i="2"/>
  <c r="O20" i="2"/>
  <c r="M20" i="2"/>
  <c r="O19" i="2"/>
  <c r="M19" i="2"/>
  <c r="O18" i="2"/>
  <c r="M18" i="2"/>
  <c r="O17" i="2"/>
  <c r="M17" i="2"/>
  <c r="O16" i="2"/>
  <c r="M16" i="2"/>
  <c r="O15" i="2"/>
  <c r="M15" i="2"/>
  <c r="O14" i="2"/>
  <c r="M14" i="2"/>
  <c r="O13" i="2"/>
  <c r="M13" i="2"/>
  <c r="O12" i="2"/>
  <c r="M12" i="2"/>
  <c r="O11" i="2"/>
  <c r="M11" i="2"/>
  <c r="O10" i="2"/>
  <c r="M10" i="2"/>
  <c r="O9" i="2"/>
  <c r="M9" i="2"/>
  <c r="U7" i="2"/>
  <c r="T7" i="2"/>
  <c r="S7" i="2"/>
  <c r="R7" i="2"/>
  <c r="Q7" i="2"/>
  <c r="P7" i="2"/>
  <c r="N7" i="2"/>
  <c r="L7" i="2"/>
  <c r="K7" i="2"/>
  <c r="M7" i="2" l="1"/>
  <c r="O7" i="2"/>
</calcChain>
</file>

<file path=xl/sharedStrings.xml><?xml version="1.0" encoding="utf-8"?>
<sst xmlns="http://schemas.openxmlformats.org/spreadsheetml/2006/main" count="4762" uniqueCount="651">
  <si>
    <t>Код товара</t>
  </si>
  <si>
    <t>Наименование</t>
  </si>
  <si>
    <t>Модель</t>
  </si>
  <si>
    <t>Цветомодель</t>
  </si>
  <si>
    <t>Торговая марка</t>
  </si>
  <si>
    <t>Товарная группа</t>
  </si>
  <si>
    <t>Товарная подгруппа</t>
  </si>
  <si>
    <t>Цвет</t>
  </si>
  <si>
    <t>Размер</t>
  </si>
  <si>
    <t>Категория</t>
  </si>
  <si>
    <t>Подкатегория</t>
  </si>
  <si>
    <t>Сезон</t>
  </si>
  <si>
    <t>Коллекция</t>
  </si>
  <si>
    <t>Пол</t>
  </si>
  <si>
    <t>Адрес производителя</t>
  </si>
  <si>
    <t>Страна изготовитель</t>
  </si>
  <si>
    <t>Состав</t>
  </si>
  <si>
    <t>Гарантия</t>
  </si>
  <si>
    <t>Возраст</t>
  </si>
  <si>
    <t>Объем</t>
  </si>
  <si>
    <t>Вес</t>
  </si>
  <si>
    <t>ГТД</t>
  </si>
  <si>
    <t>Штрихкод (Спортмастера)</t>
  </si>
  <si>
    <t>Штрихкод (Производителя)</t>
  </si>
  <si>
    <t>GTIN</t>
  </si>
  <si>
    <t>Сертификаты</t>
  </si>
  <si>
    <t>Остаток</t>
  </si>
  <si>
    <t>РОЦ</t>
  </si>
  <si>
    <t>РРЦ</t>
  </si>
  <si>
    <t>10531941</t>
  </si>
  <si>
    <t>10531941-BLKWHI o/s  Бейсболка 940 LEAG BASIC NEYYAN BLACK/WHITE чёрный р. o/s</t>
  </si>
  <si>
    <t>Кепка взросл.</t>
  </si>
  <si>
    <t>10531941-BLKWHI</t>
  </si>
  <si>
    <t>New Era</t>
  </si>
  <si>
    <t>Одежда</t>
  </si>
  <si>
    <t>Бейсболки</t>
  </si>
  <si>
    <t>чёрный</t>
  </si>
  <si>
    <t>o/s</t>
  </si>
  <si>
    <t>Аксессуары</t>
  </si>
  <si>
    <t>Тренинг</t>
  </si>
  <si>
    <t>Весна-лето</t>
  </si>
  <si>
    <t>SS22</t>
  </si>
  <si>
    <t>МЖ</t>
  </si>
  <si>
    <t>1 этаж, СBX 2, Мидсаммер бульвар, Милтон Кейнс MK9 2EА</t>
  </si>
  <si>
    <t>Бангладеш</t>
  </si>
  <si>
    <t>Состав: 100% Хлопок</t>
  </si>
  <si>
    <t>Взрослые</t>
  </si>
  <si>
    <t>10130120/130214/0000901/1, 10130120/130214/0000906/1, 10218040/260219/0003815/1, 10130200/180313/0005081/1, 10218040/060218/0002618/1, 10129023/090615/0002532/1, 10013160/151121/0716257/2, 10216170/160120/0009423/3, 10129052/050918/0024781/1, 10129052/260118/0001845/5, 10129052/031017/0029307/2, 10013160/180820/0434821/3, 10216170/010321/0054234/1</t>
  </si>
  <si>
    <t>ЕАЭС N RU Д-GB.ПФ02.В.19382/20</t>
  </si>
  <si>
    <t>10531939</t>
  </si>
  <si>
    <t>10531939-NVYWHI o/s  Бейсболка 940 LEAG BASIC NEYYAN NAVY/WHITE синий р. o/s</t>
  </si>
  <si>
    <t>10531939-NVYWHI</t>
  </si>
  <si>
    <t>синий</t>
  </si>
  <si>
    <t>10129023/090615/0002532/1, 10130120/130214/0000906/1, 10130200/180313/0005081/1, 10216170/010321/0054234/1, 10218040/020419/0005989/1, 10218040/060218/0002618/1, 10702070/060921/0281005/1, 10129052/050918/0024781/1, 10129052/031017/0029307/3</t>
  </si>
  <si>
    <t>10531953M</t>
  </si>
  <si>
    <t>10531953-NVYWHI M/L  Бейсболка MLB 9FIFTY NEYYAN TEAM Baseball cap черный р.M/L</t>
  </si>
  <si>
    <t>10531953-NVYWHI</t>
  </si>
  <si>
    <t>M/L</t>
  </si>
  <si>
    <t>Осень-зима</t>
  </si>
  <si>
    <t>AW22</t>
  </si>
  <si>
    <t>М</t>
  </si>
  <si>
    <t>10130120/130214/0000906/1, 10129052/130219/0003485/1, 10130120/020714/0005111/1, 10130200/180313/0005117/1, 10129052/050918/0024781/1, 10702070/060921/0281005/1, 10129052/031017/0029307/3</t>
  </si>
  <si>
    <t>10145637S</t>
  </si>
  <si>
    <t>10145637-BLKBLK S/M  Бейсболка 39THIRTY LEAGUE BASIC NEYYAN BLACK/BLACK черный р. S/M</t>
  </si>
  <si>
    <t>10145637-BLKBLK</t>
  </si>
  <si>
    <t>S/M</t>
  </si>
  <si>
    <t>Состав: 97% Хлопок 3% Эластан</t>
  </si>
  <si>
    <t>10130120/130214/0000901/1, 10216170/010321/0054234/1, 10130200/180313/0005117/1, 10702070/060921/0281005/1</t>
  </si>
  <si>
    <t>ЕАЭС N RU Д-GB.ПФ02.В.19378/20</t>
  </si>
  <si>
    <t>10145637M</t>
  </si>
  <si>
    <t>10145637-BLKBLK M/L  Бейсболка 39THIRTY LEAGUE BASIC NEYYAN BLACK/BLACK черный р. M/L</t>
  </si>
  <si>
    <t>10047515</t>
  </si>
  <si>
    <t>10047515-BLKWHI o/s  Бейсболка THE LEAGUE CHIWHI GM черный р. o/s</t>
  </si>
  <si>
    <t>Кепка спортивная для взрослых</t>
  </si>
  <si>
    <t>10047515-BLKWHI</t>
  </si>
  <si>
    <t>Состав: 100% Полиэстер</t>
  </si>
  <si>
    <t>10130200/180313/0005081/1, 10702070/060921/0281005/1, 10216170/160120/0009423/3, 10001020/270418/0004437/1</t>
  </si>
  <si>
    <t>10531938</t>
  </si>
  <si>
    <t>10531938-SCAWHI o/s  Бейсболка 940 LEAG BASIC NEYYAN SCARLET/WHITE красный р. o/s</t>
  </si>
  <si>
    <t>10531938-SCAWHI</t>
  </si>
  <si>
    <t>красный</t>
  </si>
  <si>
    <t>Китай</t>
  </si>
  <si>
    <t>10130120/130214/0000906/1, 10129023/090615/0002532/1, 10130200/180313/0005081/1, 10218040/020419/0005989/1, 10702070/060921/0281005/1, 10129052/050918/0024781/1, 10013160/180820/0434821/1, 10013160/280120/0034880/1, 10129052/031017/0029307/3</t>
  </si>
  <si>
    <t>10531953S</t>
  </si>
  <si>
    <t>10531953-NVYWHI S/M  Бейсболка MLB 9FIFTY NEYYAN TEAM Baseball cap черный р.S/M</t>
  </si>
  <si>
    <t>10130120/130214/0000906/1, 10129052/130219/0003485/1, 10130200/180313/0005117/1, 10130120/020714/0005111/1, 10702070/060921/0281005/1, 10702070/270121/0019835/1, 10129052/031017/0029307/3, 10129052/050918/0024781/1</t>
  </si>
  <si>
    <t>11180834S</t>
  </si>
  <si>
    <t>11180834-BLKBLK S/M  Бейсболка MLB 9FIFTY NEYYAN BLKBLK черный р. S/M</t>
  </si>
  <si>
    <t>11180834-BLKBLK</t>
  </si>
  <si>
    <t>10218040/150219/0002959/1, 10702070/060921/0281005/1, 10216170/180220/0043110/1, 10702070/270121/0019835/1, 10129052/050918/0024781/1, 10129052/031017/0029307/3, 10702070/220720/0164196/1</t>
  </si>
  <si>
    <t>11180834M</t>
  </si>
  <si>
    <t>11180834-BLKBLK M/L  Бейсболка MLB 9FIFTY NEYYAN BLKBLK черный р. M/L</t>
  </si>
  <si>
    <t>10218040/150219/0002959/1, 10702070/060921/0281005/1, 10702070/220720/0164196/1, 10129052/050918/0024781/1, 10216170/180220/0043110/1, 10702070/270121/0019835/1, 10129052/031017/0029307/3</t>
  </si>
  <si>
    <t>10145636M</t>
  </si>
  <si>
    <t>10145636-NVYWHT M/L  Бейсболка 39THIRTY LEAGUE BASIC NEYYAN NAVY/WHITE синий р. M/L</t>
  </si>
  <si>
    <t>10145636-NVYWHT</t>
  </si>
  <si>
    <t>10130120/130214/0000901/1, 10218040/150219/0002959/1, 10702070/220720/0164196/1, 10702070/060921/0281005/1, 10129052/050918/0024781/1, 10216170/160120/0009423/3</t>
  </si>
  <si>
    <t>10145636S</t>
  </si>
  <si>
    <t>10145636-NVYWHT S/M  Бейсболка 39THIRTY LEAGUE BASIC NEYYAN NAVY/WHITE синий р. S/M</t>
  </si>
  <si>
    <t>10130120/130214/0000901/1, 10218040/150219/0002959/1, 10216170/160120/0009423/3, 10702070/060921/0281005/1, 10702070/220720/0164196/1</t>
  </si>
  <si>
    <t>10531954S</t>
  </si>
  <si>
    <t>10531954-TEAM S/M  Бейсболка MLB 9FIFTY LOSDOD TEAM Baseball cap синий р.S/M</t>
  </si>
  <si>
    <t>10531954-TEAM</t>
  </si>
  <si>
    <t>10130120/130214/0000906/1, 10702070/270121/0019835/1, 10130120/020714/0005111/1, 10218040/150219/0002959/1, 10702070/220720/0164196/1</t>
  </si>
  <si>
    <t>10531956M</t>
  </si>
  <si>
    <t>10531956-TEAM M/L  Бейсболка MLB 9FIFTY BOSRED TEAM Baseball cap черный р.M/L</t>
  </si>
  <si>
    <t>10531956-TEAM</t>
  </si>
  <si>
    <t>Осень</t>
  </si>
  <si>
    <t>10130120/130214/0000906/1, 10130120/020714/0005111/1, 10216170/160120/0009423/3, 10129052/130219/0003485/1, 10702070/060921/0281005/1, 10129052/260118/0001845/5, 10702070/270121/0019835/1, 10702070/220720/0164196/1</t>
  </si>
  <si>
    <t>10531956S</t>
  </si>
  <si>
    <t>10531956-TEAM S/M  Бейсболка MLB 9FIFTY BOSRED TEAM Baseball cap черный р.S/M</t>
  </si>
  <si>
    <t>10130120/130214/0000906/1, 10130120/020714/0005111/1, 10216170/160120/0009423/3, 10702070/060921/0281005/1, 10129052/130219/0003485/1, 10129052/260118/0001845/5, 10702070/220720/0164196/1</t>
  </si>
  <si>
    <t>10879529S</t>
  </si>
  <si>
    <t>10879529-BLK S/M  Бейсболка NFL COTTON BLOCK LASRAI GREY/BLACK Baseball cap черный р.S/M</t>
  </si>
  <si>
    <t>10879529-BLK</t>
  </si>
  <si>
    <t>черный</t>
  </si>
  <si>
    <t>10130120/020714/0005111/1, 10702070/060921/0281005/1, 10218040/260219/0003811/1</t>
  </si>
  <si>
    <t>10879529M</t>
  </si>
  <si>
    <t>10879529-BLK M/L  Бейсболка NFL COTTON BLOCK LASRAI GREY/BLACK Baseball cap черный р.M/L</t>
  </si>
  <si>
    <t>11588490</t>
  </si>
  <si>
    <t>11588490-GRAWHI o/s  Бейсболка CLEAN TRUCKER 2 NEYYAN GRAWHI серый р. o/s</t>
  </si>
  <si>
    <t>11588490-GRAWHI</t>
  </si>
  <si>
    <t>серый</t>
  </si>
  <si>
    <t>SS21</t>
  </si>
  <si>
    <t>10129052/130219/0003485/2, 10216170/220920/0246751/3, 10216170/010221/0024678/1, 10216170/180220/0043110/1</t>
  </si>
  <si>
    <t>11405497</t>
  </si>
  <si>
    <t>11405497-LRYWHI o/s  Бейсболка CLEAN TRUCKER LOSDOD LRYWHI синий р. o/s</t>
  </si>
  <si>
    <t>11405497-LRYWHI</t>
  </si>
  <si>
    <t>10129052/130219/0003485/1, 10216170/180220/0043110/1</t>
  </si>
  <si>
    <t>11157579</t>
  </si>
  <si>
    <t>11157579-LRYWHI o/s  Бейсболка 940 LEAGUE BASIC NEYYAN LRYWHI синий р. o/s</t>
  </si>
  <si>
    <t>11157579-LRYWHI</t>
  </si>
  <si>
    <t>10218040/020419/0005989/1, 10702070/060921/0281005/1, 10013160/151121/0716257/2</t>
  </si>
  <si>
    <t>11588488</t>
  </si>
  <si>
    <t>11588488-SCAWHI o/s  Бейсболка CLEAN TRUCKER 2 NEYYAN SCAWHI красный р. o/s</t>
  </si>
  <si>
    <t>11588488-SCAWHI</t>
  </si>
  <si>
    <t>10218040/020419/0005989/1, 10013160/161221/3042229/2, 10216170/180220/0043110/1</t>
  </si>
  <si>
    <t>11871279M</t>
  </si>
  <si>
    <t>11871279-. M/L  Бейсболка STRETCH SNAP 9FIFTY NEYYAN BLKOTC Baseball cap чёрный р.M/L</t>
  </si>
  <si>
    <t>11871279-.</t>
  </si>
  <si>
    <t>Состав: 95% Полиэстер, 5% Эластан</t>
  </si>
  <si>
    <t>10129052/150219/0003820/1, 10702070/060921/0281005/1</t>
  </si>
  <si>
    <t>ЕАЭС N RU Д-GB.РА01.В.08028/21</t>
  </si>
  <si>
    <t>11871279S</t>
  </si>
  <si>
    <t>11871279-. S/M  Бейсболка STRETCH SNAP 9FIFTY NEYYAN BLKOTC Baseball cap чёрный р.S/M</t>
  </si>
  <si>
    <t>10129052/150219/0003820/1, 10702070/060921/0281005/1, 10013160/151121/0716257/2</t>
  </si>
  <si>
    <t>97RLPIAWFE</t>
  </si>
  <si>
    <t>12122741-BLKWHI o/s  Бейсболка ESSENTIAL 940 WMNS NEYYAN BLKWHI чёрный р. o/s</t>
  </si>
  <si>
    <t>12122741-BLKWHI</t>
  </si>
  <si>
    <t>Ж</t>
  </si>
  <si>
    <t>10702070/270721/0229785/1, 10216170/010321/0054234/1,</t>
  </si>
  <si>
    <t>K026ETL56I</t>
  </si>
  <si>
    <t>12122742-BLKBLK o/s  Бейсболка ESSENTIAL 940 WMNS NEYYAN BLKBLK чёрный р. o/s</t>
  </si>
  <si>
    <t>12122742-BLKBLK</t>
  </si>
  <si>
    <t>10702070/270721/0229785/1, 10216170/010321/0054234/1, 10013160/151121/0716257/16</t>
  </si>
  <si>
    <t>C9WGJ84HXL</t>
  </si>
  <si>
    <t>12380590-STN o/s  Бейсболка LEAGUE ESSENTIAL 940 NEYYAN STN 3 бежевый р. o/s</t>
  </si>
  <si>
    <t>12380590-STN</t>
  </si>
  <si>
    <t>бежевый</t>
  </si>
  <si>
    <t>10013160/151121/0716257/2, 10216170/010221/0024678/1</t>
  </si>
  <si>
    <t>37Z8B26N8G</t>
  </si>
  <si>
    <t>12380796-OTC o/s  Бейсболка TEAM COLOUR BLOCK TRUCKER NEYYAN OTC синий р. o/s</t>
  </si>
  <si>
    <t>12380796-OTC</t>
  </si>
  <si>
    <t>фиолетовый</t>
  </si>
  <si>
    <t>Состав: верх: 100% полиэстер, козырёк: 100% хлопок</t>
  </si>
  <si>
    <t>8NZ5BT572I</t>
  </si>
  <si>
    <t>12523893-STNWHI o/s  Бейсболка LEAGUE ESSENL 940 AF TRCKR NEYYAN STNWHI  бежевый р.o/s</t>
  </si>
  <si>
    <t>12523893-STNWHI</t>
  </si>
  <si>
    <t>Состав: Передняя часть, козырек: 100%хлопок, задняя часть: 100%Полиэстер</t>
  </si>
  <si>
    <t>10216170/010221/0024678/1</t>
  </si>
  <si>
    <t>WXRN0Q69NK</t>
  </si>
  <si>
    <t>12523894-NOVWHI o/s  Бейсболка LEAGUE ESSENL 940 AF TRCKR NEYYAN NOVWHI  оливковый р.o/s</t>
  </si>
  <si>
    <t>12523894-NOVWHI</t>
  </si>
  <si>
    <t>зелёный</t>
  </si>
  <si>
    <t>81CVKO69NC</t>
  </si>
  <si>
    <t>12523903-WHIWHI o/s  Бейсболка DIAMOND ERA 9FORTY NEYYAN WHIWHI белый р. o/s</t>
  </si>
  <si>
    <t>12523903-WHIWHI</t>
  </si>
  <si>
    <t>белый</t>
  </si>
  <si>
    <t>VS4SACHXEK</t>
  </si>
  <si>
    <t>12523911-BLKBLK o/s  Бейсболка BOB TEAM LOGO 940 AF TRCKR LOSLAK BLKBLK Baseball cap черный р.o/s</t>
  </si>
  <si>
    <t>12523911-BLKBLK</t>
  </si>
  <si>
    <t>10013160/180821/0507560/1, 10216170/300321/0087324/1</t>
  </si>
  <si>
    <t>092LVIG5HD</t>
  </si>
  <si>
    <t>12523912-BLKBLK o/s  Бейсболка BOB TEAM LOGO 940 AF TRCKR LOSDOD BLKBLK Baseball cap черный р.o/s</t>
  </si>
  <si>
    <t>12523912-BLKBLK</t>
  </si>
  <si>
    <t>10702070/060921/0281005/1, 10013160/151121/0716257/2</t>
  </si>
  <si>
    <t>BB6972UFZB</t>
  </si>
  <si>
    <t>12523913-BLKBLK o/s  Бейсболка BOB TEAM LOGO 940 AF TRCKR CHIBUL BLKBLK черный р. o/s</t>
  </si>
  <si>
    <t>12523913-BLKBLK</t>
  </si>
  <si>
    <t>Передняя часть, козырек: 100%хлопок, задняя часть: 100%Полиэстер</t>
  </si>
  <si>
    <t>PIOJP09YQY</t>
  </si>
  <si>
    <t>60222230-TOF o/s  Бейсболка COLOUR ESS EFRAME NEYYAN  TOF коричневый р. o/s</t>
  </si>
  <si>
    <t>60222230-TOF</t>
  </si>
  <si>
    <t>коричневый</t>
  </si>
  <si>
    <t>32KV6ZGOD4</t>
  </si>
  <si>
    <t>60222238-RGD o/s  Бейсболка DIAMOND ERA 9FORTY NEYYAN  BLKRGD черный р. o/s</t>
  </si>
  <si>
    <t>60222238-RGD</t>
  </si>
  <si>
    <t>оранжевый</t>
  </si>
  <si>
    <t>ЕАЭС N RU Д-GB.РА01.В.10023/21</t>
  </si>
  <si>
    <t>2E98E55PDY</t>
  </si>
  <si>
    <t>60222240-GRH o/s  Бейсболка ALL OVER CAMO 9FORTY NEYYAN  GRH серый р. o/s</t>
  </si>
  <si>
    <t>60222240-GRH</t>
  </si>
  <si>
    <t>SCJC20FIC7</t>
  </si>
  <si>
    <t>60222271-FDR o/s  Бейсболка HOME FIELD 9FORTY TRUCKER CHIBUL  BLKFDR черный р. o/s</t>
  </si>
  <si>
    <t>60222271-FDR</t>
  </si>
  <si>
    <t>8T0ZMTHFEA</t>
  </si>
  <si>
    <t>60222282-IRF o/s  Бейсболка LEAGUE ESSENTIAL 9FORTY LOSDOD  ATBIRF синий р. o/s</t>
  </si>
  <si>
    <t>60222282-IRF</t>
  </si>
  <si>
    <t>Весна</t>
  </si>
  <si>
    <t>10216170/170322/3071306/1</t>
  </si>
  <si>
    <t>93FJTAUN3B</t>
  </si>
  <si>
    <t>60222283-TOF o/s  Бейсболка LEAGUE ESSENTIAL 9FORTY BOSRED  NVYTOF синий р. o/s</t>
  </si>
  <si>
    <t>60222283-TOF</t>
  </si>
  <si>
    <t>NRY8ITVUHH</t>
  </si>
  <si>
    <t>60222284-BRR o/s  Бейсболка LEAGUE ESSENTIAL 9FORTY LOSDOD  BLKBRR черный р. o/s</t>
  </si>
  <si>
    <t>60222284-BRR</t>
  </si>
  <si>
    <t>2IFD8X5WRA</t>
  </si>
  <si>
    <t>60222306-LRY o/s  Бейсболка HOME FIELD 9FORTY TRUCKER LOSDOD  LRY синий р. o/s</t>
  </si>
  <si>
    <t>60222306-LRY</t>
  </si>
  <si>
    <t>7JINFPHL9D</t>
  </si>
  <si>
    <t>60222308-BLK o/s  Бейсболка RAISED LOGO 9FORTY NEYYAN  BLKBLK черный р. o/s</t>
  </si>
  <si>
    <t>60222308-BLK</t>
  </si>
  <si>
    <t>NJ1PFE4VDJ</t>
  </si>
  <si>
    <t>60222321-TOF o/s  Бейсболка LEAGUE ESSENTIAL 9FORTY NEYYAN  NVYTOF синий р. o/s</t>
  </si>
  <si>
    <t>60222321-TOF</t>
  </si>
  <si>
    <t>L6F2DGRL16</t>
  </si>
  <si>
    <t>60222329-ILG o/s  Бейсболка TONAL MESH TRUCKER NEYYAN  ILG зеленый р. o/s</t>
  </si>
  <si>
    <t>60222329-ILG</t>
  </si>
  <si>
    <t>WX0BE9R6R3</t>
  </si>
  <si>
    <t>60222348-NVY o/s  Бейсболка SHADOW TECH 9FORTY LOSDOD  NVYNVY синий р. o/s</t>
  </si>
  <si>
    <t>60222348-NVY</t>
  </si>
  <si>
    <t>10216170/040322/3065204/1</t>
  </si>
  <si>
    <t>XL7M10T91U</t>
  </si>
  <si>
    <t>60222351-WHI o/s  Бейсболка WMNS LEAGUE ESS 9FORTY NEYYAN  BLTWHI салатовый р. o/s</t>
  </si>
  <si>
    <t>60222351-WHI</t>
  </si>
  <si>
    <t>SUFF9R9KAS</t>
  </si>
  <si>
    <t>60222360-PNK o/s  Бейсболка WMNS FASHION CORD 9FORTY NEYYAN  PNK розовый р. o/s</t>
  </si>
  <si>
    <t>60222360-PNK</t>
  </si>
  <si>
    <t>розовый</t>
  </si>
  <si>
    <t>Состав: 74.7% хлопок 25.3% целлюлозное волокно</t>
  </si>
  <si>
    <t>CWKTY5IN9U</t>
  </si>
  <si>
    <t>60222361-NVYMNC o/s  Бейсболка CAMO INFILL 9FORTY BOSRED  NVYMNC синий р. o/s</t>
  </si>
  <si>
    <t>60222361-NVYMNC</t>
  </si>
  <si>
    <t>5BJWEBCRBM</t>
  </si>
  <si>
    <t>60222402-TOF o/s  Бейсболка TONAL MESH TRUCKER NEYYAN  TOF коричневый р. o/s</t>
  </si>
  <si>
    <t>60222402-TOF</t>
  </si>
  <si>
    <t>19JWCOWLK2</t>
  </si>
  <si>
    <t>60222423-SGR o/s  Бейсболка TEAM ARCH 9FORTY LASRAI  SGR серый р. o/s</t>
  </si>
  <si>
    <t>60222423-SGR</t>
  </si>
  <si>
    <t>19XPWOU1S4</t>
  </si>
  <si>
    <t>60222424-WHI o/s  Бейсболка TEAM ARCH 9FORTY NEYYAN  NVYWHI синий р. o/s</t>
  </si>
  <si>
    <t>60222424-WHI</t>
  </si>
  <si>
    <t>4T7MEVNM3Y</t>
  </si>
  <si>
    <t>60222426-TOF o/s  Бейсболка CAMO INFILL 9FORTY LOSDOD  TOF коричневый р. o/s</t>
  </si>
  <si>
    <t>60222426-TOF</t>
  </si>
  <si>
    <t>VTIZS2NKWT</t>
  </si>
  <si>
    <t>60222436-ATB o/s  Бейсболка TONAL MESH TRUCKER LOSDOD  ATB синий р. o/s</t>
  </si>
  <si>
    <t>60222436-ATB</t>
  </si>
  <si>
    <t>THQUCUCPVM</t>
  </si>
  <si>
    <t>60222441-WHT o/s  Бейсболка CAMO INFILL 9FORTY NEYYAN  NOVWHT зеленый р. o/s</t>
  </si>
  <si>
    <t>60222441-WHT</t>
  </si>
  <si>
    <t>TNZXL4NC4J</t>
  </si>
  <si>
    <t>60222444-BLK o/s  Бейсболка BLACK BASE SNAP 9FORTY NEYYAN  BLKBLK черный р. o/s</t>
  </si>
  <si>
    <t>60222444-BLK</t>
  </si>
  <si>
    <t>10216170/010322/3061554/2, 10216170/170322/3071306/1</t>
  </si>
  <si>
    <t>DBOJBX1RWC</t>
  </si>
  <si>
    <t>60222456-IRF o/s  Бейсболка TONAL MESH TRUCKER NEYYAN  IRF синий р. o/s</t>
  </si>
  <si>
    <t>60222456-IRF</t>
  </si>
  <si>
    <t>10216170/170322/3071306/3</t>
  </si>
  <si>
    <t>9AZWXATGM2</t>
  </si>
  <si>
    <t>60222457-RGD o/s  Бейсболка TONAL MESH TRUCKER NEYYAN  RGD желтый р. o/s</t>
  </si>
  <si>
    <t>60222457-RGD</t>
  </si>
  <si>
    <t>M1CWYGCQWJ</t>
  </si>
  <si>
    <t>60222458-GRA o/s  Бейсболка WMNS FASHION CORD 9FORTY NEYYAN  GRA серый р. o/s</t>
  </si>
  <si>
    <t>60222458-GRA</t>
  </si>
  <si>
    <t>XUHNF271VT</t>
  </si>
  <si>
    <t>60222459-BLT o/s  Бейсболка WMNS FASHION CORD 9FORTY NEYYAN  BLT серый р. o/s</t>
  </si>
  <si>
    <t>60222459-BLT</t>
  </si>
  <si>
    <t>A780OZ71XR</t>
  </si>
  <si>
    <t>60222480-ATBIRF o/s  Бейсболка LEAGUE ESSENTIAL 9FORTY NEYYAN  ATBIRF синий р. o/s</t>
  </si>
  <si>
    <t>60222480-ATBIRF</t>
  </si>
  <si>
    <t>APM8BZVOIF</t>
  </si>
  <si>
    <t>60222486-BLK o/s  Бейсболка BLACK WHITE 9FORTY CHIBUL  BLK черный р. o/s</t>
  </si>
  <si>
    <t>60222486-BLK</t>
  </si>
  <si>
    <t>YW56BSLR8X</t>
  </si>
  <si>
    <t>60222493-BLK o/s  Бейсболка BLACK WHITE 9FORTY LOSLAK  BLK черный р. o/s</t>
  </si>
  <si>
    <t>60222493-BLK</t>
  </si>
  <si>
    <t>ID7ZMZJ2DK</t>
  </si>
  <si>
    <t>60222496-BLK o/s  Бейсболка BLACK WHITE 9FORTY LOSDOD  BLK черный р. o/s</t>
  </si>
  <si>
    <t>60222496-BLK</t>
  </si>
  <si>
    <t>K2TQTURMAQ</t>
  </si>
  <si>
    <t>60222523-WHI o/s  Бейсболка WMNS LEAGUE ESS 9FORTY NEYYAN  DGRWHI серый р. o/s</t>
  </si>
  <si>
    <t>60222523-WHI</t>
  </si>
  <si>
    <t>3RSR7YIZQJ</t>
  </si>
  <si>
    <t>60222524-WHI o/s  Бейсболка WMNS LEAGUE ESS 9FORTY NEYYAN  LVDWHI лиловый р. o/s</t>
  </si>
  <si>
    <t>60222524-WHI</t>
  </si>
  <si>
    <t>UZV3FINFRZ</t>
  </si>
  <si>
    <t>60222525-PNK o/s  Бейсболка WMNS LEAGUE ESS 9FORTY LOSDOD  BLKPNK черный р. o/s</t>
  </si>
  <si>
    <t>60222525-PNK</t>
  </si>
  <si>
    <t>SFAOUUFNR5</t>
  </si>
  <si>
    <t>60222526-WHI o/s  Бейсболка WMNS LEAGUE ESS 9FORTY NEYYAN  BSKWHI розовый р. o/s</t>
  </si>
  <si>
    <t>60222526-WHI</t>
  </si>
  <si>
    <t>THHPAK5SA6</t>
  </si>
  <si>
    <t>60222546-NOV o/s  Бейсболка TONAL MESH TRUCKER NEYYAN  NOV зеленый р. o/s</t>
  </si>
  <si>
    <t>60222546-NOV</t>
  </si>
  <si>
    <t>оливковый</t>
  </si>
  <si>
    <t>5CU714TP8E</t>
  </si>
  <si>
    <t>60222557-BLK o/s  Бейсболка AOP TRUCKER CHIBUL  BLK черный р. o/s</t>
  </si>
  <si>
    <t>60222557-BLK</t>
  </si>
  <si>
    <t>W9XV0TWLG2</t>
  </si>
  <si>
    <t>12285467-WHI o/s  Бейсболка ESSENTIAL AF TRUCKER NEYYAN WHI белый р. o/s</t>
  </si>
  <si>
    <t>12285467-WHI</t>
  </si>
  <si>
    <t>Состав: 100% хлопок</t>
  </si>
  <si>
    <t>10216170/010221/0024678/1, 10216170/180220/0043110/1</t>
  </si>
  <si>
    <t>2VQJM7ZOE3</t>
  </si>
  <si>
    <t>80468932-BLK o/s  Бейсболка MLB LEAGUE ESS 940 NEYYAN BLKBLK чёрный р. o/s</t>
  </si>
  <si>
    <t>80468932-BLK</t>
  </si>
  <si>
    <t>10702070/060921/0281005/1, 10216170/160120/0009423/3</t>
  </si>
  <si>
    <t>D5Z38O8DCU</t>
  </si>
  <si>
    <t>80489231-GRAPNK o/s  Бейсболка TECH JERSEY 9FORTY WMN NEYYAN GRAPNK Baseball cap серый р.o/s</t>
  </si>
  <si>
    <t>80489231-GRAPNK</t>
  </si>
  <si>
    <t>Состав: 100% полиэстер</t>
  </si>
  <si>
    <t>10216170/220920/0246751/1, 10216170/010221/0024678/1, 10013160/151121/0716257/16</t>
  </si>
  <si>
    <t>CNVB2ARPWM</t>
  </si>
  <si>
    <t>80489299-PLM o/s  Бейсболка LEAGUE ESSENTIAL WMN NEYYAN PLM Baseball cap розовый р.o/s</t>
  </si>
  <si>
    <t>80489299-PLM</t>
  </si>
  <si>
    <t>10216170/160120/0009423/3, 10216170/300321/0087324/1, 10702070/060921/0281005/1</t>
  </si>
  <si>
    <t>9WM1212I4R</t>
  </si>
  <si>
    <t>80524868-WHI o/s  Бейсболка WMN ESSENTIAL 940 NEYYAN WHI белый р. o/s</t>
  </si>
  <si>
    <t>80524868-WHI</t>
  </si>
  <si>
    <t>10216170/010321/0054234/1, 10013160/151121/0716257/2</t>
  </si>
  <si>
    <t>P2RMLB27F9</t>
  </si>
  <si>
    <t>80636010-NOV o/s  Бейсболка LEAG ESNL 940 NEYYAN NOVWHI Baseball cap зелёный р.o/s</t>
  </si>
  <si>
    <t>80636010-NOV</t>
  </si>
  <si>
    <t>10702070/060921/0281005/1, 10013160/280120/0034880/1</t>
  </si>
  <si>
    <t>9C3556V0FD</t>
  </si>
  <si>
    <t>80636012-CARWHI o/s  Бейсболка LEAG ESNL 940 NEYYAN CARWHI тёмно-красный р. o/s</t>
  </si>
  <si>
    <t>80636012-CARWHI</t>
  </si>
  <si>
    <t>10013160/280120/0034880/1, 10702070/060921/0281005/1</t>
  </si>
  <si>
    <t>ED25CI61QC</t>
  </si>
  <si>
    <t>10047507-NAVY o/s  Бейсболка THE LEAGUE ATLBRA GM Baseball cap тёмно-синий р.o/s</t>
  </si>
  <si>
    <t>10047507-NAVY</t>
  </si>
  <si>
    <t>темно-синий</t>
  </si>
  <si>
    <t>10702070/060921/0281005/1</t>
  </si>
  <si>
    <t>X765C62274</t>
  </si>
  <si>
    <t>10047531-GM o/s  Бейсболка THE LEAGUE LOSDOD GM синий р. o/s</t>
  </si>
  <si>
    <t>10047531-GM</t>
  </si>
  <si>
    <t>10216170/160120/0009423/3</t>
  </si>
  <si>
    <t>UKW6ESVSTB</t>
  </si>
  <si>
    <t>10047538-NAVY o/s  Бейсболка THE LEAGUE NEYYAN GM тёмно-синий р. o/s</t>
  </si>
  <si>
    <t>10047538-NAVY</t>
  </si>
  <si>
    <t>10216170/300321/0087324/1</t>
  </si>
  <si>
    <t>T38XIFVOJZ</t>
  </si>
  <si>
    <t>10047540-GRN o/s  Бейсболка THE LEAGUE OAKATH HM Baseball cap зелёный р.o/s</t>
  </si>
  <si>
    <t>10047540-GRN</t>
  </si>
  <si>
    <t>зеленый</t>
  </si>
  <si>
    <t>10216170/160120/0009423/3, 10216170/300321/0087324/1, 10216170/220920/0246751/1</t>
  </si>
  <si>
    <t>13DM5WUSS4</t>
  </si>
  <si>
    <t>11576724-NAVY o/s  Бейсболка THE LEAGUE DETTIG HM 18 тёмно-синий р. o/s</t>
  </si>
  <si>
    <t>11576724-NAVY</t>
  </si>
  <si>
    <t>DFHBI9TAGG</t>
  </si>
  <si>
    <t>12051998-MNCBLK o/s  Бейсболка LEAGUE ESSENTIAL 940 NEYYAN MNCBLK камуфляж р. o/s</t>
  </si>
  <si>
    <t>12051998-MNCBLK</t>
  </si>
  <si>
    <t>100% Хлопок</t>
  </si>
  <si>
    <t>10216170/300321/0087324/1, 10216170/220920/0246751/1, 10216170/160120/0009423/3</t>
  </si>
  <si>
    <t>UXE8CLRG69</t>
  </si>
  <si>
    <t>12052000-BLK o/s  Бейсболка LEAGUE ESSENTIAL 940 LOSDOD BLKBLK 2 чёрный р. o/s</t>
  </si>
  <si>
    <t>12052000-BLK</t>
  </si>
  <si>
    <t>10216170/010321/0054234/1, 10013160/180820/0434821/3, 10216170/160120/0009423/3</t>
  </si>
  <si>
    <t>BQZ1YIYRK2</t>
  </si>
  <si>
    <t>60112610-. o/s  Бейсболка LEAGUE ESSENTIAL 9FORTY NEYYAN  TOFWHI коричневый р. o/s</t>
  </si>
  <si>
    <t>60112610-.</t>
  </si>
  <si>
    <t>10216170/170322/3071306/1, 10702070/190321/0072938/1</t>
  </si>
  <si>
    <t>VH1TEN8R3D</t>
  </si>
  <si>
    <t>60112702-. o/s  Бейсболка TONAL MESH TRUCKER BOSRED  BLK черный р. o/s</t>
  </si>
  <si>
    <t>60112702-.</t>
  </si>
  <si>
    <t>10702070/190321/0072938/1</t>
  </si>
  <si>
    <t>OHWK3DR9QO</t>
  </si>
  <si>
    <t>60240614-WHIPKL o/s  Бейсболка NEW YORK YANKEES WHIPKL белый р. o/s</t>
  </si>
  <si>
    <t>60240614-WHIPKL</t>
  </si>
  <si>
    <t>2Y3WSK8V3D</t>
  </si>
  <si>
    <t>60240617-PNONVY o/s  Бейсболка NEW YORK YANKEES PNONVY фиолетовый р. o/s</t>
  </si>
  <si>
    <t>60240617-PNONVY</t>
  </si>
  <si>
    <t>833WG9OA24</t>
  </si>
  <si>
    <t>60240622-SKY o/s  Бейсболка NEW YORK YANKEES SKY голубой р. o/s</t>
  </si>
  <si>
    <t>60240622-SKY</t>
  </si>
  <si>
    <t>цветной</t>
  </si>
  <si>
    <t>NN7UE1I9DQ</t>
  </si>
  <si>
    <t>60240627-DRYTOF o/s  Бейсболка LOS ANGELES DODGERS DRYTOF синий р. o/s</t>
  </si>
  <si>
    <t>60240627-DRYTOF</t>
  </si>
  <si>
    <t>4C9FGMH2DH</t>
  </si>
  <si>
    <t>60240645-BRPWHI o/s  Бейсболка NEW YORK YANKEES BRPWHI голубой р. o/s</t>
  </si>
  <si>
    <t>60240645-BRPWHI</t>
  </si>
  <si>
    <t>голубой</t>
  </si>
  <si>
    <t>7RUXY6N1DR</t>
  </si>
  <si>
    <t>60240646-WHI o/s  Бейсболка NEW YORK YANKEES BRPWHI голубой р. o/s</t>
  </si>
  <si>
    <t>60240646-WHI</t>
  </si>
  <si>
    <t>KLSWWKR4PO</t>
  </si>
  <si>
    <t>60240650-SKYWHI o/s  Бейсболка NEW YORK YANKEES SKYWHI голубой р. o/s</t>
  </si>
  <si>
    <t>60240650-SKYWHI</t>
  </si>
  <si>
    <t>FZ2FXXODVD</t>
  </si>
  <si>
    <t>60240651-GRAWHI o/s  Бейсболка NEW YORK YANKEES GRAWHI серый р. o/s</t>
  </si>
  <si>
    <t>60240651-GRAWHI</t>
  </si>
  <si>
    <t>GB5OGLQUYA</t>
  </si>
  <si>
    <t>60240656-BLKWDC o/s  Бейсболка NEW YORK YANKEES BLKWDC черный р. o/s</t>
  </si>
  <si>
    <t>60240656-BLKWDC</t>
  </si>
  <si>
    <t>CEGO8SJH9G</t>
  </si>
  <si>
    <t>60240657-PKLMNC o/s  Бейсболка NEW YORK YANKEES PKLMNC розовый р. o/s</t>
  </si>
  <si>
    <t>60240657-PKLMNC</t>
  </si>
  <si>
    <t>D9V4O3JYHQ</t>
  </si>
  <si>
    <t>60240299-WHIPPK o/s  Бейсболка NEW YORK YANKEES WHIPPK белый р. o/s</t>
  </si>
  <si>
    <t>60240299-WHIPPK</t>
  </si>
  <si>
    <t>DALV0KHG0V</t>
  </si>
  <si>
    <t>60240300-BLKPNO o/s  Бейсболка NEW YORK YANKEES BLKPNO черный р. o/s</t>
  </si>
  <si>
    <t>60240300-BLKPNO</t>
  </si>
  <si>
    <t>3LTQD3N2GI</t>
  </si>
  <si>
    <t>60240301-WHIILG o/s  Бейсболка NEW YORK YANKEES WHIILG белый р. o/s</t>
  </si>
  <si>
    <t>60240301-WHIILG</t>
  </si>
  <si>
    <t>64IAHBMKY7</t>
  </si>
  <si>
    <t>60240302-BRPWHI o/s  Бейсболка NEW YORK YANKEES BRPWHI голубой р. o/s</t>
  </si>
  <si>
    <t>60240302-BRPWHI</t>
  </si>
  <si>
    <t>DXYBT46JVL</t>
  </si>
  <si>
    <t>60240305-NVYBRP o/s  Бейсболка LOS ANGELES DODGERS NVYBRP синий р. o/s</t>
  </si>
  <si>
    <t>60240305-NVYBRP</t>
  </si>
  <si>
    <t>7QLOSZQ4PX</t>
  </si>
  <si>
    <t>60240306-BRPNVY o/s  Бейсболка NEW YORK YANKEES BRPNVY голубой р. o/s</t>
  </si>
  <si>
    <t>60240306-BRPNVY</t>
  </si>
  <si>
    <t>RBIYWUVUB7</t>
  </si>
  <si>
    <t>60240309-NVYMNY o/s  Бейсболка NEW YORK YANKEES NVYMNY синий р. o/s</t>
  </si>
  <si>
    <t>60240309-NVYMNY</t>
  </si>
  <si>
    <t>F3W07ML4Z5</t>
  </si>
  <si>
    <t>60240310-NOVRGD o/s  Бейсболка NEW YORK YANKEES NOVRGD зеленый р. o/s</t>
  </si>
  <si>
    <t>60240310-NOVRGD</t>
  </si>
  <si>
    <t>4F6YIPJXQJ</t>
  </si>
  <si>
    <t>60240311-WHITOF o/s  Бейсболка NEW YORK YANKEES WHITOF белый р. o/s</t>
  </si>
  <si>
    <t>60240311-WHITOF</t>
  </si>
  <si>
    <t>48XGCG9WOZ</t>
  </si>
  <si>
    <t>60240312-STNHRD o/s  Бейсболка NEW YORK YANKEES STNHRD бежевый р. o/s</t>
  </si>
  <si>
    <t>60240312-STNHRD</t>
  </si>
  <si>
    <t>83PB91J7NB</t>
  </si>
  <si>
    <t>60240314-RGDBLK o/s  Бейсболка LOS ANGELES DODGERS RGDBLK оранжевый р. o/s</t>
  </si>
  <si>
    <t>60240314-RGDBLK</t>
  </si>
  <si>
    <t>2Q6KCCUT7R</t>
  </si>
  <si>
    <t>60240315-QWVTRG o/s  Бейсболка LOS ANGELES DODGERS QWVTRG зеленый р. o/s</t>
  </si>
  <si>
    <t>60240315-QWVTRG</t>
  </si>
  <si>
    <t>9064HCRZ8W</t>
  </si>
  <si>
    <t>60240316-XMT o/s  Бейсболка CHICAGO BULLS XMT оранжевый р. o/s</t>
  </si>
  <si>
    <t>60240316-XMT</t>
  </si>
  <si>
    <t>L8QIRLMNPL</t>
  </si>
  <si>
    <t>60240331-WHI o/s  Бейсболка LOS ANGELES DODGERS WHI белый р. o/s</t>
  </si>
  <si>
    <t>60240331-WHI</t>
  </si>
  <si>
    <t>UKA1ZKSAQQ</t>
  </si>
  <si>
    <t>60240334-NVY o/s  Бейсболка NEW YORK YANKEES NVY синий р. o/s</t>
  </si>
  <si>
    <t>60240334-NVY</t>
  </si>
  <si>
    <t>KBA92TESMV</t>
  </si>
  <si>
    <t>60240335-TRP o/s  Бейсболка LOS ANGELES LAKERS TRP фиолетовый р. o/s</t>
  </si>
  <si>
    <t>60240335-TRP</t>
  </si>
  <si>
    <t>305V5E29G6</t>
  </si>
  <si>
    <t>60240352-PNKPNK o/s  Бейсболка LOS ANGELES DODGERS PNKPNK розовый р. o/s</t>
  </si>
  <si>
    <t>60240352-PNKPNK</t>
  </si>
  <si>
    <t>AWRHO04OTL</t>
  </si>
  <si>
    <t>60240361-BLKWHI o/s  Бейсболка NEW YORK YANKEES BLKWHI черный р. o/s</t>
  </si>
  <si>
    <t>60240361-BLKWHI</t>
  </si>
  <si>
    <t>CIGFNZLOMK</t>
  </si>
  <si>
    <t>60240363-NOV o/s  Бейсболка NEW YORK YANKEES NOV оливковый р. o/s</t>
  </si>
  <si>
    <t>60240363-NOV</t>
  </si>
  <si>
    <t>HGQIV849US</t>
  </si>
  <si>
    <t>60240369-OTC S/M  Бейсболка CHICAGO BULLS OTC белый р. S/M</t>
  </si>
  <si>
    <t>60240369-OTC</t>
  </si>
  <si>
    <t>X8Q1BJJNNC</t>
  </si>
  <si>
    <t>60240369-OTC M/L  Бейсболка CHICAGO BULLS OTC белый р. M/L</t>
  </si>
  <si>
    <t>R9XYZIWJOQ</t>
  </si>
  <si>
    <t>60240379-WHIOTC o/s  Бейсболка CHICAGO BULLS WHIOTC белый р. o/s</t>
  </si>
  <si>
    <t>60240379-WHIOTC</t>
  </si>
  <si>
    <t>ЕАЭС N RU Д-GB.РА02.В.00657/22</t>
  </si>
  <si>
    <t>UX8Q1PT6M3</t>
  </si>
  <si>
    <t>60240384-BLTBLT o/s  Бейсболка NEW YORK YANKEES BLTBLT голубой р. o/s</t>
  </si>
  <si>
    <t>60240384-BLTBLT</t>
  </si>
  <si>
    <t>3JHUXUSP7U</t>
  </si>
  <si>
    <t>60240389-OTC M/L  Бейсболка BROOKLYN NETS OTC черный р. M/L</t>
  </si>
  <si>
    <t>60240389-OTC</t>
  </si>
  <si>
    <t>W09VANGZBN</t>
  </si>
  <si>
    <t>60240402-ZBW o/s  Бейсболка LOS ANGELES DODGERS ZBW черный р. o/s</t>
  </si>
  <si>
    <t>60240402-ZBW</t>
  </si>
  <si>
    <t>FNWOV3GM1S</t>
  </si>
  <si>
    <t>60240404-BLK o/s  Бейсболка CHICAGO BULLS BLKOTC черный р. o/s</t>
  </si>
  <si>
    <t>60240404-BLK</t>
  </si>
  <si>
    <t>RPFJZVZTL8</t>
  </si>
  <si>
    <t>60240407-BLK o/s  Бейсболка LOS ANGELES DODGERS BLKOTC черный р. o/s</t>
  </si>
  <si>
    <t>60240407-BLK</t>
  </si>
  <si>
    <t>6TGZHLONVG</t>
  </si>
  <si>
    <t>60240408-BLK o/s  Бейсболка NEW YORK YANKEES BLKOTC черный р. o/s</t>
  </si>
  <si>
    <t>60240408-BLK</t>
  </si>
  <si>
    <t>Лето</t>
  </si>
  <si>
    <t>2TGAOCA3OE</t>
  </si>
  <si>
    <t>60240445-FDR o/s  Бейсболка CHICAGO BULLS FDR красный р. o/s</t>
  </si>
  <si>
    <t>60240445-FDR</t>
  </si>
  <si>
    <t>B6D2GOHZKH</t>
  </si>
  <si>
    <t>60240463-BLKCYG o/s  Бейсболка LOS ANGELES DODGERS BLKCYG черный р. o/s</t>
  </si>
  <si>
    <t>60240463-BLKCYG</t>
  </si>
  <si>
    <t>L1AR63QCBG</t>
  </si>
  <si>
    <t>60240465-BLK o/s  Бейсболка NEW YORK YANKEES BLKVCB черный р. o/s</t>
  </si>
  <si>
    <t>60240465-BLK</t>
  </si>
  <si>
    <t>L0DV55GEHV</t>
  </si>
  <si>
    <t>60240467-BLK o/s  Бейсболка NEW YORK YANKEES BLKHFOHFO черный р. o/s</t>
  </si>
  <si>
    <t>60240467-BLK</t>
  </si>
  <si>
    <t>3AR2PIVHZH</t>
  </si>
  <si>
    <t>60240486-BGS o/s  Бейсболка NEW YORK YANKEES BGS серый р. o/s</t>
  </si>
  <si>
    <t>60240486-BGS</t>
  </si>
  <si>
    <t>SKFUCJJNW1</t>
  </si>
  <si>
    <t>60240523-MNC o/s  Бейсболка LOS ANGELES LAKERS MNC серый р. o/s</t>
  </si>
  <si>
    <t>60240523-MNC</t>
  </si>
  <si>
    <t>Состав: Передняя часть, козырек: 100% хлопок, задняя часть: 100% полиэстер</t>
  </si>
  <si>
    <t>E5VETM2MX6</t>
  </si>
  <si>
    <t>60240524-NVY o/s  Бейсболка CORPUS CRISTI HOOKS NVY синий р. o/s</t>
  </si>
  <si>
    <t>60240524-NVY</t>
  </si>
  <si>
    <t>5WTPY3U96K</t>
  </si>
  <si>
    <t>60240547-OTC M/L  Бейсболка CHICAGO BULLS OTC красный р. M/L</t>
  </si>
  <si>
    <t>60240547-OTC</t>
  </si>
  <si>
    <t>I434YYHYJZ</t>
  </si>
  <si>
    <t>60240547-OTC S/M  Бейсболка CHICAGO BULLS OTC красный р. S/M</t>
  </si>
  <si>
    <t>GAFGSFQ0NH</t>
  </si>
  <si>
    <t>60240555-OTC S/M  Бейсболка LOS ANGELES LAKERS OTC фиолетовый р. S/M</t>
  </si>
  <si>
    <t>60240555-OTC</t>
  </si>
  <si>
    <t>NEKQNL9M69</t>
  </si>
  <si>
    <t>60240555-OTC M/L  Бейсболка LOS ANGELES LAKERS OTC фиолетовый р. M/L</t>
  </si>
  <si>
    <t>666NYRBMAR</t>
  </si>
  <si>
    <t>60240572-BLK o/s  Бейсболка NEW YORK YANKEES BLK черный р. o/s</t>
  </si>
  <si>
    <t>60240572-BLK</t>
  </si>
  <si>
    <t>9PC6DOY8WN</t>
  </si>
  <si>
    <t>60240575-PRP o/s  Бейсболка NEW YORK YANKEES PRP фиолетовый р. o/s</t>
  </si>
  <si>
    <t>60240575-PRP</t>
  </si>
  <si>
    <t>I9YWSV1VL0</t>
  </si>
  <si>
    <t>60240582-BLKOTC S/M  Бейсболка BROOKLYN NETS BLKOTC черный р. S/M</t>
  </si>
  <si>
    <t>60240582-BLKOTC</t>
  </si>
  <si>
    <t>Состав: 97% хлопок 3% эластан</t>
  </si>
  <si>
    <t>PYPTAEJW8H</t>
  </si>
  <si>
    <t>60240582-BLKOTC M/L  Бейсболка BROOKLYN NETS BLKOTC черный р. M/L</t>
  </si>
  <si>
    <t>QO0BGEPXKQ</t>
  </si>
  <si>
    <t>60240588-BLKOTC S/M  Бейсболка CHICAGO BULLS BLKOTC черный р. S/M</t>
  </si>
  <si>
    <t>60240588-BLKOTC</t>
  </si>
  <si>
    <t>63YD4GJKCU</t>
  </si>
  <si>
    <t>60240588-BLKOTC M/L  Бейсболка CHICAGO BULLS BLKOTC черный р. M/L</t>
  </si>
  <si>
    <t>ZD68HSUZTN</t>
  </si>
  <si>
    <t>60240593-DKG M/L  Бейсболка OAKLAND ATHLETICS DKG зеленый р. M/L</t>
  </si>
  <si>
    <t>60240593-DKG</t>
  </si>
  <si>
    <t>ETJZHMSN8J</t>
  </si>
  <si>
    <t>60240593-DKG S/M  Бейсболка OAKLAND ATHLETICS DKG зеленый р. S/M</t>
  </si>
  <si>
    <t>KLNNCJB9FV</t>
  </si>
  <si>
    <t>60240594-WHIOTC S/M  Бейсболка LOS ANGELES LAKERS WHIOTC белый р. S/M</t>
  </si>
  <si>
    <t>60240594-WHIOTC</t>
  </si>
  <si>
    <t>D6BK2EV3MW</t>
  </si>
  <si>
    <t>60240594-WHIOTC M/L  Бейсболка LOS ANGELES LAKERS WHIOTC белый р. M/L</t>
  </si>
  <si>
    <t>QPL5P7JFH6</t>
  </si>
  <si>
    <t>60240596-NVY M/L  Бейсболка BOSTON RED SOX NVY синий р. M/L</t>
  </si>
  <si>
    <t>60240596-NVY</t>
  </si>
  <si>
    <t>S7U9AJVATY</t>
  </si>
  <si>
    <t>60240596-NVY S/M  Бейсболка BOSTON RED SOX NVY синий р. S/M</t>
  </si>
  <si>
    <t>DFT4TOV845</t>
  </si>
  <si>
    <t>60240599-DRY M/L  Бейсболка LOS ANGELES DODGERS DRY синий р. M/L</t>
  </si>
  <si>
    <t>60240599-DRY</t>
  </si>
  <si>
    <t>36NMJRA7C0</t>
  </si>
  <si>
    <t>60240599-DRY S/M  Бейсболка LOS ANGELES DODGERS DRY синий р. S/M</t>
  </si>
  <si>
    <t>17Z7AUV8TA</t>
  </si>
  <si>
    <t>60240601-NVY S/M  Бейсболка NEW YORK YANKEES NVY синий р. S/M</t>
  </si>
  <si>
    <t>60240601-NVY</t>
  </si>
  <si>
    <t>2D6ERA6RNV</t>
  </si>
  <si>
    <t>60240601-NVY M/L  Бейсболка NEW YORK YANKEES NVY синий р. M/L</t>
  </si>
  <si>
    <t>10531954M</t>
  </si>
  <si>
    <t>10531954-TEAM M/L  Бейсболка MLB 9FIFTY LOSDOD TEAM Baseball cap синий р.M/L</t>
  </si>
  <si>
    <t>10702070/220720/0164196/1, 10130120/020714/0005111/1, 10130120/130214/0000906/1, 10702070/270121/0019835/1, 10218040/150219/0002959/1, 10013160/151121/0716257/2</t>
  </si>
  <si>
    <t>11579473</t>
  </si>
  <si>
    <t>11579473-BLK o/s  Бейсболка CLEAN TRUCKER NEYYAN WDCBLK Baseball cap камуфляж р.o/s</t>
  </si>
  <si>
    <t>11579473-BLK</t>
  </si>
  <si>
    <t>Состав: Врех:100% Хлопок, Подкладка: 100% полиэстер</t>
  </si>
  <si>
    <t>10218040/020419/0005989/1, 10216170/180220/0043110/1, 10129052/260118/0001845/6</t>
  </si>
  <si>
    <t>11579474</t>
  </si>
  <si>
    <t>11579474-BLK o/s  Бейсболка CLEAN TRUCKER NEYYAN BLKBLK чёрный р. o/s</t>
  </si>
  <si>
    <t>11579474-BLK</t>
  </si>
  <si>
    <t>Состав: Верх:100% Хлопок, Подкладка: 100% полиэстер</t>
  </si>
  <si>
    <t>10218040/020419/0005989/1, 10216170/160120/0009423/3, 10013160/151121/0716257/2, 10216170/010221/0024678/1, 10702070/060921/0281005/1, 10129052/260118/0001845/6</t>
  </si>
  <si>
    <t>11405614</t>
  </si>
  <si>
    <t>11405614-OTC o/s  Бейсболка THE LEAGUE CHIBUL OTC чёрный р. o/s</t>
  </si>
  <si>
    <t>11405614-OTC</t>
  </si>
  <si>
    <t>10216170/160120/0009423/3, 10216170/300321/0087324/1, 10001020/050618/0005937/1, 10013160/180820/0434821/3, 10702070/270721/0229785/1</t>
  </si>
  <si>
    <t>10047511</t>
  </si>
  <si>
    <t>10047511-OTC o/s  Бейсболка THE LEAGUE BOSRED GM Baseball cap тёмно-синий р.o/s</t>
  </si>
  <si>
    <t>10047511-OTC</t>
  </si>
  <si>
    <t>10702070/060921/0281005/1, 10001020/270418/0004437/1, 10216170/160120/0009423/3</t>
  </si>
  <si>
    <t>11157578</t>
  </si>
  <si>
    <t>11157578-WHI o/s  Бейсболка FASHION ESS 940 NEYYAN PNKWHI розовый р. o/s</t>
  </si>
  <si>
    <t>11157578-WHI</t>
  </si>
  <si>
    <t>10218040/020419/0005989/1, 10013160/151121/0716257/16, 10702070/270721/0229785/1, 10129052/050918/0024781/1, 10129052/260118/0001845/5, 10216170/300321/0087324/1, 10216170/160120/0009423/3</t>
  </si>
  <si>
    <t>10047544</t>
  </si>
  <si>
    <t>10047544-OTC o/s  Бейсболка THE LEAGUE PITPIR GM Baseball cap чёрный р.o/s</t>
  </si>
  <si>
    <t>10047544-OTC</t>
  </si>
  <si>
    <t>10702070/060921/0281005/1, 10001020/270418/0004437/1</t>
  </si>
  <si>
    <t>11198850</t>
  </si>
  <si>
    <t>11198850-BLK o/s  Бейсболка MLB FLAWLESS LOGO BASIC 940 NEYYAN BLK чёрный р. o/s</t>
  </si>
  <si>
    <t>11198850-BLK</t>
  </si>
  <si>
    <t>Состав: 53% Хлопок, 47% Полиэстер</t>
  </si>
  <si>
    <t>10013160/280120/0034880/1, 10218040/060218/0002618/1, 10218040/130519/0008297/1, 10013160/180821/0507560/1, 10129052/260118/0001845/5, 10702070/070421/0094616/1, 10013160/151121/0716257/16</t>
  </si>
  <si>
    <t>11405493</t>
  </si>
  <si>
    <t>11405493-BLKWHI o/s  Бейсболка LEAGUE ESSENTIAL 9FORTY LOSDOD BLKWHI чёрный р. o/s</t>
  </si>
  <si>
    <t>11405493-BLKWHI</t>
  </si>
  <si>
    <t>10702070/060921/0281005/1, 10218040/060218/0002618/1, 10216170/010321/0054234/1, 10013160/151121/0716257/2</t>
  </si>
  <si>
    <t>Номер счёта</t>
  </si>
  <si>
    <t>Дата счёта</t>
  </si>
  <si>
    <t>16.03.2022</t>
  </si>
  <si>
    <t>Сумма счёта</t>
  </si>
  <si>
    <t>№ Клиента</t>
  </si>
  <si>
    <t>Наименование Клиент</t>
  </si>
  <si>
    <t>Сбитенков Владимир Владимирович (SS22_Rклиент)</t>
  </si>
  <si>
    <t>Проект</t>
  </si>
  <si>
    <t>Собственный проект</t>
  </si>
  <si>
    <t>В спецификации</t>
  </si>
  <si>
    <t>Остаток 
в заказе</t>
  </si>
  <si>
    <t>Отгружено</t>
  </si>
  <si>
    <t>Доступно к заказу</t>
  </si>
  <si>
    <t>Доступно к заказу по ОЦ</t>
  </si>
  <si>
    <t>Заказать</t>
  </si>
  <si>
    <t>На складе</t>
  </si>
  <si>
    <t>Отпускная цена</t>
  </si>
  <si>
    <t>Объем ед.(м3)</t>
  </si>
  <si>
    <t>Вес ед.(кг)</t>
  </si>
  <si>
    <t>Кратность</t>
  </si>
  <si>
    <t/>
  </si>
  <si>
    <t>- Нет ГДТ</t>
  </si>
  <si>
    <t>- Товар отгружается упаковками более 1 штуки</t>
  </si>
  <si>
    <t>Производитель</t>
  </si>
  <si>
    <t>11871279-BLKOTC</t>
  </si>
  <si>
    <t>60112702-BLK</t>
  </si>
  <si>
    <t>60112610-TOFWHI</t>
  </si>
  <si>
    <t>BLK</t>
  </si>
  <si>
    <t>TEAM</t>
  </si>
  <si>
    <t>TOF</t>
  </si>
  <si>
    <t>RGD</t>
  </si>
  <si>
    <t>IRF</t>
  </si>
  <si>
    <t>NVY</t>
  </si>
  <si>
    <t>WHI</t>
  </si>
  <si>
    <t>PNK</t>
  </si>
  <si>
    <t>NOV</t>
  </si>
  <si>
    <t>GRAPNK</t>
  </si>
  <si>
    <t>TOFWHI</t>
  </si>
  <si>
    <t>Style</t>
  </si>
  <si>
    <t>Color</t>
  </si>
  <si>
    <t>Style/Color</t>
  </si>
  <si>
    <t>Цвет полный</t>
  </si>
  <si>
    <t>O/S (53-63 см)</t>
  </si>
  <si>
    <t>S/M (56 см)</t>
  </si>
  <si>
    <t>M/L (58 см)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</si>
</sst>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000000000000"/>
    <numFmt numFmtId="166" formatCode="00000"/>
  </numFmts>
  <fonts count="5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8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5F2DD"/>
      </patternFill>
    </fill>
    <fill>
      <patternFill patternType="solid">
        <fgColor rgb="FFFFE4E1"/>
      </patternFill>
    </fill>
    <fill>
      <patternFill patternType="solid">
        <fgColor rgb="FFF08080"/>
      </patternFill>
    </fill>
    <fill>
      <patternFill patternType="solid">
        <fgColor rgb="FFCEFFCE"/>
      </patternFill>
    </fill>
    <fill>
      <patternFill patternType="solid">
        <fgColor rgb="FFF78284"/>
      </patternFill>
    </fill>
    <fill>
      <patternFill patternType="solid">
        <fgColor rgb="FF76ACFF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right" vertical="center"/>
    </xf>
    <xf numFmtId="165" fontId="1" fillId="0" borderId="1" xfId="0" applyNumberFormat="1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" fontId="1" fillId="0" borderId="1" xfId="0" applyNumberFormat="1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/>
    </xf>
    <xf numFmtId="1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66" fontId="1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1" fontId="1" fillId="0" borderId="1" xfId="0" applyNumberFormat="1" applyFont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164" fontId="1" fillId="0" borderId="1" xfId="0" applyNumberFormat="1" applyFont="1" applyBorder="1" applyAlignment="1">
      <alignment horizontal="right" vertical="center"/>
    </xf>
    <xf numFmtId="0" fontId="1" fillId="5" borderId="1" xfId="0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vertical="top"/>
    </xf>
    <xf numFmtId="1" fontId="1" fillId="5" borderId="1" xfId="0" applyNumberFormat="1" applyFont="1" applyFill="1" applyBorder="1" applyAlignment="1">
      <alignment horizontal="right" vertical="center"/>
    </xf>
    <xf numFmtId="0" fontId="1" fillId="6" borderId="1" xfId="0" applyFont="1" applyFill="1" applyBorder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0" borderId="0" xfId="0" applyFont="1" applyAlignment="1">
      <alignment horizontal="left"/>
    </xf>
    <xf numFmtId="0" fontId="1" fillId="7" borderId="0" xfId="0" applyFont="1" applyFill="1" applyAlignment="1">
      <alignment horizontal="left"/>
    </xf>
    <xf numFmtId="0" fontId="0" fillId="0" borderId="2" xfId="0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autoPageBreaks="0"/>
  </sheetPr>
  <dimension ref="A1:AC160"/>
  <sheetViews>
    <sheetView workbookViewId="0">
      <selection activeCell="B23" sqref="B23"/>
    </sheetView>
  </sheetViews>
  <sheetFormatPr defaultColWidth="10.5" defaultRowHeight="11.45" customHeight="1" x14ac:dyDescent="0.2"/>
  <cols>
    <col min="1" max="1" width="14.6640625" style="1" customWidth="1"/>
    <col min="2" max="2" width="32" style="1" customWidth="1"/>
    <col min="3" max="3" width="13.5" style="1" customWidth="1"/>
    <col min="4" max="4" width="14.33203125" style="1" customWidth="1"/>
    <col min="5" max="5" width="16.33203125" style="1" customWidth="1"/>
    <col min="6" max="6" width="25" style="1" customWidth="1"/>
    <col min="7" max="7" width="20.6640625" style="1" customWidth="1"/>
    <col min="8" max="9" width="10.5" style="1" customWidth="1"/>
    <col min="10" max="10" width="16.6640625" style="1" customWidth="1"/>
    <col min="11" max="11" width="18" style="1" customWidth="1"/>
    <col min="12" max="12" width="11" style="1" customWidth="1"/>
    <col min="13" max="13" width="11.6640625" style="1" customWidth="1"/>
    <col min="14" max="14" width="10.5" style="1" customWidth="1"/>
    <col min="15" max="15" width="41.6640625" style="1" customWidth="1"/>
    <col min="16" max="16" width="20.5" style="1" customWidth="1"/>
    <col min="17" max="17" width="38" style="1" customWidth="1"/>
    <col min="18" max="18" width="14.33203125" style="1" customWidth="1"/>
    <col min="19" max="19" width="10.5" style="1" customWidth="1"/>
    <col min="20" max="20" width="13" style="1" customWidth="1"/>
    <col min="21" max="21" width="10.5" style="1" customWidth="1"/>
    <col min="22" max="22" width="28.6640625" style="1" customWidth="1"/>
    <col min="23" max="25" width="26.6640625" style="1" customWidth="1"/>
    <col min="26" max="26" width="35" style="1" customWidth="1"/>
    <col min="27" max="29" width="10.5" style="1" customWidth="1"/>
  </cols>
  <sheetData>
    <row r="1" spans="1:29" s="1" customFormat="1" ht="10.9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s="1" customFormat="1" ht="10.9" customHeight="1" x14ac:dyDescent="0.2">
      <c r="A2" s="3" t="s">
        <v>29</v>
      </c>
      <c r="B2" s="4" t="s">
        <v>30</v>
      </c>
      <c r="C2" s="5" t="s">
        <v>31</v>
      </c>
      <c r="D2" s="6" t="s">
        <v>32</v>
      </c>
      <c r="E2" s="6" t="s">
        <v>33</v>
      </c>
      <c r="F2" s="6" t="s">
        <v>34</v>
      </c>
      <c r="G2" s="6" t="s">
        <v>35</v>
      </c>
      <c r="H2" s="6" t="s">
        <v>36</v>
      </c>
      <c r="I2" s="6" t="s">
        <v>37</v>
      </c>
      <c r="J2" s="6" t="s">
        <v>38</v>
      </c>
      <c r="K2" s="6" t="s">
        <v>39</v>
      </c>
      <c r="L2" s="6" t="s">
        <v>40</v>
      </c>
      <c r="M2" s="6" t="s">
        <v>41</v>
      </c>
      <c r="N2" s="6" t="s">
        <v>42</v>
      </c>
      <c r="O2" s="4" t="s">
        <v>43</v>
      </c>
      <c r="P2" s="6" t="s">
        <v>44</v>
      </c>
      <c r="Q2" s="4" t="s">
        <v>45</v>
      </c>
      <c r="R2" s="6"/>
      <c r="S2" s="6" t="s">
        <v>46</v>
      </c>
      <c r="T2" s="7">
        <v>3.6800000000000001E-3</v>
      </c>
      <c r="U2" s="7">
        <v>0.1</v>
      </c>
      <c r="V2" s="4" t="s">
        <v>47</v>
      </c>
      <c r="W2" s="8">
        <v>990024617653</v>
      </c>
      <c r="X2" s="8">
        <v>886947030887</v>
      </c>
      <c r="Y2" s="6"/>
      <c r="Z2" s="4" t="s">
        <v>48</v>
      </c>
      <c r="AA2" s="3"/>
      <c r="AB2" s="9">
        <v>1520.42</v>
      </c>
      <c r="AC2" s="9">
        <v>2599</v>
      </c>
    </row>
    <row r="3" spans="1:29" s="1" customFormat="1" ht="10.9" customHeight="1" x14ac:dyDescent="0.2">
      <c r="A3" s="3" t="s">
        <v>49</v>
      </c>
      <c r="B3" s="4" t="s">
        <v>50</v>
      </c>
      <c r="C3" s="5" t="s">
        <v>31</v>
      </c>
      <c r="D3" s="6" t="s">
        <v>51</v>
      </c>
      <c r="E3" s="6" t="s">
        <v>33</v>
      </c>
      <c r="F3" s="6" t="s">
        <v>34</v>
      </c>
      <c r="G3" s="6" t="s">
        <v>35</v>
      </c>
      <c r="H3" s="6" t="s">
        <v>52</v>
      </c>
      <c r="I3" s="6" t="s">
        <v>37</v>
      </c>
      <c r="J3" s="6" t="s">
        <v>38</v>
      </c>
      <c r="K3" s="6" t="s">
        <v>39</v>
      </c>
      <c r="L3" s="6" t="s">
        <v>40</v>
      </c>
      <c r="M3" s="6" t="s">
        <v>41</v>
      </c>
      <c r="N3" s="6" t="s">
        <v>42</v>
      </c>
      <c r="O3" s="4" t="s">
        <v>43</v>
      </c>
      <c r="P3" s="6" t="s">
        <v>44</v>
      </c>
      <c r="Q3" s="4" t="s">
        <v>45</v>
      </c>
      <c r="R3" s="6"/>
      <c r="S3" s="6" t="s">
        <v>46</v>
      </c>
      <c r="T3" s="7">
        <v>3.7000000000000002E-3</v>
      </c>
      <c r="U3" s="7">
        <v>9.6000000000000002E-2</v>
      </c>
      <c r="V3" s="4" t="s">
        <v>53</v>
      </c>
      <c r="W3" s="8">
        <v>990024617639</v>
      </c>
      <c r="X3" s="8">
        <v>886947030863</v>
      </c>
      <c r="Y3" s="6"/>
      <c r="Z3" s="4" t="s">
        <v>48</v>
      </c>
      <c r="AA3" s="3"/>
      <c r="AB3" s="9">
        <v>1520.42</v>
      </c>
      <c r="AC3" s="9">
        <v>2599</v>
      </c>
    </row>
    <row r="4" spans="1:29" s="1" customFormat="1" ht="10.9" customHeight="1" x14ac:dyDescent="0.2">
      <c r="A4" s="3" t="s">
        <v>54</v>
      </c>
      <c r="B4" s="4" t="s">
        <v>55</v>
      </c>
      <c r="C4" s="5" t="s">
        <v>31</v>
      </c>
      <c r="D4" s="6" t="s">
        <v>56</v>
      </c>
      <c r="E4" s="6" t="s">
        <v>33</v>
      </c>
      <c r="F4" s="6" t="s">
        <v>34</v>
      </c>
      <c r="G4" s="6" t="s">
        <v>35</v>
      </c>
      <c r="H4" s="6" t="s">
        <v>52</v>
      </c>
      <c r="I4" s="6" t="s">
        <v>57</v>
      </c>
      <c r="J4" s="6" t="s">
        <v>38</v>
      </c>
      <c r="K4" s="6" t="s">
        <v>39</v>
      </c>
      <c r="L4" s="6" t="s">
        <v>58</v>
      </c>
      <c r="M4" s="6" t="s">
        <v>59</v>
      </c>
      <c r="N4" s="6" t="s">
        <v>60</v>
      </c>
      <c r="O4" s="4" t="s">
        <v>43</v>
      </c>
      <c r="P4" s="6" t="s">
        <v>44</v>
      </c>
      <c r="Q4" s="4" t="s">
        <v>45</v>
      </c>
      <c r="R4" s="6"/>
      <c r="S4" s="6" t="s">
        <v>46</v>
      </c>
      <c r="T4" s="7">
        <v>7.9000000000000001E-4</v>
      </c>
      <c r="U4" s="7">
        <v>9.8000000000000004E-2</v>
      </c>
      <c r="V4" s="4" t="s">
        <v>61</v>
      </c>
      <c r="W4" s="8">
        <v>990024617677</v>
      </c>
      <c r="X4" s="8">
        <v>886947155467</v>
      </c>
      <c r="Y4" s="6"/>
      <c r="Z4" s="4" t="s">
        <v>48</v>
      </c>
      <c r="AA4" s="3"/>
      <c r="AB4" s="9">
        <v>2222.42</v>
      </c>
      <c r="AC4" s="9">
        <v>3799</v>
      </c>
    </row>
    <row r="5" spans="1:29" s="1" customFormat="1" ht="10.9" customHeight="1" x14ac:dyDescent="0.2">
      <c r="A5" s="3" t="s">
        <v>62</v>
      </c>
      <c r="B5" s="4" t="s">
        <v>63</v>
      </c>
      <c r="C5" s="5" t="s">
        <v>31</v>
      </c>
      <c r="D5" s="6" t="s">
        <v>64</v>
      </c>
      <c r="E5" s="6" t="s">
        <v>33</v>
      </c>
      <c r="F5" s="6" t="s">
        <v>34</v>
      </c>
      <c r="G5" s="6" t="s">
        <v>35</v>
      </c>
      <c r="H5" s="6" t="s">
        <v>36</v>
      </c>
      <c r="I5" s="6" t="s">
        <v>65</v>
      </c>
      <c r="J5" s="6" t="s">
        <v>38</v>
      </c>
      <c r="K5" s="6" t="s">
        <v>39</v>
      </c>
      <c r="L5" s="6" t="s">
        <v>40</v>
      </c>
      <c r="M5" s="6" t="s">
        <v>41</v>
      </c>
      <c r="N5" s="6" t="s">
        <v>60</v>
      </c>
      <c r="O5" s="4" t="s">
        <v>43</v>
      </c>
      <c r="P5" s="6" t="s">
        <v>44</v>
      </c>
      <c r="Q5" s="4" t="s">
        <v>66</v>
      </c>
      <c r="R5" s="6"/>
      <c r="S5" s="6" t="s">
        <v>46</v>
      </c>
      <c r="T5" s="7">
        <v>4.6299999999999996E-3</v>
      </c>
      <c r="U5" s="7">
        <v>0.09</v>
      </c>
      <c r="V5" s="4" t="s">
        <v>67</v>
      </c>
      <c r="W5" s="8">
        <v>990024617349</v>
      </c>
      <c r="X5" s="10">
        <v>5055259604931</v>
      </c>
      <c r="Y5" s="6"/>
      <c r="Z5" s="4" t="s">
        <v>68</v>
      </c>
      <c r="AA5" s="3"/>
      <c r="AB5" s="9">
        <v>1871.42</v>
      </c>
      <c r="AC5" s="9">
        <v>3199</v>
      </c>
    </row>
    <row r="6" spans="1:29" s="1" customFormat="1" ht="10.9" customHeight="1" x14ac:dyDescent="0.2">
      <c r="A6" s="3" t="s">
        <v>69</v>
      </c>
      <c r="B6" s="4" t="s">
        <v>70</v>
      </c>
      <c r="C6" s="5" t="s">
        <v>31</v>
      </c>
      <c r="D6" s="6" t="s">
        <v>64</v>
      </c>
      <c r="E6" s="6" t="s">
        <v>33</v>
      </c>
      <c r="F6" s="6" t="s">
        <v>34</v>
      </c>
      <c r="G6" s="6" t="s">
        <v>35</v>
      </c>
      <c r="H6" s="6" t="s">
        <v>36</v>
      </c>
      <c r="I6" s="6" t="s">
        <v>57</v>
      </c>
      <c r="J6" s="6" t="s">
        <v>38</v>
      </c>
      <c r="K6" s="6" t="s">
        <v>39</v>
      </c>
      <c r="L6" s="6" t="s">
        <v>40</v>
      </c>
      <c r="M6" s="6" t="s">
        <v>41</v>
      </c>
      <c r="N6" s="6" t="s">
        <v>60</v>
      </c>
      <c r="O6" s="4" t="s">
        <v>43</v>
      </c>
      <c r="P6" s="6" t="s">
        <v>44</v>
      </c>
      <c r="Q6" s="4" t="s">
        <v>66</v>
      </c>
      <c r="R6" s="6"/>
      <c r="S6" s="6" t="s">
        <v>46</v>
      </c>
      <c r="T6" s="7">
        <v>4.5599999999999998E-3</v>
      </c>
      <c r="U6" s="7">
        <v>0.1</v>
      </c>
      <c r="V6" s="4" t="s">
        <v>67</v>
      </c>
      <c r="W6" s="8">
        <v>990024617356</v>
      </c>
      <c r="X6" s="10">
        <v>5055259605242</v>
      </c>
      <c r="Y6" s="6"/>
      <c r="Z6" s="4" t="s">
        <v>68</v>
      </c>
      <c r="AA6" s="3"/>
      <c r="AB6" s="9">
        <v>1871.42</v>
      </c>
      <c r="AC6" s="9">
        <v>3199</v>
      </c>
    </row>
    <row r="7" spans="1:29" s="1" customFormat="1" ht="10.9" customHeight="1" x14ac:dyDescent="0.2">
      <c r="A7" s="3" t="s">
        <v>71</v>
      </c>
      <c r="B7" s="4" t="s">
        <v>72</v>
      </c>
      <c r="C7" s="5" t="s">
        <v>73</v>
      </c>
      <c r="D7" s="6" t="s">
        <v>74</v>
      </c>
      <c r="E7" s="6" t="s">
        <v>33</v>
      </c>
      <c r="F7" s="6" t="s">
        <v>34</v>
      </c>
      <c r="G7" s="6" t="s">
        <v>35</v>
      </c>
      <c r="H7" s="6" t="s">
        <v>36</v>
      </c>
      <c r="I7" s="6" t="s">
        <v>37</v>
      </c>
      <c r="J7" s="6" t="s">
        <v>38</v>
      </c>
      <c r="K7" s="6" t="s">
        <v>39</v>
      </c>
      <c r="L7" s="6" t="s">
        <v>40</v>
      </c>
      <c r="M7" s="6" t="s">
        <v>41</v>
      </c>
      <c r="N7" s="6" t="s">
        <v>42</v>
      </c>
      <c r="O7" s="4" t="s">
        <v>43</v>
      </c>
      <c r="P7" s="6" t="s">
        <v>44</v>
      </c>
      <c r="Q7" s="4" t="s">
        <v>75</v>
      </c>
      <c r="R7" s="6"/>
      <c r="S7" s="6" t="s">
        <v>46</v>
      </c>
      <c r="T7" s="7">
        <v>4.3400000000000001E-3</v>
      </c>
      <c r="U7" s="7">
        <v>0.1</v>
      </c>
      <c r="V7" s="4" t="s">
        <v>76</v>
      </c>
      <c r="W7" s="8">
        <v>990024617189</v>
      </c>
      <c r="X7" s="8">
        <v>719106169497</v>
      </c>
      <c r="Y7" s="6"/>
      <c r="Z7" s="4" t="s">
        <v>48</v>
      </c>
      <c r="AA7" s="3"/>
      <c r="AB7" s="9">
        <v>1695.92</v>
      </c>
      <c r="AC7" s="9">
        <v>2899</v>
      </c>
    </row>
    <row r="8" spans="1:29" s="1" customFormat="1" ht="10.9" customHeight="1" x14ac:dyDescent="0.2">
      <c r="A8" s="3" t="s">
        <v>77</v>
      </c>
      <c r="B8" s="4" t="s">
        <v>78</v>
      </c>
      <c r="C8" s="5" t="s">
        <v>31</v>
      </c>
      <c r="D8" s="6" t="s">
        <v>79</v>
      </c>
      <c r="E8" s="6" t="s">
        <v>33</v>
      </c>
      <c r="F8" s="6" t="s">
        <v>34</v>
      </c>
      <c r="G8" s="6" t="s">
        <v>35</v>
      </c>
      <c r="H8" s="6" t="s">
        <v>80</v>
      </c>
      <c r="I8" s="6" t="s">
        <v>37</v>
      </c>
      <c r="J8" s="6" t="s">
        <v>38</v>
      </c>
      <c r="K8" s="6" t="s">
        <v>39</v>
      </c>
      <c r="L8" s="6" t="s">
        <v>40</v>
      </c>
      <c r="M8" s="6" t="s">
        <v>41</v>
      </c>
      <c r="N8" s="6" t="s">
        <v>42</v>
      </c>
      <c r="O8" s="4" t="s">
        <v>43</v>
      </c>
      <c r="P8" s="6" t="s">
        <v>81</v>
      </c>
      <c r="Q8" s="4" t="s">
        <v>45</v>
      </c>
      <c r="R8" s="6"/>
      <c r="S8" s="6" t="s">
        <v>46</v>
      </c>
      <c r="T8" s="7">
        <v>5.0200000000000002E-3</v>
      </c>
      <c r="U8" s="7">
        <v>0.09</v>
      </c>
      <c r="V8" s="4" t="s">
        <v>82</v>
      </c>
      <c r="W8" s="8">
        <v>990024617622</v>
      </c>
      <c r="X8" s="8">
        <v>886947030856</v>
      </c>
      <c r="Y8" s="6"/>
      <c r="Z8" s="4" t="s">
        <v>48</v>
      </c>
      <c r="AA8" s="3"/>
      <c r="AB8" s="9">
        <v>1520.42</v>
      </c>
      <c r="AC8" s="9">
        <v>2599</v>
      </c>
    </row>
    <row r="9" spans="1:29" s="1" customFormat="1" ht="10.9" customHeight="1" x14ac:dyDescent="0.2">
      <c r="A9" s="3" t="s">
        <v>83</v>
      </c>
      <c r="B9" s="4" t="s">
        <v>84</v>
      </c>
      <c r="C9" s="5" t="s">
        <v>31</v>
      </c>
      <c r="D9" s="6" t="s">
        <v>56</v>
      </c>
      <c r="E9" s="6" t="s">
        <v>33</v>
      </c>
      <c r="F9" s="6" t="s">
        <v>34</v>
      </c>
      <c r="G9" s="6" t="s">
        <v>35</v>
      </c>
      <c r="H9" s="6" t="s">
        <v>52</v>
      </c>
      <c r="I9" s="6" t="s">
        <v>65</v>
      </c>
      <c r="J9" s="6" t="s">
        <v>38</v>
      </c>
      <c r="K9" s="6" t="s">
        <v>39</v>
      </c>
      <c r="L9" s="6" t="s">
        <v>58</v>
      </c>
      <c r="M9" s="6" t="s">
        <v>59</v>
      </c>
      <c r="N9" s="6" t="s">
        <v>60</v>
      </c>
      <c r="O9" s="4" t="s">
        <v>43</v>
      </c>
      <c r="P9" s="6" t="s">
        <v>44</v>
      </c>
      <c r="Q9" s="4" t="s">
        <v>45</v>
      </c>
      <c r="R9" s="6"/>
      <c r="S9" s="6" t="s">
        <v>46</v>
      </c>
      <c r="T9" s="7">
        <v>4.1399999999999996E-3</v>
      </c>
      <c r="U9" s="7">
        <v>9.7000000000000003E-2</v>
      </c>
      <c r="V9" s="4" t="s">
        <v>85</v>
      </c>
      <c r="W9" s="8">
        <v>990024617660</v>
      </c>
      <c r="X9" s="8">
        <v>886947155474</v>
      </c>
      <c r="Y9" s="6"/>
      <c r="Z9" s="4" t="s">
        <v>48</v>
      </c>
      <c r="AA9" s="3"/>
      <c r="AB9" s="9">
        <v>2222.42</v>
      </c>
      <c r="AC9" s="9">
        <v>3799</v>
      </c>
    </row>
    <row r="10" spans="1:29" s="1" customFormat="1" ht="10.9" customHeight="1" x14ac:dyDescent="0.2">
      <c r="A10" s="3" t="s">
        <v>86</v>
      </c>
      <c r="B10" s="4" t="s">
        <v>87</v>
      </c>
      <c r="C10" s="5" t="s">
        <v>31</v>
      </c>
      <c r="D10" s="6" t="s">
        <v>88</v>
      </c>
      <c r="E10" s="6" t="s">
        <v>33</v>
      </c>
      <c r="F10" s="6" t="s">
        <v>34</v>
      </c>
      <c r="G10" s="6" t="s">
        <v>35</v>
      </c>
      <c r="H10" s="6" t="s">
        <v>36</v>
      </c>
      <c r="I10" s="6" t="s">
        <v>65</v>
      </c>
      <c r="J10" s="6" t="s">
        <v>38</v>
      </c>
      <c r="K10" s="6" t="s">
        <v>39</v>
      </c>
      <c r="L10" s="6" t="s">
        <v>40</v>
      </c>
      <c r="M10" s="6" t="s">
        <v>41</v>
      </c>
      <c r="N10" s="6" t="s">
        <v>60</v>
      </c>
      <c r="O10" s="4" t="s">
        <v>43</v>
      </c>
      <c r="P10" s="6" t="s">
        <v>44</v>
      </c>
      <c r="Q10" s="4" t="s">
        <v>45</v>
      </c>
      <c r="R10" s="6"/>
      <c r="S10" s="6" t="s">
        <v>46</v>
      </c>
      <c r="T10" s="7">
        <v>5.0200000000000002E-3</v>
      </c>
      <c r="U10" s="7">
        <v>9.6000000000000002E-2</v>
      </c>
      <c r="V10" s="4" t="s">
        <v>89</v>
      </c>
      <c r="W10" s="8">
        <v>990033895271</v>
      </c>
      <c r="X10" s="8">
        <v>889355995885</v>
      </c>
      <c r="Y10" s="6"/>
      <c r="Z10" s="4" t="s">
        <v>48</v>
      </c>
      <c r="AA10" s="3"/>
      <c r="AB10" s="9">
        <v>2222.42</v>
      </c>
      <c r="AC10" s="9">
        <v>3799</v>
      </c>
    </row>
    <row r="11" spans="1:29" s="1" customFormat="1" ht="10.9" customHeight="1" x14ac:dyDescent="0.2">
      <c r="A11" s="3" t="s">
        <v>90</v>
      </c>
      <c r="B11" s="4" t="s">
        <v>91</v>
      </c>
      <c r="C11" s="5" t="s">
        <v>31</v>
      </c>
      <c r="D11" s="6" t="s">
        <v>88</v>
      </c>
      <c r="E11" s="6" t="s">
        <v>33</v>
      </c>
      <c r="F11" s="6" t="s">
        <v>34</v>
      </c>
      <c r="G11" s="6" t="s">
        <v>35</v>
      </c>
      <c r="H11" s="6" t="s">
        <v>36</v>
      </c>
      <c r="I11" s="6" t="s">
        <v>57</v>
      </c>
      <c r="J11" s="6" t="s">
        <v>38</v>
      </c>
      <c r="K11" s="6" t="s">
        <v>39</v>
      </c>
      <c r="L11" s="6" t="s">
        <v>40</v>
      </c>
      <c r="M11" s="6" t="s">
        <v>41</v>
      </c>
      <c r="N11" s="6" t="s">
        <v>60</v>
      </c>
      <c r="O11" s="4" t="s">
        <v>43</v>
      </c>
      <c r="P11" s="6" t="s">
        <v>44</v>
      </c>
      <c r="Q11" s="4" t="s">
        <v>45</v>
      </c>
      <c r="R11" s="6"/>
      <c r="S11" s="6" t="s">
        <v>46</v>
      </c>
      <c r="T11" s="7">
        <v>5.6800000000000002E-3</v>
      </c>
      <c r="U11" s="7">
        <v>9.9000000000000005E-2</v>
      </c>
      <c r="V11" s="4" t="s">
        <v>92</v>
      </c>
      <c r="W11" s="8">
        <v>990033895288</v>
      </c>
      <c r="X11" s="8">
        <v>889355995878</v>
      </c>
      <c r="Y11" s="6"/>
      <c r="Z11" s="4" t="s">
        <v>48</v>
      </c>
      <c r="AA11" s="3"/>
      <c r="AB11" s="9">
        <v>2222.42</v>
      </c>
      <c r="AC11" s="9">
        <v>3799</v>
      </c>
    </row>
    <row r="12" spans="1:29" s="1" customFormat="1" ht="10.9" customHeight="1" x14ac:dyDescent="0.2">
      <c r="A12" s="3" t="s">
        <v>93</v>
      </c>
      <c r="B12" s="4" t="s">
        <v>94</v>
      </c>
      <c r="C12" s="5" t="s">
        <v>31</v>
      </c>
      <c r="D12" s="6" t="s">
        <v>95</v>
      </c>
      <c r="E12" s="6" t="s">
        <v>33</v>
      </c>
      <c r="F12" s="6" t="s">
        <v>34</v>
      </c>
      <c r="G12" s="6" t="s">
        <v>35</v>
      </c>
      <c r="H12" s="6" t="s">
        <v>52</v>
      </c>
      <c r="I12" s="6" t="s">
        <v>57</v>
      </c>
      <c r="J12" s="6" t="s">
        <v>38</v>
      </c>
      <c r="K12" s="6" t="s">
        <v>39</v>
      </c>
      <c r="L12" s="6" t="s">
        <v>40</v>
      </c>
      <c r="M12" s="6" t="s">
        <v>41</v>
      </c>
      <c r="N12" s="6" t="s">
        <v>60</v>
      </c>
      <c r="O12" s="4" t="s">
        <v>43</v>
      </c>
      <c r="P12" s="6" t="s">
        <v>44</v>
      </c>
      <c r="Q12" s="4" t="s">
        <v>66</v>
      </c>
      <c r="R12" s="6"/>
      <c r="S12" s="6" t="s">
        <v>46</v>
      </c>
      <c r="T12" s="7">
        <v>3.5899999999999999E-3</v>
      </c>
      <c r="U12" s="7">
        <v>0.09</v>
      </c>
      <c r="V12" s="4" t="s">
        <v>96</v>
      </c>
      <c r="W12" s="8">
        <v>990020689241</v>
      </c>
      <c r="X12" s="10">
        <v>5055259605235</v>
      </c>
      <c r="Y12" s="6"/>
      <c r="Z12" s="4" t="s">
        <v>68</v>
      </c>
      <c r="AA12" s="3"/>
      <c r="AB12" s="9">
        <v>1871.42</v>
      </c>
      <c r="AC12" s="9">
        <v>3199</v>
      </c>
    </row>
    <row r="13" spans="1:29" s="1" customFormat="1" ht="10.9" customHeight="1" x14ac:dyDescent="0.2">
      <c r="A13" s="3" t="s">
        <v>97</v>
      </c>
      <c r="B13" s="4" t="s">
        <v>98</v>
      </c>
      <c r="C13" s="5" t="s">
        <v>31</v>
      </c>
      <c r="D13" s="6" t="s">
        <v>95</v>
      </c>
      <c r="E13" s="6" t="s">
        <v>33</v>
      </c>
      <c r="F13" s="6" t="s">
        <v>34</v>
      </c>
      <c r="G13" s="6" t="s">
        <v>35</v>
      </c>
      <c r="H13" s="6" t="s">
        <v>52</v>
      </c>
      <c r="I13" s="6" t="s">
        <v>65</v>
      </c>
      <c r="J13" s="6" t="s">
        <v>38</v>
      </c>
      <c r="K13" s="6" t="s">
        <v>39</v>
      </c>
      <c r="L13" s="6" t="s">
        <v>40</v>
      </c>
      <c r="M13" s="6" t="s">
        <v>41</v>
      </c>
      <c r="N13" s="6" t="s">
        <v>60</v>
      </c>
      <c r="O13" s="4" t="s">
        <v>43</v>
      </c>
      <c r="P13" s="6" t="s">
        <v>44</v>
      </c>
      <c r="Q13" s="4" t="s">
        <v>66</v>
      </c>
      <c r="R13" s="6"/>
      <c r="S13" s="6" t="s">
        <v>46</v>
      </c>
      <c r="T13" s="7">
        <v>3.9500000000000004E-3</v>
      </c>
      <c r="U13" s="7">
        <v>0.09</v>
      </c>
      <c r="V13" s="4" t="s">
        <v>99</v>
      </c>
      <c r="W13" s="8">
        <v>990020689234</v>
      </c>
      <c r="X13" s="10">
        <v>5055259604924</v>
      </c>
      <c r="Y13" s="6"/>
      <c r="Z13" s="4" t="s">
        <v>68</v>
      </c>
      <c r="AA13" s="3"/>
      <c r="AB13" s="9">
        <v>1871.42</v>
      </c>
      <c r="AC13" s="9">
        <v>3199</v>
      </c>
    </row>
    <row r="14" spans="1:29" s="1" customFormat="1" ht="10.9" customHeight="1" x14ac:dyDescent="0.2">
      <c r="A14" s="3" t="s">
        <v>100</v>
      </c>
      <c r="B14" s="4" t="s">
        <v>101</v>
      </c>
      <c r="C14" s="5" t="s">
        <v>31</v>
      </c>
      <c r="D14" s="6" t="s">
        <v>102</v>
      </c>
      <c r="E14" s="6" t="s">
        <v>33</v>
      </c>
      <c r="F14" s="6" t="s">
        <v>34</v>
      </c>
      <c r="G14" s="6" t="s">
        <v>35</v>
      </c>
      <c r="H14" s="6" t="s">
        <v>80</v>
      </c>
      <c r="I14" s="6" t="s">
        <v>65</v>
      </c>
      <c r="J14" s="6" t="s">
        <v>38</v>
      </c>
      <c r="K14" s="6" t="s">
        <v>39</v>
      </c>
      <c r="L14" s="6" t="s">
        <v>58</v>
      </c>
      <c r="M14" s="6" t="s">
        <v>59</v>
      </c>
      <c r="N14" s="6" t="s">
        <v>60</v>
      </c>
      <c r="O14" s="4" t="s">
        <v>43</v>
      </c>
      <c r="P14" s="6" t="s">
        <v>44</v>
      </c>
      <c r="Q14" s="4" t="s">
        <v>45</v>
      </c>
      <c r="R14" s="6"/>
      <c r="S14" s="6" t="s">
        <v>46</v>
      </c>
      <c r="T14" s="7">
        <v>5.0000000000000001E-3</v>
      </c>
      <c r="U14" s="7">
        <v>9.5000000000000001E-2</v>
      </c>
      <c r="V14" s="4" t="s">
        <v>103</v>
      </c>
      <c r="W14" s="8">
        <v>990020689364</v>
      </c>
      <c r="X14" s="8">
        <v>886947155498</v>
      </c>
      <c r="Y14" s="6"/>
      <c r="Z14" s="4" t="s">
        <v>48</v>
      </c>
      <c r="AA14" s="11">
        <v>3</v>
      </c>
      <c r="AB14" s="9">
        <v>2222.42</v>
      </c>
      <c r="AC14" s="9">
        <v>3799</v>
      </c>
    </row>
    <row r="15" spans="1:29" s="1" customFormat="1" ht="10.9" customHeight="1" x14ac:dyDescent="0.2">
      <c r="A15" s="3" t="s">
        <v>104</v>
      </c>
      <c r="B15" s="4" t="s">
        <v>105</v>
      </c>
      <c r="C15" s="5" t="s">
        <v>31</v>
      </c>
      <c r="D15" s="6" t="s">
        <v>106</v>
      </c>
      <c r="E15" s="6" t="s">
        <v>33</v>
      </c>
      <c r="F15" s="6" t="s">
        <v>34</v>
      </c>
      <c r="G15" s="6" t="s">
        <v>35</v>
      </c>
      <c r="H15" s="6" t="s">
        <v>80</v>
      </c>
      <c r="I15" s="6" t="s">
        <v>57</v>
      </c>
      <c r="J15" s="6" t="s">
        <v>38</v>
      </c>
      <c r="K15" s="6" t="s">
        <v>39</v>
      </c>
      <c r="L15" s="6" t="s">
        <v>107</v>
      </c>
      <c r="M15" s="6" t="s">
        <v>59</v>
      </c>
      <c r="N15" s="6" t="s">
        <v>60</v>
      </c>
      <c r="O15" s="4" t="s">
        <v>43</v>
      </c>
      <c r="P15" s="6" t="s">
        <v>44</v>
      </c>
      <c r="Q15" s="4" t="s">
        <v>45</v>
      </c>
      <c r="R15" s="6"/>
      <c r="S15" s="6" t="s">
        <v>46</v>
      </c>
      <c r="T15" s="7">
        <v>5.0000000000000001E-3</v>
      </c>
      <c r="U15" s="7">
        <v>9.6000000000000002E-2</v>
      </c>
      <c r="V15" s="4" t="s">
        <v>108</v>
      </c>
      <c r="W15" s="8">
        <v>990020689395</v>
      </c>
      <c r="X15" s="8">
        <v>886947155528</v>
      </c>
      <c r="Y15" s="6"/>
      <c r="Z15" s="4" t="s">
        <v>48</v>
      </c>
      <c r="AA15" s="3"/>
      <c r="AB15" s="9">
        <v>2222.42</v>
      </c>
      <c r="AC15" s="9">
        <v>3799</v>
      </c>
    </row>
    <row r="16" spans="1:29" s="1" customFormat="1" ht="10.9" customHeight="1" x14ac:dyDescent="0.2">
      <c r="A16" s="3" t="s">
        <v>109</v>
      </c>
      <c r="B16" s="4" t="s">
        <v>110</v>
      </c>
      <c r="C16" s="5" t="s">
        <v>31</v>
      </c>
      <c r="D16" s="6" t="s">
        <v>106</v>
      </c>
      <c r="E16" s="6" t="s">
        <v>33</v>
      </c>
      <c r="F16" s="6" t="s">
        <v>34</v>
      </c>
      <c r="G16" s="6" t="s">
        <v>35</v>
      </c>
      <c r="H16" s="6" t="s">
        <v>80</v>
      </c>
      <c r="I16" s="6" t="s">
        <v>65</v>
      </c>
      <c r="J16" s="6" t="s">
        <v>38</v>
      </c>
      <c r="K16" s="6" t="s">
        <v>39</v>
      </c>
      <c r="L16" s="6" t="s">
        <v>107</v>
      </c>
      <c r="M16" s="6" t="s">
        <v>59</v>
      </c>
      <c r="N16" s="6" t="s">
        <v>60</v>
      </c>
      <c r="O16" s="4" t="s">
        <v>43</v>
      </c>
      <c r="P16" s="6" t="s">
        <v>44</v>
      </c>
      <c r="Q16" s="4" t="s">
        <v>45</v>
      </c>
      <c r="R16" s="6"/>
      <c r="S16" s="6" t="s">
        <v>46</v>
      </c>
      <c r="T16" s="7">
        <v>5.0000000000000001E-3</v>
      </c>
      <c r="U16" s="7">
        <v>0.09</v>
      </c>
      <c r="V16" s="4" t="s">
        <v>111</v>
      </c>
      <c r="W16" s="8">
        <v>990020689388</v>
      </c>
      <c r="X16" s="8">
        <v>886947155535</v>
      </c>
      <c r="Y16" s="6"/>
      <c r="Z16" s="4" t="s">
        <v>48</v>
      </c>
      <c r="AA16" s="3"/>
      <c r="AB16" s="9">
        <v>2222.42</v>
      </c>
      <c r="AC16" s="9">
        <v>3799</v>
      </c>
    </row>
    <row r="17" spans="1:29" s="1" customFormat="1" ht="10.9" customHeight="1" x14ac:dyDescent="0.2">
      <c r="A17" s="3" t="s">
        <v>112</v>
      </c>
      <c r="B17" s="4" t="s">
        <v>113</v>
      </c>
      <c r="C17" s="5" t="s">
        <v>31</v>
      </c>
      <c r="D17" s="6" t="s">
        <v>114</v>
      </c>
      <c r="E17" s="6" t="s">
        <v>33</v>
      </c>
      <c r="F17" s="6" t="s">
        <v>34</v>
      </c>
      <c r="G17" s="6" t="s">
        <v>35</v>
      </c>
      <c r="H17" s="6" t="s">
        <v>115</v>
      </c>
      <c r="I17" s="6" t="s">
        <v>65</v>
      </c>
      <c r="J17" s="6" t="s">
        <v>38</v>
      </c>
      <c r="K17" s="6" t="s">
        <v>39</v>
      </c>
      <c r="L17" s="6" t="s">
        <v>58</v>
      </c>
      <c r="M17" s="6" t="s">
        <v>59</v>
      </c>
      <c r="N17" s="6" t="s">
        <v>60</v>
      </c>
      <c r="O17" s="4" t="s">
        <v>43</v>
      </c>
      <c r="P17" s="6" t="s">
        <v>44</v>
      </c>
      <c r="Q17" s="4" t="s">
        <v>45</v>
      </c>
      <c r="R17" s="6"/>
      <c r="S17" s="6" t="s">
        <v>46</v>
      </c>
      <c r="T17" s="7">
        <v>3.0000000000000001E-3</v>
      </c>
      <c r="U17" s="7">
        <v>9.9000000000000005E-2</v>
      </c>
      <c r="V17" s="4" t="s">
        <v>116</v>
      </c>
      <c r="W17" s="8">
        <v>990022373476</v>
      </c>
      <c r="X17" s="8">
        <v>885429060909</v>
      </c>
      <c r="Y17" s="6"/>
      <c r="Z17" s="4" t="s">
        <v>48</v>
      </c>
      <c r="AA17" s="3"/>
      <c r="AB17" s="9">
        <v>2222.42</v>
      </c>
      <c r="AC17" s="9">
        <v>3799</v>
      </c>
    </row>
    <row r="18" spans="1:29" s="1" customFormat="1" ht="10.9" customHeight="1" x14ac:dyDescent="0.2">
      <c r="A18" s="3" t="s">
        <v>117</v>
      </c>
      <c r="B18" s="4" t="s">
        <v>118</v>
      </c>
      <c r="C18" s="5" t="s">
        <v>31</v>
      </c>
      <c r="D18" s="6" t="s">
        <v>114</v>
      </c>
      <c r="E18" s="6" t="s">
        <v>33</v>
      </c>
      <c r="F18" s="6" t="s">
        <v>34</v>
      </c>
      <c r="G18" s="6" t="s">
        <v>35</v>
      </c>
      <c r="H18" s="6" t="s">
        <v>115</v>
      </c>
      <c r="I18" s="6" t="s">
        <v>57</v>
      </c>
      <c r="J18" s="6" t="s">
        <v>38</v>
      </c>
      <c r="K18" s="6" t="s">
        <v>39</v>
      </c>
      <c r="L18" s="6" t="s">
        <v>58</v>
      </c>
      <c r="M18" s="6" t="s">
        <v>59</v>
      </c>
      <c r="N18" s="6" t="s">
        <v>60</v>
      </c>
      <c r="O18" s="4" t="s">
        <v>43</v>
      </c>
      <c r="P18" s="6" t="s">
        <v>44</v>
      </c>
      <c r="Q18" s="4" t="s">
        <v>45</v>
      </c>
      <c r="R18" s="6"/>
      <c r="S18" s="6" t="s">
        <v>46</v>
      </c>
      <c r="T18" s="7">
        <v>3.0000000000000001E-3</v>
      </c>
      <c r="U18" s="7">
        <v>9.8000000000000004E-2</v>
      </c>
      <c r="V18" s="4" t="s">
        <v>116</v>
      </c>
      <c r="W18" s="8">
        <v>990022373490</v>
      </c>
      <c r="X18" s="8">
        <v>885429060893</v>
      </c>
      <c r="Y18" s="6"/>
      <c r="Z18" s="4" t="s">
        <v>48</v>
      </c>
      <c r="AA18" s="3"/>
      <c r="AB18" s="9">
        <v>2222.42</v>
      </c>
      <c r="AC18" s="9">
        <v>3799</v>
      </c>
    </row>
    <row r="19" spans="1:29" s="1" customFormat="1" ht="10.9" customHeight="1" x14ac:dyDescent="0.2">
      <c r="A19" s="3" t="s">
        <v>119</v>
      </c>
      <c r="B19" s="4" t="s">
        <v>120</v>
      </c>
      <c r="C19" s="5" t="s">
        <v>31</v>
      </c>
      <c r="D19" s="6" t="s">
        <v>121</v>
      </c>
      <c r="E19" s="6" t="s">
        <v>33</v>
      </c>
      <c r="F19" s="6" t="s">
        <v>34</v>
      </c>
      <c r="G19" s="6" t="s">
        <v>35</v>
      </c>
      <c r="H19" s="6" t="s">
        <v>122</v>
      </c>
      <c r="I19" s="6" t="s">
        <v>37</v>
      </c>
      <c r="J19" s="6" t="s">
        <v>38</v>
      </c>
      <c r="K19" s="6" t="s">
        <v>39</v>
      </c>
      <c r="L19" s="6" t="s">
        <v>40</v>
      </c>
      <c r="M19" s="6" t="s">
        <v>123</v>
      </c>
      <c r="N19" s="6" t="s">
        <v>60</v>
      </c>
      <c r="O19" s="4" t="s">
        <v>43</v>
      </c>
      <c r="P19" s="6" t="s">
        <v>44</v>
      </c>
      <c r="Q19" s="4" t="s">
        <v>45</v>
      </c>
      <c r="R19" s="6"/>
      <c r="S19" s="6" t="s">
        <v>46</v>
      </c>
      <c r="T19" s="7">
        <v>4.13E-3</v>
      </c>
      <c r="U19" s="7">
        <v>8.2000000000000003E-2</v>
      </c>
      <c r="V19" s="4" t="s">
        <v>124</v>
      </c>
      <c r="W19" s="8">
        <v>990036656558</v>
      </c>
      <c r="X19" s="8">
        <v>192093838063</v>
      </c>
      <c r="Y19" s="6"/>
      <c r="Z19" s="4" t="s">
        <v>68</v>
      </c>
      <c r="AA19" s="3"/>
      <c r="AB19" s="9">
        <v>1871.42</v>
      </c>
      <c r="AC19" s="9">
        <v>3199</v>
      </c>
    </row>
    <row r="20" spans="1:29" s="1" customFormat="1" ht="10.9" customHeight="1" x14ac:dyDescent="0.2">
      <c r="A20" s="3" t="s">
        <v>125</v>
      </c>
      <c r="B20" s="4" t="s">
        <v>126</v>
      </c>
      <c r="C20" s="5" t="s">
        <v>31</v>
      </c>
      <c r="D20" s="6" t="s">
        <v>127</v>
      </c>
      <c r="E20" s="6" t="s">
        <v>33</v>
      </c>
      <c r="F20" s="6" t="s">
        <v>34</v>
      </c>
      <c r="G20" s="6" t="s">
        <v>35</v>
      </c>
      <c r="H20" s="6" t="s">
        <v>52</v>
      </c>
      <c r="I20" s="6" t="s">
        <v>37</v>
      </c>
      <c r="J20" s="6" t="s">
        <v>38</v>
      </c>
      <c r="K20" s="6" t="s">
        <v>39</v>
      </c>
      <c r="L20" s="6" t="s">
        <v>40</v>
      </c>
      <c r="M20" s="6" t="s">
        <v>123</v>
      </c>
      <c r="N20" s="6" t="s">
        <v>60</v>
      </c>
      <c r="O20" s="4" t="s">
        <v>43</v>
      </c>
      <c r="P20" s="6" t="s">
        <v>44</v>
      </c>
      <c r="Q20" s="4" t="s">
        <v>45</v>
      </c>
      <c r="R20" s="6"/>
      <c r="S20" s="6" t="s">
        <v>46</v>
      </c>
      <c r="T20" s="7">
        <v>4.5399999999999998E-3</v>
      </c>
      <c r="U20" s="7">
        <v>8.3000000000000004E-2</v>
      </c>
      <c r="V20" s="4" t="s">
        <v>128</v>
      </c>
      <c r="W20" s="8">
        <v>990036656527</v>
      </c>
      <c r="X20" s="8">
        <v>885430014496</v>
      </c>
      <c r="Y20" s="6"/>
      <c r="Z20" s="4" t="s">
        <v>68</v>
      </c>
      <c r="AA20" s="3"/>
      <c r="AB20" s="9">
        <v>1871.42</v>
      </c>
      <c r="AC20" s="9">
        <v>3199</v>
      </c>
    </row>
    <row r="21" spans="1:29" s="1" customFormat="1" ht="10.9" customHeight="1" x14ac:dyDescent="0.2">
      <c r="A21" s="3" t="s">
        <v>129</v>
      </c>
      <c r="B21" s="4" t="s">
        <v>130</v>
      </c>
      <c r="C21" s="5" t="s">
        <v>31</v>
      </c>
      <c r="D21" s="6" t="s">
        <v>131</v>
      </c>
      <c r="E21" s="6" t="s">
        <v>33</v>
      </c>
      <c r="F21" s="6" t="s">
        <v>34</v>
      </c>
      <c r="G21" s="6" t="s">
        <v>35</v>
      </c>
      <c r="H21" s="6" t="s">
        <v>52</v>
      </c>
      <c r="I21" s="6" t="s">
        <v>37</v>
      </c>
      <c r="J21" s="6" t="s">
        <v>38</v>
      </c>
      <c r="K21" s="6" t="s">
        <v>39</v>
      </c>
      <c r="L21" s="6" t="s">
        <v>40</v>
      </c>
      <c r="M21" s="6" t="s">
        <v>41</v>
      </c>
      <c r="N21" s="6" t="s">
        <v>42</v>
      </c>
      <c r="O21" s="4" t="s">
        <v>43</v>
      </c>
      <c r="P21" s="6" t="s">
        <v>44</v>
      </c>
      <c r="Q21" s="4" t="s">
        <v>45</v>
      </c>
      <c r="R21" s="6"/>
      <c r="S21" s="6" t="s">
        <v>46</v>
      </c>
      <c r="T21" s="7">
        <v>4.1000000000000003E-3</v>
      </c>
      <c r="U21" s="7">
        <v>0.1</v>
      </c>
      <c r="V21" s="4" t="s">
        <v>132</v>
      </c>
      <c r="W21" s="8">
        <v>990036656190</v>
      </c>
      <c r="X21" s="8">
        <v>889353156387</v>
      </c>
      <c r="Y21" s="6"/>
      <c r="Z21" s="4" t="s">
        <v>48</v>
      </c>
      <c r="AA21" s="3"/>
      <c r="AB21" s="9">
        <v>1520.42</v>
      </c>
      <c r="AC21" s="9">
        <v>2599</v>
      </c>
    </row>
    <row r="22" spans="1:29" s="1" customFormat="1" ht="10.9" customHeight="1" x14ac:dyDescent="0.2">
      <c r="A22" s="3" t="s">
        <v>133</v>
      </c>
      <c r="B22" s="4" t="s">
        <v>134</v>
      </c>
      <c r="C22" s="5" t="s">
        <v>31</v>
      </c>
      <c r="D22" s="6" t="s">
        <v>135</v>
      </c>
      <c r="E22" s="6" t="s">
        <v>33</v>
      </c>
      <c r="F22" s="6" t="s">
        <v>34</v>
      </c>
      <c r="G22" s="6" t="s">
        <v>35</v>
      </c>
      <c r="H22" s="6" t="s">
        <v>80</v>
      </c>
      <c r="I22" s="6" t="s">
        <v>37</v>
      </c>
      <c r="J22" s="6" t="s">
        <v>38</v>
      </c>
      <c r="K22" s="6" t="s">
        <v>39</v>
      </c>
      <c r="L22" s="6" t="s">
        <v>40</v>
      </c>
      <c r="M22" s="6" t="s">
        <v>41</v>
      </c>
      <c r="N22" s="6" t="s">
        <v>60</v>
      </c>
      <c r="O22" s="4" t="s">
        <v>43</v>
      </c>
      <c r="P22" s="6" t="s">
        <v>44</v>
      </c>
      <c r="Q22" s="4" t="s">
        <v>45</v>
      </c>
      <c r="R22" s="6"/>
      <c r="S22" s="6" t="s">
        <v>46</v>
      </c>
      <c r="T22" s="7">
        <v>4.1900000000000001E-3</v>
      </c>
      <c r="U22" s="7">
        <v>8.5000000000000006E-2</v>
      </c>
      <c r="V22" s="4" t="s">
        <v>136</v>
      </c>
      <c r="W22" s="8">
        <v>990036656244</v>
      </c>
      <c r="X22" s="8">
        <v>192093838049</v>
      </c>
      <c r="Y22" s="6"/>
      <c r="Z22" s="4" t="s">
        <v>68</v>
      </c>
      <c r="AA22" s="3"/>
      <c r="AB22" s="9">
        <v>1871.42</v>
      </c>
      <c r="AC22" s="9">
        <v>3199</v>
      </c>
    </row>
    <row r="23" spans="1:29" s="1" customFormat="1" ht="10.9" customHeight="1" x14ac:dyDescent="0.2">
      <c r="A23" s="3" t="s">
        <v>137</v>
      </c>
      <c r="B23" s="4" t="s">
        <v>138</v>
      </c>
      <c r="C23" s="5" t="s">
        <v>73</v>
      </c>
      <c r="D23" s="6" t="s">
        <v>139</v>
      </c>
      <c r="E23" s="6" t="s">
        <v>33</v>
      </c>
      <c r="F23" s="6" t="s">
        <v>34</v>
      </c>
      <c r="G23" s="6" t="s">
        <v>35</v>
      </c>
      <c r="H23" s="6" t="s">
        <v>122</v>
      </c>
      <c r="I23" s="6" t="s">
        <v>57</v>
      </c>
      <c r="J23" s="6" t="s">
        <v>38</v>
      </c>
      <c r="K23" s="6" t="s">
        <v>39</v>
      </c>
      <c r="L23" s="6" t="s">
        <v>58</v>
      </c>
      <c r="M23" s="6" t="s">
        <v>59</v>
      </c>
      <c r="N23" s="6" t="s">
        <v>60</v>
      </c>
      <c r="O23" s="4" t="s">
        <v>43</v>
      </c>
      <c r="P23" s="6" t="s">
        <v>44</v>
      </c>
      <c r="Q23" s="4" t="s">
        <v>140</v>
      </c>
      <c r="R23" s="6"/>
      <c r="S23" s="6" t="s">
        <v>46</v>
      </c>
      <c r="T23" s="7">
        <v>3.5799999999999998E-3</v>
      </c>
      <c r="U23" s="7">
        <v>0.109</v>
      </c>
      <c r="V23" s="4" t="s">
        <v>141</v>
      </c>
      <c r="W23" s="8">
        <v>990036656718</v>
      </c>
      <c r="X23" s="8">
        <v>192859088695</v>
      </c>
      <c r="Y23" s="6"/>
      <c r="Z23" s="4" t="s">
        <v>142</v>
      </c>
      <c r="AA23" s="3"/>
      <c r="AB23" s="9">
        <v>2222.42</v>
      </c>
      <c r="AC23" s="9">
        <v>3799</v>
      </c>
    </row>
    <row r="24" spans="1:29" s="1" customFormat="1" ht="10.9" customHeight="1" x14ac:dyDescent="0.2">
      <c r="A24" s="3" t="s">
        <v>143</v>
      </c>
      <c r="B24" s="4" t="s">
        <v>144</v>
      </c>
      <c r="C24" s="5" t="s">
        <v>73</v>
      </c>
      <c r="D24" s="6" t="s">
        <v>139</v>
      </c>
      <c r="E24" s="6" t="s">
        <v>33</v>
      </c>
      <c r="F24" s="6" t="s">
        <v>34</v>
      </c>
      <c r="G24" s="6" t="s">
        <v>35</v>
      </c>
      <c r="H24" s="6" t="s">
        <v>122</v>
      </c>
      <c r="I24" s="6" t="s">
        <v>65</v>
      </c>
      <c r="J24" s="6" t="s">
        <v>38</v>
      </c>
      <c r="K24" s="6" t="s">
        <v>39</v>
      </c>
      <c r="L24" s="6" t="s">
        <v>58</v>
      </c>
      <c r="M24" s="6" t="s">
        <v>59</v>
      </c>
      <c r="N24" s="6" t="s">
        <v>60</v>
      </c>
      <c r="O24" s="4" t="s">
        <v>43</v>
      </c>
      <c r="P24" s="6" t="s">
        <v>44</v>
      </c>
      <c r="Q24" s="4" t="s">
        <v>140</v>
      </c>
      <c r="R24" s="6"/>
      <c r="S24" s="6" t="s">
        <v>46</v>
      </c>
      <c r="T24" s="7">
        <v>3.9399999999999999E-3</v>
      </c>
      <c r="U24" s="7">
        <v>0.107</v>
      </c>
      <c r="V24" s="4" t="s">
        <v>145</v>
      </c>
      <c r="W24" s="8">
        <v>990036656701</v>
      </c>
      <c r="X24" s="8">
        <v>192859088701</v>
      </c>
      <c r="Y24" s="6"/>
      <c r="Z24" s="4" t="s">
        <v>142</v>
      </c>
      <c r="AA24" s="3"/>
      <c r="AB24" s="9">
        <v>2222.42</v>
      </c>
      <c r="AC24" s="9">
        <v>3799</v>
      </c>
    </row>
    <row r="25" spans="1:29" s="1" customFormat="1" ht="10.9" customHeight="1" x14ac:dyDescent="0.2">
      <c r="A25" s="3" t="s">
        <v>146</v>
      </c>
      <c r="B25" s="4" t="s">
        <v>147</v>
      </c>
      <c r="C25" s="5" t="s">
        <v>31</v>
      </c>
      <c r="D25" s="6" t="s">
        <v>148</v>
      </c>
      <c r="E25" s="6" t="s">
        <v>33</v>
      </c>
      <c r="F25" s="6" t="s">
        <v>34</v>
      </c>
      <c r="G25" s="6" t="s">
        <v>35</v>
      </c>
      <c r="H25" s="6" t="s">
        <v>36</v>
      </c>
      <c r="I25" s="6" t="s">
        <v>37</v>
      </c>
      <c r="J25" s="6" t="s">
        <v>38</v>
      </c>
      <c r="K25" s="6" t="s">
        <v>39</v>
      </c>
      <c r="L25" s="6" t="s">
        <v>40</v>
      </c>
      <c r="M25" s="6" t="s">
        <v>41</v>
      </c>
      <c r="N25" s="6" t="s">
        <v>149</v>
      </c>
      <c r="O25" s="4" t="s">
        <v>43</v>
      </c>
      <c r="P25" s="6" t="s">
        <v>44</v>
      </c>
      <c r="Q25" s="4" t="s">
        <v>45</v>
      </c>
      <c r="R25" s="6"/>
      <c r="S25" s="6" t="s">
        <v>46</v>
      </c>
      <c r="T25" s="7">
        <v>3.31E-3</v>
      </c>
      <c r="U25" s="7">
        <v>9.1999999999999998E-2</v>
      </c>
      <c r="V25" s="4" t="s">
        <v>150</v>
      </c>
      <c r="W25" s="8">
        <v>990042093026</v>
      </c>
      <c r="X25" s="8">
        <v>193650537986</v>
      </c>
      <c r="Y25" s="6"/>
      <c r="Z25" s="4" t="s">
        <v>48</v>
      </c>
      <c r="AA25" s="3"/>
      <c r="AB25" s="9">
        <v>1520.42</v>
      </c>
      <c r="AC25" s="9">
        <v>2599</v>
      </c>
    </row>
    <row r="26" spans="1:29" s="1" customFormat="1" ht="10.9" customHeight="1" x14ac:dyDescent="0.2">
      <c r="A26" s="3" t="s">
        <v>151</v>
      </c>
      <c r="B26" s="4" t="s">
        <v>152</v>
      </c>
      <c r="C26" s="5" t="s">
        <v>31</v>
      </c>
      <c r="D26" s="6" t="s">
        <v>153</v>
      </c>
      <c r="E26" s="6" t="s">
        <v>33</v>
      </c>
      <c r="F26" s="6" t="s">
        <v>34</v>
      </c>
      <c r="G26" s="6" t="s">
        <v>35</v>
      </c>
      <c r="H26" s="6" t="s">
        <v>36</v>
      </c>
      <c r="I26" s="6" t="s">
        <v>37</v>
      </c>
      <c r="J26" s="6" t="s">
        <v>38</v>
      </c>
      <c r="K26" s="6" t="s">
        <v>39</v>
      </c>
      <c r="L26" s="6" t="s">
        <v>40</v>
      </c>
      <c r="M26" s="6" t="s">
        <v>41</v>
      </c>
      <c r="N26" s="6" t="s">
        <v>149</v>
      </c>
      <c r="O26" s="4" t="s">
        <v>43</v>
      </c>
      <c r="P26" s="6" t="s">
        <v>44</v>
      </c>
      <c r="Q26" s="4" t="s">
        <v>45</v>
      </c>
      <c r="R26" s="6"/>
      <c r="S26" s="6" t="s">
        <v>46</v>
      </c>
      <c r="T26" s="7">
        <v>3.4299999999999999E-3</v>
      </c>
      <c r="U26" s="7">
        <v>9.1999999999999998E-2</v>
      </c>
      <c r="V26" s="4" t="s">
        <v>154</v>
      </c>
      <c r="W26" s="8">
        <v>990042093033</v>
      </c>
      <c r="X26" s="8">
        <v>193650537993</v>
      </c>
      <c r="Y26" s="6"/>
      <c r="Z26" s="4" t="s">
        <v>48</v>
      </c>
      <c r="AA26" s="3"/>
      <c r="AB26" s="9">
        <v>1520.42</v>
      </c>
      <c r="AC26" s="9">
        <v>2599</v>
      </c>
    </row>
    <row r="27" spans="1:29" s="1" customFormat="1" ht="10.9" customHeight="1" x14ac:dyDescent="0.2">
      <c r="A27" s="3" t="s">
        <v>155</v>
      </c>
      <c r="B27" s="4" t="s">
        <v>156</v>
      </c>
      <c r="C27" s="5" t="s">
        <v>31</v>
      </c>
      <c r="D27" s="6" t="s">
        <v>157</v>
      </c>
      <c r="E27" s="6" t="s">
        <v>33</v>
      </c>
      <c r="F27" s="6" t="s">
        <v>34</v>
      </c>
      <c r="G27" s="6" t="s">
        <v>35</v>
      </c>
      <c r="H27" s="6" t="s">
        <v>158</v>
      </c>
      <c r="I27" s="6" t="s">
        <v>37</v>
      </c>
      <c r="J27" s="6" t="s">
        <v>38</v>
      </c>
      <c r="K27" s="6" t="s">
        <v>39</v>
      </c>
      <c r="L27" s="6" t="s">
        <v>40</v>
      </c>
      <c r="M27" s="6" t="s">
        <v>41</v>
      </c>
      <c r="N27" s="6" t="s">
        <v>60</v>
      </c>
      <c r="O27" s="4" t="s">
        <v>43</v>
      </c>
      <c r="P27" s="6" t="s">
        <v>44</v>
      </c>
      <c r="Q27" s="4" t="s">
        <v>45</v>
      </c>
      <c r="R27" s="6"/>
      <c r="S27" s="6" t="s">
        <v>46</v>
      </c>
      <c r="T27" s="7">
        <v>3.5999999999999999E-3</v>
      </c>
      <c r="U27" s="7">
        <v>0.09</v>
      </c>
      <c r="V27" s="4" t="s">
        <v>159</v>
      </c>
      <c r="W27" s="8">
        <v>990042092975</v>
      </c>
      <c r="X27" s="8">
        <v>194457427081</v>
      </c>
      <c r="Y27" s="6"/>
      <c r="Z27" s="4" t="s">
        <v>48</v>
      </c>
      <c r="AA27" s="3"/>
      <c r="AB27" s="9">
        <v>1520.42</v>
      </c>
      <c r="AC27" s="9">
        <v>2599</v>
      </c>
    </row>
    <row r="28" spans="1:29" s="1" customFormat="1" ht="10.9" customHeight="1" x14ac:dyDescent="0.2">
      <c r="A28" s="3" t="s">
        <v>160</v>
      </c>
      <c r="B28" s="4" t="s">
        <v>161</v>
      </c>
      <c r="C28" s="5" t="s">
        <v>31</v>
      </c>
      <c r="D28" s="6" t="s">
        <v>162</v>
      </c>
      <c r="E28" s="6" t="s">
        <v>33</v>
      </c>
      <c r="F28" s="6" t="s">
        <v>34</v>
      </c>
      <c r="G28" s="6" t="s">
        <v>35</v>
      </c>
      <c r="H28" s="6" t="s">
        <v>163</v>
      </c>
      <c r="I28" s="6" t="s">
        <v>37</v>
      </c>
      <c r="J28" s="6" t="s">
        <v>38</v>
      </c>
      <c r="K28" s="6" t="s">
        <v>39</v>
      </c>
      <c r="L28" s="6" t="s">
        <v>40</v>
      </c>
      <c r="M28" s="6" t="s">
        <v>41</v>
      </c>
      <c r="N28" s="6" t="s">
        <v>60</v>
      </c>
      <c r="O28" s="4" t="s">
        <v>43</v>
      </c>
      <c r="P28" s="6" t="s">
        <v>44</v>
      </c>
      <c r="Q28" s="4" t="s">
        <v>164</v>
      </c>
      <c r="R28" s="6"/>
      <c r="S28" s="6" t="s">
        <v>46</v>
      </c>
      <c r="T28" s="3"/>
      <c r="U28" s="3"/>
      <c r="V28" s="4"/>
      <c r="W28" s="6"/>
      <c r="X28" s="6"/>
      <c r="Y28" s="6"/>
      <c r="Z28" s="4"/>
      <c r="AA28" s="3"/>
      <c r="AB28" s="9">
        <v>1871.42</v>
      </c>
      <c r="AC28" s="9">
        <v>3199</v>
      </c>
    </row>
    <row r="29" spans="1:29" s="1" customFormat="1" ht="10.9" customHeight="1" x14ac:dyDescent="0.2">
      <c r="A29" s="3" t="s">
        <v>165</v>
      </c>
      <c r="B29" s="4" t="s">
        <v>166</v>
      </c>
      <c r="C29" s="5" t="s">
        <v>31</v>
      </c>
      <c r="D29" s="6" t="s">
        <v>167</v>
      </c>
      <c r="E29" s="6" t="s">
        <v>33</v>
      </c>
      <c r="F29" s="6" t="s">
        <v>34</v>
      </c>
      <c r="G29" s="6" t="s">
        <v>35</v>
      </c>
      <c r="H29" s="6" t="s">
        <v>158</v>
      </c>
      <c r="I29" s="6" t="s">
        <v>37</v>
      </c>
      <c r="J29" s="6" t="s">
        <v>38</v>
      </c>
      <c r="K29" s="6" t="s">
        <v>39</v>
      </c>
      <c r="L29" s="6" t="s">
        <v>107</v>
      </c>
      <c r="M29" s="6" t="s">
        <v>59</v>
      </c>
      <c r="N29" s="6" t="s">
        <v>60</v>
      </c>
      <c r="O29" s="4" t="s">
        <v>43</v>
      </c>
      <c r="P29" s="6" t="s">
        <v>81</v>
      </c>
      <c r="Q29" s="4" t="s">
        <v>168</v>
      </c>
      <c r="R29" s="6"/>
      <c r="S29" s="6" t="s">
        <v>46</v>
      </c>
      <c r="T29" s="7">
        <v>4.81E-3</v>
      </c>
      <c r="U29" s="7">
        <v>0.08</v>
      </c>
      <c r="V29" s="4" t="s">
        <v>169</v>
      </c>
      <c r="W29" s="8">
        <v>990042076777</v>
      </c>
      <c r="X29" s="8">
        <v>194790986078</v>
      </c>
      <c r="Y29" s="6"/>
      <c r="Z29" s="4" t="s">
        <v>142</v>
      </c>
      <c r="AA29" s="3"/>
      <c r="AB29" s="9">
        <v>1871.42</v>
      </c>
      <c r="AC29" s="9">
        <v>3199</v>
      </c>
    </row>
    <row r="30" spans="1:29" s="1" customFormat="1" ht="10.9" customHeight="1" x14ac:dyDescent="0.2">
      <c r="A30" s="3" t="s">
        <v>170</v>
      </c>
      <c r="B30" s="4" t="s">
        <v>171</v>
      </c>
      <c r="C30" s="5" t="s">
        <v>31</v>
      </c>
      <c r="D30" s="6" t="s">
        <v>172</v>
      </c>
      <c r="E30" s="6" t="s">
        <v>33</v>
      </c>
      <c r="F30" s="6" t="s">
        <v>34</v>
      </c>
      <c r="G30" s="6" t="s">
        <v>35</v>
      </c>
      <c r="H30" s="6" t="s">
        <v>173</v>
      </c>
      <c r="I30" s="6" t="s">
        <v>37</v>
      </c>
      <c r="J30" s="6" t="s">
        <v>38</v>
      </c>
      <c r="K30" s="6" t="s">
        <v>39</v>
      </c>
      <c r="L30" s="6" t="s">
        <v>107</v>
      </c>
      <c r="M30" s="6" t="s">
        <v>59</v>
      </c>
      <c r="N30" s="6" t="s">
        <v>60</v>
      </c>
      <c r="O30" s="4" t="s">
        <v>43</v>
      </c>
      <c r="P30" s="6" t="s">
        <v>81</v>
      </c>
      <c r="Q30" s="4" t="s">
        <v>168</v>
      </c>
      <c r="R30" s="6"/>
      <c r="S30" s="6" t="s">
        <v>46</v>
      </c>
      <c r="T30" s="7">
        <v>4.3699999999999998E-3</v>
      </c>
      <c r="U30" s="7">
        <v>0.08</v>
      </c>
      <c r="V30" s="4" t="s">
        <v>169</v>
      </c>
      <c r="W30" s="8">
        <v>990042077484</v>
      </c>
      <c r="X30" s="8">
        <v>194790986085</v>
      </c>
      <c r="Y30" s="6"/>
      <c r="Z30" s="4" t="s">
        <v>142</v>
      </c>
      <c r="AA30" s="3"/>
      <c r="AB30" s="9">
        <v>1871.42</v>
      </c>
      <c r="AC30" s="9">
        <v>3199</v>
      </c>
    </row>
    <row r="31" spans="1:29" s="1" customFormat="1" ht="10.9" customHeight="1" x14ac:dyDescent="0.2">
      <c r="A31" s="3" t="s">
        <v>174</v>
      </c>
      <c r="B31" s="4" t="s">
        <v>175</v>
      </c>
      <c r="C31" s="5" t="s">
        <v>73</v>
      </c>
      <c r="D31" s="6" t="s">
        <v>176</v>
      </c>
      <c r="E31" s="6" t="s">
        <v>33</v>
      </c>
      <c r="F31" s="6" t="s">
        <v>34</v>
      </c>
      <c r="G31" s="6" t="s">
        <v>35</v>
      </c>
      <c r="H31" s="6" t="s">
        <v>177</v>
      </c>
      <c r="I31" s="6" t="s">
        <v>37</v>
      </c>
      <c r="J31" s="6" t="s">
        <v>38</v>
      </c>
      <c r="K31" s="6" t="s">
        <v>39</v>
      </c>
      <c r="L31" s="6" t="s">
        <v>40</v>
      </c>
      <c r="M31" s="6" t="s">
        <v>41</v>
      </c>
      <c r="N31" s="6" t="s">
        <v>60</v>
      </c>
      <c r="O31" s="4" t="s">
        <v>43</v>
      </c>
      <c r="P31" s="6" t="s">
        <v>44</v>
      </c>
      <c r="Q31" s="4" t="s">
        <v>75</v>
      </c>
      <c r="R31" s="6"/>
      <c r="S31" s="6" t="s">
        <v>46</v>
      </c>
      <c r="T31" s="3"/>
      <c r="U31" s="3"/>
      <c r="V31" s="4"/>
      <c r="W31" s="6"/>
      <c r="X31" s="6"/>
      <c r="Y31" s="6"/>
      <c r="Z31" s="4"/>
      <c r="AA31" s="3"/>
      <c r="AB31" s="9">
        <v>1871.42</v>
      </c>
      <c r="AC31" s="9">
        <v>3199</v>
      </c>
    </row>
    <row r="32" spans="1:29" s="1" customFormat="1" ht="10.9" customHeight="1" x14ac:dyDescent="0.2">
      <c r="A32" s="3" t="s">
        <v>178</v>
      </c>
      <c r="B32" s="4" t="s">
        <v>179</v>
      </c>
      <c r="C32" s="5" t="s">
        <v>31</v>
      </c>
      <c r="D32" s="6" t="s">
        <v>180</v>
      </c>
      <c r="E32" s="6" t="s">
        <v>33</v>
      </c>
      <c r="F32" s="6" t="s">
        <v>34</v>
      </c>
      <c r="G32" s="6" t="s">
        <v>35</v>
      </c>
      <c r="H32" s="6" t="s">
        <v>36</v>
      </c>
      <c r="I32" s="6" t="s">
        <v>37</v>
      </c>
      <c r="J32" s="6" t="s">
        <v>38</v>
      </c>
      <c r="K32" s="6" t="s">
        <v>39</v>
      </c>
      <c r="L32" s="6" t="s">
        <v>58</v>
      </c>
      <c r="M32" s="6" t="s">
        <v>59</v>
      </c>
      <c r="N32" s="6" t="s">
        <v>60</v>
      </c>
      <c r="O32" s="4" t="s">
        <v>43</v>
      </c>
      <c r="P32" s="6" t="s">
        <v>81</v>
      </c>
      <c r="Q32" s="4" t="s">
        <v>168</v>
      </c>
      <c r="R32" s="6"/>
      <c r="S32" s="6" t="s">
        <v>46</v>
      </c>
      <c r="T32" s="7">
        <v>6.4099999999999999E-3</v>
      </c>
      <c r="U32" s="7">
        <v>8.8999999999999996E-2</v>
      </c>
      <c r="V32" s="4" t="s">
        <v>181</v>
      </c>
      <c r="W32" s="8">
        <v>990042093156</v>
      </c>
      <c r="X32" s="8">
        <v>194790986344</v>
      </c>
      <c r="Y32" s="6"/>
      <c r="Z32" s="4" t="s">
        <v>68</v>
      </c>
      <c r="AA32" s="3"/>
      <c r="AB32" s="9">
        <v>1871.42</v>
      </c>
      <c r="AC32" s="9">
        <v>3199</v>
      </c>
    </row>
    <row r="33" spans="1:29" s="1" customFormat="1" ht="10.9" customHeight="1" x14ac:dyDescent="0.2">
      <c r="A33" s="3" t="s">
        <v>182</v>
      </c>
      <c r="B33" s="4" t="s">
        <v>183</v>
      </c>
      <c r="C33" s="5" t="s">
        <v>31</v>
      </c>
      <c r="D33" s="6" t="s">
        <v>184</v>
      </c>
      <c r="E33" s="6" t="s">
        <v>33</v>
      </c>
      <c r="F33" s="6" t="s">
        <v>34</v>
      </c>
      <c r="G33" s="6" t="s">
        <v>35</v>
      </c>
      <c r="H33" s="6" t="s">
        <v>36</v>
      </c>
      <c r="I33" s="6" t="s">
        <v>37</v>
      </c>
      <c r="J33" s="6" t="s">
        <v>38</v>
      </c>
      <c r="K33" s="6" t="s">
        <v>39</v>
      </c>
      <c r="L33" s="6" t="s">
        <v>107</v>
      </c>
      <c r="M33" s="6" t="s">
        <v>59</v>
      </c>
      <c r="N33" s="6" t="s">
        <v>60</v>
      </c>
      <c r="O33" s="4" t="s">
        <v>43</v>
      </c>
      <c r="P33" s="6" t="s">
        <v>44</v>
      </c>
      <c r="Q33" s="4" t="s">
        <v>168</v>
      </c>
      <c r="R33" s="6"/>
      <c r="S33" s="6" t="s">
        <v>46</v>
      </c>
      <c r="T33" s="7">
        <v>5.1700000000000001E-3</v>
      </c>
      <c r="U33" s="7">
        <v>8.5000000000000006E-2</v>
      </c>
      <c r="V33" s="4" t="s">
        <v>185</v>
      </c>
      <c r="W33" s="8">
        <v>990042093163</v>
      </c>
      <c r="X33" s="8">
        <v>194790986351</v>
      </c>
      <c r="Y33" s="6"/>
      <c r="Z33" s="4" t="s">
        <v>68</v>
      </c>
      <c r="AA33" s="3"/>
      <c r="AB33" s="9">
        <v>1871.42</v>
      </c>
      <c r="AC33" s="9">
        <v>3199</v>
      </c>
    </row>
    <row r="34" spans="1:29" s="1" customFormat="1" ht="10.9" customHeight="1" x14ac:dyDescent="0.2">
      <c r="A34" s="3" t="s">
        <v>186</v>
      </c>
      <c r="B34" s="4" t="s">
        <v>187</v>
      </c>
      <c r="C34" s="5" t="s">
        <v>31</v>
      </c>
      <c r="D34" s="6" t="s">
        <v>188</v>
      </c>
      <c r="E34" s="6" t="s">
        <v>33</v>
      </c>
      <c r="F34" s="6" t="s">
        <v>34</v>
      </c>
      <c r="G34" s="6" t="s">
        <v>35</v>
      </c>
      <c r="H34" s="6" t="s">
        <v>36</v>
      </c>
      <c r="I34" s="6" t="s">
        <v>37</v>
      </c>
      <c r="J34" s="6" t="s">
        <v>38</v>
      </c>
      <c r="K34" s="6" t="s">
        <v>39</v>
      </c>
      <c r="L34" s="6" t="s">
        <v>40</v>
      </c>
      <c r="M34" s="6" t="s">
        <v>123</v>
      </c>
      <c r="N34" s="6" t="s">
        <v>60</v>
      </c>
      <c r="O34" s="4" t="s">
        <v>43</v>
      </c>
      <c r="P34" s="6" t="s">
        <v>81</v>
      </c>
      <c r="Q34" s="4" t="s">
        <v>189</v>
      </c>
      <c r="R34" s="6"/>
      <c r="S34" s="6" t="s">
        <v>46</v>
      </c>
      <c r="T34" s="7">
        <v>4.1099999999999999E-3</v>
      </c>
      <c r="U34" s="7">
        <v>8.5999999999999993E-2</v>
      </c>
      <c r="V34" s="4"/>
      <c r="W34" s="8">
        <v>990042093170</v>
      </c>
      <c r="X34" s="8">
        <v>194790986368</v>
      </c>
      <c r="Y34" s="6"/>
      <c r="Z34" s="4" t="s">
        <v>68</v>
      </c>
      <c r="AA34" s="3"/>
      <c r="AB34" s="9">
        <v>1871.42</v>
      </c>
      <c r="AC34" s="9">
        <v>3199</v>
      </c>
    </row>
    <row r="35" spans="1:29" s="1" customFormat="1" ht="10.9" customHeight="1" x14ac:dyDescent="0.2">
      <c r="A35" s="3" t="s">
        <v>190</v>
      </c>
      <c r="B35" s="4" t="s">
        <v>191</v>
      </c>
      <c r="C35" s="5" t="s">
        <v>31</v>
      </c>
      <c r="D35" s="6" t="s">
        <v>192</v>
      </c>
      <c r="E35" s="6" t="s">
        <v>33</v>
      </c>
      <c r="F35" s="6" t="s">
        <v>34</v>
      </c>
      <c r="G35" s="6" t="s">
        <v>35</v>
      </c>
      <c r="H35" s="6" t="s">
        <v>193</v>
      </c>
      <c r="I35" s="6" t="s">
        <v>37</v>
      </c>
      <c r="J35" s="6" t="s">
        <v>38</v>
      </c>
      <c r="K35" s="6" t="s">
        <v>39</v>
      </c>
      <c r="L35" s="6" t="s">
        <v>40</v>
      </c>
      <c r="M35" s="6" t="s">
        <v>41</v>
      </c>
      <c r="N35" s="6" t="s">
        <v>60</v>
      </c>
      <c r="O35" s="4" t="s">
        <v>43</v>
      </c>
      <c r="P35" s="6" t="s">
        <v>44</v>
      </c>
      <c r="Q35" s="4" t="s">
        <v>45</v>
      </c>
      <c r="R35" s="6"/>
      <c r="S35" s="6" t="s">
        <v>46</v>
      </c>
      <c r="T35" s="3"/>
      <c r="U35" s="3"/>
      <c r="V35" s="4"/>
      <c r="W35" s="6"/>
      <c r="X35" s="6"/>
      <c r="Y35" s="6"/>
      <c r="Z35" s="4" t="s">
        <v>142</v>
      </c>
      <c r="AA35" s="3"/>
      <c r="AB35" s="9">
        <v>1871.42</v>
      </c>
      <c r="AC35" s="9">
        <v>3199</v>
      </c>
    </row>
    <row r="36" spans="1:29" s="1" customFormat="1" ht="10.9" customHeight="1" x14ac:dyDescent="0.2">
      <c r="A36" s="3" t="s">
        <v>194</v>
      </c>
      <c r="B36" s="4" t="s">
        <v>195</v>
      </c>
      <c r="C36" s="5" t="s">
        <v>73</v>
      </c>
      <c r="D36" s="6" t="s">
        <v>196</v>
      </c>
      <c r="E36" s="6" t="s">
        <v>33</v>
      </c>
      <c r="F36" s="6" t="s">
        <v>34</v>
      </c>
      <c r="G36" s="6" t="s">
        <v>35</v>
      </c>
      <c r="H36" s="6" t="s">
        <v>197</v>
      </c>
      <c r="I36" s="6" t="s">
        <v>37</v>
      </c>
      <c r="J36" s="6" t="s">
        <v>38</v>
      </c>
      <c r="K36" s="6" t="s">
        <v>39</v>
      </c>
      <c r="L36" s="6" t="s">
        <v>40</v>
      </c>
      <c r="M36" s="6" t="s">
        <v>41</v>
      </c>
      <c r="N36" s="6" t="s">
        <v>60</v>
      </c>
      <c r="O36" s="4" t="s">
        <v>43</v>
      </c>
      <c r="P36" s="6" t="s">
        <v>44</v>
      </c>
      <c r="Q36" s="4" t="s">
        <v>75</v>
      </c>
      <c r="R36" s="6"/>
      <c r="S36" s="6" t="s">
        <v>46</v>
      </c>
      <c r="T36" s="3"/>
      <c r="U36" s="3"/>
      <c r="V36" s="4"/>
      <c r="W36" s="6"/>
      <c r="X36" s="6"/>
      <c r="Y36" s="6"/>
      <c r="Z36" s="4" t="s">
        <v>198</v>
      </c>
      <c r="AA36" s="3"/>
      <c r="AB36" s="9">
        <v>1871.42</v>
      </c>
      <c r="AC36" s="9">
        <v>3199</v>
      </c>
    </row>
    <row r="37" spans="1:29" s="1" customFormat="1" ht="10.9" customHeight="1" x14ac:dyDescent="0.2">
      <c r="A37" s="3" t="s">
        <v>199</v>
      </c>
      <c r="B37" s="4" t="s">
        <v>200</v>
      </c>
      <c r="C37" s="5" t="s">
        <v>31</v>
      </c>
      <c r="D37" s="6" t="s">
        <v>201</v>
      </c>
      <c r="E37" s="6" t="s">
        <v>33</v>
      </c>
      <c r="F37" s="6" t="s">
        <v>34</v>
      </c>
      <c r="G37" s="6" t="s">
        <v>35</v>
      </c>
      <c r="H37" s="6" t="s">
        <v>122</v>
      </c>
      <c r="I37" s="6" t="s">
        <v>37</v>
      </c>
      <c r="J37" s="6" t="s">
        <v>38</v>
      </c>
      <c r="K37" s="6" t="s">
        <v>39</v>
      </c>
      <c r="L37" s="6" t="s">
        <v>40</v>
      </c>
      <c r="M37" s="6" t="s">
        <v>41</v>
      </c>
      <c r="N37" s="6" t="s">
        <v>60</v>
      </c>
      <c r="O37" s="4" t="s">
        <v>43</v>
      </c>
      <c r="P37" s="6" t="s">
        <v>81</v>
      </c>
      <c r="Q37" s="4" t="s">
        <v>45</v>
      </c>
      <c r="R37" s="6"/>
      <c r="S37" s="6" t="s">
        <v>46</v>
      </c>
      <c r="T37" s="3"/>
      <c r="U37" s="3"/>
      <c r="V37" s="4"/>
      <c r="W37" s="6"/>
      <c r="X37" s="6"/>
      <c r="Y37" s="6"/>
      <c r="Z37" s="4"/>
      <c r="AA37" s="3"/>
      <c r="AB37" s="9">
        <v>1695.92</v>
      </c>
      <c r="AC37" s="9">
        <v>2899</v>
      </c>
    </row>
    <row r="38" spans="1:29" s="1" customFormat="1" ht="10.9" customHeight="1" x14ac:dyDescent="0.2">
      <c r="A38" s="3" t="s">
        <v>202</v>
      </c>
      <c r="B38" s="4" t="s">
        <v>203</v>
      </c>
      <c r="C38" s="5" t="s">
        <v>73</v>
      </c>
      <c r="D38" s="6" t="s">
        <v>204</v>
      </c>
      <c r="E38" s="6" t="s">
        <v>33</v>
      </c>
      <c r="F38" s="6" t="s">
        <v>34</v>
      </c>
      <c r="G38" s="6" t="s">
        <v>35</v>
      </c>
      <c r="H38" s="6" t="s">
        <v>80</v>
      </c>
      <c r="I38" s="6" t="s">
        <v>37</v>
      </c>
      <c r="J38" s="6" t="s">
        <v>38</v>
      </c>
      <c r="K38" s="6" t="s">
        <v>39</v>
      </c>
      <c r="L38" s="6" t="s">
        <v>40</v>
      </c>
      <c r="M38" s="6" t="s">
        <v>41</v>
      </c>
      <c r="N38" s="6" t="s">
        <v>60</v>
      </c>
      <c r="O38" s="4" t="s">
        <v>43</v>
      </c>
      <c r="P38" s="6" t="s">
        <v>81</v>
      </c>
      <c r="Q38" s="4" t="s">
        <v>75</v>
      </c>
      <c r="R38" s="6"/>
      <c r="S38" s="6" t="s">
        <v>46</v>
      </c>
      <c r="T38" s="3"/>
      <c r="U38" s="3"/>
      <c r="V38" s="4"/>
      <c r="W38" s="6"/>
      <c r="X38" s="6"/>
      <c r="Y38" s="6"/>
      <c r="Z38" s="4"/>
      <c r="AA38" s="3"/>
      <c r="AB38" s="9">
        <v>1988.42</v>
      </c>
      <c r="AC38" s="9">
        <v>3399</v>
      </c>
    </row>
    <row r="39" spans="1:29" s="1" customFormat="1" ht="10.9" customHeight="1" x14ac:dyDescent="0.2">
      <c r="A39" s="3" t="s">
        <v>205</v>
      </c>
      <c r="B39" s="4" t="s">
        <v>206</v>
      </c>
      <c r="C39" s="5" t="s">
        <v>31</v>
      </c>
      <c r="D39" s="6" t="s">
        <v>207</v>
      </c>
      <c r="E39" s="6" t="s">
        <v>33</v>
      </c>
      <c r="F39" s="6" t="s">
        <v>34</v>
      </c>
      <c r="G39" s="6" t="s">
        <v>35</v>
      </c>
      <c r="H39" s="6" t="s">
        <v>52</v>
      </c>
      <c r="I39" s="6" t="s">
        <v>37</v>
      </c>
      <c r="J39" s="6" t="s">
        <v>38</v>
      </c>
      <c r="K39" s="6" t="s">
        <v>39</v>
      </c>
      <c r="L39" s="6" t="s">
        <v>208</v>
      </c>
      <c r="M39" s="6" t="s">
        <v>41</v>
      </c>
      <c r="N39" s="6" t="s">
        <v>60</v>
      </c>
      <c r="O39" s="4" t="s">
        <v>43</v>
      </c>
      <c r="P39" s="6" t="s">
        <v>44</v>
      </c>
      <c r="Q39" s="4" t="s">
        <v>45</v>
      </c>
      <c r="R39" s="6"/>
      <c r="S39" s="6" t="s">
        <v>46</v>
      </c>
      <c r="T39" s="7">
        <v>3.9100000000000003E-3</v>
      </c>
      <c r="U39" s="7">
        <v>9.2999999999999999E-2</v>
      </c>
      <c r="V39" s="4" t="s">
        <v>209</v>
      </c>
      <c r="W39" s="8">
        <v>990044971612</v>
      </c>
      <c r="X39" s="8">
        <v>196172938743</v>
      </c>
      <c r="Y39" s="6"/>
      <c r="Z39" s="4" t="s">
        <v>142</v>
      </c>
      <c r="AA39" s="11">
        <v>144</v>
      </c>
      <c r="AB39" s="9">
        <v>1520.42</v>
      </c>
      <c r="AC39" s="9">
        <v>2599</v>
      </c>
    </row>
    <row r="40" spans="1:29" s="1" customFormat="1" ht="10.9" customHeight="1" x14ac:dyDescent="0.2">
      <c r="A40" s="3" t="s">
        <v>210</v>
      </c>
      <c r="B40" s="4" t="s">
        <v>211</v>
      </c>
      <c r="C40" s="5" t="s">
        <v>31</v>
      </c>
      <c r="D40" s="6" t="s">
        <v>212</v>
      </c>
      <c r="E40" s="6" t="s">
        <v>33</v>
      </c>
      <c r="F40" s="6" t="s">
        <v>34</v>
      </c>
      <c r="G40" s="6" t="s">
        <v>35</v>
      </c>
      <c r="H40" s="6" t="s">
        <v>193</v>
      </c>
      <c r="I40" s="6" t="s">
        <v>37</v>
      </c>
      <c r="J40" s="6" t="s">
        <v>38</v>
      </c>
      <c r="K40" s="6" t="s">
        <v>39</v>
      </c>
      <c r="L40" s="6" t="s">
        <v>40</v>
      </c>
      <c r="M40" s="6" t="s">
        <v>41</v>
      </c>
      <c r="N40" s="6" t="s">
        <v>60</v>
      </c>
      <c r="O40" s="4" t="s">
        <v>43</v>
      </c>
      <c r="P40" s="6" t="s">
        <v>44</v>
      </c>
      <c r="Q40" s="4" t="s">
        <v>45</v>
      </c>
      <c r="R40" s="6"/>
      <c r="S40" s="6" t="s">
        <v>46</v>
      </c>
      <c r="T40" s="3"/>
      <c r="U40" s="3"/>
      <c r="V40" s="4"/>
      <c r="W40" s="6"/>
      <c r="X40" s="6"/>
      <c r="Y40" s="6"/>
      <c r="Z40" s="4" t="s">
        <v>142</v>
      </c>
      <c r="AA40" s="3"/>
      <c r="AB40" s="9">
        <v>1520.42</v>
      </c>
      <c r="AC40" s="9">
        <v>2599</v>
      </c>
    </row>
    <row r="41" spans="1:29" s="1" customFormat="1" ht="10.9" customHeight="1" x14ac:dyDescent="0.2">
      <c r="A41" s="3" t="s">
        <v>213</v>
      </c>
      <c r="B41" s="4" t="s">
        <v>214</v>
      </c>
      <c r="C41" s="5" t="s">
        <v>31</v>
      </c>
      <c r="D41" s="6" t="s">
        <v>215</v>
      </c>
      <c r="E41" s="6" t="s">
        <v>33</v>
      </c>
      <c r="F41" s="6" t="s">
        <v>34</v>
      </c>
      <c r="G41" s="6" t="s">
        <v>35</v>
      </c>
      <c r="H41" s="6" t="s">
        <v>115</v>
      </c>
      <c r="I41" s="6" t="s">
        <v>37</v>
      </c>
      <c r="J41" s="6" t="s">
        <v>38</v>
      </c>
      <c r="K41" s="6" t="s">
        <v>39</v>
      </c>
      <c r="L41" s="6" t="s">
        <v>40</v>
      </c>
      <c r="M41" s="6" t="s">
        <v>41</v>
      </c>
      <c r="N41" s="6" t="s">
        <v>60</v>
      </c>
      <c r="O41" s="4" t="s">
        <v>43</v>
      </c>
      <c r="P41" s="6" t="s">
        <v>44</v>
      </c>
      <c r="Q41" s="4" t="s">
        <v>45</v>
      </c>
      <c r="R41" s="6"/>
      <c r="S41" s="6" t="s">
        <v>46</v>
      </c>
      <c r="T41" s="3"/>
      <c r="U41" s="3"/>
      <c r="V41" s="4"/>
      <c r="W41" s="6"/>
      <c r="X41" s="6"/>
      <c r="Y41" s="6"/>
      <c r="Z41" s="4" t="s">
        <v>142</v>
      </c>
      <c r="AA41" s="3"/>
      <c r="AB41" s="9">
        <v>1520.42</v>
      </c>
      <c r="AC41" s="9">
        <v>2599</v>
      </c>
    </row>
    <row r="42" spans="1:29" s="1" customFormat="1" ht="10.9" customHeight="1" x14ac:dyDescent="0.2">
      <c r="A42" s="3" t="s">
        <v>216</v>
      </c>
      <c r="B42" s="4" t="s">
        <v>217</v>
      </c>
      <c r="C42" s="5" t="s">
        <v>73</v>
      </c>
      <c r="D42" s="6" t="s">
        <v>218</v>
      </c>
      <c r="E42" s="6" t="s">
        <v>33</v>
      </c>
      <c r="F42" s="6" t="s">
        <v>34</v>
      </c>
      <c r="G42" s="6" t="s">
        <v>35</v>
      </c>
      <c r="H42" s="6" t="s">
        <v>52</v>
      </c>
      <c r="I42" s="6" t="s">
        <v>37</v>
      </c>
      <c r="J42" s="6" t="s">
        <v>38</v>
      </c>
      <c r="K42" s="6" t="s">
        <v>39</v>
      </c>
      <c r="L42" s="6" t="s">
        <v>40</v>
      </c>
      <c r="M42" s="6" t="s">
        <v>41</v>
      </c>
      <c r="N42" s="6" t="s">
        <v>60</v>
      </c>
      <c r="O42" s="4" t="s">
        <v>43</v>
      </c>
      <c r="P42" s="6" t="s">
        <v>81</v>
      </c>
      <c r="Q42" s="4" t="s">
        <v>75</v>
      </c>
      <c r="R42" s="6"/>
      <c r="S42" s="6" t="s">
        <v>46</v>
      </c>
      <c r="T42" s="3"/>
      <c r="U42" s="3"/>
      <c r="V42" s="4"/>
      <c r="W42" s="6"/>
      <c r="X42" s="6"/>
      <c r="Y42" s="6"/>
      <c r="Z42" s="4" t="s">
        <v>198</v>
      </c>
      <c r="AA42" s="3"/>
      <c r="AB42" s="9">
        <v>1988.42</v>
      </c>
      <c r="AC42" s="9">
        <v>3399</v>
      </c>
    </row>
    <row r="43" spans="1:29" s="1" customFormat="1" ht="10.9" customHeight="1" x14ac:dyDescent="0.2">
      <c r="A43" s="3" t="s">
        <v>219</v>
      </c>
      <c r="B43" s="4" t="s">
        <v>220</v>
      </c>
      <c r="C43" s="5" t="s">
        <v>31</v>
      </c>
      <c r="D43" s="6" t="s">
        <v>221</v>
      </c>
      <c r="E43" s="6" t="s">
        <v>33</v>
      </c>
      <c r="F43" s="6" t="s">
        <v>34</v>
      </c>
      <c r="G43" s="6" t="s">
        <v>35</v>
      </c>
      <c r="H43" s="6" t="s">
        <v>115</v>
      </c>
      <c r="I43" s="6" t="s">
        <v>37</v>
      </c>
      <c r="J43" s="6" t="s">
        <v>38</v>
      </c>
      <c r="K43" s="6" t="s">
        <v>39</v>
      </c>
      <c r="L43" s="6" t="s">
        <v>40</v>
      </c>
      <c r="M43" s="6" t="s">
        <v>41</v>
      </c>
      <c r="N43" s="6" t="s">
        <v>60</v>
      </c>
      <c r="O43" s="4" t="s">
        <v>43</v>
      </c>
      <c r="P43" s="6" t="s">
        <v>81</v>
      </c>
      <c r="Q43" s="4" t="s">
        <v>45</v>
      </c>
      <c r="R43" s="6"/>
      <c r="S43" s="6" t="s">
        <v>46</v>
      </c>
      <c r="T43" s="3"/>
      <c r="U43" s="3"/>
      <c r="V43" s="4"/>
      <c r="W43" s="6"/>
      <c r="X43" s="6"/>
      <c r="Y43" s="6"/>
      <c r="Z43" s="4" t="s">
        <v>142</v>
      </c>
      <c r="AA43" s="3"/>
      <c r="AB43" s="9">
        <v>1871.42</v>
      </c>
      <c r="AC43" s="9">
        <v>3199</v>
      </c>
    </row>
    <row r="44" spans="1:29" s="1" customFormat="1" ht="10.9" customHeight="1" x14ac:dyDescent="0.2">
      <c r="A44" s="3" t="s">
        <v>222</v>
      </c>
      <c r="B44" s="4" t="s">
        <v>223</v>
      </c>
      <c r="C44" s="5" t="s">
        <v>31</v>
      </c>
      <c r="D44" s="6" t="s">
        <v>224</v>
      </c>
      <c r="E44" s="6" t="s">
        <v>33</v>
      </c>
      <c r="F44" s="6" t="s">
        <v>34</v>
      </c>
      <c r="G44" s="6" t="s">
        <v>35</v>
      </c>
      <c r="H44" s="6" t="s">
        <v>193</v>
      </c>
      <c r="I44" s="6" t="s">
        <v>37</v>
      </c>
      <c r="J44" s="6" t="s">
        <v>38</v>
      </c>
      <c r="K44" s="6" t="s">
        <v>39</v>
      </c>
      <c r="L44" s="6" t="s">
        <v>208</v>
      </c>
      <c r="M44" s="6" t="s">
        <v>41</v>
      </c>
      <c r="N44" s="6" t="s">
        <v>60</v>
      </c>
      <c r="O44" s="4" t="s">
        <v>43</v>
      </c>
      <c r="P44" s="6" t="s">
        <v>44</v>
      </c>
      <c r="Q44" s="4" t="s">
        <v>45</v>
      </c>
      <c r="R44" s="6"/>
      <c r="S44" s="6" t="s">
        <v>46</v>
      </c>
      <c r="T44" s="7">
        <v>3.9699999999999996E-3</v>
      </c>
      <c r="U44" s="7">
        <v>9.4E-2</v>
      </c>
      <c r="V44" s="4" t="s">
        <v>209</v>
      </c>
      <c r="W44" s="8">
        <v>990044911076</v>
      </c>
      <c r="X44" s="8">
        <v>196172938651</v>
      </c>
      <c r="Y44" s="6"/>
      <c r="Z44" s="4" t="s">
        <v>142</v>
      </c>
      <c r="AA44" s="11">
        <v>708</v>
      </c>
      <c r="AB44" s="9">
        <v>1520.42</v>
      </c>
      <c r="AC44" s="9">
        <v>2599</v>
      </c>
    </row>
    <row r="45" spans="1:29" s="1" customFormat="1" ht="10.9" customHeight="1" x14ac:dyDescent="0.2">
      <c r="A45" s="3" t="s">
        <v>225</v>
      </c>
      <c r="B45" s="4" t="s">
        <v>226</v>
      </c>
      <c r="C45" s="5" t="s">
        <v>31</v>
      </c>
      <c r="D45" s="6" t="s">
        <v>227</v>
      </c>
      <c r="E45" s="6" t="s">
        <v>33</v>
      </c>
      <c r="F45" s="6" t="s">
        <v>34</v>
      </c>
      <c r="G45" s="6" t="s">
        <v>35</v>
      </c>
      <c r="H45" s="6" t="s">
        <v>173</v>
      </c>
      <c r="I45" s="6" t="s">
        <v>37</v>
      </c>
      <c r="J45" s="6" t="s">
        <v>38</v>
      </c>
      <c r="K45" s="6" t="s">
        <v>39</v>
      </c>
      <c r="L45" s="6" t="s">
        <v>40</v>
      </c>
      <c r="M45" s="6" t="s">
        <v>41</v>
      </c>
      <c r="N45" s="6" t="s">
        <v>60</v>
      </c>
      <c r="O45" s="4" t="s">
        <v>43</v>
      </c>
      <c r="P45" s="6" t="s">
        <v>44</v>
      </c>
      <c r="Q45" s="4" t="s">
        <v>168</v>
      </c>
      <c r="R45" s="6"/>
      <c r="S45" s="6" t="s">
        <v>46</v>
      </c>
      <c r="T45" s="3"/>
      <c r="U45" s="3"/>
      <c r="V45" s="4"/>
      <c r="W45" s="6"/>
      <c r="X45" s="6"/>
      <c r="Y45" s="6"/>
      <c r="Z45" s="4"/>
      <c r="AA45" s="3"/>
      <c r="AB45" s="9">
        <v>1871.42</v>
      </c>
      <c r="AC45" s="9">
        <v>3199</v>
      </c>
    </row>
    <row r="46" spans="1:29" s="1" customFormat="1" ht="10.9" customHeight="1" x14ac:dyDescent="0.2">
      <c r="A46" s="3" t="s">
        <v>228</v>
      </c>
      <c r="B46" s="4" t="s">
        <v>229</v>
      </c>
      <c r="C46" s="5" t="s">
        <v>73</v>
      </c>
      <c r="D46" s="6" t="s">
        <v>230</v>
      </c>
      <c r="E46" s="6" t="s">
        <v>33</v>
      </c>
      <c r="F46" s="6" t="s">
        <v>34</v>
      </c>
      <c r="G46" s="6" t="s">
        <v>35</v>
      </c>
      <c r="H46" s="6" t="s">
        <v>52</v>
      </c>
      <c r="I46" s="6" t="s">
        <v>37</v>
      </c>
      <c r="J46" s="6" t="s">
        <v>38</v>
      </c>
      <c r="K46" s="6" t="s">
        <v>39</v>
      </c>
      <c r="L46" s="6" t="s">
        <v>40</v>
      </c>
      <c r="M46" s="6" t="s">
        <v>41</v>
      </c>
      <c r="N46" s="6" t="s">
        <v>60</v>
      </c>
      <c r="O46" s="4" t="s">
        <v>43</v>
      </c>
      <c r="P46" s="6" t="s">
        <v>44</v>
      </c>
      <c r="Q46" s="4" t="s">
        <v>75</v>
      </c>
      <c r="R46" s="6"/>
      <c r="S46" s="6" t="s">
        <v>46</v>
      </c>
      <c r="T46" s="7">
        <v>5.2199999999999998E-3</v>
      </c>
      <c r="U46" s="7">
        <v>0.1</v>
      </c>
      <c r="V46" s="4" t="s">
        <v>231</v>
      </c>
      <c r="W46" s="8">
        <v>990045032169</v>
      </c>
      <c r="X46" s="8">
        <v>196172937647</v>
      </c>
      <c r="Y46" s="6"/>
      <c r="Z46" s="4" t="s">
        <v>198</v>
      </c>
      <c r="AA46" s="11">
        <v>54</v>
      </c>
      <c r="AB46" s="9">
        <v>1871.42</v>
      </c>
      <c r="AC46" s="9">
        <v>3199</v>
      </c>
    </row>
    <row r="47" spans="1:29" s="1" customFormat="1" ht="10.9" customHeight="1" x14ac:dyDescent="0.2">
      <c r="A47" s="3" t="s">
        <v>232</v>
      </c>
      <c r="B47" s="4" t="s">
        <v>233</v>
      </c>
      <c r="C47" s="5" t="s">
        <v>31</v>
      </c>
      <c r="D47" s="6" t="s">
        <v>234</v>
      </c>
      <c r="E47" s="6" t="s">
        <v>33</v>
      </c>
      <c r="F47" s="6" t="s">
        <v>34</v>
      </c>
      <c r="G47" s="6" t="s">
        <v>35</v>
      </c>
      <c r="H47" s="6" t="s">
        <v>177</v>
      </c>
      <c r="I47" s="6" t="s">
        <v>37</v>
      </c>
      <c r="J47" s="6" t="s">
        <v>38</v>
      </c>
      <c r="K47" s="6" t="s">
        <v>39</v>
      </c>
      <c r="L47" s="6" t="s">
        <v>208</v>
      </c>
      <c r="M47" s="6" t="s">
        <v>41</v>
      </c>
      <c r="N47" s="6" t="s">
        <v>149</v>
      </c>
      <c r="O47" s="4" t="s">
        <v>43</v>
      </c>
      <c r="P47" s="6" t="s">
        <v>44</v>
      </c>
      <c r="Q47" s="4" t="s">
        <v>45</v>
      </c>
      <c r="R47" s="6"/>
      <c r="S47" s="6" t="s">
        <v>46</v>
      </c>
      <c r="T47" s="7">
        <v>3.3400000000000001E-3</v>
      </c>
      <c r="U47" s="7">
        <v>9.0999999999999998E-2</v>
      </c>
      <c r="V47" s="4" t="s">
        <v>209</v>
      </c>
      <c r="W47" s="8">
        <v>990044913230</v>
      </c>
      <c r="X47" s="8">
        <v>196172936794</v>
      </c>
      <c r="Y47" s="6"/>
      <c r="Z47" s="4" t="s">
        <v>142</v>
      </c>
      <c r="AA47" s="11">
        <v>274</v>
      </c>
      <c r="AB47" s="9">
        <v>1520.42</v>
      </c>
      <c r="AC47" s="9">
        <v>2599</v>
      </c>
    </row>
    <row r="48" spans="1:29" s="1" customFormat="1" ht="10.9" customHeight="1" x14ac:dyDescent="0.2">
      <c r="A48" s="3" t="s">
        <v>235</v>
      </c>
      <c r="B48" s="4" t="s">
        <v>236</v>
      </c>
      <c r="C48" s="5" t="s">
        <v>31</v>
      </c>
      <c r="D48" s="6" t="s">
        <v>237</v>
      </c>
      <c r="E48" s="6" t="s">
        <v>33</v>
      </c>
      <c r="F48" s="6" t="s">
        <v>34</v>
      </c>
      <c r="G48" s="6" t="s">
        <v>35</v>
      </c>
      <c r="H48" s="6" t="s">
        <v>238</v>
      </c>
      <c r="I48" s="6" t="s">
        <v>37</v>
      </c>
      <c r="J48" s="6" t="s">
        <v>38</v>
      </c>
      <c r="K48" s="6" t="s">
        <v>39</v>
      </c>
      <c r="L48" s="6" t="s">
        <v>208</v>
      </c>
      <c r="M48" s="6" t="s">
        <v>41</v>
      </c>
      <c r="N48" s="6" t="s">
        <v>149</v>
      </c>
      <c r="O48" s="4" t="s">
        <v>43</v>
      </c>
      <c r="P48" s="6" t="s">
        <v>81</v>
      </c>
      <c r="Q48" s="4" t="s">
        <v>239</v>
      </c>
      <c r="R48" s="6"/>
      <c r="S48" s="6" t="s">
        <v>46</v>
      </c>
      <c r="T48" s="3"/>
      <c r="U48" s="3"/>
      <c r="V48" s="4"/>
      <c r="W48" s="6"/>
      <c r="X48" s="6"/>
      <c r="Y48" s="6"/>
      <c r="Z48" s="4"/>
      <c r="AA48" s="3"/>
      <c r="AB48" s="9">
        <v>1871.42</v>
      </c>
      <c r="AC48" s="9">
        <v>3199</v>
      </c>
    </row>
    <row r="49" spans="1:29" s="1" customFormat="1" ht="10.9" customHeight="1" x14ac:dyDescent="0.2">
      <c r="A49" s="3" t="s">
        <v>240</v>
      </c>
      <c r="B49" s="4" t="s">
        <v>241</v>
      </c>
      <c r="C49" s="5" t="s">
        <v>31</v>
      </c>
      <c r="D49" s="6" t="s">
        <v>242</v>
      </c>
      <c r="E49" s="6" t="s">
        <v>33</v>
      </c>
      <c r="F49" s="6" t="s">
        <v>34</v>
      </c>
      <c r="G49" s="6" t="s">
        <v>35</v>
      </c>
      <c r="H49" s="6" t="s">
        <v>52</v>
      </c>
      <c r="I49" s="6" t="s">
        <v>37</v>
      </c>
      <c r="J49" s="6" t="s">
        <v>38</v>
      </c>
      <c r="K49" s="6" t="s">
        <v>39</v>
      </c>
      <c r="L49" s="6" t="s">
        <v>40</v>
      </c>
      <c r="M49" s="6" t="s">
        <v>41</v>
      </c>
      <c r="N49" s="6" t="s">
        <v>60</v>
      </c>
      <c r="O49" s="4" t="s">
        <v>43</v>
      </c>
      <c r="P49" s="6" t="s">
        <v>81</v>
      </c>
      <c r="Q49" s="4" t="s">
        <v>45</v>
      </c>
      <c r="R49" s="6"/>
      <c r="S49" s="6" t="s">
        <v>46</v>
      </c>
      <c r="T49" s="3"/>
      <c r="U49" s="3"/>
      <c r="V49" s="4"/>
      <c r="W49" s="6"/>
      <c r="X49" s="6"/>
      <c r="Y49" s="6"/>
      <c r="Z49" s="4" t="s">
        <v>142</v>
      </c>
      <c r="AA49" s="3"/>
      <c r="AB49" s="9">
        <v>1695.92</v>
      </c>
      <c r="AC49" s="9">
        <v>2899</v>
      </c>
    </row>
    <row r="50" spans="1:29" s="1" customFormat="1" ht="10.9" customHeight="1" x14ac:dyDescent="0.2">
      <c r="A50" s="3" t="s">
        <v>243</v>
      </c>
      <c r="B50" s="4" t="s">
        <v>244</v>
      </c>
      <c r="C50" s="5" t="s">
        <v>31</v>
      </c>
      <c r="D50" s="6" t="s">
        <v>245</v>
      </c>
      <c r="E50" s="6" t="s">
        <v>33</v>
      </c>
      <c r="F50" s="6" t="s">
        <v>34</v>
      </c>
      <c r="G50" s="6" t="s">
        <v>35</v>
      </c>
      <c r="H50" s="6" t="s">
        <v>193</v>
      </c>
      <c r="I50" s="6" t="s">
        <v>37</v>
      </c>
      <c r="J50" s="6" t="s">
        <v>38</v>
      </c>
      <c r="K50" s="6" t="s">
        <v>39</v>
      </c>
      <c r="L50" s="6" t="s">
        <v>40</v>
      </c>
      <c r="M50" s="6" t="s">
        <v>41</v>
      </c>
      <c r="N50" s="6" t="s">
        <v>60</v>
      </c>
      <c r="O50" s="4" t="s">
        <v>43</v>
      </c>
      <c r="P50" s="6" t="s">
        <v>44</v>
      </c>
      <c r="Q50" s="4" t="s">
        <v>168</v>
      </c>
      <c r="R50" s="6"/>
      <c r="S50" s="6" t="s">
        <v>46</v>
      </c>
      <c r="T50" s="3"/>
      <c r="U50" s="3"/>
      <c r="V50" s="4"/>
      <c r="W50" s="6"/>
      <c r="X50" s="6"/>
      <c r="Y50" s="6"/>
      <c r="Z50" s="4"/>
      <c r="AA50" s="3"/>
      <c r="AB50" s="9">
        <v>1871.42</v>
      </c>
      <c r="AC50" s="9">
        <v>3199</v>
      </c>
    </row>
    <row r="51" spans="1:29" s="1" customFormat="1" ht="10.9" customHeight="1" x14ac:dyDescent="0.2">
      <c r="A51" s="3" t="s">
        <v>246</v>
      </c>
      <c r="B51" s="4" t="s">
        <v>247</v>
      </c>
      <c r="C51" s="5" t="s">
        <v>73</v>
      </c>
      <c r="D51" s="6" t="s">
        <v>248</v>
      </c>
      <c r="E51" s="6" t="s">
        <v>33</v>
      </c>
      <c r="F51" s="6" t="s">
        <v>34</v>
      </c>
      <c r="G51" s="6" t="s">
        <v>35</v>
      </c>
      <c r="H51" s="6" t="s">
        <v>122</v>
      </c>
      <c r="I51" s="6" t="s">
        <v>37</v>
      </c>
      <c r="J51" s="6" t="s">
        <v>38</v>
      </c>
      <c r="K51" s="6" t="s">
        <v>39</v>
      </c>
      <c r="L51" s="6" t="s">
        <v>40</v>
      </c>
      <c r="M51" s="6" t="s">
        <v>41</v>
      </c>
      <c r="N51" s="6" t="s">
        <v>60</v>
      </c>
      <c r="O51" s="4" t="s">
        <v>43</v>
      </c>
      <c r="P51" s="6" t="s">
        <v>81</v>
      </c>
      <c r="Q51" s="4" t="s">
        <v>75</v>
      </c>
      <c r="R51" s="6"/>
      <c r="S51" s="6" t="s">
        <v>46</v>
      </c>
      <c r="T51" s="3"/>
      <c r="U51" s="3"/>
      <c r="V51" s="4"/>
      <c r="W51" s="6"/>
      <c r="X51" s="6"/>
      <c r="Y51" s="6"/>
      <c r="Z51" s="4"/>
      <c r="AA51" s="3"/>
      <c r="AB51" s="9">
        <v>1988.42</v>
      </c>
      <c r="AC51" s="9">
        <v>3399</v>
      </c>
    </row>
    <row r="52" spans="1:29" s="1" customFormat="1" ht="10.9" customHeight="1" x14ac:dyDescent="0.2">
      <c r="A52" s="3" t="s">
        <v>249</v>
      </c>
      <c r="B52" s="4" t="s">
        <v>250</v>
      </c>
      <c r="C52" s="5" t="s">
        <v>73</v>
      </c>
      <c r="D52" s="6" t="s">
        <v>251</v>
      </c>
      <c r="E52" s="6" t="s">
        <v>33</v>
      </c>
      <c r="F52" s="6" t="s">
        <v>34</v>
      </c>
      <c r="G52" s="6" t="s">
        <v>35</v>
      </c>
      <c r="H52" s="6" t="s">
        <v>177</v>
      </c>
      <c r="I52" s="6" t="s">
        <v>37</v>
      </c>
      <c r="J52" s="6" t="s">
        <v>38</v>
      </c>
      <c r="K52" s="6" t="s">
        <v>39</v>
      </c>
      <c r="L52" s="6" t="s">
        <v>40</v>
      </c>
      <c r="M52" s="6" t="s">
        <v>41</v>
      </c>
      <c r="N52" s="6" t="s">
        <v>60</v>
      </c>
      <c r="O52" s="4" t="s">
        <v>43</v>
      </c>
      <c r="P52" s="6" t="s">
        <v>81</v>
      </c>
      <c r="Q52" s="4" t="s">
        <v>75</v>
      </c>
      <c r="R52" s="6"/>
      <c r="S52" s="6" t="s">
        <v>46</v>
      </c>
      <c r="T52" s="3"/>
      <c r="U52" s="3"/>
      <c r="V52" s="4"/>
      <c r="W52" s="6"/>
      <c r="X52" s="6"/>
      <c r="Y52" s="6"/>
      <c r="Z52" s="4"/>
      <c r="AA52" s="3"/>
      <c r="AB52" s="9">
        <v>1988.42</v>
      </c>
      <c r="AC52" s="9">
        <v>3399</v>
      </c>
    </row>
    <row r="53" spans="1:29" s="1" customFormat="1" ht="10.9" customHeight="1" x14ac:dyDescent="0.2">
      <c r="A53" s="3" t="s">
        <v>252</v>
      </c>
      <c r="B53" s="4" t="s">
        <v>253</v>
      </c>
      <c r="C53" s="5" t="s">
        <v>31</v>
      </c>
      <c r="D53" s="6" t="s">
        <v>254</v>
      </c>
      <c r="E53" s="6" t="s">
        <v>33</v>
      </c>
      <c r="F53" s="6" t="s">
        <v>34</v>
      </c>
      <c r="G53" s="6" t="s">
        <v>35</v>
      </c>
      <c r="H53" s="6" t="s">
        <v>193</v>
      </c>
      <c r="I53" s="6" t="s">
        <v>37</v>
      </c>
      <c r="J53" s="6" t="s">
        <v>38</v>
      </c>
      <c r="K53" s="6" t="s">
        <v>39</v>
      </c>
      <c r="L53" s="6" t="s">
        <v>40</v>
      </c>
      <c r="M53" s="6" t="s">
        <v>41</v>
      </c>
      <c r="N53" s="6" t="s">
        <v>60</v>
      </c>
      <c r="O53" s="4" t="s">
        <v>43</v>
      </c>
      <c r="P53" s="6" t="s">
        <v>81</v>
      </c>
      <c r="Q53" s="4" t="s">
        <v>45</v>
      </c>
      <c r="R53" s="6"/>
      <c r="S53" s="6" t="s">
        <v>46</v>
      </c>
      <c r="T53" s="3"/>
      <c r="U53" s="3"/>
      <c r="V53" s="4"/>
      <c r="W53" s="6"/>
      <c r="X53" s="6"/>
      <c r="Y53" s="6"/>
      <c r="Z53" s="4"/>
      <c r="AA53" s="3"/>
      <c r="AB53" s="9">
        <v>1695.92</v>
      </c>
      <c r="AC53" s="9">
        <v>2899</v>
      </c>
    </row>
    <row r="54" spans="1:29" s="1" customFormat="1" ht="10.9" customHeight="1" x14ac:dyDescent="0.2">
      <c r="A54" s="3" t="s">
        <v>255</v>
      </c>
      <c r="B54" s="4" t="s">
        <v>256</v>
      </c>
      <c r="C54" s="5" t="s">
        <v>31</v>
      </c>
      <c r="D54" s="6" t="s">
        <v>257</v>
      </c>
      <c r="E54" s="6" t="s">
        <v>33</v>
      </c>
      <c r="F54" s="6" t="s">
        <v>34</v>
      </c>
      <c r="G54" s="6" t="s">
        <v>35</v>
      </c>
      <c r="H54" s="6" t="s">
        <v>52</v>
      </c>
      <c r="I54" s="6" t="s">
        <v>37</v>
      </c>
      <c r="J54" s="6" t="s">
        <v>38</v>
      </c>
      <c r="K54" s="6" t="s">
        <v>39</v>
      </c>
      <c r="L54" s="6" t="s">
        <v>40</v>
      </c>
      <c r="M54" s="6" t="s">
        <v>41</v>
      </c>
      <c r="N54" s="6" t="s">
        <v>60</v>
      </c>
      <c r="O54" s="4" t="s">
        <v>43</v>
      </c>
      <c r="P54" s="6" t="s">
        <v>44</v>
      </c>
      <c r="Q54" s="4" t="s">
        <v>168</v>
      </c>
      <c r="R54" s="6"/>
      <c r="S54" s="6" t="s">
        <v>46</v>
      </c>
      <c r="T54" s="3"/>
      <c r="U54" s="3"/>
      <c r="V54" s="4"/>
      <c r="W54" s="6"/>
      <c r="X54" s="6"/>
      <c r="Y54" s="6"/>
      <c r="Z54" s="4" t="s">
        <v>198</v>
      </c>
      <c r="AA54" s="3"/>
      <c r="AB54" s="9">
        <v>1871.42</v>
      </c>
      <c r="AC54" s="9">
        <v>3199</v>
      </c>
    </row>
    <row r="55" spans="1:29" s="1" customFormat="1" ht="10.9" customHeight="1" x14ac:dyDescent="0.2">
      <c r="A55" s="3" t="s">
        <v>258</v>
      </c>
      <c r="B55" s="4" t="s">
        <v>259</v>
      </c>
      <c r="C55" s="5" t="s">
        <v>31</v>
      </c>
      <c r="D55" s="6" t="s">
        <v>260</v>
      </c>
      <c r="E55" s="6" t="s">
        <v>33</v>
      </c>
      <c r="F55" s="6" t="s">
        <v>34</v>
      </c>
      <c r="G55" s="6" t="s">
        <v>35</v>
      </c>
      <c r="H55" s="6" t="s">
        <v>177</v>
      </c>
      <c r="I55" s="6" t="s">
        <v>37</v>
      </c>
      <c r="J55" s="6" t="s">
        <v>38</v>
      </c>
      <c r="K55" s="6" t="s">
        <v>39</v>
      </c>
      <c r="L55" s="6" t="s">
        <v>208</v>
      </c>
      <c r="M55" s="6" t="s">
        <v>41</v>
      </c>
      <c r="N55" s="6" t="s">
        <v>60</v>
      </c>
      <c r="O55" s="4" t="s">
        <v>43</v>
      </c>
      <c r="P55" s="6" t="s">
        <v>81</v>
      </c>
      <c r="Q55" s="4" t="s">
        <v>45</v>
      </c>
      <c r="R55" s="6"/>
      <c r="S55" s="6" t="s">
        <v>46</v>
      </c>
      <c r="T55" s="3"/>
      <c r="U55" s="3"/>
      <c r="V55" s="4"/>
      <c r="W55" s="6"/>
      <c r="X55" s="6"/>
      <c r="Y55" s="6"/>
      <c r="Z55" s="4"/>
      <c r="AA55" s="3"/>
      <c r="AB55" s="9">
        <v>1695.92</v>
      </c>
      <c r="AC55" s="9">
        <v>2899</v>
      </c>
    </row>
    <row r="56" spans="1:29" s="1" customFormat="1" ht="10.9" customHeight="1" x14ac:dyDescent="0.2">
      <c r="A56" s="3" t="s">
        <v>261</v>
      </c>
      <c r="B56" s="4" t="s">
        <v>262</v>
      </c>
      <c r="C56" s="5" t="s">
        <v>73</v>
      </c>
      <c r="D56" s="6" t="s">
        <v>263</v>
      </c>
      <c r="E56" s="6" t="s">
        <v>33</v>
      </c>
      <c r="F56" s="6" t="s">
        <v>34</v>
      </c>
      <c r="G56" s="6" t="s">
        <v>35</v>
      </c>
      <c r="H56" s="6" t="s">
        <v>115</v>
      </c>
      <c r="I56" s="6" t="s">
        <v>37</v>
      </c>
      <c r="J56" s="6" t="s">
        <v>38</v>
      </c>
      <c r="K56" s="6" t="s">
        <v>39</v>
      </c>
      <c r="L56" s="6" t="s">
        <v>40</v>
      </c>
      <c r="M56" s="6" t="s">
        <v>41</v>
      </c>
      <c r="N56" s="6" t="s">
        <v>60</v>
      </c>
      <c r="O56" s="4" t="s">
        <v>43</v>
      </c>
      <c r="P56" s="6" t="s">
        <v>44</v>
      </c>
      <c r="Q56" s="4" t="s">
        <v>75</v>
      </c>
      <c r="R56" s="6"/>
      <c r="S56" s="6" t="s">
        <v>46</v>
      </c>
      <c r="T56" s="7">
        <v>4.7499999999999999E-3</v>
      </c>
      <c r="U56" s="7">
        <v>9.2999999999999999E-2</v>
      </c>
      <c r="V56" s="4" t="s">
        <v>264</v>
      </c>
      <c r="W56" s="8">
        <v>990044913223</v>
      </c>
      <c r="X56" s="8">
        <v>196172942603</v>
      </c>
      <c r="Y56" s="6"/>
      <c r="Z56" s="4" t="s">
        <v>142</v>
      </c>
      <c r="AA56" s="11">
        <v>200</v>
      </c>
      <c r="AB56" s="9">
        <v>1695.92</v>
      </c>
      <c r="AC56" s="9">
        <v>2899</v>
      </c>
    </row>
    <row r="57" spans="1:29" s="1" customFormat="1" ht="10.9" customHeight="1" x14ac:dyDescent="0.2">
      <c r="A57" s="3" t="s">
        <v>265</v>
      </c>
      <c r="B57" s="4" t="s">
        <v>266</v>
      </c>
      <c r="C57" s="5" t="s">
        <v>31</v>
      </c>
      <c r="D57" s="6" t="s">
        <v>267</v>
      </c>
      <c r="E57" s="6" t="s">
        <v>33</v>
      </c>
      <c r="F57" s="6" t="s">
        <v>34</v>
      </c>
      <c r="G57" s="6" t="s">
        <v>35</v>
      </c>
      <c r="H57" s="6" t="s">
        <v>52</v>
      </c>
      <c r="I57" s="6" t="s">
        <v>37</v>
      </c>
      <c r="J57" s="6" t="s">
        <v>38</v>
      </c>
      <c r="K57" s="6" t="s">
        <v>39</v>
      </c>
      <c r="L57" s="6" t="s">
        <v>208</v>
      </c>
      <c r="M57" s="6" t="s">
        <v>41</v>
      </c>
      <c r="N57" s="6" t="s">
        <v>60</v>
      </c>
      <c r="O57" s="4" t="s">
        <v>43</v>
      </c>
      <c r="P57" s="6" t="s">
        <v>44</v>
      </c>
      <c r="Q57" s="4" t="s">
        <v>168</v>
      </c>
      <c r="R57" s="6"/>
      <c r="S57" s="6" t="s">
        <v>46</v>
      </c>
      <c r="T57" s="7">
        <v>1.1100000000000001E-3</v>
      </c>
      <c r="U57" s="7">
        <v>8.2000000000000003E-2</v>
      </c>
      <c r="V57" s="4" t="s">
        <v>268</v>
      </c>
      <c r="W57" s="8">
        <v>990044912134</v>
      </c>
      <c r="X57" s="8">
        <v>196172937128</v>
      </c>
      <c r="Y57" s="6"/>
      <c r="Z57" s="4" t="s">
        <v>198</v>
      </c>
      <c r="AA57" s="11">
        <v>80</v>
      </c>
      <c r="AB57" s="9">
        <v>1871.42</v>
      </c>
      <c r="AC57" s="9">
        <v>3199</v>
      </c>
    </row>
    <row r="58" spans="1:29" s="1" customFormat="1" ht="10.9" customHeight="1" x14ac:dyDescent="0.2">
      <c r="A58" s="3" t="s">
        <v>269</v>
      </c>
      <c r="B58" s="4" t="s">
        <v>270</v>
      </c>
      <c r="C58" s="5" t="s">
        <v>31</v>
      </c>
      <c r="D58" s="6" t="s">
        <v>271</v>
      </c>
      <c r="E58" s="6" t="s">
        <v>33</v>
      </c>
      <c r="F58" s="6" t="s">
        <v>34</v>
      </c>
      <c r="G58" s="6" t="s">
        <v>35</v>
      </c>
      <c r="H58" s="6" t="s">
        <v>197</v>
      </c>
      <c r="I58" s="6" t="s">
        <v>37</v>
      </c>
      <c r="J58" s="6" t="s">
        <v>38</v>
      </c>
      <c r="K58" s="6" t="s">
        <v>39</v>
      </c>
      <c r="L58" s="6" t="s">
        <v>208</v>
      </c>
      <c r="M58" s="6" t="s">
        <v>41</v>
      </c>
      <c r="N58" s="6" t="s">
        <v>60</v>
      </c>
      <c r="O58" s="4" t="s">
        <v>43</v>
      </c>
      <c r="P58" s="6" t="s">
        <v>44</v>
      </c>
      <c r="Q58" s="4" t="s">
        <v>168</v>
      </c>
      <c r="R58" s="6"/>
      <c r="S58" s="6" t="s">
        <v>46</v>
      </c>
      <c r="T58" s="7">
        <v>4.1599999999999996E-3</v>
      </c>
      <c r="U58" s="7">
        <v>8.1000000000000003E-2</v>
      </c>
      <c r="V58" s="4" t="s">
        <v>268</v>
      </c>
      <c r="W58" s="8">
        <v>990044912240</v>
      </c>
      <c r="X58" s="8">
        <v>196172937104</v>
      </c>
      <c r="Y58" s="6"/>
      <c r="Z58" s="4" t="s">
        <v>198</v>
      </c>
      <c r="AA58" s="11">
        <v>104</v>
      </c>
      <c r="AB58" s="9">
        <v>1871.42</v>
      </c>
      <c r="AC58" s="9">
        <v>3199</v>
      </c>
    </row>
    <row r="59" spans="1:29" s="1" customFormat="1" ht="10.9" customHeight="1" x14ac:dyDescent="0.2">
      <c r="A59" s="3" t="s">
        <v>272</v>
      </c>
      <c r="B59" s="4" t="s">
        <v>273</v>
      </c>
      <c r="C59" s="5" t="s">
        <v>31</v>
      </c>
      <c r="D59" s="6" t="s">
        <v>274</v>
      </c>
      <c r="E59" s="6" t="s">
        <v>33</v>
      </c>
      <c r="F59" s="6" t="s">
        <v>34</v>
      </c>
      <c r="G59" s="6" t="s">
        <v>35</v>
      </c>
      <c r="H59" s="6" t="s">
        <v>122</v>
      </c>
      <c r="I59" s="6" t="s">
        <v>37</v>
      </c>
      <c r="J59" s="6" t="s">
        <v>38</v>
      </c>
      <c r="K59" s="6" t="s">
        <v>39</v>
      </c>
      <c r="L59" s="6" t="s">
        <v>208</v>
      </c>
      <c r="M59" s="6" t="s">
        <v>41</v>
      </c>
      <c r="N59" s="6" t="s">
        <v>149</v>
      </c>
      <c r="O59" s="4" t="s">
        <v>43</v>
      </c>
      <c r="P59" s="6" t="s">
        <v>81</v>
      </c>
      <c r="Q59" s="4" t="s">
        <v>239</v>
      </c>
      <c r="R59" s="6"/>
      <c r="S59" s="6" t="s">
        <v>46</v>
      </c>
      <c r="T59" s="3"/>
      <c r="U59" s="3"/>
      <c r="V59" s="4"/>
      <c r="W59" s="6"/>
      <c r="X59" s="6"/>
      <c r="Y59" s="6"/>
      <c r="Z59" s="4"/>
      <c r="AA59" s="3"/>
      <c r="AB59" s="9">
        <v>1871.42</v>
      </c>
      <c r="AC59" s="9">
        <v>3199</v>
      </c>
    </row>
    <row r="60" spans="1:29" s="1" customFormat="1" ht="10.9" customHeight="1" x14ac:dyDescent="0.2">
      <c r="A60" s="3" t="s">
        <v>275</v>
      </c>
      <c r="B60" s="4" t="s">
        <v>276</v>
      </c>
      <c r="C60" s="5" t="s">
        <v>31</v>
      </c>
      <c r="D60" s="6" t="s">
        <v>277</v>
      </c>
      <c r="E60" s="6" t="s">
        <v>33</v>
      </c>
      <c r="F60" s="6" t="s">
        <v>34</v>
      </c>
      <c r="G60" s="6" t="s">
        <v>35</v>
      </c>
      <c r="H60" s="6" t="s">
        <v>122</v>
      </c>
      <c r="I60" s="6" t="s">
        <v>37</v>
      </c>
      <c r="J60" s="6" t="s">
        <v>38</v>
      </c>
      <c r="K60" s="6" t="s">
        <v>39</v>
      </c>
      <c r="L60" s="6" t="s">
        <v>208</v>
      </c>
      <c r="M60" s="6" t="s">
        <v>41</v>
      </c>
      <c r="N60" s="6" t="s">
        <v>149</v>
      </c>
      <c r="O60" s="4" t="s">
        <v>43</v>
      </c>
      <c r="P60" s="6" t="s">
        <v>81</v>
      </c>
      <c r="Q60" s="4" t="s">
        <v>239</v>
      </c>
      <c r="R60" s="6"/>
      <c r="S60" s="6" t="s">
        <v>46</v>
      </c>
      <c r="T60" s="3"/>
      <c r="U60" s="3"/>
      <c r="V60" s="4"/>
      <c r="W60" s="6"/>
      <c r="X60" s="6"/>
      <c r="Y60" s="6"/>
      <c r="Z60" s="4"/>
      <c r="AA60" s="3"/>
      <c r="AB60" s="9">
        <v>1871.42</v>
      </c>
      <c r="AC60" s="9">
        <v>3199</v>
      </c>
    </row>
    <row r="61" spans="1:29" s="1" customFormat="1" ht="10.9" customHeight="1" x14ac:dyDescent="0.2">
      <c r="A61" s="3" t="s">
        <v>278</v>
      </c>
      <c r="B61" s="4" t="s">
        <v>279</v>
      </c>
      <c r="C61" s="5" t="s">
        <v>31</v>
      </c>
      <c r="D61" s="6" t="s">
        <v>280</v>
      </c>
      <c r="E61" s="6" t="s">
        <v>33</v>
      </c>
      <c r="F61" s="6" t="s">
        <v>34</v>
      </c>
      <c r="G61" s="6" t="s">
        <v>35</v>
      </c>
      <c r="H61" s="6" t="s">
        <v>52</v>
      </c>
      <c r="I61" s="6" t="s">
        <v>37</v>
      </c>
      <c r="J61" s="6" t="s">
        <v>38</v>
      </c>
      <c r="K61" s="6" t="s">
        <v>39</v>
      </c>
      <c r="L61" s="6" t="s">
        <v>40</v>
      </c>
      <c r="M61" s="6" t="s">
        <v>41</v>
      </c>
      <c r="N61" s="6" t="s">
        <v>60</v>
      </c>
      <c r="O61" s="4" t="s">
        <v>43</v>
      </c>
      <c r="P61" s="6" t="s">
        <v>44</v>
      </c>
      <c r="Q61" s="4" t="s">
        <v>45</v>
      </c>
      <c r="R61" s="6"/>
      <c r="S61" s="6" t="s">
        <v>46</v>
      </c>
      <c r="T61" s="3"/>
      <c r="U61" s="3"/>
      <c r="V61" s="4"/>
      <c r="W61" s="6"/>
      <c r="X61" s="6"/>
      <c r="Y61" s="6"/>
      <c r="Z61" s="4"/>
      <c r="AA61" s="3"/>
      <c r="AB61" s="9">
        <v>1520.42</v>
      </c>
      <c r="AC61" s="9">
        <v>2599</v>
      </c>
    </row>
    <row r="62" spans="1:29" s="1" customFormat="1" ht="10.9" customHeight="1" x14ac:dyDescent="0.2">
      <c r="A62" s="3" t="s">
        <v>281</v>
      </c>
      <c r="B62" s="4" t="s">
        <v>282</v>
      </c>
      <c r="C62" s="5" t="s">
        <v>73</v>
      </c>
      <c r="D62" s="6" t="s">
        <v>283</v>
      </c>
      <c r="E62" s="6" t="s">
        <v>33</v>
      </c>
      <c r="F62" s="6" t="s">
        <v>34</v>
      </c>
      <c r="G62" s="6" t="s">
        <v>35</v>
      </c>
      <c r="H62" s="6" t="s">
        <v>115</v>
      </c>
      <c r="I62" s="6" t="s">
        <v>37</v>
      </c>
      <c r="J62" s="6" t="s">
        <v>38</v>
      </c>
      <c r="K62" s="6" t="s">
        <v>39</v>
      </c>
      <c r="L62" s="6" t="s">
        <v>208</v>
      </c>
      <c r="M62" s="6" t="s">
        <v>41</v>
      </c>
      <c r="N62" s="6" t="s">
        <v>60</v>
      </c>
      <c r="O62" s="4" t="s">
        <v>43</v>
      </c>
      <c r="P62" s="6" t="s">
        <v>81</v>
      </c>
      <c r="Q62" s="4" t="s">
        <v>75</v>
      </c>
      <c r="R62" s="6"/>
      <c r="S62" s="6" t="s">
        <v>46</v>
      </c>
      <c r="T62" s="3"/>
      <c r="U62" s="3"/>
      <c r="V62" s="4"/>
      <c r="W62" s="6"/>
      <c r="X62" s="6"/>
      <c r="Y62" s="6"/>
      <c r="Z62" s="4" t="s">
        <v>142</v>
      </c>
      <c r="AA62" s="3"/>
      <c r="AB62" s="9">
        <v>2163.92</v>
      </c>
      <c r="AC62" s="9">
        <v>3699</v>
      </c>
    </row>
    <row r="63" spans="1:29" s="1" customFormat="1" ht="10.9" customHeight="1" x14ac:dyDescent="0.2">
      <c r="A63" s="3" t="s">
        <v>284</v>
      </c>
      <c r="B63" s="4" t="s">
        <v>285</v>
      </c>
      <c r="C63" s="5" t="s">
        <v>73</v>
      </c>
      <c r="D63" s="6" t="s">
        <v>286</v>
      </c>
      <c r="E63" s="6" t="s">
        <v>33</v>
      </c>
      <c r="F63" s="6" t="s">
        <v>34</v>
      </c>
      <c r="G63" s="6" t="s">
        <v>35</v>
      </c>
      <c r="H63" s="6" t="s">
        <v>115</v>
      </c>
      <c r="I63" s="6" t="s">
        <v>37</v>
      </c>
      <c r="J63" s="6" t="s">
        <v>38</v>
      </c>
      <c r="K63" s="6" t="s">
        <v>39</v>
      </c>
      <c r="L63" s="6" t="s">
        <v>208</v>
      </c>
      <c r="M63" s="6" t="s">
        <v>41</v>
      </c>
      <c r="N63" s="6" t="s">
        <v>60</v>
      </c>
      <c r="O63" s="4" t="s">
        <v>43</v>
      </c>
      <c r="P63" s="6" t="s">
        <v>81</v>
      </c>
      <c r="Q63" s="4" t="s">
        <v>75</v>
      </c>
      <c r="R63" s="6"/>
      <c r="S63" s="6" t="s">
        <v>46</v>
      </c>
      <c r="T63" s="3"/>
      <c r="U63" s="3"/>
      <c r="V63" s="4"/>
      <c r="W63" s="6"/>
      <c r="X63" s="6"/>
      <c r="Y63" s="6"/>
      <c r="Z63" s="4"/>
      <c r="AA63" s="3"/>
      <c r="AB63" s="9">
        <v>2163.92</v>
      </c>
      <c r="AC63" s="9">
        <v>3699</v>
      </c>
    </row>
    <row r="64" spans="1:29" s="1" customFormat="1" ht="10.9" customHeight="1" x14ac:dyDescent="0.2">
      <c r="A64" s="3" t="s">
        <v>287</v>
      </c>
      <c r="B64" s="4" t="s">
        <v>288</v>
      </c>
      <c r="C64" s="5" t="s">
        <v>73</v>
      </c>
      <c r="D64" s="6" t="s">
        <v>289</v>
      </c>
      <c r="E64" s="6" t="s">
        <v>33</v>
      </c>
      <c r="F64" s="6" t="s">
        <v>34</v>
      </c>
      <c r="G64" s="6" t="s">
        <v>35</v>
      </c>
      <c r="H64" s="6" t="s">
        <v>115</v>
      </c>
      <c r="I64" s="6" t="s">
        <v>37</v>
      </c>
      <c r="J64" s="6" t="s">
        <v>38</v>
      </c>
      <c r="K64" s="6" t="s">
        <v>39</v>
      </c>
      <c r="L64" s="6" t="s">
        <v>40</v>
      </c>
      <c r="M64" s="6" t="s">
        <v>41</v>
      </c>
      <c r="N64" s="6" t="s">
        <v>60</v>
      </c>
      <c r="O64" s="4" t="s">
        <v>43</v>
      </c>
      <c r="P64" s="6" t="s">
        <v>81</v>
      </c>
      <c r="Q64" s="4" t="s">
        <v>75</v>
      </c>
      <c r="R64" s="6"/>
      <c r="S64" s="6" t="s">
        <v>46</v>
      </c>
      <c r="T64" s="3"/>
      <c r="U64" s="3"/>
      <c r="V64" s="4"/>
      <c r="W64" s="6"/>
      <c r="X64" s="6"/>
      <c r="Y64" s="6"/>
      <c r="Z64" s="4"/>
      <c r="AA64" s="3"/>
      <c r="AB64" s="9">
        <v>2163.92</v>
      </c>
      <c r="AC64" s="9">
        <v>3699</v>
      </c>
    </row>
    <row r="65" spans="1:29" s="1" customFormat="1" ht="10.9" customHeight="1" x14ac:dyDescent="0.2">
      <c r="A65" s="3" t="s">
        <v>290</v>
      </c>
      <c r="B65" s="4" t="s">
        <v>291</v>
      </c>
      <c r="C65" s="5" t="s">
        <v>31</v>
      </c>
      <c r="D65" s="6" t="s">
        <v>292</v>
      </c>
      <c r="E65" s="6" t="s">
        <v>33</v>
      </c>
      <c r="F65" s="6" t="s">
        <v>34</v>
      </c>
      <c r="G65" s="6" t="s">
        <v>35</v>
      </c>
      <c r="H65" s="6" t="s">
        <v>177</v>
      </c>
      <c r="I65" s="6" t="s">
        <v>37</v>
      </c>
      <c r="J65" s="6" t="s">
        <v>38</v>
      </c>
      <c r="K65" s="6" t="s">
        <v>39</v>
      </c>
      <c r="L65" s="6" t="s">
        <v>40</v>
      </c>
      <c r="M65" s="6" t="s">
        <v>41</v>
      </c>
      <c r="N65" s="6" t="s">
        <v>149</v>
      </c>
      <c r="O65" s="4" t="s">
        <v>43</v>
      </c>
      <c r="P65" s="6" t="s">
        <v>44</v>
      </c>
      <c r="Q65" s="4" t="s">
        <v>45</v>
      </c>
      <c r="R65" s="6"/>
      <c r="S65" s="6" t="s">
        <v>46</v>
      </c>
      <c r="T65" s="7">
        <v>4.3699999999999998E-3</v>
      </c>
      <c r="U65" s="7">
        <v>0.09</v>
      </c>
      <c r="V65" s="4" t="s">
        <v>264</v>
      </c>
      <c r="W65" s="8">
        <v>990044910871</v>
      </c>
      <c r="X65" s="8">
        <v>196172936770</v>
      </c>
      <c r="Y65" s="6"/>
      <c r="Z65" s="4" t="s">
        <v>142</v>
      </c>
      <c r="AA65" s="11">
        <v>144</v>
      </c>
      <c r="AB65" s="9">
        <v>1520.42</v>
      </c>
      <c r="AC65" s="9">
        <v>2599</v>
      </c>
    </row>
    <row r="66" spans="1:29" s="1" customFormat="1" ht="10.9" customHeight="1" x14ac:dyDescent="0.2">
      <c r="A66" s="3" t="s">
        <v>293</v>
      </c>
      <c r="B66" s="4" t="s">
        <v>294</v>
      </c>
      <c r="C66" s="5" t="s">
        <v>31</v>
      </c>
      <c r="D66" s="6" t="s">
        <v>295</v>
      </c>
      <c r="E66" s="6" t="s">
        <v>33</v>
      </c>
      <c r="F66" s="6" t="s">
        <v>34</v>
      </c>
      <c r="G66" s="6" t="s">
        <v>35</v>
      </c>
      <c r="H66" s="6" t="s">
        <v>177</v>
      </c>
      <c r="I66" s="6" t="s">
        <v>37</v>
      </c>
      <c r="J66" s="6" t="s">
        <v>38</v>
      </c>
      <c r="K66" s="6" t="s">
        <v>39</v>
      </c>
      <c r="L66" s="6" t="s">
        <v>40</v>
      </c>
      <c r="M66" s="6" t="s">
        <v>41</v>
      </c>
      <c r="N66" s="6" t="s">
        <v>149</v>
      </c>
      <c r="O66" s="4" t="s">
        <v>43</v>
      </c>
      <c r="P66" s="6" t="s">
        <v>44</v>
      </c>
      <c r="Q66" s="4" t="s">
        <v>45</v>
      </c>
      <c r="R66" s="6"/>
      <c r="S66" s="6" t="s">
        <v>46</v>
      </c>
      <c r="T66" s="3"/>
      <c r="U66" s="3"/>
      <c r="V66" s="4"/>
      <c r="W66" s="6"/>
      <c r="X66" s="6"/>
      <c r="Y66" s="6"/>
      <c r="Z66" s="4" t="s">
        <v>142</v>
      </c>
      <c r="AA66" s="3"/>
      <c r="AB66" s="9">
        <v>1520.42</v>
      </c>
      <c r="AC66" s="9">
        <v>2599</v>
      </c>
    </row>
    <row r="67" spans="1:29" s="1" customFormat="1" ht="10.9" customHeight="1" x14ac:dyDescent="0.2">
      <c r="A67" s="3" t="s">
        <v>296</v>
      </c>
      <c r="B67" s="4" t="s">
        <v>297</v>
      </c>
      <c r="C67" s="5" t="s">
        <v>31</v>
      </c>
      <c r="D67" s="6" t="s">
        <v>298</v>
      </c>
      <c r="E67" s="6" t="s">
        <v>33</v>
      </c>
      <c r="F67" s="6" t="s">
        <v>34</v>
      </c>
      <c r="G67" s="6" t="s">
        <v>35</v>
      </c>
      <c r="H67" s="6" t="s">
        <v>238</v>
      </c>
      <c r="I67" s="6" t="s">
        <v>37</v>
      </c>
      <c r="J67" s="6" t="s">
        <v>38</v>
      </c>
      <c r="K67" s="6" t="s">
        <v>39</v>
      </c>
      <c r="L67" s="6" t="s">
        <v>208</v>
      </c>
      <c r="M67" s="6" t="s">
        <v>41</v>
      </c>
      <c r="N67" s="6" t="s">
        <v>149</v>
      </c>
      <c r="O67" s="4" t="s">
        <v>43</v>
      </c>
      <c r="P67" s="6" t="s">
        <v>44</v>
      </c>
      <c r="Q67" s="4" t="s">
        <v>45</v>
      </c>
      <c r="R67" s="6"/>
      <c r="S67" s="6" t="s">
        <v>46</v>
      </c>
      <c r="T67" s="7">
        <v>3.5699999999999998E-3</v>
      </c>
      <c r="U67" s="7">
        <v>9.1999999999999998E-2</v>
      </c>
      <c r="V67" s="4" t="s">
        <v>209</v>
      </c>
      <c r="W67" s="8">
        <v>990044910864</v>
      </c>
      <c r="X67" s="8">
        <v>196172936800</v>
      </c>
      <c r="Y67" s="6"/>
      <c r="Z67" s="4"/>
      <c r="AA67" s="11">
        <v>202</v>
      </c>
      <c r="AB67" s="9">
        <v>1520.42</v>
      </c>
      <c r="AC67" s="9">
        <v>2599</v>
      </c>
    </row>
    <row r="68" spans="1:29" s="1" customFormat="1" ht="10.9" customHeight="1" x14ac:dyDescent="0.2">
      <c r="A68" s="3" t="s">
        <v>299</v>
      </c>
      <c r="B68" s="4" t="s">
        <v>300</v>
      </c>
      <c r="C68" s="5" t="s">
        <v>31</v>
      </c>
      <c r="D68" s="6" t="s">
        <v>301</v>
      </c>
      <c r="E68" s="6" t="s">
        <v>33</v>
      </c>
      <c r="F68" s="6" t="s">
        <v>34</v>
      </c>
      <c r="G68" s="6" t="s">
        <v>35</v>
      </c>
      <c r="H68" s="6" t="s">
        <v>177</v>
      </c>
      <c r="I68" s="6" t="s">
        <v>37</v>
      </c>
      <c r="J68" s="6" t="s">
        <v>38</v>
      </c>
      <c r="K68" s="6" t="s">
        <v>39</v>
      </c>
      <c r="L68" s="6" t="s">
        <v>40</v>
      </c>
      <c r="M68" s="6" t="s">
        <v>41</v>
      </c>
      <c r="N68" s="6" t="s">
        <v>149</v>
      </c>
      <c r="O68" s="4" t="s">
        <v>43</v>
      </c>
      <c r="P68" s="6" t="s">
        <v>44</v>
      </c>
      <c r="Q68" s="4" t="s">
        <v>45</v>
      </c>
      <c r="R68" s="6"/>
      <c r="S68" s="6" t="s">
        <v>46</v>
      </c>
      <c r="T68" s="3"/>
      <c r="U68" s="3"/>
      <c r="V68" s="4"/>
      <c r="W68" s="6"/>
      <c r="X68" s="6"/>
      <c r="Y68" s="6"/>
      <c r="Z68" s="4"/>
      <c r="AA68" s="3"/>
      <c r="AB68" s="9">
        <v>1520.42</v>
      </c>
      <c r="AC68" s="9">
        <v>2599</v>
      </c>
    </row>
    <row r="69" spans="1:29" s="1" customFormat="1" ht="10.9" customHeight="1" x14ac:dyDescent="0.2">
      <c r="A69" s="3" t="s">
        <v>302</v>
      </c>
      <c r="B69" s="4" t="s">
        <v>303</v>
      </c>
      <c r="C69" s="5" t="s">
        <v>31</v>
      </c>
      <c r="D69" s="6" t="s">
        <v>304</v>
      </c>
      <c r="E69" s="6" t="s">
        <v>33</v>
      </c>
      <c r="F69" s="6" t="s">
        <v>34</v>
      </c>
      <c r="G69" s="6" t="s">
        <v>35</v>
      </c>
      <c r="H69" s="6" t="s">
        <v>305</v>
      </c>
      <c r="I69" s="6" t="s">
        <v>37</v>
      </c>
      <c r="J69" s="6" t="s">
        <v>38</v>
      </c>
      <c r="K69" s="6" t="s">
        <v>39</v>
      </c>
      <c r="L69" s="6" t="s">
        <v>208</v>
      </c>
      <c r="M69" s="6" t="s">
        <v>41</v>
      </c>
      <c r="N69" s="6" t="s">
        <v>60</v>
      </c>
      <c r="O69" s="4" t="s">
        <v>43</v>
      </c>
      <c r="P69" s="6" t="s">
        <v>44</v>
      </c>
      <c r="Q69" s="4" t="s">
        <v>168</v>
      </c>
      <c r="R69" s="6"/>
      <c r="S69" s="6" t="s">
        <v>46</v>
      </c>
      <c r="T69" s="7">
        <v>3.0999999999999999E-3</v>
      </c>
      <c r="U69" s="7">
        <v>8.2000000000000003E-2</v>
      </c>
      <c r="V69" s="4" t="s">
        <v>268</v>
      </c>
      <c r="W69" s="8">
        <v>990044910826</v>
      </c>
      <c r="X69" s="8">
        <v>196172937111</v>
      </c>
      <c r="Y69" s="6"/>
      <c r="Z69" s="4" t="s">
        <v>198</v>
      </c>
      <c r="AA69" s="11">
        <v>466</v>
      </c>
      <c r="AB69" s="9">
        <v>1871.42</v>
      </c>
      <c r="AC69" s="9">
        <v>3199</v>
      </c>
    </row>
    <row r="70" spans="1:29" s="1" customFormat="1" ht="10.9" customHeight="1" x14ac:dyDescent="0.2">
      <c r="A70" s="3" t="s">
        <v>306</v>
      </c>
      <c r="B70" s="4" t="s">
        <v>307</v>
      </c>
      <c r="C70" s="5" t="s">
        <v>73</v>
      </c>
      <c r="D70" s="6" t="s">
        <v>308</v>
      </c>
      <c r="E70" s="6" t="s">
        <v>33</v>
      </c>
      <c r="F70" s="6" t="s">
        <v>34</v>
      </c>
      <c r="G70" s="6" t="s">
        <v>35</v>
      </c>
      <c r="H70" s="6" t="s">
        <v>115</v>
      </c>
      <c r="I70" s="6" t="s">
        <v>37</v>
      </c>
      <c r="J70" s="6" t="s">
        <v>38</v>
      </c>
      <c r="K70" s="6" t="s">
        <v>39</v>
      </c>
      <c r="L70" s="6" t="s">
        <v>208</v>
      </c>
      <c r="M70" s="6" t="s">
        <v>41</v>
      </c>
      <c r="N70" s="6" t="s">
        <v>60</v>
      </c>
      <c r="O70" s="4" t="s">
        <v>43</v>
      </c>
      <c r="P70" s="6" t="s">
        <v>81</v>
      </c>
      <c r="Q70" s="4" t="s">
        <v>75</v>
      </c>
      <c r="R70" s="6"/>
      <c r="S70" s="6" t="s">
        <v>46</v>
      </c>
      <c r="T70" s="3"/>
      <c r="U70" s="3"/>
      <c r="V70" s="4"/>
      <c r="W70" s="6"/>
      <c r="X70" s="6"/>
      <c r="Y70" s="6"/>
      <c r="Z70" s="4" t="s">
        <v>198</v>
      </c>
      <c r="AA70" s="3"/>
      <c r="AB70" s="9">
        <v>2163.92</v>
      </c>
      <c r="AC70" s="9">
        <v>3699</v>
      </c>
    </row>
    <row r="71" spans="1:29" s="1" customFormat="1" ht="10.9" customHeight="1" x14ac:dyDescent="0.2">
      <c r="A71" s="3" t="s">
        <v>309</v>
      </c>
      <c r="B71" s="4" t="s">
        <v>310</v>
      </c>
      <c r="C71" s="5" t="s">
        <v>31</v>
      </c>
      <c r="D71" s="6" t="s">
        <v>311</v>
      </c>
      <c r="E71" s="6" t="s">
        <v>33</v>
      </c>
      <c r="F71" s="6" t="s">
        <v>34</v>
      </c>
      <c r="G71" s="6" t="s">
        <v>35</v>
      </c>
      <c r="H71" s="6" t="s">
        <v>177</v>
      </c>
      <c r="I71" s="6" t="s">
        <v>37</v>
      </c>
      <c r="J71" s="6" t="s">
        <v>38</v>
      </c>
      <c r="K71" s="6" t="s">
        <v>39</v>
      </c>
      <c r="L71" s="6" t="s">
        <v>40</v>
      </c>
      <c r="M71" s="6" t="s">
        <v>41</v>
      </c>
      <c r="N71" s="6" t="s">
        <v>60</v>
      </c>
      <c r="O71" s="4" t="s">
        <v>43</v>
      </c>
      <c r="P71" s="6" t="s">
        <v>44</v>
      </c>
      <c r="Q71" s="4" t="s">
        <v>312</v>
      </c>
      <c r="R71" s="6"/>
      <c r="S71" s="6" t="s">
        <v>46</v>
      </c>
      <c r="T71" s="7">
        <v>4.45E-3</v>
      </c>
      <c r="U71" s="7">
        <v>8.2000000000000003E-2</v>
      </c>
      <c r="V71" s="4" t="s">
        <v>313</v>
      </c>
      <c r="W71" s="8">
        <v>990038405338</v>
      </c>
      <c r="X71" s="8">
        <v>194090405576</v>
      </c>
      <c r="Y71" s="6"/>
      <c r="Z71" s="4" t="s">
        <v>68</v>
      </c>
      <c r="AA71" s="3"/>
      <c r="AB71" s="9">
        <v>1871.42</v>
      </c>
      <c r="AC71" s="9">
        <v>3199</v>
      </c>
    </row>
    <row r="72" spans="1:29" s="1" customFormat="1" ht="10.9" customHeight="1" x14ac:dyDescent="0.2">
      <c r="A72" s="3" t="s">
        <v>314</v>
      </c>
      <c r="B72" s="4" t="s">
        <v>315</v>
      </c>
      <c r="C72" s="5" t="s">
        <v>31</v>
      </c>
      <c r="D72" s="6" t="s">
        <v>316</v>
      </c>
      <c r="E72" s="6" t="s">
        <v>33</v>
      </c>
      <c r="F72" s="6" t="s">
        <v>34</v>
      </c>
      <c r="G72" s="6" t="s">
        <v>35</v>
      </c>
      <c r="H72" s="6" t="s">
        <v>115</v>
      </c>
      <c r="I72" s="6" t="s">
        <v>37</v>
      </c>
      <c r="J72" s="6" t="s">
        <v>38</v>
      </c>
      <c r="K72" s="6" t="s">
        <v>39</v>
      </c>
      <c r="L72" s="6" t="s">
        <v>40</v>
      </c>
      <c r="M72" s="6" t="s">
        <v>41</v>
      </c>
      <c r="N72" s="6" t="s">
        <v>60</v>
      </c>
      <c r="O72" s="4" t="s">
        <v>43</v>
      </c>
      <c r="P72" s="6" t="s">
        <v>44</v>
      </c>
      <c r="Q72" s="4" t="s">
        <v>45</v>
      </c>
      <c r="R72" s="6"/>
      <c r="S72" s="6" t="s">
        <v>46</v>
      </c>
      <c r="T72" s="7">
        <v>4.1599999999999996E-3</v>
      </c>
      <c r="U72" s="7">
        <v>0.1</v>
      </c>
      <c r="V72" s="4" t="s">
        <v>317</v>
      </c>
      <c r="W72" s="8">
        <v>990038406168</v>
      </c>
      <c r="X72" s="8">
        <v>190843368587</v>
      </c>
      <c r="Y72" s="6"/>
      <c r="Z72" s="4" t="s">
        <v>48</v>
      </c>
      <c r="AA72" s="3"/>
      <c r="AB72" s="9">
        <v>1520.42</v>
      </c>
      <c r="AC72" s="9">
        <v>2599</v>
      </c>
    </row>
    <row r="73" spans="1:29" s="1" customFormat="1" ht="10.9" customHeight="1" x14ac:dyDescent="0.2">
      <c r="A73" s="3" t="s">
        <v>318</v>
      </c>
      <c r="B73" s="4" t="s">
        <v>319</v>
      </c>
      <c r="C73" s="5" t="s">
        <v>73</v>
      </c>
      <c r="D73" s="6" t="s">
        <v>320</v>
      </c>
      <c r="E73" s="6" t="s">
        <v>33</v>
      </c>
      <c r="F73" s="6" t="s">
        <v>34</v>
      </c>
      <c r="G73" s="6" t="s">
        <v>35</v>
      </c>
      <c r="H73" s="6" t="s">
        <v>122</v>
      </c>
      <c r="I73" s="6" t="s">
        <v>37</v>
      </c>
      <c r="J73" s="6" t="s">
        <v>38</v>
      </c>
      <c r="K73" s="6" t="s">
        <v>39</v>
      </c>
      <c r="L73" s="6" t="s">
        <v>107</v>
      </c>
      <c r="M73" s="6" t="s">
        <v>59</v>
      </c>
      <c r="N73" s="6" t="s">
        <v>149</v>
      </c>
      <c r="O73" s="4" t="s">
        <v>43</v>
      </c>
      <c r="P73" s="6" t="s">
        <v>81</v>
      </c>
      <c r="Q73" s="4" t="s">
        <v>321</v>
      </c>
      <c r="R73" s="6"/>
      <c r="S73" s="6" t="s">
        <v>46</v>
      </c>
      <c r="T73" s="7">
        <v>4.4099999999999999E-3</v>
      </c>
      <c r="U73" s="7">
        <v>0.1</v>
      </c>
      <c r="V73" s="4" t="s">
        <v>322</v>
      </c>
      <c r="W73" s="8">
        <v>990039903734</v>
      </c>
      <c r="X73" s="8">
        <v>884991205916</v>
      </c>
      <c r="Y73" s="6"/>
      <c r="Z73" s="4" t="s">
        <v>48</v>
      </c>
      <c r="AA73" s="11">
        <v>1</v>
      </c>
      <c r="AB73" s="9">
        <v>1695.92</v>
      </c>
      <c r="AC73" s="9">
        <v>2899</v>
      </c>
    </row>
    <row r="74" spans="1:29" s="1" customFormat="1" ht="10.9" customHeight="1" x14ac:dyDescent="0.2">
      <c r="A74" s="3" t="s">
        <v>323</v>
      </c>
      <c r="B74" s="4" t="s">
        <v>324</v>
      </c>
      <c r="C74" s="5" t="s">
        <v>31</v>
      </c>
      <c r="D74" s="6" t="s">
        <v>325</v>
      </c>
      <c r="E74" s="6" t="s">
        <v>33</v>
      </c>
      <c r="F74" s="6" t="s">
        <v>34</v>
      </c>
      <c r="G74" s="6" t="s">
        <v>35</v>
      </c>
      <c r="H74" s="6" t="s">
        <v>238</v>
      </c>
      <c r="I74" s="6" t="s">
        <v>37</v>
      </c>
      <c r="J74" s="6" t="s">
        <v>38</v>
      </c>
      <c r="K74" s="6" t="s">
        <v>39</v>
      </c>
      <c r="L74" s="6" t="s">
        <v>107</v>
      </c>
      <c r="M74" s="6" t="s">
        <v>59</v>
      </c>
      <c r="N74" s="6" t="s">
        <v>149</v>
      </c>
      <c r="O74" s="4" t="s">
        <v>43</v>
      </c>
      <c r="P74" s="6" t="s">
        <v>44</v>
      </c>
      <c r="Q74" s="4" t="s">
        <v>45</v>
      </c>
      <c r="R74" s="6"/>
      <c r="S74" s="6" t="s">
        <v>46</v>
      </c>
      <c r="T74" s="7">
        <v>5.7999999999999996E-3</v>
      </c>
      <c r="U74" s="7">
        <v>0.1</v>
      </c>
      <c r="V74" s="4" t="s">
        <v>326</v>
      </c>
      <c r="W74" s="8">
        <v>990038406175</v>
      </c>
      <c r="X74" s="8">
        <v>884991487145</v>
      </c>
      <c r="Y74" s="6"/>
      <c r="Z74" s="4" t="s">
        <v>142</v>
      </c>
      <c r="AA74" s="3"/>
      <c r="AB74" s="9">
        <v>1520.42</v>
      </c>
      <c r="AC74" s="9">
        <v>2599</v>
      </c>
    </row>
    <row r="75" spans="1:29" s="1" customFormat="1" ht="10.9" customHeight="1" x14ac:dyDescent="0.2">
      <c r="A75" s="3" t="s">
        <v>327</v>
      </c>
      <c r="B75" s="4" t="s">
        <v>328</v>
      </c>
      <c r="C75" s="5" t="s">
        <v>31</v>
      </c>
      <c r="D75" s="6" t="s">
        <v>329</v>
      </c>
      <c r="E75" s="6" t="s">
        <v>33</v>
      </c>
      <c r="F75" s="6" t="s">
        <v>34</v>
      </c>
      <c r="G75" s="6" t="s">
        <v>35</v>
      </c>
      <c r="H75" s="6" t="s">
        <v>177</v>
      </c>
      <c r="I75" s="6" t="s">
        <v>37</v>
      </c>
      <c r="J75" s="6" t="s">
        <v>38</v>
      </c>
      <c r="K75" s="6" t="s">
        <v>39</v>
      </c>
      <c r="L75" s="6" t="s">
        <v>40</v>
      </c>
      <c r="M75" s="6" t="s">
        <v>41</v>
      </c>
      <c r="N75" s="6" t="s">
        <v>149</v>
      </c>
      <c r="O75" s="4" t="s">
        <v>43</v>
      </c>
      <c r="P75" s="6" t="s">
        <v>44</v>
      </c>
      <c r="Q75" s="4" t="s">
        <v>45</v>
      </c>
      <c r="R75" s="6"/>
      <c r="S75" s="6" t="s">
        <v>46</v>
      </c>
      <c r="T75" s="7">
        <v>4.79E-3</v>
      </c>
      <c r="U75" s="7">
        <v>0.1</v>
      </c>
      <c r="V75" s="4" t="s">
        <v>330</v>
      </c>
      <c r="W75" s="8">
        <v>990038406182</v>
      </c>
      <c r="X75" s="8">
        <v>191322456672</v>
      </c>
      <c r="Y75" s="6"/>
      <c r="Z75" s="4" t="s">
        <v>48</v>
      </c>
      <c r="AA75" s="3"/>
      <c r="AB75" s="9">
        <v>1520.42</v>
      </c>
      <c r="AC75" s="9">
        <v>2599</v>
      </c>
    </row>
    <row r="76" spans="1:29" s="1" customFormat="1" ht="10.9" customHeight="1" x14ac:dyDescent="0.2">
      <c r="A76" s="3" t="s">
        <v>331</v>
      </c>
      <c r="B76" s="4" t="s">
        <v>332</v>
      </c>
      <c r="C76" s="5" t="s">
        <v>31</v>
      </c>
      <c r="D76" s="6" t="s">
        <v>333</v>
      </c>
      <c r="E76" s="6" t="s">
        <v>33</v>
      </c>
      <c r="F76" s="6" t="s">
        <v>34</v>
      </c>
      <c r="G76" s="6" t="s">
        <v>35</v>
      </c>
      <c r="H76" s="6" t="s">
        <v>305</v>
      </c>
      <c r="I76" s="6" t="s">
        <v>37</v>
      </c>
      <c r="J76" s="6" t="s">
        <v>38</v>
      </c>
      <c r="K76" s="6" t="s">
        <v>39</v>
      </c>
      <c r="L76" s="6" t="s">
        <v>58</v>
      </c>
      <c r="M76" s="6" t="s">
        <v>59</v>
      </c>
      <c r="N76" s="6" t="s">
        <v>42</v>
      </c>
      <c r="O76" s="4" t="s">
        <v>43</v>
      </c>
      <c r="P76" s="6" t="s">
        <v>44</v>
      </c>
      <c r="Q76" s="4" t="s">
        <v>45</v>
      </c>
      <c r="R76" s="6"/>
      <c r="S76" s="6" t="s">
        <v>46</v>
      </c>
      <c r="T76" s="7">
        <v>5.4000000000000003E-3</v>
      </c>
      <c r="U76" s="7">
        <v>0.1</v>
      </c>
      <c r="V76" s="4" t="s">
        <v>334</v>
      </c>
      <c r="W76" s="8">
        <v>990038406199</v>
      </c>
      <c r="X76" s="8">
        <v>192524494370</v>
      </c>
      <c r="Y76" s="6"/>
      <c r="Z76" s="4" t="s">
        <v>48</v>
      </c>
      <c r="AA76" s="3"/>
      <c r="AB76" s="9">
        <v>1520.42</v>
      </c>
      <c r="AC76" s="9">
        <v>2599</v>
      </c>
    </row>
    <row r="77" spans="1:29" s="1" customFormat="1" ht="10.9" customHeight="1" x14ac:dyDescent="0.2">
      <c r="A77" s="3" t="s">
        <v>335</v>
      </c>
      <c r="B77" s="4" t="s">
        <v>336</v>
      </c>
      <c r="C77" s="5" t="s">
        <v>31</v>
      </c>
      <c r="D77" s="6" t="s">
        <v>337</v>
      </c>
      <c r="E77" s="6" t="s">
        <v>33</v>
      </c>
      <c r="F77" s="6" t="s">
        <v>34</v>
      </c>
      <c r="G77" s="6" t="s">
        <v>35</v>
      </c>
      <c r="H77" s="6" t="s">
        <v>80</v>
      </c>
      <c r="I77" s="6" t="s">
        <v>37</v>
      </c>
      <c r="J77" s="6" t="s">
        <v>38</v>
      </c>
      <c r="K77" s="6" t="s">
        <v>39</v>
      </c>
      <c r="L77" s="6" t="s">
        <v>40</v>
      </c>
      <c r="M77" s="6" t="s">
        <v>41</v>
      </c>
      <c r="N77" s="6" t="s">
        <v>42</v>
      </c>
      <c r="O77" s="4" t="s">
        <v>43</v>
      </c>
      <c r="P77" s="6" t="s">
        <v>44</v>
      </c>
      <c r="Q77" s="4" t="s">
        <v>45</v>
      </c>
      <c r="R77" s="6"/>
      <c r="S77" s="6" t="s">
        <v>46</v>
      </c>
      <c r="T77" s="7">
        <v>4.1000000000000003E-3</v>
      </c>
      <c r="U77" s="7">
        <v>0.1</v>
      </c>
      <c r="V77" s="4" t="s">
        <v>338</v>
      </c>
      <c r="W77" s="8">
        <v>990038406052</v>
      </c>
      <c r="X77" s="8">
        <v>192524494387</v>
      </c>
      <c r="Y77" s="6"/>
      <c r="Z77" s="4" t="s">
        <v>48</v>
      </c>
      <c r="AA77" s="3"/>
      <c r="AB77" s="9">
        <v>1520.42</v>
      </c>
      <c r="AC77" s="9">
        <v>2599</v>
      </c>
    </row>
    <row r="78" spans="1:29" s="1" customFormat="1" ht="10.9" customHeight="1" x14ac:dyDescent="0.2">
      <c r="A78" s="3" t="s">
        <v>339</v>
      </c>
      <c r="B78" s="4" t="s">
        <v>340</v>
      </c>
      <c r="C78" s="5" t="s">
        <v>73</v>
      </c>
      <c r="D78" s="6" t="s">
        <v>341</v>
      </c>
      <c r="E78" s="6" t="s">
        <v>33</v>
      </c>
      <c r="F78" s="6" t="s">
        <v>34</v>
      </c>
      <c r="G78" s="6" t="s">
        <v>35</v>
      </c>
      <c r="H78" s="6" t="s">
        <v>342</v>
      </c>
      <c r="I78" s="6" t="s">
        <v>37</v>
      </c>
      <c r="J78" s="6" t="s">
        <v>38</v>
      </c>
      <c r="K78" s="6" t="s">
        <v>39</v>
      </c>
      <c r="L78" s="6" t="s">
        <v>58</v>
      </c>
      <c r="M78" s="6" t="s">
        <v>59</v>
      </c>
      <c r="N78" s="6" t="s">
        <v>42</v>
      </c>
      <c r="O78" s="4" t="s">
        <v>43</v>
      </c>
      <c r="P78" s="6" t="s">
        <v>44</v>
      </c>
      <c r="Q78" s="4" t="s">
        <v>75</v>
      </c>
      <c r="R78" s="6"/>
      <c r="S78" s="6" t="s">
        <v>46</v>
      </c>
      <c r="T78" s="7">
        <v>5.9199999999999999E-3</v>
      </c>
      <c r="U78" s="7">
        <v>0.1</v>
      </c>
      <c r="V78" s="4" t="s">
        <v>343</v>
      </c>
      <c r="W78" s="8">
        <v>990038406519</v>
      </c>
      <c r="X78" s="8">
        <v>719106169435</v>
      </c>
      <c r="Y78" s="6"/>
      <c r="Z78" s="4" t="s">
        <v>48</v>
      </c>
      <c r="AA78" s="3"/>
      <c r="AB78" s="9">
        <v>1695.92</v>
      </c>
      <c r="AC78" s="9">
        <v>2899</v>
      </c>
    </row>
    <row r="79" spans="1:29" s="1" customFormat="1" ht="10.9" customHeight="1" x14ac:dyDescent="0.2">
      <c r="A79" s="3" t="s">
        <v>344</v>
      </c>
      <c r="B79" s="4" t="s">
        <v>345</v>
      </c>
      <c r="C79" s="5" t="s">
        <v>73</v>
      </c>
      <c r="D79" s="6" t="s">
        <v>346</v>
      </c>
      <c r="E79" s="6" t="s">
        <v>33</v>
      </c>
      <c r="F79" s="6" t="s">
        <v>34</v>
      </c>
      <c r="G79" s="6" t="s">
        <v>35</v>
      </c>
      <c r="H79" s="6" t="s">
        <v>52</v>
      </c>
      <c r="I79" s="6" t="s">
        <v>37</v>
      </c>
      <c r="J79" s="6" t="s">
        <v>38</v>
      </c>
      <c r="K79" s="6" t="s">
        <v>39</v>
      </c>
      <c r="L79" s="6" t="s">
        <v>40</v>
      </c>
      <c r="M79" s="6" t="s">
        <v>41</v>
      </c>
      <c r="N79" s="6" t="s">
        <v>60</v>
      </c>
      <c r="O79" s="4" t="s">
        <v>43</v>
      </c>
      <c r="P79" s="6" t="s">
        <v>44</v>
      </c>
      <c r="Q79" s="4" t="s">
        <v>75</v>
      </c>
      <c r="R79" s="6"/>
      <c r="S79" s="6" t="s">
        <v>46</v>
      </c>
      <c r="T79" s="7">
        <v>6.2100000000000002E-3</v>
      </c>
      <c r="U79" s="7">
        <v>0.1</v>
      </c>
      <c r="V79" s="4" t="s">
        <v>347</v>
      </c>
      <c r="W79" s="8">
        <v>990038406533</v>
      </c>
      <c r="X79" s="8">
        <v>719106169633</v>
      </c>
      <c r="Y79" s="6"/>
      <c r="Z79" s="4" t="s">
        <v>48</v>
      </c>
      <c r="AA79" s="3"/>
      <c r="AB79" s="9">
        <v>1695.92</v>
      </c>
      <c r="AC79" s="9">
        <v>2899</v>
      </c>
    </row>
    <row r="80" spans="1:29" s="1" customFormat="1" ht="10.9" customHeight="1" x14ac:dyDescent="0.2">
      <c r="A80" s="3" t="s">
        <v>348</v>
      </c>
      <c r="B80" s="4" t="s">
        <v>349</v>
      </c>
      <c r="C80" s="5" t="s">
        <v>73</v>
      </c>
      <c r="D80" s="6" t="s">
        <v>350</v>
      </c>
      <c r="E80" s="6" t="s">
        <v>33</v>
      </c>
      <c r="F80" s="6" t="s">
        <v>34</v>
      </c>
      <c r="G80" s="6" t="s">
        <v>35</v>
      </c>
      <c r="H80" s="6" t="s">
        <v>342</v>
      </c>
      <c r="I80" s="6" t="s">
        <v>37</v>
      </c>
      <c r="J80" s="6" t="s">
        <v>38</v>
      </c>
      <c r="K80" s="6" t="s">
        <v>39</v>
      </c>
      <c r="L80" s="6" t="s">
        <v>40</v>
      </c>
      <c r="M80" s="6" t="s">
        <v>41</v>
      </c>
      <c r="N80" s="6" t="s">
        <v>60</v>
      </c>
      <c r="O80" s="4" t="s">
        <v>43</v>
      </c>
      <c r="P80" s="6" t="s">
        <v>44</v>
      </c>
      <c r="Q80" s="4" t="s">
        <v>75</v>
      </c>
      <c r="R80" s="6"/>
      <c r="S80" s="6" t="s">
        <v>46</v>
      </c>
      <c r="T80" s="7">
        <v>5.8199999999999997E-3</v>
      </c>
      <c r="U80" s="7">
        <v>0.1</v>
      </c>
      <c r="V80" s="4" t="s">
        <v>351</v>
      </c>
      <c r="W80" s="8">
        <v>990038406496</v>
      </c>
      <c r="X80" s="8">
        <v>719106169725</v>
      </c>
      <c r="Y80" s="6"/>
      <c r="Z80" s="4" t="s">
        <v>48</v>
      </c>
      <c r="AA80" s="3"/>
      <c r="AB80" s="9">
        <v>1695.92</v>
      </c>
      <c r="AC80" s="9">
        <v>2899</v>
      </c>
    </row>
    <row r="81" spans="1:29" s="1" customFormat="1" ht="10.9" customHeight="1" x14ac:dyDescent="0.2">
      <c r="A81" s="3" t="s">
        <v>352</v>
      </c>
      <c r="B81" s="4" t="s">
        <v>353</v>
      </c>
      <c r="C81" s="5" t="s">
        <v>73</v>
      </c>
      <c r="D81" s="6" t="s">
        <v>354</v>
      </c>
      <c r="E81" s="6" t="s">
        <v>33</v>
      </c>
      <c r="F81" s="6" t="s">
        <v>34</v>
      </c>
      <c r="G81" s="6" t="s">
        <v>35</v>
      </c>
      <c r="H81" s="6" t="s">
        <v>355</v>
      </c>
      <c r="I81" s="6" t="s">
        <v>37</v>
      </c>
      <c r="J81" s="6" t="s">
        <v>38</v>
      </c>
      <c r="K81" s="6" t="s">
        <v>39</v>
      </c>
      <c r="L81" s="6" t="s">
        <v>107</v>
      </c>
      <c r="M81" s="6" t="s">
        <v>59</v>
      </c>
      <c r="N81" s="6" t="s">
        <v>60</v>
      </c>
      <c r="O81" s="4" t="s">
        <v>43</v>
      </c>
      <c r="P81" s="6" t="s">
        <v>44</v>
      </c>
      <c r="Q81" s="4" t="s">
        <v>75</v>
      </c>
      <c r="R81" s="6"/>
      <c r="S81" s="6" t="s">
        <v>46</v>
      </c>
      <c r="T81" s="7">
        <v>5.1700000000000001E-3</v>
      </c>
      <c r="U81" s="7">
        <v>0.1</v>
      </c>
      <c r="V81" s="4" t="s">
        <v>356</v>
      </c>
      <c r="W81" s="8">
        <v>990038406564</v>
      </c>
      <c r="X81" s="8">
        <v>719106169732</v>
      </c>
      <c r="Y81" s="6"/>
      <c r="Z81" s="4" t="s">
        <v>48</v>
      </c>
      <c r="AA81" s="3"/>
      <c r="AB81" s="9">
        <v>1695.92</v>
      </c>
      <c r="AC81" s="9">
        <v>2899</v>
      </c>
    </row>
    <row r="82" spans="1:29" s="1" customFormat="1" ht="10.9" customHeight="1" x14ac:dyDescent="0.2">
      <c r="A82" s="3" t="s">
        <v>357</v>
      </c>
      <c r="B82" s="4" t="s">
        <v>358</v>
      </c>
      <c r="C82" s="5" t="s">
        <v>73</v>
      </c>
      <c r="D82" s="6" t="s">
        <v>359</v>
      </c>
      <c r="E82" s="6" t="s">
        <v>33</v>
      </c>
      <c r="F82" s="6" t="s">
        <v>34</v>
      </c>
      <c r="G82" s="6" t="s">
        <v>35</v>
      </c>
      <c r="H82" s="6" t="s">
        <v>342</v>
      </c>
      <c r="I82" s="6" t="s">
        <v>37</v>
      </c>
      <c r="J82" s="6" t="s">
        <v>38</v>
      </c>
      <c r="K82" s="6" t="s">
        <v>39</v>
      </c>
      <c r="L82" s="6" t="s">
        <v>40</v>
      </c>
      <c r="M82" s="6" t="s">
        <v>123</v>
      </c>
      <c r="N82" s="6" t="s">
        <v>60</v>
      </c>
      <c r="O82" s="4" t="s">
        <v>43</v>
      </c>
      <c r="P82" s="6" t="s">
        <v>44</v>
      </c>
      <c r="Q82" s="4" t="s">
        <v>75</v>
      </c>
      <c r="R82" s="6"/>
      <c r="S82" s="6" t="s">
        <v>46</v>
      </c>
      <c r="T82" s="7">
        <v>4.9699999999999996E-3</v>
      </c>
      <c r="U82" s="7">
        <v>0.1</v>
      </c>
      <c r="V82" s="4"/>
      <c r="W82" s="8">
        <v>990038406885</v>
      </c>
      <c r="X82" s="8">
        <v>192092938177</v>
      </c>
      <c r="Y82" s="6"/>
      <c r="Z82" s="4" t="s">
        <v>48</v>
      </c>
      <c r="AA82" s="3"/>
      <c r="AB82" s="9">
        <v>1695.92</v>
      </c>
      <c r="AC82" s="9">
        <v>2899</v>
      </c>
    </row>
    <row r="83" spans="1:29" s="1" customFormat="1" ht="10.9" customHeight="1" x14ac:dyDescent="0.2">
      <c r="A83" s="3" t="s">
        <v>360</v>
      </c>
      <c r="B83" s="4" t="s">
        <v>361</v>
      </c>
      <c r="C83" s="5" t="s">
        <v>31</v>
      </c>
      <c r="D83" s="6" t="s">
        <v>362</v>
      </c>
      <c r="E83" s="6" t="s">
        <v>33</v>
      </c>
      <c r="F83" s="6" t="s">
        <v>34</v>
      </c>
      <c r="G83" s="6" t="s">
        <v>35</v>
      </c>
      <c r="H83" s="6" t="s">
        <v>122</v>
      </c>
      <c r="I83" s="6" t="s">
        <v>37</v>
      </c>
      <c r="J83" s="6" t="s">
        <v>38</v>
      </c>
      <c r="K83" s="6" t="s">
        <v>39</v>
      </c>
      <c r="L83" s="6" t="s">
        <v>40</v>
      </c>
      <c r="M83" s="6" t="s">
        <v>123</v>
      </c>
      <c r="N83" s="6" t="s">
        <v>60</v>
      </c>
      <c r="O83" s="4" t="s">
        <v>43</v>
      </c>
      <c r="P83" s="6" t="s">
        <v>44</v>
      </c>
      <c r="Q83" s="4" t="s">
        <v>363</v>
      </c>
      <c r="R83" s="6"/>
      <c r="S83" s="6" t="s">
        <v>46</v>
      </c>
      <c r="T83" s="7">
        <v>3.8600000000000001E-3</v>
      </c>
      <c r="U83" s="7">
        <v>0.1</v>
      </c>
      <c r="V83" s="4" t="s">
        <v>364</v>
      </c>
      <c r="W83" s="8">
        <v>990038406922</v>
      </c>
      <c r="X83" s="8">
        <v>193648625183</v>
      </c>
      <c r="Y83" s="6"/>
      <c r="Z83" s="4" t="s">
        <v>48</v>
      </c>
      <c r="AA83" s="3"/>
      <c r="AB83" s="9">
        <v>1520.42</v>
      </c>
      <c r="AC83" s="9">
        <v>2599</v>
      </c>
    </row>
    <row r="84" spans="1:29" s="1" customFormat="1" ht="10.9" customHeight="1" x14ac:dyDescent="0.2">
      <c r="A84" s="3" t="s">
        <v>365</v>
      </c>
      <c r="B84" s="4" t="s">
        <v>366</v>
      </c>
      <c r="C84" s="5" t="s">
        <v>31</v>
      </c>
      <c r="D84" s="6" t="s">
        <v>367</v>
      </c>
      <c r="E84" s="6" t="s">
        <v>33</v>
      </c>
      <c r="F84" s="6" t="s">
        <v>34</v>
      </c>
      <c r="G84" s="6" t="s">
        <v>35</v>
      </c>
      <c r="H84" s="6" t="s">
        <v>115</v>
      </c>
      <c r="I84" s="6" t="s">
        <v>37</v>
      </c>
      <c r="J84" s="6" t="s">
        <v>38</v>
      </c>
      <c r="K84" s="6" t="s">
        <v>39</v>
      </c>
      <c r="L84" s="6" t="s">
        <v>40</v>
      </c>
      <c r="M84" s="6" t="s">
        <v>41</v>
      </c>
      <c r="N84" s="6" t="s">
        <v>60</v>
      </c>
      <c r="O84" s="4" t="s">
        <v>43</v>
      </c>
      <c r="P84" s="6" t="s">
        <v>44</v>
      </c>
      <c r="Q84" s="4" t="s">
        <v>45</v>
      </c>
      <c r="R84" s="6"/>
      <c r="S84" s="6" t="s">
        <v>46</v>
      </c>
      <c r="T84" s="7">
        <v>4.5999999999999999E-3</v>
      </c>
      <c r="U84" s="7">
        <v>0.1</v>
      </c>
      <c r="V84" s="4" t="s">
        <v>368</v>
      </c>
      <c r="W84" s="8">
        <v>990038406274</v>
      </c>
      <c r="X84" s="8">
        <v>193648625206</v>
      </c>
      <c r="Y84" s="6"/>
      <c r="Z84" s="4" t="s">
        <v>48</v>
      </c>
      <c r="AA84" s="3"/>
      <c r="AB84" s="9">
        <v>1520.42</v>
      </c>
      <c r="AC84" s="9">
        <v>2599</v>
      </c>
    </row>
    <row r="85" spans="1:29" s="1" customFormat="1" ht="10.9" customHeight="1" x14ac:dyDescent="0.2">
      <c r="A85" s="3" t="s">
        <v>369</v>
      </c>
      <c r="B85" s="4" t="s">
        <v>370</v>
      </c>
      <c r="C85" s="5" t="s">
        <v>31</v>
      </c>
      <c r="D85" s="6" t="s">
        <v>371</v>
      </c>
      <c r="E85" s="6" t="s">
        <v>33</v>
      </c>
      <c r="F85" s="6" t="s">
        <v>34</v>
      </c>
      <c r="G85" s="6" t="s">
        <v>35</v>
      </c>
      <c r="H85" s="6" t="s">
        <v>122</v>
      </c>
      <c r="I85" s="6" t="s">
        <v>37</v>
      </c>
      <c r="J85" s="6" t="s">
        <v>38</v>
      </c>
      <c r="K85" s="6" t="s">
        <v>39</v>
      </c>
      <c r="L85" s="6" t="s">
        <v>208</v>
      </c>
      <c r="M85" s="6" t="s">
        <v>41</v>
      </c>
      <c r="N85" s="6" t="s">
        <v>60</v>
      </c>
      <c r="O85" s="4" t="s">
        <v>43</v>
      </c>
      <c r="P85" s="6" t="s">
        <v>44</v>
      </c>
      <c r="Q85" s="4" t="s">
        <v>312</v>
      </c>
      <c r="R85" s="6"/>
      <c r="S85" s="6" t="s">
        <v>46</v>
      </c>
      <c r="T85" s="7">
        <v>3.9899999999999996E-3</v>
      </c>
      <c r="U85" s="7">
        <v>9.5000000000000001E-2</v>
      </c>
      <c r="V85" s="4" t="s">
        <v>372</v>
      </c>
      <c r="W85" s="8">
        <v>990042077576</v>
      </c>
      <c r="X85" s="8">
        <v>195132037786</v>
      </c>
      <c r="Y85" s="6"/>
      <c r="Z85" s="4" t="s">
        <v>142</v>
      </c>
      <c r="AA85" s="11">
        <v>891</v>
      </c>
      <c r="AB85" s="9">
        <v>1520.42</v>
      </c>
      <c r="AC85" s="9">
        <v>2599</v>
      </c>
    </row>
    <row r="86" spans="1:29" s="1" customFormat="1" ht="10.9" customHeight="1" x14ac:dyDescent="0.2">
      <c r="A86" s="3" t="s">
        <v>373</v>
      </c>
      <c r="B86" s="4" t="s">
        <v>374</v>
      </c>
      <c r="C86" s="5" t="s">
        <v>31</v>
      </c>
      <c r="D86" s="6" t="s">
        <v>375</v>
      </c>
      <c r="E86" s="6" t="s">
        <v>33</v>
      </c>
      <c r="F86" s="6" t="s">
        <v>34</v>
      </c>
      <c r="G86" s="6" t="s">
        <v>35</v>
      </c>
      <c r="H86" s="6" t="s">
        <v>122</v>
      </c>
      <c r="I86" s="6" t="s">
        <v>37</v>
      </c>
      <c r="J86" s="6" t="s">
        <v>38</v>
      </c>
      <c r="K86" s="6" t="s">
        <v>39</v>
      </c>
      <c r="L86" s="6" t="s">
        <v>40</v>
      </c>
      <c r="M86" s="6" t="s">
        <v>123</v>
      </c>
      <c r="N86" s="6" t="s">
        <v>60</v>
      </c>
      <c r="O86" s="4" t="s">
        <v>43</v>
      </c>
      <c r="P86" s="6" t="s">
        <v>44</v>
      </c>
      <c r="Q86" s="4" t="s">
        <v>168</v>
      </c>
      <c r="R86" s="6"/>
      <c r="S86" s="6" t="s">
        <v>46</v>
      </c>
      <c r="T86" s="7">
        <v>4.7499999999999999E-3</v>
      </c>
      <c r="U86" s="7">
        <v>8.3000000000000004E-2</v>
      </c>
      <c r="V86" s="4" t="s">
        <v>376</v>
      </c>
      <c r="W86" s="8">
        <v>990042078061</v>
      </c>
      <c r="X86" s="8">
        <v>195132036130</v>
      </c>
      <c r="Y86" s="6"/>
      <c r="Z86" s="4" t="s">
        <v>68</v>
      </c>
      <c r="AA86" s="3"/>
      <c r="AB86" s="9">
        <v>1871.42</v>
      </c>
      <c r="AC86" s="9">
        <v>3199</v>
      </c>
    </row>
    <row r="87" spans="1:29" s="1" customFormat="1" ht="10.9" customHeight="1" x14ac:dyDescent="0.2">
      <c r="A87" s="3" t="s">
        <v>377</v>
      </c>
      <c r="B87" s="4" t="s">
        <v>378</v>
      </c>
      <c r="C87" s="5" t="s">
        <v>31</v>
      </c>
      <c r="D87" s="6" t="s">
        <v>379</v>
      </c>
      <c r="E87" s="6" t="s">
        <v>33</v>
      </c>
      <c r="F87" s="6" t="s">
        <v>34</v>
      </c>
      <c r="G87" s="6" t="s">
        <v>35</v>
      </c>
      <c r="H87" s="6" t="s">
        <v>177</v>
      </c>
      <c r="I87" s="6" t="s">
        <v>37</v>
      </c>
      <c r="J87" s="6" t="s">
        <v>38</v>
      </c>
      <c r="K87" s="6" t="s">
        <v>39</v>
      </c>
      <c r="L87" s="6" t="s">
        <v>40</v>
      </c>
      <c r="M87" s="6" t="s">
        <v>41</v>
      </c>
      <c r="N87" s="6" t="s">
        <v>149</v>
      </c>
      <c r="O87" s="4" t="s">
        <v>43</v>
      </c>
      <c r="P87" s="6" t="s">
        <v>44</v>
      </c>
      <c r="Q87" s="4" t="s">
        <v>45</v>
      </c>
      <c r="R87" s="6"/>
      <c r="S87" s="6" t="s">
        <v>46</v>
      </c>
      <c r="T87" s="3"/>
      <c r="U87" s="3"/>
      <c r="V87" s="4"/>
      <c r="W87" s="6"/>
      <c r="X87" s="6"/>
      <c r="Y87" s="6"/>
      <c r="Z87" s="4"/>
      <c r="AA87" s="3"/>
      <c r="AB87" s="9">
        <v>1695.92</v>
      </c>
      <c r="AC87" s="9">
        <v>2899</v>
      </c>
    </row>
    <row r="88" spans="1:29" s="1" customFormat="1" ht="10.9" customHeight="1" x14ac:dyDescent="0.2">
      <c r="A88" s="3" t="s">
        <v>380</v>
      </c>
      <c r="B88" s="4" t="s">
        <v>381</v>
      </c>
      <c r="C88" s="5" t="s">
        <v>31</v>
      </c>
      <c r="D88" s="6" t="s">
        <v>382</v>
      </c>
      <c r="E88" s="6" t="s">
        <v>33</v>
      </c>
      <c r="F88" s="6" t="s">
        <v>34</v>
      </c>
      <c r="G88" s="6" t="s">
        <v>35</v>
      </c>
      <c r="H88" s="6" t="s">
        <v>163</v>
      </c>
      <c r="I88" s="6" t="s">
        <v>37</v>
      </c>
      <c r="J88" s="6" t="s">
        <v>38</v>
      </c>
      <c r="K88" s="6" t="s">
        <v>39</v>
      </c>
      <c r="L88" s="6" t="s">
        <v>40</v>
      </c>
      <c r="M88" s="6" t="s">
        <v>41</v>
      </c>
      <c r="N88" s="6" t="s">
        <v>42</v>
      </c>
      <c r="O88" s="4" t="s">
        <v>43</v>
      </c>
      <c r="P88" s="6" t="s">
        <v>44</v>
      </c>
      <c r="Q88" s="4" t="s">
        <v>45</v>
      </c>
      <c r="R88" s="6"/>
      <c r="S88" s="6" t="s">
        <v>46</v>
      </c>
      <c r="T88" s="3"/>
      <c r="U88" s="3"/>
      <c r="V88" s="4"/>
      <c r="W88" s="6"/>
      <c r="X88" s="6"/>
      <c r="Y88" s="6"/>
      <c r="Z88" s="4"/>
      <c r="AA88" s="3"/>
      <c r="AB88" s="9">
        <v>1695.92</v>
      </c>
      <c r="AC88" s="9">
        <v>2899</v>
      </c>
    </row>
    <row r="89" spans="1:29" s="1" customFormat="1" ht="10.9" customHeight="1" x14ac:dyDescent="0.2">
      <c r="A89" s="3" t="s">
        <v>383</v>
      </c>
      <c r="B89" s="4" t="s">
        <v>384</v>
      </c>
      <c r="C89" s="5" t="s">
        <v>31</v>
      </c>
      <c r="D89" s="6" t="s">
        <v>385</v>
      </c>
      <c r="E89" s="6" t="s">
        <v>33</v>
      </c>
      <c r="F89" s="6" t="s">
        <v>34</v>
      </c>
      <c r="G89" s="6" t="s">
        <v>35</v>
      </c>
      <c r="H89" s="6" t="s">
        <v>386</v>
      </c>
      <c r="I89" s="6" t="s">
        <v>37</v>
      </c>
      <c r="J89" s="6" t="s">
        <v>38</v>
      </c>
      <c r="K89" s="6" t="s">
        <v>39</v>
      </c>
      <c r="L89" s="6" t="s">
        <v>40</v>
      </c>
      <c r="M89" s="6" t="s">
        <v>41</v>
      </c>
      <c r="N89" s="6" t="s">
        <v>149</v>
      </c>
      <c r="O89" s="4" t="s">
        <v>43</v>
      </c>
      <c r="P89" s="6" t="s">
        <v>44</v>
      </c>
      <c r="Q89" s="4" t="s">
        <v>45</v>
      </c>
      <c r="R89" s="6"/>
      <c r="S89" s="6" t="s">
        <v>46</v>
      </c>
      <c r="T89" s="3"/>
      <c r="U89" s="3"/>
      <c r="V89" s="4"/>
      <c r="W89" s="6"/>
      <c r="X89" s="6"/>
      <c r="Y89" s="6"/>
      <c r="Z89" s="4"/>
      <c r="AA89" s="3"/>
      <c r="AB89" s="9">
        <v>1695.92</v>
      </c>
      <c r="AC89" s="9">
        <v>2899</v>
      </c>
    </row>
    <row r="90" spans="1:29" s="1" customFormat="1" ht="10.9" customHeight="1" x14ac:dyDescent="0.2">
      <c r="A90" s="3" t="s">
        <v>387</v>
      </c>
      <c r="B90" s="4" t="s">
        <v>388</v>
      </c>
      <c r="C90" s="5" t="s">
        <v>31</v>
      </c>
      <c r="D90" s="6" t="s">
        <v>389</v>
      </c>
      <c r="E90" s="6" t="s">
        <v>33</v>
      </c>
      <c r="F90" s="6" t="s">
        <v>34</v>
      </c>
      <c r="G90" s="6" t="s">
        <v>35</v>
      </c>
      <c r="H90" s="6" t="s">
        <v>52</v>
      </c>
      <c r="I90" s="6" t="s">
        <v>37</v>
      </c>
      <c r="J90" s="6" t="s">
        <v>38</v>
      </c>
      <c r="K90" s="6" t="s">
        <v>39</v>
      </c>
      <c r="L90" s="6" t="s">
        <v>40</v>
      </c>
      <c r="M90" s="6" t="s">
        <v>41</v>
      </c>
      <c r="N90" s="6" t="s">
        <v>42</v>
      </c>
      <c r="O90" s="4" t="s">
        <v>43</v>
      </c>
      <c r="P90" s="6" t="s">
        <v>44</v>
      </c>
      <c r="Q90" s="4" t="s">
        <v>45</v>
      </c>
      <c r="R90" s="6"/>
      <c r="S90" s="6" t="s">
        <v>46</v>
      </c>
      <c r="T90" s="3"/>
      <c r="U90" s="3"/>
      <c r="V90" s="4"/>
      <c r="W90" s="6"/>
      <c r="X90" s="6"/>
      <c r="Y90" s="6"/>
      <c r="Z90" s="4"/>
      <c r="AA90" s="3"/>
      <c r="AB90" s="9">
        <v>1695.92</v>
      </c>
      <c r="AC90" s="9">
        <v>2899</v>
      </c>
    </row>
    <row r="91" spans="1:29" s="1" customFormat="1" ht="10.9" customHeight="1" x14ac:dyDescent="0.2">
      <c r="A91" s="3" t="s">
        <v>390</v>
      </c>
      <c r="B91" s="4" t="s">
        <v>391</v>
      </c>
      <c r="C91" s="5" t="s">
        <v>73</v>
      </c>
      <c r="D91" s="6" t="s">
        <v>392</v>
      </c>
      <c r="E91" s="6" t="s">
        <v>33</v>
      </c>
      <c r="F91" s="6" t="s">
        <v>34</v>
      </c>
      <c r="G91" s="6" t="s">
        <v>35</v>
      </c>
      <c r="H91" s="6" t="s">
        <v>393</v>
      </c>
      <c r="I91" s="6" t="s">
        <v>37</v>
      </c>
      <c r="J91" s="6" t="s">
        <v>38</v>
      </c>
      <c r="K91" s="6" t="s">
        <v>39</v>
      </c>
      <c r="L91" s="6" t="s">
        <v>40</v>
      </c>
      <c r="M91" s="6" t="s">
        <v>41</v>
      </c>
      <c r="N91" s="6" t="s">
        <v>149</v>
      </c>
      <c r="O91" s="4" t="s">
        <v>43</v>
      </c>
      <c r="P91" s="6" t="s">
        <v>81</v>
      </c>
      <c r="Q91" s="4" t="s">
        <v>75</v>
      </c>
      <c r="R91" s="6"/>
      <c r="S91" s="6" t="s">
        <v>46</v>
      </c>
      <c r="T91" s="3"/>
      <c r="U91" s="3"/>
      <c r="V91" s="4"/>
      <c r="W91" s="6"/>
      <c r="X91" s="6"/>
      <c r="Y91" s="6"/>
      <c r="Z91" s="4"/>
      <c r="AA91" s="3"/>
      <c r="AB91" s="9">
        <v>1695.92</v>
      </c>
      <c r="AC91" s="9">
        <v>2899</v>
      </c>
    </row>
    <row r="92" spans="1:29" s="1" customFormat="1" ht="10.9" customHeight="1" x14ac:dyDescent="0.2">
      <c r="A92" s="3" t="s">
        <v>394</v>
      </c>
      <c r="B92" s="4" t="s">
        <v>395</v>
      </c>
      <c r="C92" s="5" t="s">
        <v>73</v>
      </c>
      <c r="D92" s="6" t="s">
        <v>396</v>
      </c>
      <c r="E92" s="6" t="s">
        <v>33</v>
      </c>
      <c r="F92" s="6" t="s">
        <v>34</v>
      </c>
      <c r="G92" s="6" t="s">
        <v>35</v>
      </c>
      <c r="H92" s="6" t="s">
        <v>177</v>
      </c>
      <c r="I92" s="6" t="s">
        <v>37</v>
      </c>
      <c r="J92" s="6" t="s">
        <v>38</v>
      </c>
      <c r="K92" s="6" t="s">
        <v>39</v>
      </c>
      <c r="L92" s="6" t="s">
        <v>40</v>
      </c>
      <c r="M92" s="6" t="s">
        <v>41</v>
      </c>
      <c r="N92" s="6" t="s">
        <v>149</v>
      </c>
      <c r="O92" s="4" t="s">
        <v>43</v>
      </c>
      <c r="P92" s="6" t="s">
        <v>81</v>
      </c>
      <c r="Q92" s="4" t="s">
        <v>75</v>
      </c>
      <c r="R92" s="6"/>
      <c r="S92" s="6" t="s">
        <v>46</v>
      </c>
      <c r="T92" s="3"/>
      <c r="U92" s="3"/>
      <c r="V92" s="4"/>
      <c r="W92" s="6"/>
      <c r="X92" s="6"/>
      <c r="Y92" s="6"/>
      <c r="Z92" s="4"/>
      <c r="AA92" s="3"/>
      <c r="AB92" s="9">
        <v>1988.42</v>
      </c>
      <c r="AC92" s="9">
        <v>3399</v>
      </c>
    </row>
    <row r="93" spans="1:29" s="1" customFormat="1" ht="10.9" customHeight="1" x14ac:dyDescent="0.2">
      <c r="A93" s="3" t="s">
        <v>397</v>
      </c>
      <c r="B93" s="4" t="s">
        <v>398</v>
      </c>
      <c r="C93" s="5" t="s">
        <v>31</v>
      </c>
      <c r="D93" s="6" t="s">
        <v>399</v>
      </c>
      <c r="E93" s="6" t="s">
        <v>33</v>
      </c>
      <c r="F93" s="6" t="s">
        <v>34</v>
      </c>
      <c r="G93" s="6" t="s">
        <v>35</v>
      </c>
      <c r="H93" s="6" t="s">
        <v>393</v>
      </c>
      <c r="I93" s="6" t="s">
        <v>37</v>
      </c>
      <c r="J93" s="6" t="s">
        <v>38</v>
      </c>
      <c r="K93" s="6" t="s">
        <v>39</v>
      </c>
      <c r="L93" s="6" t="s">
        <v>40</v>
      </c>
      <c r="M93" s="6" t="s">
        <v>41</v>
      </c>
      <c r="N93" s="6" t="s">
        <v>149</v>
      </c>
      <c r="O93" s="4" t="s">
        <v>43</v>
      </c>
      <c r="P93" s="6" t="s">
        <v>44</v>
      </c>
      <c r="Q93" s="4" t="s">
        <v>45</v>
      </c>
      <c r="R93" s="6"/>
      <c r="S93" s="6" t="s">
        <v>46</v>
      </c>
      <c r="T93" s="3"/>
      <c r="U93" s="3"/>
      <c r="V93" s="4"/>
      <c r="W93" s="6"/>
      <c r="X93" s="6"/>
      <c r="Y93" s="6"/>
      <c r="Z93" s="4"/>
      <c r="AA93" s="3"/>
      <c r="AB93" s="9">
        <v>1871.42</v>
      </c>
      <c r="AC93" s="9">
        <v>3199</v>
      </c>
    </row>
    <row r="94" spans="1:29" s="1" customFormat="1" ht="10.9" customHeight="1" x14ac:dyDescent="0.2">
      <c r="A94" s="3" t="s">
        <v>400</v>
      </c>
      <c r="B94" s="4" t="s">
        <v>401</v>
      </c>
      <c r="C94" s="5" t="s">
        <v>31</v>
      </c>
      <c r="D94" s="6" t="s">
        <v>402</v>
      </c>
      <c r="E94" s="6" t="s">
        <v>33</v>
      </c>
      <c r="F94" s="6" t="s">
        <v>34</v>
      </c>
      <c r="G94" s="6" t="s">
        <v>35</v>
      </c>
      <c r="H94" s="6" t="s">
        <v>122</v>
      </c>
      <c r="I94" s="6" t="s">
        <v>37</v>
      </c>
      <c r="J94" s="6" t="s">
        <v>38</v>
      </c>
      <c r="K94" s="6" t="s">
        <v>39</v>
      </c>
      <c r="L94" s="6" t="s">
        <v>40</v>
      </c>
      <c r="M94" s="6" t="s">
        <v>41</v>
      </c>
      <c r="N94" s="6" t="s">
        <v>149</v>
      </c>
      <c r="O94" s="4" t="s">
        <v>43</v>
      </c>
      <c r="P94" s="6" t="s">
        <v>44</v>
      </c>
      <c r="Q94" s="4" t="s">
        <v>45</v>
      </c>
      <c r="R94" s="6"/>
      <c r="S94" s="6" t="s">
        <v>46</v>
      </c>
      <c r="T94" s="3"/>
      <c r="U94" s="3"/>
      <c r="V94" s="4"/>
      <c r="W94" s="6"/>
      <c r="X94" s="6"/>
      <c r="Y94" s="6"/>
      <c r="Z94" s="4"/>
      <c r="AA94" s="3"/>
      <c r="AB94" s="9">
        <v>1871.42</v>
      </c>
      <c r="AC94" s="9">
        <v>3199</v>
      </c>
    </row>
    <row r="95" spans="1:29" s="1" customFormat="1" ht="10.9" customHeight="1" x14ac:dyDescent="0.2">
      <c r="A95" s="3" t="s">
        <v>403</v>
      </c>
      <c r="B95" s="4" t="s">
        <v>404</v>
      </c>
      <c r="C95" s="5" t="s">
        <v>31</v>
      </c>
      <c r="D95" s="6" t="s">
        <v>405</v>
      </c>
      <c r="E95" s="6" t="s">
        <v>33</v>
      </c>
      <c r="F95" s="6" t="s">
        <v>34</v>
      </c>
      <c r="G95" s="6" t="s">
        <v>35</v>
      </c>
      <c r="H95" s="6" t="s">
        <v>36</v>
      </c>
      <c r="I95" s="6" t="s">
        <v>37</v>
      </c>
      <c r="J95" s="6" t="s">
        <v>38</v>
      </c>
      <c r="K95" s="6" t="s">
        <v>39</v>
      </c>
      <c r="L95" s="6" t="s">
        <v>40</v>
      </c>
      <c r="M95" s="6" t="s">
        <v>41</v>
      </c>
      <c r="N95" s="6" t="s">
        <v>60</v>
      </c>
      <c r="O95" s="4" t="s">
        <v>43</v>
      </c>
      <c r="P95" s="6" t="s">
        <v>44</v>
      </c>
      <c r="Q95" s="4" t="s">
        <v>45</v>
      </c>
      <c r="R95" s="6"/>
      <c r="S95" s="6" t="s">
        <v>46</v>
      </c>
      <c r="T95" s="3"/>
      <c r="U95" s="3"/>
      <c r="V95" s="4"/>
      <c r="W95" s="6"/>
      <c r="X95" s="6"/>
      <c r="Y95" s="6"/>
      <c r="Z95" s="4"/>
      <c r="AA95" s="3"/>
      <c r="AB95" s="9">
        <v>1695.92</v>
      </c>
      <c r="AC95" s="9">
        <v>2899</v>
      </c>
    </row>
    <row r="96" spans="1:29" s="1" customFormat="1" ht="10.9" customHeight="1" x14ac:dyDescent="0.2">
      <c r="A96" s="3" t="s">
        <v>406</v>
      </c>
      <c r="B96" s="4" t="s">
        <v>407</v>
      </c>
      <c r="C96" s="5" t="s">
        <v>31</v>
      </c>
      <c r="D96" s="6" t="s">
        <v>408</v>
      </c>
      <c r="E96" s="6" t="s">
        <v>33</v>
      </c>
      <c r="F96" s="6" t="s">
        <v>34</v>
      </c>
      <c r="G96" s="6" t="s">
        <v>35</v>
      </c>
      <c r="H96" s="6" t="s">
        <v>238</v>
      </c>
      <c r="I96" s="6" t="s">
        <v>37</v>
      </c>
      <c r="J96" s="6" t="s">
        <v>38</v>
      </c>
      <c r="K96" s="6" t="s">
        <v>39</v>
      </c>
      <c r="L96" s="6" t="s">
        <v>40</v>
      </c>
      <c r="M96" s="6" t="s">
        <v>41</v>
      </c>
      <c r="N96" s="6" t="s">
        <v>149</v>
      </c>
      <c r="O96" s="4" t="s">
        <v>43</v>
      </c>
      <c r="P96" s="6" t="s">
        <v>44</v>
      </c>
      <c r="Q96" s="4" t="s">
        <v>45</v>
      </c>
      <c r="R96" s="6"/>
      <c r="S96" s="6" t="s">
        <v>46</v>
      </c>
      <c r="T96" s="3"/>
      <c r="U96" s="3"/>
      <c r="V96" s="4"/>
      <c r="W96" s="6"/>
      <c r="X96" s="6"/>
      <c r="Y96" s="6"/>
      <c r="Z96" s="4"/>
      <c r="AA96" s="3"/>
      <c r="AB96" s="9">
        <v>1695.92</v>
      </c>
      <c r="AC96" s="9">
        <v>2899</v>
      </c>
    </row>
    <row r="97" spans="1:29" s="1" customFormat="1" ht="10.9" customHeight="1" x14ac:dyDescent="0.2">
      <c r="A97" s="3" t="s">
        <v>409</v>
      </c>
      <c r="B97" s="4" t="s">
        <v>410</v>
      </c>
      <c r="C97" s="5" t="s">
        <v>31</v>
      </c>
      <c r="D97" s="6" t="s">
        <v>411</v>
      </c>
      <c r="E97" s="6" t="s">
        <v>33</v>
      </c>
      <c r="F97" s="6" t="s">
        <v>34</v>
      </c>
      <c r="G97" s="6" t="s">
        <v>35</v>
      </c>
      <c r="H97" s="6" t="s">
        <v>177</v>
      </c>
      <c r="I97" s="6" t="s">
        <v>37</v>
      </c>
      <c r="J97" s="6" t="s">
        <v>38</v>
      </c>
      <c r="K97" s="6" t="s">
        <v>39</v>
      </c>
      <c r="L97" s="6" t="s">
        <v>40</v>
      </c>
      <c r="M97" s="6" t="s">
        <v>41</v>
      </c>
      <c r="N97" s="6" t="s">
        <v>149</v>
      </c>
      <c r="O97" s="4" t="s">
        <v>43</v>
      </c>
      <c r="P97" s="6" t="s">
        <v>44</v>
      </c>
      <c r="Q97" s="4" t="s">
        <v>45</v>
      </c>
      <c r="R97" s="6"/>
      <c r="S97" s="6" t="s">
        <v>46</v>
      </c>
      <c r="T97" s="3"/>
      <c r="U97" s="3"/>
      <c r="V97" s="4"/>
      <c r="W97" s="6"/>
      <c r="X97" s="6"/>
      <c r="Y97" s="6"/>
      <c r="Z97" s="4"/>
      <c r="AA97" s="3"/>
      <c r="AB97" s="9">
        <v>1520.42</v>
      </c>
      <c r="AC97" s="9">
        <v>2599</v>
      </c>
    </row>
    <row r="98" spans="1:29" s="1" customFormat="1" ht="10.9" customHeight="1" x14ac:dyDescent="0.2">
      <c r="A98" s="3" t="s">
        <v>412</v>
      </c>
      <c r="B98" s="4" t="s">
        <v>413</v>
      </c>
      <c r="C98" s="5" t="s">
        <v>31</v>
      </c>
      <c r="D98" s="6" t="s">
        <v>414</v>
      </c>
      <c r="E98" s="6" t="s">
        <v>33</v>
      </c>
      <c r="F98" s="6" t="s">
        <v>34</v>
      </c>
      <c r="G98" s="6" t="s">
        <v>35</v>
      </c>
      <c r="H98" s="6" t="s">
        <v>36</v>
      </c>
      <c r="I98" s="6" t="s">
        <v>37</v>
      </c>
      <c r="J98" s="6" t="s">
        <v>38</v>
      </c>
      <c r="K98" s="6" t="s">
        <v>39</v>
      </c>
      <c r="L98" s="6" t="s">
        <v>40</v>
      </c>
      <c r="M98" s="6" t="s">
        <v>41</v>
      </c>
      <c r="N98" s="6" t="s">
        <v>149</v>
      </c>
      <c r="O98" s="4" t="s">
        <v>43</v>
      </c>
      <c r="P98" s="6" t="s">
        <v>44</v>
      </c>
      <c r="Q98" s="4" t="s">
        <v>45</v>
      </c>
      <c r="R98" s="6"/>
      <c r="S98" s="6" t="s">
        <v>46</v>
      </c>
      <c r="T98" s="3"/>
      <c r="U98" s="3"/>
      <c r="V98" s="4"/>
      <c r="W98" s="6"/>
      <c r="X98" s="6"/>
      <c r="Y98" s="6"/>
      <c r="Z98" s="4"/>
      <c r="AA98" s="3"/>
      <c r="AB98" s="9">
        <v>1520.42</v>
      </c>
      <c r="AC98" s="9">
        <v>2599</v>
      </c>
    </row>
    <row r="99" spans="1:29" s="1" customFormat="1" ht="10.9" customHeight="1" x14ac:dyDescent="0.2">
      <c r="A99" s="3" t="s">
        <v>415</v>
      </c>
      <c r="B99" s="4" t="s">
        <v>416</v>
      </c>
      <c r="C99" s="5" t="s">
        <v>31</v>
      </c>
      <c r="D99" s="6" t="s">
        <v>417</v>
      </c>
      <c r="E99" s="6" t="s">
        <v>33</v>
      </c>
      <c r="F99" s="6" t="s">
        <v>34</v>
      </c>
      <c r="G99" s="6" t="s">
        <v>35</v>
      </c>
      <c r="H99" s="6" t="s">
        <v>177</v>
      </c>
      <c r="I99" s="6" t="s">
        <v>37</v>
      </c>
      <c r="J99" s="6" t="s">
        <v>38</v>
      </c>
      <c r="K99" s="6" t="s">
        <v>39</v>
      </c>
      <c r="L99" s="6" t="s">
        <v>40</v>
      </c>
      <c r="M99" s="6" t="s">
        <v>41</v>
      </c>
      <c r="N99" s="6" t="s">
        <v>149</v>
      </c>
      <c r="O99" s="4" t="s">
        <v>43</v>
      </c>
      <c r="P99" s="6" t="s">
        <v>44</v>
      </c>
      <c r="Q99" s="4" t="s">
        <v>45</v>
      </c>
      <c r="R99" s="6"/>
      <c r="S99" s="6" t="s">
        <v>46</v>
      </c>
      <c r="T99" s="3"/>
      <c r="U99" s="3"/>
      <c r="V99" s="4"/>
      <c r="W99" s="6"/>
      <c r="X99" s="6"/>
      <c r="Y99" s="6"/>
      <c r="Z99" s="4"/>
      <c r="AA99" s="3"/>
      <c r="AB99" s="9">
        <v>1520.42</v>
      </c>
      <c r="AC99" s="9">
        <v>2599</v>
      </c>
    </row>
    <row r="100" spans="1:29" s="1" customFormat="1" ht="10.9" customHeight="1" x14ac:dyDescent="0.2">
      <c r="A100" s="3" t="s">
        <v>418</v>
      </c>
      <c r="B100" s="4" t="s">
        <v>419</v>
      </c>
      <c r="C100" s="5" t="s">
        <v>31</v>
      </c>
      <c r="D100" s="6" t="s">
        <v>420</v>
      </c>
      <c r="E100" s="6" t="s">
        <v>33</v>
      </c>
      <c r="F100" s="6" t="s">
        <v>34</v>
      </c>
      <c r="G100" s="6" t="s">
        <v>35</v>
      </c>
      <c r="H100" s="6" t="s">
        <v>393</v>
      </c>
      <c r="I100" s="6" t="s">
        <v>37</v>
      </c>
      <c r="J100" s="6" t="s">
        <v>38</v>
      </c>
      <c r="K100" s="6" t="s">
        <v>39</v>
      </c>
      <c r="L100" s="6" t="s">
        <v>40</v>
      </c>
      <c r="M100" s="6" t="s">
        <v>41</v>
      </c>
      <c r="N100" s="6" t="s">
        <v>149</v>
      </c>
      <c r="O100" s="4" t="s">
        <v>43</v>
      </c>
      <c r="P100" s="6" t="s">
        <v>44</v>
      </c>
      <c r="Q100" s="4" t="s">
        <v>45</v>
      </c>
      <c r="R100" s="6"/>
      <c r="S100" s="6" t="s">
        <v>46</v>
      </c>
      <c r="T100" s="3"/>
      <c r="U100" s="3"/>
      <c r="V100" s="4"/>
      <c r="W100" s="6"/>
      <c r="X100" s="6"/>
      <c r="Y100" s="6"/>
      <c r="Z100" s="4"/>
      <c r="AA100" s="3"/>
      <c r="AB100" s="9">
        <v>1520.42</v>
      </c>
      <c r="AC100" s="9">
        <v>2599</v>
      </c>
    </row>
    <row r="101" spans="1:29" s="1" customFormat="1" ht="10.9" customHeight="1" x14ac:dyDescent="0.2">
      <c r="A101" s="3" t="s">
        <v>421</v>
      </c>
      <c r="B101" s="4" t="s">
        <v>422</v>
      </c>
      <c r="C101" s="5" t="s">
        <v>31</v>
      </c>
      <c r="D101" s="6" t="s">
        <v>423</v>
      </c>
      <c r="E101" s="6" t="s">
        <v>33</v>
      </c>
      <c r="F101" s="6" t="s">
        <v>34</v>
      </c>
      <c r="G101" s="6" t="s">
        <v>35</v>
      </c>
      <c r="H101" s="6" t="s">
        <v>52</v>
      </c>
      <c r="I101" s="6" t="s">
        <v>37</v>
      </c>
      <c r="J101" s="6" t="s">
        <v>38</v>
      </c>
      <c r="K101" s="6" t="s">
        <v>39</v>
      </c>
      <c r="L101" s="6" t="s">
        <v>40</v>
      </c>
      <c r="M101" s="6" t="s">
        <v>41</v>
      </c>
      <c r="N101" s="6" t="s">
        <v>42</v>
      </c>
      <c r="O101" s="4" t="s">
        <v>43</v>
      </c>
      <c r="P101" s="6" t="s">
        <v>44</v>
      </c>
      <c r="Q101" s="4" t="s">
        <v>45</v>
      </c>
      <c r="R101" s="6"/>
      <c r="S101" s="6" t="s">
        <v>46</v>
      </c>
      <c r="T101" s="3"/>
      <c r="U101" s="3"/>
      <c r="V101" s="4"/>
      <c r="W101" s="6"/>
      <c r="X101" s="6"/>
      <c r="Y101" s="6"/>
      <c r="Z101" s="4"/>
      <c r="AA101" s="3"/>
      <c r="AB101" s="9">
        <v>1520.42</v>
      </c>
      <c r="AC101" s="9">
        <v>2599</v>
      </c>
    </row>
    <row r="102" spans="1:29" s="1" customFormat="1" ht="10.9" customHeight="1" x14ac:dyDescent="0.2">
      <c r="A102" s="3" t="s">
        <v>424</v>
      </c>
      <c r="B102" s="4" t="s">
        <v>425</v>
      </c>
      <c r="C102" s="5" t="s">
        <v>31</v>
      </c>
      <c r="D102" s="6" t="s">
        <v>426</v>
      </c>
      <c r="E102" s="6" t="s">
        <v>33</v>
      </c>
      <c r="F102" s="6" t="s">
        <v>34</v>
      </c>
      <c r="G102" s="6" t="s">
        <v>35</v>
      </c>
      <c r="H102" s="6" t="s">
        <v>393</v>
      </c>
      <c r="I102" s="6" t="s">
        <v>37</v>
      </c>
      <c r="J102" s="6" t="s">
        <v>38</v>
      </c>
      <c r="K102" s="6" t="s">
        <v>39</v>
      </c>
      <c r="L102" s="6" t="s">
        <v>40</v>
      </c>
      <c r="M102" s="6" t="s">
        <v>41</v>
      </c>
      <c r="N102" s="6" t="s">
        <v>42</v>
      </c>
      <c r="O102" s="4" t="s">
        <v>43</v>
      </c>
      <c r="P102" s="6" t="s">
        <v>44</v>
      </c>
      <c r="Q102" s="4" t="s">
        <v>45</v>
      </c>
      <c r="R102" s="6"/>
      <c r="S102" s="6" t="s">
        <v>46</v>
      </c>
      <c r="T102" s="3"/>
      <c r="U102" s="3"/>
      <c r="V102" s="4"/>
      <c r="W102" s="6"/>
      <c r="X102" s="6"/>
      <c r="Y102" s="6"/>
      <c r="Z102" s="4"/>
      <c r="AA102" s="3"/>
      <c r="AB102" s="9">
        <v>1520.42</v>
      </c>
      <c r="AC102" s="9">
        <v>2599</v>
      </c>
    </row>
    <row r="103" spans="1:29" s="1" customFormat="1" ht="10.9" customHeight="1" x14ac:dyDescent="0.2">
      <c r="A103" s="3" t="s">
        <v>427</v>
      </c>
      <c r="B103" s="4" t="s">
        <v>428</v>
      </c>
      <c r="C103" s="5" t="s">
        <v>31</v>
      </c>
      <c r="D103" s="6" t="s">
        <v>429</v>
      </c>
      <c r="E103" s="6" t="s">
        <v>33</v>
      </c>
      <c r="F103" s="6" t="s">
        <v>34</v>
      </c>
      <c r="G103" s="6" t="s">
        <v>35</v>
      </c>
      <c r="H103" s="6" t="s">
        <v>52</v>
      </c>
      <c r="I103" s="6" t="s">
        <v>37</v>
      </c>
      <c r="J103" s="6" t="s">
        <v>38</v>
      </c>
      <c r="K103" s="6" t="s">
        <v>39</v>
      </c>
      <c r="L103" s="6" t="s">
        <v>40</v>
      </c>
      <c r="M103" s="6" t="s">
        <v>41</v>
      </c>
      <c r="N103" s="6" t="s">
        <v>60</v>
      </c>
      <c r="O103" s="4" t="s">
        <v>43</v>
      </c>
      <c r="P103" s="6" t="s">
        <v>44</v>
      </c>
      <c r="Q103" s="4" t="s">
        <v>45</v>
      </c>
      <c r="R103" s="6"/>
      <c r="S103" s="6" t="s">
        <v>46</v>
      </c>
      <c r="T103" s="3"/>
      <c r="U103" s="3"/>
      <c r="V103" s="4"/>
      <c r="W103" s="6"/>
      <c r="X103" s="6"/>
      <c r="Y103" s="6"/>
      <c r="Z103" s="4"/>
      <c r="AA103" s="3"/>
      <c r="AB103" s="9">
        <v>1520.42</v>
      </c>
      <c r="AC103" s="9">
        <v>2599</v>
      </c>
    </row>
    <row r="104" spans="1:29" s="1" customFormat="1" ht="10.9" customHeight="1" x14ac:dyDescent="0.2">
      <c r="A104" s="3" t="s">
        <v>430</v>
      </c>
      <c r="B104" s="4" t="s">
        <v>431</v>
      </c>
      <c r="C104" s="5" t="s">
        <v>31</v>
      </c>
      <c r="D104" s="6" t="s">
        <v>432</v>
      </c>
      <c r="E104" s="6" t="s">
        <v>33</v>
      </c>
      <c r="F104" s="6" t="s">
        <v>34</v>
      </c>
      <c r="G104" s="6" t="s">
        <v>35</v>
      </c>
      <c r="H104" s="6" t="s">
        <v>173</v>
      </c>
      <c r="I104" s="6" t="s">
        <v>37</v>
      </c>
      <c r="J104" s="6" t="s">
        <v>38</v>
      </c>
      <c r="K104" s="6" t="s">
        <v>39</v>
      </c>
      <c r="L104" s="6" t="s">
        <v>40</v>
      </c>
      <c r="M104" s="6" t="s">
        <v>41</v>
      </c>
      <c r="N104" s="6" t="s">
        <v>60</v>
      </c>
      <c r="O104" s="4" t="s">
        <v>43</v>
      </c>
      <c r="P104" s="6" t="s">
        <v>44</v>
      </c>
      <c r="Q104" s="4" t="s">
        <v>45</v>
      </c>
      <c r="R104" s="6"/>
      <c r="S104" s="6" t="s">
        <v>46</v>
      </c>
      <c r="T104" s="3"/>
      <c r="U104" s="3"/>
      <c r="V104" s="4"/>
      <c r="W104" s="6"/>
      <c r="X104" s="6"/>
      <c r="Y104" s="6"/>
      <c r="Z104" s="4"/>
      <c r="AA104" s="3"/>
      <c r="AB104" s="9">
        <v>1520.42</v>
      </c>
      <c r="AC104" s="9">
        <v>2599</v>
      </c>
    </row>
    <row r="105" spans="1:29" s="1" customFormat="1" ht="10.9" customHeight="1" x14ac:dyDescent="0.2">
      <c r="A105" s="3" t="s">
        <v>433</v>
      </c>
      <c r="B105" s="4" t="s">
        <v>434</v>
      </c>
      <c r="C105" s="5" t="s">
        <v>31</v>
      </c>
      <c r="D105" s="6" t="s">
        <v>435</v>
      </c>
      <c r="E105" s="6" t="s">
        <v>33</v>
      </c>
      <c r="F105" s="6" t="s">
        <v>34</v>
      </c>
      <c r="G105" s="6" t="s">
        <v>35</v>
      </c>
      <c r="H105" s="6" t="s">
        <v>177</v>
      </c>
      <c r="I105" s="6" t="s">
        <v>37</v>
      </c>
      <c r="J105" s="6" t="s">
        <v>38</v>
      </c>
      <c r="K105" s="6" t="s">
        <v>39</v>
      </c>
      <c r="L105" s="6" t="s">
        <v>40</v>
      </c>
      <c r="M105" s="6" t="s">
        <v>41</v>
      </c>
      <c r="N105" s="6" t="s">
        <v>42</v>
      </c>
      <c r="O105" s="4" t="s">
        <v>43</v>
      </c>
      <c r="P105" s="6" t="s">
        <v>44</v>
      </c>
      <c r="Q105" s="4" t="s">
        <v>45</v>
      </c>
      <c r="R105" s="6"/>
      <c r="S105" s="6" t="s">
        <v>46</v>
      </c>
      <c r="T105" s="3"/>
      <c r="U105" s="3"/>
      <c r="V105" s="4"/>
      <c r="W105" s="6"/>
      <c r="X105" s="6"/>
      <c r="Y105" s="6"/>
      <c r="Z105" s="4"/>
      <c r="AA105" s="3"/>
      <c r="AB105" s="9">
        <v>1520.42</v>
      </c>
      <c r="AC105" s="9">
        <v>2599</v>
      </c>
    </row>
    <row r="106" spans="1:29" s="1" customFormat="1" ht="10.9" customHeight="1" x14ac:dyDescent="0.2">
      <c r="A106" s="3" t="s">
        <v>436</v>
      </c>
      <c r="B106" s="4" t="s">
        <v>437</v>
      </c>
      <c r="C106" s="5" t="s">
        <v>31</v>
      </c>
      <c r="D106" s="6" t="s">
        <v>438</v>
      </c>
      <c r="E106" s="6" t="s">
        <v>33</v>
      </c>
      <c r="F106" s="6" t="s">
        <v>34</v>
      </c>
      <c r="G106" s="6" t="s">
        <v>35</v>
      </c>
      <c r="H106" s="6" t="s">
        <v>158</v>
      </c>
      <c r="I106" s="6" t="s">
        <v>37</v>
      </c>
      <c r="J106" s="6" t="s">
        <v>38</v>
      </c>
      <c r="K106" s="6" t="s">
        <v>39</v>
      </c>
      <c r="L106" s="6" t="s">
        <v>40</v>
      </c>
      <c r="M106" s="6" t="s">
        <v>41</v>
      </c>
      <c r="N106" s="6" t="s">
        <v>42</v>
      </c>
      <c r="O106" s="4" t="s">
        <v>43</v>
      </c>
      <c r="P106" s="6" t="s">
        <v>44</v>
      </c>
      <c r="Q106" s="4" t="s">
        <v>45</v>
      </c>
      <c r="R106" s="6"/>
      <c r="S106" s="6" t="s">
        <v>46</v>
      </c>
      <c r="T106" s="3"/>
      <c r="U106" s="3"/>
      <c r="V106" s="4"/>
      <c r="W106" s="6"/>
      <c r="X106" s="6"/>
      <c r="Y106" s="6"/>
      <c r="Z106" s="4"/>
      <c r="AA106" s="3"/>
      <c r="AB106" s="9">
        <v>1520.42</v>
      </c>
      <c r="AC106" s="9">
        <v>2599</v>
      </c>
    </row>
    <row r="107" spans="1:29" s="1" customFormat="1" ht="10.9" customHeight="1" x14ac:dyDescent="0.2">
      <c r="A107" s="3" t="s">
        <v>439</v>
      </c>
      <c r="B107" s="4" t="s">
        <v>440</v>
      </c>
      <c r="C107" s="5" t="s">
        <v>31</v>
      </c>
      <c r="D107" s="6" t="s">
        <v>441</v>
      </c>
      <c r="E107" s="6" t="s">
        <v>33</v>
      </c>
      <c r="F107" s="6" t="s">
        <v>34</v>
      </c>
      <c r="G107" s="6" t="s">
        <v>35</v>
      </c>
      <c r="H107" s="6" t="s">
        <v>197</v>
      </c>
      <c r="I107" s="6" t="s">
        <v>37</v>
      </c>
      <c r="J107" s="6" t="s">
        <v>38</v>
      </c>
      <c r="K107" s="6" t="s">
        <v>39</v>
      </c>
      <c r="L107" s="6" t="s">
        <v>40</v>
      </c>
      <c r="M107" s="6" t="s">
        <v>41</v>
      </c>
      <c r="N107" s="6" t="s">
        <v>42</v>
      </c>
      <c r="O107" s="4" t="s">
        <v>43</v>
      </c>
      <c r="P107" s="6" t="s">
        <v>44</v>
      </c>
      <c r="Q107" s="4" t="s">
        <v>45</v>
      </c>
      <c r="R107" s="6"/>
      <c r="S107" s="6" t="s">
        <v>46</v>
      </c>
      <c r="T107" s="3"/>
      <c r="U107" s="3"/>
      <c r="V107" s="4"/>
      <c r="W107" s="6"/>
      <c r="X107" s="6"/>
      <c r="Y107" s="6"/>
      <c r="Z107" s="4"/>
      <c r="AA107" s="3"/>
      <c r="AB107" s="9">
        <v>1520.42</v>
      </c>
      <c r="AC107" s="9">
        <v>2599</v>
      </c>
    </row>
    <row r="108" spans="1:29" s="1" customFormat="1" ht="10.9" customHeight="1" x14ac:dyDescent="0.2">
      <c r="A108" s="3" t="s">
        <v>442</v>
      </c>
      <c r="B108" s="4" t="s">
        <v>443</v>
      </c>
      <c r="C108" s="5" t="s">
        <v>31</v>
      </c>
      <c r="D108" s="6" t="s">
        <v>444</v>
      </c>
      <c r="E108" s="6" t="s">
        <v>33</v>
      </c>
      <c r="F108" s="6" t="s">
        <v>34</v>
      </c>
      <c r="G108" s="6" t="s">
        <v>35</v>
      </c>
      <c r="H108" s="6" t="s">
        <v>173</v>
      </c>
      <c r="I108" s="6" t="s">
        <v>37</v>
      </c>
      <c r="J108" s="6" t="s">
        <v>38</v>
      </c>
      <c r="K108" s="6" t="s">
        <v>39</v>
      </c>
      <c r="L108" s="6" t="s">
        <v>40</v>
      </c>
      <c r="M108" s="6" t="s">
        <v>41</v>
      </c>
      <c r="N108" s="6" t="s">
        <v>149</v>
      </c>
      <c r="O108" s="4" t="s">
        <v>43</v>
      </c>
      <c r="P108" s="6" t="s">
        <v>44</v>
      </c>
      <c r="Q108" s="4" t="s">
        <v>45</v>
      </c>
      <c r="R108" s="6"/>
      <c r="S108" s="6" t="s">
        <v>46</v>
      </c>
      <c r="T108" s="3"/>
      <c r="U108" s="3"/>
      <c r="V108" s="4"/>
      <c r="W108" s="6"/>
      <c r="X108" s="6"/>
      <c r="Y108" s="6"/>
      <c r="Z108" s="4"/>
      <c r="AA108" s="3"/>
      <c r="AB108" s="9">
        <v>1520.42</v>
      </c>
      <c r="AC108" s="9">
        <v>2599</v>
      </c>
    </row>
    <row r="109" spans="1:29" s="1" customFormat="1" ht="10.9" customHeight="1" x14ac:dyDescent="0.2">
      <c r="A109" s="3" t="s">
        <v>445</v>
      </c>
      <c r="B109" s="4" t="s">
        <v>446</v>
      </c>
      <c r="C109" s="5" t="s">
        <v>73</v>
      </c>
      <c r="D109" s="6" t="s">
        <v>447</v>
      </c>
      <c r="E109" s="6" t="s">
        <v>33</v>
      </c>
      <c r="F109" s="6" t="s">
        <v>34</v>
      </c>
      <c r="G109" s="6" t="s">
        <v>35</v>
      </c>
      <c r="H109" s="6" t="s">
        <v>386</v>
      </c>
      <c r="I109" s="6" t="s">
        <v>37</v>
      </c>
      <c r="J109" s="6" t="s">
        <v>38</v>
      </c>
      <c r="K109" s="6" t="s">
        <v>39</v>
      </c>
      <c r="L109" s="6" t="s">
        <v>40</v>
      </c>
      <c r="M109" s="6" t="s">
        <v>41</v>
      </c>
      <c r="N109" s="6" t="s">
        <v>42</v>
      </c>
      <c r="O109" s="4" t="s">
        <v>43</v>
      </c>
      <c r="P109" s="6" t="s">
        <v>81</v>
      </c>
      <c r="Q109" s="4" t="s">
        <v>75</v>
      </c>
      <c r="R109" s="6"/>
      <c r="S109" s="6" t="s">
        <v>46</v>
      </c>
      <c r="T109" s="3"/>
      <c r="U109" s="3"/>
      <c r="V109" s="4"/>
      <c r="W109" s="6"/>
      <c r="X109" s="6"/>
      <c r="Y109" s="6"/>
      <c r="Z109" s="4"/>
      <c r="AA109" s="3"/>
      <c r="AB109" s="9">
        <v>2163.92</v>
      </c>
      <c r="AC109" s="9">
        <v>3699</v>
      </c>
    </row>
    <row r="110" spans="1:29" s="1" customFormat="1" ht="10.9" customHeight="1" x14ac:dyDescent="0.2">
      <c r="A110" s="3" t="s">
        <v>448</v>
      </c>
      <c r="B110" s="4" t="s">
        <v>449</v>
      </c>
      <c r="C110" s="5" t="s">
        <v>31</v>
      </c>
      <c r="D110" s="6" t="s">
        <v>450</v>
      </c>
      <c r="E110" s="6" t="s">
        <v>33</v>
      </c>
      <c r="F110" s="6" t="s">
        <v>34</v>
      </c>
      <c r="G110" s="6" t="s">
        <v>35</v>
      </c>
      <c r="H110" s="6" t="s">
        <v>177</v>
      </c>
      <c r="I110" s="6" t="s">
        <v>37</v>
      </c>
      <c r="J110" s="6" t="s">
        <v>38</v>
      </c>
      <c r="K110" s="6" t="s">
        <v>39</v>
      </c>
      <c r="L110" s="6" t="s">
        <v>40</v>
      </c>
      <c r="M110" s="6" t="s">
        <v>41</v>
      </c>
      <c r="N110" s="6" t="s">
        <v>60</v>
      </c>
      <c r="O110" s="4" t="s">
        <v>43</v>
      </c>
      <c r="P110" s="6" t="s">
        <v>44</v>
      </c>
      <c r="Q110" s="4" t="s">
        <v>45</v>
      </c>
      <c r="R110" s="6"/>
      <c r="S110" s="6" t="s">
        <v>46</v>
      </c>
      <c r="T110" s="3"/>
      <c r="U110" s="3"/>
      <c r="V110" s="4"/>
      <c r="W110" s="6"/>
      <c r="X110" s="6"/>
      <c r="Y110" s="6"/>
      <c r="Z110" s="4"/>
      <c r="AA110" s="3"/>
      <c r="AB110" s="9">
        <v>1695.92</v>
      </c>
      <c r="AC110" s="9">
        <v>2899</v>
      </c>
    </row>
    <row r="111" spans="1:29" s="1" customFormat="1" ht="10.9" customHeight="1" x14ac:dyDescent="0.2">
      <c r="A111" s="3" t="s">
        <v>451</v>
      </c>
      <c r="B111" s="4" t="s">
        <v>452</v>
      </c>
      <c r="C111" s="5" t="s">
        <v>31</v>
      </c>
      <c r="D111" s="6" t="s">
        <v>453</v>
      </c>
      <c r="E111" s="6" t="s">
        <v>33</v>
      </c>
      <c r="F111" s="6" t="s">
        <v>34</v>
      </c>
      <c r="G111" s="6" t="s">
        <v>35</v>
      </c>
      <c r="H111" s="6" t="s">
        <v>52</v>
      </c>
      <c r="I111" s="6" t="s">
        <v>37</v>
      </c>
      <c r="J111" s="6" t="s">
        <v>38</v>
      </c>
      <c r="K111" s="6" t="s">
        <v>39</v>
      </c>
      <c r="L111" s="6" t="s">
        <v>40</v>
      </c>
      <c r="M111" s="6" t="s">
        <v>41</v>
      </c>
      <c r="N111" s="6" t="s">
        <v>60</v>
      </c>
      <c r="O111" s="4" t="s">
        <v>43</v>
      </c>
      <c r="P111" s="6" t="s">
        <v>44</v>
      </c>
      <c r="Q111" s="4" t="s">
        <v>45</v>
      </c>
      <c r="R111" s="6"/>
      <c r="S111" s="6" t="s">
        <v>46</v>
      </c>
      <c r="T111" s="3"/>
      <c r="U111" s="3"/>
      <c r="V111" s="4"/>
      <c r="W111" s="6"/>
      <c r="X111" s="6"/>
      <c r="Y111" s="6"/>
      <c r="Z111" s="4"/>
      <c r="AA111" s="3"/>
      <c r="AB111" s="9">
        <v>1695.92</v>
      </c>
      <c r="AC111" s="9">
        <v>2899</v>
      </c>
    </row>
    <row r="112" spans="1:29" s="1" customFormat="1" ht="10.9" customHeight="1" x14ac:dyDescent="0.2">
      <c r="A112" s="3" t="s">
        <v>454</v>
      </c>
      <c r="B112" s="4" t="s">
        <v>455</v>
      </c>
      <c r="C112" s="5" t="s">
        <v>31</v>
      </c>
      <c r="D112" s="6" t="s">
        <v>456</v>
      </c>
      <c r="E112" s="6" t="s">
        <v>33</v>
      </c>
      <c r="F112" s="6" t="s">
        <v>34</v>
      </c>
      <c r="G112" s="6" t="s">
        <v>35</v>
      </c>
      <c r="H112" s="6" t="s">
        <v>163</v>
      </c>
      <c r="I112" s="6" t="s">
        <v>37</v>
      </c>
      <c r="J112" s="6" t="s">
        <v>38</v>
      </c>
      <c r="K112" s="6" t="s">
        <v>39</v>
      </c>
      <c r="L112" s="6" t="s">
        <v>40</v>
      </c>
      <c r="M112" s="6" t="s">
        <v>41</v>
      </c>
      <c r="N112" s="6" t="s">
        <v>60</v>
      </c>
      <c r="O112" s="4" t="s">
        <v>43</v>
      </c>
      <c r="P112" s="6" t="s">
        <v>44</v>
      </c>
      <c r="Q112" s="4" t="s">
        <v>45</v>
      </c>
      <c r="R112" s="6"/>
      <c r="S112" s="6" t="s">
        <v>46</v>
      </c>
      <c r="T112" s="3"/>
      <c r="U112" s="3"/>
      <c r="V112" s="4"/>
      <c r="W112" s="6"/>
      <c r="X112" s="6"/>
      <c r="Y112" s="6"/>
      <c r="Z112" s="4"/>
      <c r="AA112" s="3"/>
      <c r="AB112" s="9">
        <v>1871.42</v>
      </c>
      <c r="AC112" s="9">
        <v>3199</v>
      </c>
    </row>
    <row r="113" spans="1:29" s="1" customFormat="1" ht="10.9" customHeight="1" x14ac:dyDescent="0.2">
      <c r="A113" s="3" t="s">
        <v>457</v>
      </c>
      <c r="B113" s="4" t="s">
        <v>458</v>
      </c>
      <c r="C113" s="5" t="s">
        <v>31</v>
      </c>
      <c r="D113" s="6" t="s">
        <v>459</v>
      </c>
      <c r="E113" s="6" t="s">
        <v>33</v>
      </c>
      <c r="F113" s="6" t="s">
        <v>34</v>
      </c>
      <c r="G113" s="6" t="s">
        <v>35</v>
      </c>
      <c r="H113" s="6" t="s">
        <v>238</v>
      </c>
      <c r="I113" s="6" t="s">
        <v>37</v>
      </c>
      <c r="J113" s="6" t="s">
        <v>38</v>
      </c>
      <c r="K113" s="6" t="s">
        <v>39</v>
      </c>
      <c r="L113" s="6" t="s">
        <v>40</v>
      </c>
      <c r="M113" s="6" t="s">
        <v>41</v>
      </c>
      <c r="N113" s="6" t="s">
        <v>149</v>
      </c>
      <c r="O113" s="4" t="s">
        <v>43</v>
      </c>
      <c r="P113" s="6" t="s">
        <v>44</v>
      </c>
      <c r="Q113" s="4" t="s">
        <v>45</v>
      </c>
      <c r="R113" s="6"/>
      <c r="S113" s="6" t="s">
        <v>46</v>
      </c>
      <c r="T113" s="3"/>
      <c r="U113" s="3"/>
      <c r="V113" s="4"/>
      <c r="W113" s="6"/>
      <c r="X113" s="6"/>
      <c r="Y113" s="6"/>
      <c r="Z113" s="4"/>
      <c r="AA113" s="3"/>
      <c r="AB113" s="9">
        <v>1520.42</v>
      </c>
      <c r="AC113" s="9">
        <v>2599</v>
      </c>
    </row>
    <row r="114" spans="1:29" s="1" customFormat="1" ht="10.9" customHeight="1" x14ac:dyDescent="0.2">
      <c r="A114" s="3" t="s">
        <v>460</v>
      </c>
      <c r="B114" s="4" t="s">
        <v>461</v>
      </c>
      <c r="C114" s="5" t="s">
        <v>73</v>
      </c>
      <c r="D114" s="6" t="s">
        <v>462</v>
      </c>
      <c r="E114" s="6" t="s">
        <v>33</v>
      </c>
      <c r="F114" s="6" t="s">
        <v>34</v>
      </c>
      <c r="G114" s="6" t="s">
        <v>35</v>
      </c>
      <c r="H114" s="6" t="s">
        <v>36</v>
      </c>
      <c r="I114" s="6" t="s">
        <v>37</v>
      </c>
      <c r="J114" s="6" t="s">
        <v>38</v>
      </c>
      <c r="K114" s="6" t="s">
        <v>39</v>
      </c>
      <c r="L114" s="6" t="s">
        <v>40</v>
      </c>
      <c r="M114" s="6" t="s">
        <v>41</v>
      </c>
      <c r="N114" s="6" t="s">
        <v>149</v>
      </c>
      <c r="O114" s="4" t="s">
        <v>43</v>
      </c>
      <c r="P114" s="6" t="s">
        <v>81</v>
      </c>
      <c r="Q114" s="4" t="s">
        <v>75</v>
      </c>
      <c r="R114" s="6"/>
      <c r="S114" s="6" t="s">
        <v>46</v>
      </c>
      <c r="T114" s="3"/>
      <c r="U114" s="3"/>
      <c r="V114" s="4"/>
      <c r="W114" s="6"/>
      <c r="X114" s="6"/>
      <c r="Y114" s="6"/>
      <c r="Z114" s="4"/>
      <c r="AA114" s="3"/>
      <c r="AB114" s="9">
        <v>1871.42</v>
      </c>
      <c r="AC114" s="9">
        <v>3199</v>
      </c>
    </row>
    <row r="115" spans="1:29" s="1" customFormat="1" ht="10.9" customHeight="1" x14ac:dyDescent="0.2">
      <c r="A115" s="3" t="s">
        <v>463</v>
      </c>
      <c r="B115" s="4" t="s">
        <v>464</v>
      </c>
      <c r="C115" s="5" t="s">
        <v>31</v>
      </c>
      <c r="D115" s="6" t="s">
        <v>465</v>
      </c>
      <c r="E115" s="6" t="s">
        <v>33</v>
      </c>
      <c r="F115" s="6" t="s">
        <v>34</v>
      </c>
      <c r="G115" s="6" t="s">
        <v>35</v>
      </c>
      <c r="H115" s="6" t="s">
        <v>305</v>
      </c>
      <c r="I115" s="6" t="s">
        <v>37</v>
      </c>
      <c r="J115" s="6" t="s">
        <v>38</v>
      </c>
      <c r="K115" s="6" t="s">
        <v>39</v>
      </c>
      <c r="L115" s="6" t="s">
        <v>40</v>
      </c>
      <c r="M115" s="6" t="s">
        <v>41</v>
      </c>
      <c r="N115" s="6" t="s">
        <v>60</v>
      </c>
      <c r="O115" s="4" t="s">
        <v>43</v>
      </c>
      <c r="P115" s="6" t="s">
        <v>44</v>
      </c>
      <c r="Q115" s="4" t="s">
        <v>45</v>
      </c>
      <c r="R115" s="6"/>
      <c r="S115" s="6" t="s">
        <v>46</v>
      </c>
      <c r="T115" s="3"/>
      <c r="U115" s="3"/>
      <c r="V115" s="4"/>
      <c r="W115" s="6"/>
      <c r="X115" s="6"/>
      <c r="Y115" s="6"/>
      <c r="Z115" s="4"/>
      <c r="AA115" s="3"/>
      <c r="AB115" s="9">
        <v>1695.92</v>
      </c>
      <c r="AC115" s="9">
        <v>2899</v>
      </c>
    </row>
    <row r="116" spans="1:29" s="1" customFormat="1" ht="10.9" customHeight="1" x14ac:dyDescent="0.2">
      <c r="A116" s="3" t="s">
        <v>466</v>
      </c>
      <c r="B116" s="4" t="s">
        <v>467</v>
      </c>
      <c r="C116" s="5" t="s">
        <v>73</v>
      </c>
      <c r="D116" s="6" t="s">
        <v>468</v>
      </c>
      <c r="E116" s="6" t="s">
        <v>33</v>
      </c>
      <c r="F116" s="6" t="s">
        <v>34</v>
      </c>
      <c r="G116" s="6" t="s">
        <v>35</v>
      </c>
      <c r="H116" s="6" t="s">
        <v>163</v>
      </c>
      <c r="I116" s="6" t="s">
        <v>65</v>
      </c>
      <c r="J116" s="6" t="s">
        <v>38</v>
      </c>
      <c r="K116" s="6" t="s">
        <v>39</v>
      </c>
      <c r="L116" s="6" t="s">
        <v>40</v>
      </c>
      <c r="M116" s="6" t="s">
        <v>41</v>
      </c>
      <c r="N116" s="6" t="s">
        <v>60</v>
      </c>
      <c r="O116" s="4" t="s">
        <v>43</v>
      </c>
      <c r="P116" s="6" t="s">
        <v>44</v>
      </c>
      <c r="Q116" s="4" t="s">
        <v>75</v>
      </c>
      <c r="R116" s="6"/>
      <c r="S116" s="6" t="s">
        <v>46</v>
      </c>
      <c r="T116" s="3"/>
      <c r="U116" s="3"/>
      <c r="V116" s="4"/>
      <c r="W116" s="6"/>
      <c r="X116" s="6"/>
      <c r="Y116" s="6"/>
      <c r="Z116" s="4"/>
      <c r="AA116" s="3"/>
      <c r="AB116" s="9">
        <v>2319.91</v>
      </c>
      <c r="AC116" s="9">
        <v>3899</v>
      </c>
    </row>
    <row r="117" spans="1:29" s="1" customFormat="1" ht="10.9" customHeight="1" x14ac:dyDescent="0.2">
      <c r="A117" s="3" t="s">
        <v>469</v>
      </c>
      <c r="B117" s="4" t="s">
        <v>470</v>
      </c>
      <c r="C117" s="5" t="s">
        <v>73</v>
      </c>
      <c r="D117" s="6" t="s">
        <v>468</v>
      </c>
      <c r="E117" s="6" t="s">
        <v>33</v>
      </c>
      <c r="F117" s="6" t="s">
        <v>34</v>
      </c>
      <c r="G117" s="6" t="s">
        <v>35</v>
      </c>
      <c r="H117" s="6" t="s">
        <v>163</v>
      </c>
      <c r="I117" s="6" t="s">
        <v>57</v>
      </c>
      <c r="J117" s="6" t="s">
        <v>38</v>
      </c>
      <c r="K117" s="6" t="s">
        <v>39</v>
      </c>
      <c r="L117" s="6" t="s">
        <v>40</v>
      </c>
      <c r="M117" s="6" t="s">
        <v>41</v>
      </c>
      <c r="N117" s="6" t="s">
        <v>60</v>
      </c>
      <c r="O117" s="4" t="s">
        <v>43</v>
      </c>
      <c r="P117" s="6" t="s">
        <v>44</v>
      </c>
      <c r="Q117" s="4" t="s">
        <v>75</v>
      </c>
      <c r="R117" s="6"/>
      <c r="S117" s="6" t="s">
        <v>46</v>
      </c>
      <c r="T117" s="3"/>
      <c r="U117" s="3"/>
      <c r="V117" s="4"/>
      <c r="W117" s="6"/>
      <c r="X117" s="6"/>
      <c r="Y117" s="6"/>
      <c r="Z117" s="4"/>
      <c r="AA117" s="3"/>
      <c r="AB117" s="9">
        <v>2319.91</v>
      </c>
      <c r="AC117" s="9">
        <v>3899</v>
      </c>
    </row>
    <row r="118" spans="1:29" s="1" customFormat="1" ht="10.9" customHeight="1" x14ac:dyDescent="0.2">
      <c r="A118" s="3" t="s">
        <v>471</v>
      </c>
      <c r="B118" s="4" t="s">
        <v>472</v>
      </c>
      <c r="C118" s="5" t="s">
        <v>73</v>
      </c>
      <c r="D118" s="6" t="s">
        <v>473</v>
      </c>
      <c r="E118" s="6" t="s">
        <v>33</v>
      </c>
      <c r="F118" s="6" t="s">
        <v>34</v>
      </c>
      <c r="G118" s="6" t="s">
        <v>35</v>
      </c>
      <c r="H118" s="6" t="s">
        <v>177</v>
      </c>
      <c r="I118" s="6" t="s">
        <v>37</v>
      </c>
      <c r="J118" s="6" t="s">
        <v>38</v>
      </c>
      <c r="K118" s="6" t="s">
        <v>39</v>
      </c>
      <c r="L118" s="6" t="s">
        <v>40</v>
      </c>
      <c r="M118" s="6" t="s">
        <v>41</v>
      </c>
      <c r="N118" s="6" t="s">
        <v>42</v>
      </c>
      <c r="O118" s="4" t="s">
        <v>43</v>
      </c>
      <c r="P118" s="6" t="s">
        <v>44</v>
      </c>
      <c r="Q118" s="4" t="s">
        <v>75</v>
      </c>
      <c r="R118" s="6"/>
      <c r="S118" s="6" t="s">
        <v>46</v>
      </c>
      <c r="T118" s="3"/>
      <c r="U118" s="3"/>
      <c r="V118" s="4"/>
      <c r="W118" s="6"/>
      <c r="X118" s="6"/>
      <c r="Y118" s="6"/>
      <c r="Z118" s="4" t="s">
        <v>474</v>
      </c>
      <c r="AA118" s="3"/>
      <c r="AB118" s="9">
        <v>1871.42</v>
      </c>
      <c r="AC118" s="9">
        <v>3199</v>
      </c>
    </row>
    <row r="119" spans="1:29" s="1" customFormat="1" ht="10.9" customHeight="1" x14ac:dyDescent="0.2">
      <c r="A119" s="3" t="s">
        <v>475</v>
      </c>
      <c r="B119" s="4" t="s">
        <v>476</v>
      </c>
      <c r="C119" s="5" t="s">
        <v>31</v>
      </c>
      <c r="D119" s="6" t="s">
        <v>477</v>
      </c>
      <c r="E119" s="6" t="s">
        <v>33</v>
      </c>
      <c r="F119" s="6" t="s">
        <v>34</v>
      </c>
      <c r="G119" s="6" t="s">
        <v>35</v>
      </c>
      <c r="H119" s="6" t="s">
        <v>393</v>
      </c>
      <c r="I119" s="6" t="s">
        <v>37</v>
      </c>
      <c r="J119" s="6" t="s">
        <v>38</v>
      </c>
      <c r="K119" s="6" t="s">
        <v>39</v>
      </c>
      <c r="L119" s="6" t="s">
        <v>40</v>
      </c>
      <c r="M119" s="6" t="s">
        <v>41</v>
      </c>
      <c r="N119" s="6" t="s">
        <v>149</v>
      </c>
      <c r="O119" s="4" t="s">
        <v>43</v>
      </c>
      <c r="P119" s="6" t="s">
        <v>44</v>
      </c>
      <c r="Q119" s="4" t="s">
        <v>45</v>
      </c>
      <c r="R119" s="6"/>
      <c r="S119" s="6" t="s">
        <v>46</v>
      </c>
      <c r="T119" s="3"/>
      <c r="U119" s="3"/>
      <c r="V119" s="4"/>
      <c r="W119" s="6"/>
      <c r="X119" s="6"/>
      <c r="Y119" s="6"/>
      <c r="Z119" s="4"/>
      <c r="AA119" s="3"/>
      <c r="AB119" s="9">
        <v>1520.42</v>
      </c>
      <c r="AC119" s="9">
        <v>2599</v>
      </c>
    </row>
    <row r="120" spans="1:29" s="1" customFormat="1" ht="10.9" customHeight="1" x14ac:dyDescent="0.2">
      <c r="A120" s="3" t="s">
        <v>478</v>
      </c>
      <c r="B120" s="4" t="s">
        <v>479</v>
      </c>
      <c r="C120" s="5" t="s">
        <v>73</v>
      </c>
      <c r="D120" s="6" t="s">
        <v>480</v>
      </c>
      <c r="E120" s="6" t="s">
        <v>33</v>
      </c>
      <c r="F120" s="6" t="s">
        <v>34</v>
      </c>
      <c r="G120" s="6" t="s">
        <v>35</v>
      </c>
      <c r="H120" s="6" t="s">
        <v>163</v>
      </c>
      <c r="I120" s="6" t="s">
        <v>57</v>
      </c>
      <c r="J120" s="6" t="s">
        <v>38</v>
      </c>
      <c r="K120" s="6" t="s">
        <v>39</v>
      </c>
      <c r="L120" s="6" t="s">
        <v>40</v>
      </c>
      <c r="M120" s="6" t="s">
        <v>41</v>
      </c>
      <c r="N120" s="6" t="s">
        <v>60</v>
      </c>
      <c r="O120" s="4" t="s">
        <v>43</v>
      </c>
      <c r="P120" s="6" t="s">
        <v>44</v>
      </c>
      <c r="Q120" s="4" t="s">
        <v>75</v>
      </c>
      <c r="R120" s="6"/>
      <c r="S120" s="6" t="s">
        <v>46</v>
      </c>
      <c r="T120" s="3"/>
      <c r="U120" s="3"/>
      <c r="V120" s="4"/>
      <c r="W120" s="6"/>
      <c r="X120" s="6"/>
      <c r="Y120" s="6"/>
      <c r="Z120" s="4"/>
      <c r="AA120" s="3"/>
      <c r="AB120" s="9">
        <v>2514.92</v>
      </c>
      <c r="AC120" s="9">
        <v>4299</v>
      </c>
    </row>
    <row r="121" spans="1:29" s="1" customFormat="1" ht="10.9" customHeight="1" x14ac:dyDescent="0.2">
      <c r="A121" s="3" t="s">
        <v>481</v>
      </c>
      <c r="B121" s="4" t="s">
        <v>482</v>
      </c>
      <c r="C121" s="5" t="s">
        <v>73</v>
      </c>
      <c r="D121" s="6" t="s">
        <v>483</v>
      </c>
      <c r="E121" s="6" t="s">
        <v>33</v>
      </c>
      <c r="F121" s="6" t="s">
        <v>34</v>
      </c>
      <c r="G121" s="6" t="s">
        <v>35</v>
      </c>
      <c r="H121" s="6" t="s">
        <v>36</v>
      </c>
      <c r="I121" s="6" t="s">
        <v>37</v>
      </c>
      <c r="J121" s="6" t="s">
        <v>38</v>
      </c>
      <c r="K121" s="6" t="s">
        <v>39</v>
      </c>
      <c r="L121" s="6" t="s">
        <v>40</v>
      </c>
      <c r="M121" s="6" t="s">
        <v>41</v>
      </c>
      <c r="N121" s="6" t="s">
        <v>149</v>
      </c>
      <c r="O121" s="4" t="s">
        <v>43</v>
      </c>
      <c r="P121" s="6" t="s">
        <v>81</v>
      </c>
      <c r="Q121" s="4" t="s">
        <v>75</v>
      </c>
      <c r="R121" s="6"/>
      <c r="S121" s="6" t="s">
        <v>46</v>
      </c>
      <c r="T121" s="3"/>
      <c r="U121" s="3"/>
      <c r="V121" s="4"/>
      <c r="W121" s="6"/>
      <c r="X121" s="6"/>
      <c r="Y121" s="6"/>
      <c r="Z121" s="4"/>
      <c r="AA121" s="3"/>
      <c r="AB121" s="9">
        <v>1871.42</v>
      </c>
      <c r="AC121" s="9">
        <v>3199</v>
      </c>
    </row>
    <row r="122" spans="1:29" s="1" customFormat="1" ht="10.9" customHeight="1" x14ac:dyDescent="0.2">
      <c r="A122" s="3" t="s">
        <v>484</v>
      </c>
      <c r="B122" s="4" t="s">
        <v>485</v>
      </c>
      <c r="C122" s="5" t="s">
        <v>73</v>
      </c>
      <c r="D122" s="6" t="s">
        <v>486</v>
      </c>
      <c r="E122" s="6" t="s">
        <v>33</v>
      </c>
      <c r="F122" s="6" t="s">
        <v>34</v>
      </c>
      <c r="G122" s="6" t="s">
        <v>35</v>
      </c>
      <c r="H122" s="6" t="s">
        <v>115</v>
      </c>
      <c r="I122" s="6" t="s">
        <v>37</v>
      </c>
      <c r="J122" s="6" t="s">
        <v>38</v>
      </c>
      <c r="K122" s="6" t="s">
        <v>39</v>
      </c>
      <c r="L122" s="6" t="s">
        <v>40</v>
      </c>
      <c r="M122" s="6" t="s">
        <v>41</v>
      </c>
      <c r="N122" s="6" t="s">
        <v>60</v>
      </c>
      <c r="O122" s="4" t="s">
        <v>43</v>
      </c>
      <c r="P122" s="6" t="s">
        <v>81</v>
      </c>
      <c r="Q122" s="4" t="s">
        <v>75</v>
      </c>
      <c r="R122" s="6"/>
      <c r="S122" s="6" t="s">
        <v>46</v>
      </c>
      <c r="T122" s="3"/>
      <c r="U122" s="3"/>
      <c r="V122" s="4"/>
      <c r="W122" s="6"/>
      <c r="X122" s="6"/>
      <c r="Y122" s="6"/>
      <c r="Z122" s="4" t="s">
        <v>474</v>
      </c>
      <c r="AA122" s="3"/>
      <c r="AB122" s="9">
        <v>1988.42</v>
      </c>
      <c r="AC122" s="9">
        <v>3399</v>
      </c>
    </row>
    <row r="123" spans="1:29" s="1" customFormat="1" ht="10.9" customHeight="1" x14ac:dyDescent="0.2">
      <c r="A123" s="3" t="s">
        <v>487</v>
      </c>
      <c r="B123" s="4" t="s">
        <v>488</v>
      </c>
      <c r="C123" s="5" t="s">
        <v>73</v>
      </c>
      <c r="D123" s="6" t="s">
        <v>489</v>
      </c>
      <c r="E123" s="6" t="s">
        <v>33</v>
      </c>
      <c r="F123" s="6" t="s">
        <v>34</v>
      </c>
      <c r="G123" s="6" t="s">
        <v>35</v>
      </c>
      <c r="H123" s="6" t="s">
        <v>115</v>
      </c>
      <c r="I123" s="6" t="s">
        <v>37</v>
      </c>
      <c r="J123" s="6" t="s">
        <v>38</v>
      </c>
      <c r="K123" s="6" t="s">
        <v>39</v>
      </c>
      <c r="L123" s="6" t="s">
        <v>40</v>
      </c>
      <c r="M123" s="6" t="s">
        <v>41</v>
      </c>
      <c r="N123" s="6" t="s">
        <v>60</v>
      </c>
      <c r="O123" s="4" t="s">
        <v>43</v>
      </c>
      <c r="P123" s="6" t="s">
        <v>81</v>
      </c>
      <c r="Q123" s="4" t="s">
        <v>75</v>
      </c>
      <c r="R123" s="6"/>
      <c r="S123" s="6" t="s">
        <v>46</v>
      </c>
      <c r="T123" s="3"/>
      <c r="U123" s="3"/>
      <c r="V123" s="4"/>
      <c r="W123" s="6"/>
      <c r="X123" s="6"/>
      <c r="Y123" s="6"/>
      <c r="Z123" s="4" t="s">
        <v>474</v>
      </c>
      <c r="AA123" s="3"/>
      <c r="AB123" s="9">
        <v>1988.42</v>
      </c>
      <c r="AC123" s="9">
        <v>3399</v>
      </c>
    </row>
    <row r="124" spans="1:29" s="1" customFormat="1" ht="10.9" customHeight="1" x14ac:dyDescent="0.2">
      <c r="A124" s="3" t="s">
        <v>490</v>
      </c>
      <c r="B124" s="4" t="s">
        <v>491</v>
      </c>
      <c r="C124" s="5" t="s">
        <v>73</v>
      </c>
      <c r="D124" s="6" t="s">
        <v>492</v>
      </c>
      <c r="E124" s="6" t="s">
        <v>33</v>
      </c>
      <c r="F124" s="6" t="s">
        <v>34</v>
      </c>
      <c r="G124" s="6" t="s">
        <v>35</v>
      </c>
      <c r="H124" s="6" t="s">
        <v>115</v>
      </c>
      <c r="I124" s="6" t="s">
        <v>37</v>
      </c>
      <c r="J124" s="6" t="s">
        <v>38</v>
      </c>
      <c r="K124" s="6" t="s">
        <v>39</v>
      </c>
      <c r="L124" s="6" t="s">
        <v>493</v>
      </c>
      <c r="M124" s="6" t="s">
        <v>41</v>
      </c>
      <c r="N124" s="6" t="s">
        <v>60</v>
      </c>
      <c r="O124" s="4" t="s">
        <v>43</v>
      </c>
      <c r="P124" s="6" t="s">
        <v>81</v>
      </c>
      <c r="Q124" s="4" t="s">
        <v>75</v>
      </c>
      <c r="R124" s="6"/>
      <c r="S124" s="6" t="s">
        <v>46</v>
      </c>
      <c r="T124" s="3"/>
      <c r="U124" s="3"/>
      <c r="V124" s="4"/>
      <c r="W124" s="6"/>
      <c r="X124" s="6"/>
      <c r="Y124" s="6"/>
      <c r="Z124" s="4" t="s">
        <v>474</v>
      </c>
      <c r="AA124" s="3"/>
      <c r="AB124" s="9">
        <v>1988.42</v>
      </c>
      <c r="AC124" s="9">
        <v>3399</v>
      </c>
    </row>
    <row r="125" spans="1:29" s="1" customFormat="1" ht="10.9" customHeight="1" x14ac:dyDescent="0.2">
      <c r="A125" s="3" t="s">
        <v>494</v>
      </c>
      <c r="B125" s="4" t="s">
        <v>495</v>
      </c>
      <c r="C125" s="5" t="s">
        <v>31</v>
      </c>
      <c r="D125" s="6" t="s">
        <v>496</v>
      </c>
      <c r="E125" s="6" t="s">
        <v>33</v>
      </c>
      <c r="F125" s="6" t="s">
        <v>34</v>
      </c>
      <c r="G125" s="6" t="s">
        <v>35</v>
      </c>
      <c r="H125" s="6" t="s">
        <v>80</v>
      </c>
      <c r="I125" s="6" t="s">
        <v>37</v>
      </c>
      <c r="J125" s="6" t="s">
        <v>38</v>
      </c>
      <c r="K125" s="6" t="s">
        <v>39</v>
      </c>
      <c r="L125" s="6" t="s">
        <v>40</v>
      </c>
      <c r="M125" s="6" t="s">
        <v>41</v>
      </c>
      <c r="N125" s="6" t="s">
        <v>42</v>
      </c>
      <c r="O125" s="4" t="s">
        <v>43</v>
      </c>
      <c r="P125" s="6" t="s">
        <v>44</v>
      </c>
      <c r="Q125" s="4" t="s">
        <v>45</v>
      </c>
      <c r="R125" s="6"/>
      <c r="S125" s="6" t="s">
        <v>46</v>
      </c>
      <c r="T125" s="3"/>
      <c r="U125" s="3"/>
      <c r="V125" s="4"/>
      <c r="W125" s="6"/>
      <c r="X125" s="6"/>
      <c r="Y125" s="6"/>
      <c r="Z125" s="4"/>
      <c r="AA125" s="3"/>
      <c r="AB125" s="9">
        <v>1871.42</v>
      </c>
      <c r="AC125" s="9">
        <v>3199</v>
      </c>
    </row>
    <row r="126" spans="1:29" s="1" customFormat="1" ht="10.9" customHeight="1" x14ac:dyDescent="0.2">
      <c r="A126" s="3" t="s">
        <v>497</v>
      </c>
      <c r="B126" s="4" t="s">
        <v>498</v>
      </c>
      <c r="C126" s="5" t="s">
        <v>31</v>
      </c>
      <c r="D126" s="6" t="s">
        <v>499</v>
      </c>
      <c r="E126" s="6" t="s">
        <v>33</v>
      </c>
      <c r="F126" s="6" t="s">
        <v>34</v>
      </c>
      <c r="G126" s="6" t="s">
        <v>35</v>
      </c>
      <c r="H126" s="6" t="s">
        <v>36</v>
      </c>
      <c r="I126" s="6" t="s">
        <v>37</v>
      </c>
      <c r="J126" s="6" t="s">
        <v>38</v>
      </c>
      <c r="K126" s="6" t="s">
        <v>39</v>
      </c>
      <c r="L126" s="6" t="s">
        <v>40</v>
      </c>
      <c r="M126" s="6" t="s">
        <v>41</v>
      </c>
      <c r="N126" s="6" t="s">
        <v>60</v>
      </c>
      <c r="O126" s="4" t="s">
        <v>43</v>
      </c>
      <c r="P126" s="6" t="s">
        <v>44</v>
      </c>
      <c r="Q126" s="4" t="s">
        <v>45</v>
      </c>
      <c r="R126" s="6"/>
      <c r="S126" s="6" t="s">
        <v>46</v>
      </c>
      <c r="T126" s="3"/>
      <c r="U126" s="3"/>
      <c r="V126" s="4"/>
      <c r="W126" s="6"/>
      <c r="X126" s="6"/>
      <c r="Y126" s="6"/>
      <c r="Z126" s="4"/>
      <c r="AA126" s="3"/>
      <c r="AB126" s="9">
        <v>1520.42</v>
      </c>
      <c r="AC126" s="9">
        <v>2599</v>
      </c>
    </row>
    <row r="127" spans="1:29" s="1" customFormat="1" ht="10.9" customHeight="1" x14ac:dyDescent="0.2">
      <c r="A127" s="3" t="s">
        <v>500</v>
      </c>
      <c r="B127" s="4" t="s">
        <v>501</v>
      </c>
      <c r="C127" s="5" t="s">
        <v>31</v>
      </c>
      <c r="D127" s="6" t="s">
        <v>502</v>
      </c>
      <c r="E127" s="6" t="s">
        <v>33</v>
      </c>
      <c r="F127" s="6" t="s">
        <v>34</v>
      </c>
      <c r="G127" s="6" t="s">
        <v>35</v>
      </c>
      <c r="H127" s="6" t="s">
        <v>115</v>
      </c>
      <c r="I127" s="6" t="s">
        <v>37</v>
      </c>
      <c r="J127" s="6" t="s">
        <v>38</v>
      </c>
      <c r="K127" s="6" t="s">
        <v>39</v>
      </c>
      <c r="L127" s="6" t="s">
        <v>40</v>
      </c>
      <c r="M127" s="6" t="s">
        <v>41</v>
      </c>
      <c r="N127" s="6" t="s">
        <v>60</v>
      </c>
      <c r="O127" s="4" t="s">
        <v>43</v>
      </c>
      <c r="P127" s="6" t="s">
        <v>44</v>
      </c>
      <c r="Q127" s="4" t="s">
        <v>45</v>
      </c>
      <c r="R127" s="6"/>
      <c r="S127" s="6" t="s">
        <v>46</v>
      </c>
      <c r="T127" s="3"/>
      <c r="U127" s="3"/>
      <c r="V127" s="4"/>
      <c r="W127" s="6"/>
      <c r="X127" s="6"/>
      <c r="Y127" s="6"/>
      <c r="Z127" s="4"/>
      <c r="AA127" s="3"/>
      <c r="AB127" s="9">
        <v>1520.42</v>
      </c>
      <c r="AC127" s="9">
        <v>2599</v>
      </c>
    </row>
    <row r="128" spans="1:29" s="1" customFormat="1" ht="10.9" customHeight="1" x14ac:dyDescent="0.2">
      <c r="A128" s="3" t="s">
        <v>503</v>
      </c>
      <c r="B128" s="4" t="s">
        <v>504</v>
      </c>
      <c r="C128" s="5" t="s">
        <v>31</v>
      </c>
      <c r="D128" s="6" t="s">
        <v>505</v>
      </c>
      <c r="E128" s="6" t="s">
        <v>33</v>
      </c>
      <c r="F128" s="6" t="s">
        <v>34</v>
      </c>
      <c r="G128" s="6" t="s">
        <v>35</v>
      </c>
      <c r="H128" s="6" t="s">
        <v>115</v>
      </c>
      <c r="I128" s="6" t="s">
        <v>37</v>
      </c>
      <c r="J128" s="6" t="s">
        <v>38</v>
      </c>
      <c r="K128" s="6" t="s">
        <v>39</v>
      </c>
      <c r="L128" s="6" t="s">
        <v>40</v>
      </c>
      <c r="M128" s="6" t="s">
        <v>41</v>
      </c>
      <c r="N128" s="6" t="s">
        <v>60</v>
      </c>
      <c r="O128" s="4" t="s">
        <v>43</v>
      </c>
      <c r="P128" s="6" t="s">
        <v>44</v>
      </c>
      <c r="Q128" s="4" t="s">
        <v>45</v>
      </c>
      <c r="R128" s="6"/>
      <c r="S128" s="6" t="s">
        <v>46</v>
      </c>
      <c r="T128" s="3"/>
      <c r="U128" s="3"/>
      <c r="V128" s="4"/>
      <c r="W128" s="6"/>
      <c r="X128" s="6"/>
      <c r="Y128" s="6"/>
      <c r="Z128" s="4"/>
      <c r="AA128" s="3"/>
      <c r="AB128" s="9">
        <v>1520.42</v>
      </c>
      <c r="AC128" s="9">
        <v>2599</v>
      </c>
    </row>
    <row r="129" spans="1:29" s="1" customFormat="1" ht="10.9" customHeight="1" x14ac:dyDescent="0.2">
      <c r="A129" s="3" t="s">
        <v>506</v>
      </c>
      <c r="B129" s="4" t="s">
        <v>507</v>
      </c>
      <c r="C129" s="5" t="s">
        <v>73</v>
      </c>
      <c r="D129" s="6" t="s">
        <v>508</v>
      </c>
      <c r="E129" s="6" t="s">
        <v>33</v>
      </c>
      <c r="F129" s="6" t="s">
        <v>34</v>
      </c>
      <c r="G129" s="6" t="s">
        <v>35</v>
      </c>
      <c r="H129" s="6" t="s">
        <v>122</v>
      </c>
      <c r="I129" s="6" t="s">
        <v>37</v>
      </c>
      <c r="J129" s="6" t="s">
        <v>38</v>
      </c>
      <c r="K129" s="6" t="s">
        <v>39</v>
      </c>
      <c r="L129" s="6" t="s">
        <v>40</v>
      </c>
      <c r="M129" s="6" t="s">
        <v>41</v>
      </c>
      <c r="N129" s="6" t="s">
        <v>149</v>
      </c>
      <c r="O129" s="4" t="s">
        <v>43</v>
      </c>
      <c r="P129" s="6" t="s">
        <v>81</v>
      </c>
      <c r="Q129" s="4" t="s">
        <v>75</v>
      </c>
      <c r="R129" s="6"/>
      <c r="S129" s="6" t="s">
        <v>46</v>
      </c>
      <c r="T129" s="3"/>
      <c r="U129" s="3"/>
      <c r="V129" s="4"/>
      <c r="W129" s="6"/>
      <c r="X129" s="6"/>
      <c r="Y129" s="6"/>
      <c r="Z129" s="4"/>
      <c r="AA129" s="3"/>
      <c r="AB129" s="9">
        <v>1871.42</v>
      </c>
      <c r="AC129" s="9">
        <v>3199</v>
      </c>
    </row>
    <row r="130" spans="1:29" s="1" customFormat="1" ht="10.9" customHeight="1" x14ac:dyDescent="0.2">
      <c r="A130" s="3" t="s">
        <v>509</v>
      </c>
      <c r="B130" s="4" t="s">
        <v>510</v>
      </c>
      <c r="C130" s="5" t="s">
        <v>31</v>
      </c>
      <c r="D130" s="6" t="s">
        <v>511</v>
      </c>
      <c r="E130" s="6" t="s">
        <v>33</v>
      </c>
      <c r="F130" s="6" t="s">
        <v>34</v>
      </c>
      <c r="G130" s="6" t="s">
        <v>35</v>
      </c>
      <c r="H130" s="6" t="s">
        <v>122</v>
      </c>
      <c r="I130" s="6" t="s">
        <v>37</v>
      </c>
      <c r="J130" s="6" t="s">
        <v>38</v>
      </c>
      <c r="K130" s="6" t="s">
        <v>39</v>
      </c>
      <c r="L130" s="6" t="s">
        <v>40</v>
      </c>
      <c r="M130" s="6" t="s">
        <v>41</v>
      </c>
      <c r="N130" s="6" t="s">
        <v>60</v>
      </c>
      <c r="O130" s="4" t="s">
        <v>43</v>
      </c>
      <c r="P130" s="6" t="s">
        <v>44</v>
      </c>
      <c r="Q130" s="4" t="s">
        <v>512</v>
      </c>
      <c r="R130" s="6"/>
      <c r="S130" s="6" t="s">
        <v>46</v>
      </c>
      <c r="T130" s="3"/>
      <c r="U130" s="3"/>
      <c r="V130" s="4"/>
      <c r="W130" s="6"/>
      <c r="X130" s="6"/>
      <c r="Y130" s="6"/>
      <c r="Z130" s="4"/>
      <c r="AA130" s="3"/>
      <c r="AB130" s="9">
        <v>1988.42</v>
      </c>
      <c r="AC130" s="9">
        <v>3399</v>
      </c>
    </row>
    <row r="131" spans="1:29" s="1" customFormat="1" ht="10.9" customHeight="1" x14ac:dyDescent="0.2">
      <c r="A131" s="3" t="s">
        <v>513</v>
      </c>
      <c r="B131" s="4" t="s">
        <v>514</v>
      </c>
      <c r="C131" s="5" t="s">
        <v>31</v>
      </c>
      <c r="D131" s="6" t="s">
        <v>515</v>
      </c>
      <c r="E131" s="6" t="s">
        <v>33</v>
      </c>
      <c r="F131" s="6" t="s">
        <v>34</v>
      </c>
      <c r="G131" s="6" t="s">
        <v>35</v>
      </c>
      <c r="H131" s="6" t="s">
        <v>52</v>
      </c>
      <c r="I131" s="6" t="s">
        <v>37</v>
      </c>
      <c r="J131" s="6" t="s">
        <v>38</v>
      </c>
      <c r="K131" s="6" t="s">
        <v>39</v>
      </c>
      <c r="L131" s="6" t="s">
        <v>40</v>
      </c>
      <c r="M131" s="6" t="s">
        <v>41</v>
      </c>
      <c r="N131" s="6" t="s">
        <v>60</v>
      </c>
      <c r="O131" s="4" t="s">
        <v>43</v>
      </c>
      <c r="P131" s="6" t="s">
        <v>44</v>
      </c>
      <c r="Q131" s="4" t="s">
        <v>45</v>
      </c>
      <c r="R131" s="6"/>
      <c r="S131" s="6" t="s">
        <v>46</v>
      </c>
      <c r="T131" s="3"/>
      <c r="U131" s="3"/>
      <c r="V131" s="4"/>
      <c r="W131" s="6"/>
      <c r="X131" s="6"/>
      <c r="Y131" s="6"/>
      <c r="Z131" s="4"/>
      <c r="AA131" s="3"/>
      <c r="AB131" s="9">
        <v>1695.92</v>
      </c>
      <c r="AC131" s="9">
        <v>2899</v>
      </c>
    </row>
    <row r="132" spans="1:29" s="1" customFormat="1" ht="10.9" customHeight="1" x14ac:dyDescent="0.2">
      <c r="A132" s="3" t="s">
        <v>516</v>
      </c>
      <c r="B132" s="4" t="s">
        <v>517</v>
      </c>
      <c r="C132" s="5" t="s">
        <v>73</v>
      </c>
      <c r="D132" s="6" t="s">
        <v>518</v>
      </c>
      <c r="E132" s="6" t="s">
        <v>33</v>
      </c>
      <c r="F132" s="6" t="s">
        <v>34</v>
      </c>
      <c r="G132" s="6" t="s">
        <v>35</v>
      </c>
      <c r="H132" s="6" t="s">
        <v>163</v>
      </c>
      <c r="I132" s="6" t="s">
        <v>57</v>
      </c>
      <c r="J132" s="6" t="s">
        <v>38</v>
      </c>
      <c r="K132" s="6" t="s">
        <v>39</v>
      </c>
      <c r="L132" s="6" t="s">
        <v>40</v>
      </c>
      <c r="M132" s="6" t="s">
        <v>41</v>
      </c>
      <c r="N132" s="6" t="s">
        <v>60</v>
      </c>
      <c r="O132" s="4" t="s">
        <v>43</v>
      </c>
      <c r="P132" s="6" t="s">
        <v>44</v>
      </c>
      <c r="Q132" s="4" t="s">
        <v>75</v>
      </c>
      <c r="R132" s="6"/>
      <c r="S132" s="6" t="s">
        <v>46</v>
      </c>
      <c r="T132" s="3"/>
      <c r="U132" s="3"/>
      <c r="V132" s="4"/>
      <c r="W132" s="6"/>
      <c r="X132" s="6"/>
      <c r="Y132" s="6"/>
      <c r="Z132" s="4"/>
      <c r="AA132" s="3"/>
      <c r="AB132" s="9">
        <v>2514.92</v>
      </c>
      <c r="AC132" s="9">
        <v>4299</v>
      </c>
    </row>
    <row r="133" spans="1:29" s="1" customFormat="1" ht="10.9" customHeight="1" x14ac:dyDescent="0.2">
      <c r="A133" s="3" t="s">
        <v>519</v>
      </c>
      <c r="B133" s="4" t="s">
        <v>520</v>
      </c>
      <c r="C133" s="5" t="s">
        <v>73</v>
      </c>
      <c r="D133" s="6" t="s">
        <v>518</v>
      </c>
      <c r="E133" s="6" t="s">
        <v>33</v>
      </c>
      <c r="F133" s="6" t="s">
        <v>34</v>
      </c>
      <c r="G133" s="6" t="s">
        <v>35</v>
      </c>
      <c r="H133" s="6" t="s">
        <v>163</v>
      </c>
      <c r="I133" s="6" t="s">
        <v>65</v>
      </c>
      <c r="J133" s="6" t="s">
        <v>38</v>
      </c>
      <c r="K133" s="6" t="s">
        <v>39</v>
      </c>
      <c r="L133" s="6" t="s">
        <v>40</v>
      </c>
      <c r="M133" s="6" t="s">
        <v>41</v>
      </c>
      <c r="N133" s="6" t="s">
        <v>60</v>
      </c>
      <c r="O133" s="4" t="s">
        <v>43</v>
      </c>
      <c r="P133" s="6" t="s">
        <v>44</v>
      </c>
      <c r="Q133" s="4" t="s">
        <v>75</v>
      </c>
      <c r="R133" s="6"/>
      <c r="S133" s="6" t="s">
        <v>46</v>
      </c>
      <c r="T133" s="3"/>
      <c r="U133" s="3"/>
      <c r="V133" s="4"/>
      <c r="W133" s="6"/>
      <c r="X133" s="6"/>
      <c r="Y133" s="6"/>
      <c r="Z133" s="4"/>
      <c r="AA133" s="3"/>
      <c r="AB133" s="9">
        <v>2514.92</v>
      </c>
      <c r="AC133" s="9">
        <v>4299</v>
      </c>
    </row>
    <row r="134" spans="1:29" s="1" customFormat="1" ht="10.9" customHeight="1" x14ac:dyDescent="0.2">
      <c r="A134" s="3" t="s">
        <v>521</v>
      </c>
      <c r="B134" s="4" t="s">
        <v>522</v>
      </c>
      <c r="C134" s="5" t="s">
        <v>73</v>
      </c>
      <c r="D134" s="6" t="s">
        <v>523</v>
      </c>
      <c r="E134" s="6" t="s">
        <v>33</v>
      </c>
      <c r="F134" s="6" t="s">
        <v>34</v>
      </c>
      <c r="G134" s="6" t="s">
        <v>35</v>
      </c>
      <c r="H134" s="6" t="s">
        <v>163</v>
      </c>
      <c r="I134" s="6" t="s">
        <v>65</v>
      </c>
      <c r="J134" s="6" t="s">
        <v>38</v>
      </c>
      <c r="K134" s="6" t="s">
        <v>39</v>
      </c>
      <c r="L134" s="6" t="s">
        <v>40</v>
      </c>
      <c r="M134" s="6" t="s">
        <v>41</v>
      </c>
      <c r="N134" s="6" t="s">
        <v>60</v>
      </c>
      <c r="O134" s="4" t="s">
        <v>43</v>
      </c>
      <c r="P134" s="6" t="s">
        <v>44</v>
      </c>
      <c r="Q134" s="4" t="s">
        <v>75</v>
      </c>
      <c r="R134" s="6"/>
      <c r="S134" s="6" t="s">
        <v>46</v>
      </c>
      <c r="T134" s="3"/>
      <c r="U134" s="3"/>
      <c r="V134" s="4"/>
      <c r="W134" s="6"/>
      <c r="X134" s="6"/>
      <c r="Y134" s="6"/>
      <c r="Z134" s="4"/>
      <c r="AA134" s="3"/>
      <c r="AB134" s="9">
        <v>2514.92</v>
      </c>
      <c r="AC134" s="9">
        <v>4299</v>
      </c>
    </row>
    <row r="135" spans="1:29" s="1" customFormat="1" ht="10.9" customHeight="1" x14ac:dyDescent="0.2">
      <c r="A135" s="3" t="s">
        <v>524</v>
      </c>
      <c r="B135" s="4" t="s">
        <v>525</v>
      </c>
      <c r="C135" s="5" t="s">
        <v>73</v>
      </c>
      <c r="D135" s="6" t="s">
        <v>523</v>
      </c>
      <c r="E135" s="6" t="s">
        <v>33</v>
      </c>
      <c r="F135" s="6" t="s">
        <v>34</v>
      </c>
      <c r="G135" s="6" t="s">
        <v>35</v>
      </c>
      <c r="H135" s="6" t="s">
        <v>163</v>
      </c>
      <c r="I135" s="6" t="s">
        <v>57</v>
      </c>
      <c r="J135" s="6" t="s">
        <v>38</v>
      </c>
      <c r="K135" s="6" t="s">
        <v>39</v>
      </c>
      <c r="L135" s="6" t="s">
        <v>40</v>
      </c>
      <c r="M135" s="6" t="s">
        <v>41</v>
      </c>
      <c r="N135" s="6" t="s">
        <v>60</v>
      </c>
      <c r="O135" s="4" t="s">
        <v>43</v>
      </c>
      <c r="P135" s="6" t="s">
        <v>44</v>
      </c>
      <c r="Q135" s="4" t="s">
        <v>75</v>
      </c>
      <c r="R135" s="6"/>
      <c r="S135" s="6" t="s">
        <v>46</v>
      </c>
      <c r="T135" s="3"/>
      <c r="U135" s="3"/>
      <c r="V135" s="4"/>
      <c r="W135" s="6"/>
      <c r="X135" s="6"/>
      <c r="Y135" s="6"/>
      <c r="Z135" s="4"/>
      <c r="AA135" s="3"/>
      <c r="AB135" s="9">
        <v>2514.92</v>
      </c>
      <c r="AC135" s="9">
        <v>4299</v>
      </c>
    </row>
    <row r="136" spans="1:29" s="1" customFormat="1" ht="10.9" customHeight="1" x14ac:dyDescent="0.2">
      <c r="A136" s="3" t="s">
        <v>526</v>
      </c>
      <c r="B136" s="4" t="s">
        <v>527</v>
      </c>
      <c r="C136" s="5" t="s">
        <v>73</v>
      </c>
      <c r="D136" s="6" t="s">
        <v>528</v>
      </c>
      <c r="E136" s="6" t="s">
        <v>33</v>
      </c>
      <c r="F136" s="6" t="s">
        <v>34</v>
      </c>
      <c r="G136" s="6" t="s">
        <v>35</v>
      </c>
      <c r="H136" s="6" t="s">
        <v>115</v>
      </c>
      <c r="I136" s="6" t="s">
        <v>37</v>
      </c>
      <c r="J136" s="6" t="s">
        <v>38</v>
      </c>
      <c r="K136" s="6" t="s">
        <v>39</v>
      </c>
      <c r="L136" s="6" t="s">
        <v>493</v>
      </c>
      <c r="M136" s="6" t="s">
        <v>41</v>
      </c>
      <c r="N136" s="6" t="s">
        <v>60</v>
      </c>
      <c r="O136" s="4" t="s">
        <v>43</v>
      </c>
      <c r="P136" s="6" t="s">
        <v>44</v>
      </c>
      <c r="Q136" s="4" t="s">
        <v>75</v>
      </c>
      <c r="R136" s="6"/>
      <c r="S136" s="6" t="s">
        <v>46</v>
      </c>
      <c r="T136" s="3"/>
      <c r="U136" s="3"/>
      <c r="V136" s="4"/>
      <c r="W136" s="6"/>
      <c r="X136" s="6"/>
      <c r="Y136" s="6"/>
      <c r="Z136" s="4"/>
      <c r="AA136" s="3"/>
      <c r="AB136" s="9">
        <v>1695.92</v>
      </c>
      <c r="AC136" s="9">
        <v>2899</v>
      </c>
    </row>
    <row r="137" spans="1:29" s="1" customFormat="1" ht="10.9" customHeight="1" x14ac:dyDescent="0.2">
      <c r="A137" s="3" t="s">
        <v>529</v>
      </c>
      <c r="B137" s="4" t="s">
        <v>530</v>
      </c>
      <c r="C137" s="5" t="s">
        <v>73</v>
      </c>
      <c r="D137" s="6" t="s">
        <v>531</v>
      </c>
      <c r="E137" s="6" t="s">
        <v>33</v>
      </c>
      <c r="F137" s="6" t="s">
        <v>34</v>
      </c>
      <c r="G137" s="6" t="s">
        <v>35</v>
      </c>
      <c r="H137" s="6" t="s">
        <v>163</v>
      </c>
      <c r="I137" s="6" t="s">
        <v>37</v>
      </c>
      <c r="J137" s="6" t="s">
        <v>38</v>
      </c>
      <c r="K137" s="6" t="s">
        <v>39</v>
      </c>
      <c r="L137" s="6" t="s">
        <v>40</v>
      </c>
      <c r="M137" s="6" t="s">
        <v>41</v>
      </c>
      <c r="N137" s="6" t="s">
        <v>42</v>
      </c>
      <c r="O137" s="4" t="s">
        <v>43</v>
      </c>
      <c r="P137" s="6" t="s">
        <v>81</v>
      </c>
      <c r="Q137" s="4" t="s">
        <v>75</v>
      </c>
      <c r="R137" s="6"/>
      <c r="S137" s="6" t="s">
        <v>46</v>
      </c>
      <c r="T137" s="3"/>
      <c r="U137" s="3"/>
      <c r="V137" s="4"/>
      <c r="W137" s="6"/>
      <c r="X137" s="6"/>
      <c r="Y137" s="6"/>
      <c r="Z137" s="4"/>
      <c r="AA137" s="3"/>
      <c r="AB137" s="9">
        <v>1871.42</v>
      </c>
      <c r="AC137" s="9">
        <v>3199</v>
      </c>
    </row>
    <row r="138" spans="1:29" s="1" customFormat="1" ht="10.9" customHeight="1" x14ac:dyDescent="0.2">
      <c r="A138" s="3" t="s">
        <v>532</v>
      </c>
      <c r="B138" s="4" t="s">
        <v>533</v>
      </c>
      <c r="C138" s="5" t="s">
        <v>31</v>
      </c>
      <c r="D138" s="6" t="s">
        <v>534</v>
      </c>
      <c r="E138" s="6" t="s">
        <v>33</v>
      </c>
      <c r="F138" s="6" t="s">
        <v>34</v>
      </c>
      <c r="G138" s="6" t="s">
        <v>35</v>
      </c>
      <c r="H138" s="6" t="s">
        <v>36</v>
      </c>
      <c r="I138" s="6" t="s">
        <v>65</v>
      </c>
      <c r="J138" s="6" t="s">
        <v>38</v>
      </c>
      <c r="K138" s="6" t="s">
        <v>39</v>
      </c>
      <c r="L138" s="6" t="s">
        <v>40</v>
      </c>
      <c r="M138" s="6" t="s">
        <v>41</v>
      </c>
      <c r="N138" s="6" t="s">
        <v>60</v>
      </c>
      <c r="O138" s="4" t="s">
        <v>43</v>
      </c>
      <c r="P138" s="6" t="s">
        <v>81</v>
      </c>
      <c r="Q138" s="4" t="s">
        <v>535</v>
      </c>
      <c r="R138" s="6"/>
      <c r="S138" s="6" t="s">
        <v>46</v>
      </c>
      <c r="T138" s="3"/>
      <c r="U138" s="3"/>
      <c r="V138" s="4"/>
      <c r="W138" s="6"/>
      <c r="X138" s="6"/>
      <c r="Y138" s="6"/>
      <c r="Z138" s="4"/>
      <c r="AA138" s="3"/>
      <c r="AB138" s="9">
        <v>2222.42</v>
      </c>
      <c r="AC138" s="9">
        <v>3799</v>
      </c>
    </row>
    <row r="139" spans="1:29" s="1" customFormat="1" ht="10.9" customHeight="1" x14ac:dyDescent="0.2">
      <c r="A139" s="3" t="s">
        <v>536</v>
      </c>
      <c r="B139" s="4" t="s">
        <v>537</v>
      </c>
      <c r="C139" s="5" t="s">
        <v>31</v>
      </c>
      <c r="D139" s="6" t="s">
        <v>534</v>
      </c>
      <c r="E139" s="6" t="s">
        <v>33</v>
      </c>
      <c r="F139" s="6" t="s">
        <v>34</v>
      </c>
      <c r="G139" s="6" t="s">
        <v>35</v>
      </c>
      <c r="H139" s="6" t="s">
        <v>36</v>
      </c>
      <c r="I139" s="6" t="s">
        <v>57</v>
      </c>
      <c r="J139" s="6" t="s">
        <v>38</v>
      </c>
      <c r="K139" s="6" t="s">
        <v>39</v>
      </c>
      <c r="L139" s="6" t="s">
        <v>40</v>
      </c>
      <c r="M139" s="6" t="s">
        <v>41</v>
      </c>
      <c r="N139" s="6" t="s">
        <v>60</v>
      </c>
      <c r="O139" s="4" t="s">
        <v>43</v>
      </c>
      <c r="P139" s="6" t="s">
        <v>81</v>
      </c>
      <c r="Q139" s="4" t="s">
        <v>535</v>
      </c>
      <c r="R139" s="6"/>
      <c r="S139" s="6" t="s">
        <v>46</v>
      </c>
      <c r="T139" s="3"/>
      <c r="U139" s="3"/>
      <c r="V139" s="4"/>
      <c r="W139" s="6"/>
      <c r="X139" s="6"/>
      <c r="Y139" s="6"/>
      <c r="Z139" s="4"/>
      <c r="AA139" s="3"/>
      <c r="AB139" s="9">
        <v>2222.42</v>
      </c>
      <c r="AC139" s="9">
        <v>3799</v>
      </c>
    </row>
    <row r="140" spans="1:29" s="1" customFormat="1" ht="10.9" customHeight="1" x14ac:dyDescent="0.2">
      <c r="A140" s="3" t="s">
        <v>538</v>
      </c>
      <c r="B140" s="4" t="s">
        <v>539</v>
      </c>
      <c r="C140" s="5" t="s">
        <v>31</v>
      </c>
      <c r="D140" s="6" t="s">
        <v>540</v>
      </c>
      <c r="E140" s="6" t="s">
        <v>33</v>
      </c>
      <c r="F140" s="6" t="s">
        <v>34</v>
      </c>
      <c r="G140" s="6" t="s">
        <v>35</v>
      </c>
      <c r="H140" s="6" t="s">
        <v>36</v>
      </c>
      <c r="I140" s="6" t="s">
        <v>65</v>
      </c>
      <c r="J140" s="6" t="s">
        <v>38</v>
      </c>
      <c r="K140" s="6" t="s">
        <v>39</v>
      </c>
      <c r="L140" s="6" t="s">
        <v>40</v>
      </c>
      <c r="M140" s="6" t="s">
        <v>41</v>
      </c>
      <c r="N140" s="6" t="s">
        <v>60</v>
      </c>
      <c r="O140" s="4" t="s">
        <v>43</v>
      </c>
      <c r="P140" s="6" t="s">
        <v>81</v>
      </c>
      <c r="Q140" s="4" t="s">
        <v>535</v>
      </c>
      <c r="R140" s="6"/>
      <c r="S140" s="6" t="s">
        <v>46</v>
      </c>
      <c r="T140" s="3"/>
      <c r="U140" s="3"/>
      <c r="V140" s="4"/>
      <c r="W140" s="6"/>
      <c r="X140" s="6"/>
      <c r="Y140" s="6"/>
      <c r="Z140" s="4"/>
      <c r="AA140" s="3"/>
      <c r="AB140" s="9">
        <v>2222.42</v>
      </c>
      <c r="AC140" s="9">
        <v>3799</v>
      </c>
    </row>
    <row r="141" spans="1:29" s="1" customFormat="1" ht="10.9" customHeight="1" x14ac:dyDescent="0.2">
      <c r="A141" s="3" t="s">
        <v>541</v>
      </c>
      <c r="B141" s="4" t="s">
        <v>542</v>
      </c>
      <c r="C141" s="5" t="s">
        <v>31</v>
      </c>
      <c r="D141" s="6" t="s">
        <v>540</v>
      </c>
      <c r="E141" s="6" t="s">
        <v>33</v>
      </c>
      <c r="F141" s="6" t="s">
        <v>34</v>
      </c>
      <c r="G141" s="6" t="s">
        <v>35</v>
      </c>
      <c r="H141" s="6" t="s">
        <v>36</v>
      </c>
      <c r="I141" s="6" t="s">
        <v>57</v>
      </c>
      <c r="J141" s="6" t="s">
        <v>38</v>
      </c>
      <c r="K141" s="6" t="s">
        <v>39</v>
      </c>
      <c r="L141" s="6" t="s">
        <v>40</v>
      </c>
      <c r="M141" s="6" t="s">
        <v>41</v>
      </c>
      <c r="N141" s="6" t="s">
        <v>60</v>
      </c>
      <c r="O141" s="4" t="s">
        <v>43</v>
      </c>
      <c r="P141" s="6" t="s">
        <v>81</v>
      </c>
      <c r="Q141" s="4" t="s">
        <v>535</v>
      </c>
      <c r="R141" s="6"/>
      <c r="S141" s="6" t="s">
        <v>46</v>
      </c>
      <c r="T141" s="3"/>
      <c r="U141" s="3"/>
      <c r="V141" s="4"/>
      <c r="W141" s="6"/>
      <c r="X141" s="6"/>
      <c r="Y141" s="6"/>
      <c r="Z141" s="4"/>
      <c r="AA141" s="3"/>
      <c r="AB141" s="9">
        <v>2222.42</v>
      </c>
      <c r="AC141" s="9">
        <v>3799</v>
      </c>
    </row>
    <row r="142" spans="1:29" s="1" customFormat="1" ht="10.9" customHeight="1" x14ac:dyDescent="0.2">
      <c r="A142" s="3" t="s">
        <v>543</v>
      </c>
      <c r="B142" s="4" t="s">
        <v>544</v>
      </c>
      <c r="C142" s="5" t="s">
        <v>31</v>
      </c>
      <c r="D142" s="6" t="s">
        <v>545</v>
      </c>
      <c r="E142" s="6" t="s">
        <v>33</v>
      </c>
      <c r="F142" s="6" t="s">
        <v>34</v>
      </c>
      <c r="G142" s="6" t="s">
        <v>35</v>
      </c>
      <c r="H142" s="6" t="s">
        <v>173</v>
      </c>
      <c r="I142" s="6" t="s">
        <v>57</v>
      </c>
      <c r="J142" s="6" t="s">
        <v>38</v>
      </c>
      <c r="K142" s="6" t="s">
        <v>39</v>
      </c>
      <c r="L142" s="6" t="s">
        <v>40</v>
      </c>
      <c r="M142" s="6" t="s">
        <v>41</v>
      </c>
      <c r="N142" s="6" t="s">
        <v>60</v>
      </c>
      <c r="O142" s="4" t="s">
        <v>43</v>
      </c>
      <c r="P142" s="6" t="s">
        <v>81</v>
      </c>
      <c r="Q142" s="4" t="s">
        <v>535</v>
      </c>
      <c r="R142" s="6"/>
      <c r="S142" s="6" t="s">
        <v>46</v>
      </c>
      <c r="T142" s="3"/>
      <c r="U142" s="3"/>
      <c r="V142" s="4"/>
      <c r="W142" s="6"/>
      <c r="X142" s="6"/>
      <c r="Y142" s="6"/>
      <c r="Z142" s="4"/>
      <c r="AA142" s="3"/>
      <c r="AB142" s="9">
        <v>2222.42</v>
      </c>
      <c r="AC142" s="9">
        <v>3799</v>
      </c>
    </row>
    <row r="143" spans="1:29" s="1" customFormat="1" ht="10.9" customHeight="1" x14ac:dyDescent="0.2">
      <c r="A143" s="3" t="s">
        <v>546</v>
      </c>
      <c r="B143" s="4" t="s">
        <v>547</v>
      </c>
      <c r="C143" s="5" t="s">
        <v>31</v>
      </c>
      <c r="D143" s="6" t="s">
        <v>545</v>
      </c>
      <c r="E143" s="6" t="s">
        <v>33</v>
      </c>
      <c r="F143" s="6" t="s">
        <v>34</v>
      </c>
      <c r="G143" s="6" t="s">
        <v>35</v>
      </c>
      <c r="H143" s="6" t="s">
        <v>173</v>
      </c>
      <c r="I143" s="6" t="s">
        <v>65</v>
      </c>
      <c r="J143" s="6" t="s">
        <v>38</v>
      </c>
      <c r="K143" s="6" t="s">
        <v>39</v>
      </c>
      <c r="L143" s="6" t="s">
        <v>40</v>
      </c>
      <c r="M143" s="6" t="s">
        <v>41</v>
      </c>
      <c r="N143" s="6" t="s">
        <v>60</v>
      </c>
      <c r="O143" s="4" t="s">
        <v>43</v>
      </c>
      <c r="P143" s="6" t="s">
        <v>81</v>
      </c>
      <c r="Q143" s="4" t="s">
        <v>535</v>
      </c>
      <c r="R143" s="6"/>
      <c r="S143" s="6" t="s">
        <v>46</v>
      </c>
      <c r="T143" s="3"/>
      <c r="U143" s="3"/>
      <c r="V143" s="4"/>
      <c r="W143" s="6"/>
      <c r="X143" s="6"/>
      <c r="Y143" s="6"/>
      <c r="Z143" s="4"/>
      <c r="AA143" s="3"/>
      <c r="AB143" s="9">
        <v>2222.42</v>
      </c>
      <c r="AC143" s="9">
        <v>3799</v>
      </c>
    </row>
    <row r="144" spans="1:29" s="1" customFormat="1" ht="10.9" customHeight="1" x14ac:dyDescent="0.2">
      <c r="A144" s="3" t="s">
        <v>548</v>
      </c>
      <c r="B144" s="4" t="s">
        <v>549</v>
      </c>
      <c r="C144" s="5" t="s">
        <v>31</v>
      </c>
      <c r="D144" s="6" t="s">
        <v>550</v>
      </c>
      <c r="E144" s="6" t="s">
        <v>33</v>
      </c>
      <c r="F144" s="6" t="s">
        <v>34</v>
      </c>
      <c r="G144" s="6" t="s">
        <v>35</v>
      </c>
      <c r="H144" s="6" t="s">
        <v>177</v>
      </c>
      <c r="I144" s="6" t="s">
        <v>65</v>
      </c>
      <c r="J144" s="6" t="s">
        <v>38</v>
      </c>
      <c r="K144" s="6" t="s">
        <v>39</v>
      </c>
      <c r="L144" s="6" t="s">
        <v>40</v>
      </c>
      <c r="M144" s="6" t="s">
        <v>41</v>
      </c>
      <c r="N144" s="6" t="s">
        <v>60</v>
      </c>
      <c r="O144" s="4" t="s">
        <v>43</v>
      </c>
      <c r="P144" s="6" t="s">
        <v>81</v>
      </c>
      <c r="Q144" s="4" t="s">
        <v>535</v>
      </c>
      <c r="R144" s="6"/>
      <c r="S144" s="6" t="s">
        <v>46</v>
      </c>
      <c r="T144" s="3"/>
      <c r="U144" s="3"/>
      <c r="V144" s="4"/>
      <c r="W144" s="6"/>
      <c r="X144" s="6"/>
      <c r="Y144" s="6"/>
      <c r="Z144" s="4"/>
      <c r="AA144" s="3"/>
      <c r="AB144" s="9">
        <v>2222.42</v>
      </c>
      <c r="AC144" s="9">
        <v>3799</v>
      </c>
    </row>
    <row r="145" spans="1:29" s="1" customFormat="1" ht="10.9" customHeight="1" x14ac:dyDescent="0.2">
      <c r="A145" s="3" t="s">
        <v>551</v>
      </c>
      <c r="B145" s="4" t="s">
        <v>552</v>
      </c>
      <c r="C145" s="5" t="s">
        <v>31</v>
      </c>
      <c r="D145" s="6" t="s">
        <v>550</v>
      </c>
      <c r="E145" s="6" t="s">
        <v>33</v>
      </c>
      <c r="F145" s="6" t="s">
        <v>34</v>
      </c>
      <c r="G145" s="6" t="s">
        <v>35</v>
      </c>
      <c r="H145" s="6" t="s">
        <v>177</v>
      </c>
      <c r="I145" s="6" t="s">
        <v>57</v>
      </c>
      <c r="J145" s="6" t="s">
        <v>38</v>
      </c>
      <c r="K145" s="6" t="s">
        <v>39</v>
      </c>
      <c r="L145" s="6" t="s">
        <v>40</v>
      </c>
      <c r="M145" s="6" t="s">
        <v>41</v>
      </c>
      <c r="N145" s="6" t="s">
        <v>60</v>
      </c>
      <c r="O145" s="4" t="s">
        <v>43</v>
      </c>
      <c r="P145" s="6" t="s">
        <v>81</v>
      </c>
      <c r="Q145" s="4" t="s">
        <v>535</v>
      </c>
      <c r="R145" s="6"/>
      <c r="S145" s="6" t="s">
        <v>46</v>
      </c>
      <c r="T145" s="3"/>
      <c r="U145" s="3"/>
      <c r="V145" s="4"/>
      <c r="W145" s="6"/>
      <c r="X145" s="6"/>
      <c r="Y145" s="6"/>
      <c r="Z145" s="4"/>
      <c r="AA145" s="3"/>
      <c r="AB145" s="9">
        <v>2222.42</v>
      </c>
      <c r="AC145" s="9">
        <v>3799</v>
      </c>
    </row>
    <row r="146" spans="1:29" s="1" customFormat="1" ht="10.9" customHeight="1" x14ac:dyDescent="0.2">
      <c r="A146" s="3" t="s">
        <v>553</v>
      </c>
      <c r="B146" s="4" t="s">
        <v>554</v>
      </c>
      <c r="C146" s="5" t="s">
        <v>31</v>
      </c>
      <c r="D146" s="6" t="s">
        <v>555</v>
      </c>
      <c r="E146" s="6" t="s">
        <v>33</v>
      </c>
      <c r="F146" s="6" t="s">
        <v>34</v>
      </c>
      <c r="G146" s="6" t="s">
        <v>35</v>
      </c>
      <c r="H146" s="6" t="s">
        <v>52</v>
      </c>
      <c r="I146" s="6" t="s">
        <v>57</v>
      </c>
      <c r="J146" s="6" t="s">
        <v>38</v>
      </c>
      <c r="K146" s="6" t="s">
        <v>39</v>
      </c>
      <c r="L146" s="6" t="s">
        <v>40</v>
      </c>
      <c r="M146" s="6" t="s">
        <v>41</v>
      </c>
      <c r="N146" s="6" t="s">
        <v>60</v>
      </c>
      <c r="O146" s="4" t="s">
        <v>43</v>
      </c>
      <c r="P146" s="6" t="s">
        <v>81</v>
      </c>
      <c r="Q146" s="4" t="s">
        <v>535</v>
      </c>
      <c r="R146" s="6"/>
      <c r="S146" s="6" t="s">
        <v>46</v>
      </c>
      <c r="T146" s="3"/>
      <c r="U146" s="3"/>
      <c r="V146" s="4"/>
      <c r="W146" s="6"/>
      <c r="X146" s="6"/>
      <c r="Y146" s="6"/>
      <c r="Z146" s="4"/>
      <c r="AA146" s="3"/>
      <c r="AB146" s="9">
        <v>2222.42</v>
      </c>
      <c r="AC146" s="9">
        <v>3799</v>
      </c>
    </row>
    <row r="147" spans="1:29" s="1" customFormat="1" ht="10.9" customHeight="1" x14ac:dyDescent="0.2">
      <c r="A147" s="3" t="s">
        <v>556</v>
      </c>
      <c r="B147" s="4" t="s">
        <v>557</v>
      </c>
      <c r="C147" s="5" t="s">
        <v>31</v>
      </c>
      <c r="D147" s="6" t="s">
        <v>555</v>
      </c>
      <c r="E147" s="6" t="s">
        <v>33</v>
      </c>
      <c r="F147" s="6" t="s">
        <v>34</v>
      </c>
      <c r="G147" s="6" t="s">
        <v>35</v>
      </c>
      <c r="H147" s="6" t="s">
        <v>52</v>
      </c>
      <c r="I147" s="6" t="s">
        <v>65</v>
      </c>
      <c r="J147" s="6" t="s">
        <v>38</v>
      </c>
      <c r="K147" s="6" t="s">
        <v>39</v>
      </c>
      <c r="L147" s="6" t="s">
        <v>40</v>
      </c>
      <c r="M147" s="6" t="s">
        <v>41</v>
      </c>
      <c r="N147" s="6" t="s">
        <v>60</v>
      </c>
      <c r="O147" s="4" t="s">
        <v>43</v>
      </c>
      <c r="P147" s="6" t="s">
        <v>81</v>
      </c>
      <c r="Q147" s="4" t="s">
        <v>535</v>
      </c>
      <c r="R147" s="6"/>
      <c r="S147" s="6" t="s">
        <v>46</v>
      </c>
      <c r="T147" s="3"/>
      <c r="U147" s="3"/>
      <c r="V147" s="4"/>
      <c r="W147" s="6"/>
      <c r="X147" s="6"/>
      <c r="Y147" s="6"/>
      <c r="Z147" s="4"/>
      <c r="AA147" s="3"/>
      <c r="AB147" s="9">
        <v>2222.42</v>
      </c>
      <c r="AC147" s="9">
        <v>3799</v>
      </c>
    </row>
    <row r="148" spans="1:29" s="1" customFormat="1" ht="10.9" customHeight="1" x14ac:dyDescent="0.2">
      <c r="A148" s="3" t="s">
        <v>558</v>
      </c>
      <c r="B148" s="4" t="s">
        <v>559</v>
      </c>
      <c r="C148" s="5" t="s">
        <v>31</v>
      </c>
      <c r="D148" s="6" t="s">
        <v>560</v>
      </c>
      <c r="E148" s="6" t="s">
        <v>33</v>
      </c>
      <c r="F148" s="6" t="s">
        <v>34</v>
      </c>
      <c r="G148" s="6" t="s">
        <v>35</v>
      </c>
      <c r="H148" s="6" t="s">
        <v>52</v>
      </c>
      <c r="I148" s="6" t="s">
        <v>57</v>
      </c>
      <c r="J148" s="6" t="s">
        <v>38</v>
      </c>
      <c r="K148" s="6" t="s">
        <v>39</v>
      </c>
      <c r="L148" s="6" t="s">
        <v>40</v>
      </c>
      <c r="M148" s="6" t="s">
        <v>41</v>
      </c>
      <c r="N148" s="6" t="s">
        <v>60</v>
      </c>
      <c r="O148" s="4" t="s">
        <v>43</v>
      </c>
      <c r="P148" s="6" t="s">
        <v>81</v>
      </c>
      <c r="Q148" s="4" t="s">
        <v>535</v>
      </c>
      <c r="R148" s="6"/>
      <c r="S148" s="6" t="s">
        <v>46</v>
      </c>
      <c r="T148" s="3"/>
      <c r="U148" s="3"/>
      <c r="V148" s="4"/>
      <c r="W148" s="6"/>
      <c r="X148" s="6"/>
      <c r="Y148" s="6"/>
      <c r="Z148" s="4"/>
      <c r="AA148" s="3"/>
      <c r="AB148" s="9">
        <v>2222.42</v>
      </c>
      <c r="AC148" s="9">
        <v>3799</v>
      </c>
    </row>
    <row r="149" spans="1:29" s="1" customFormat="1" ht="10.9" customHeight="1" x14ac:dyDescent="0.2">
      <c r="A149" s="3" t="s">
        <v>561</v>
      </c>
      <c r="B149" s="4" t="s">
        <v>562</v>
      </c>
      <c r="C149" s="5" t="s">
        <v>31</v>
      </c>
      <c r="D149" s="6" t="s">
        <v>560</v>
      </c>
      <c r="E149" s="6" t="s">
        <v>33</v>
      </c>
      <c r="F149" s="6" t="s">
        <v>34</v>
      </c>
      <c r="G149" s="6" t="s">
        <v>35</v>
      </c>
      <c r="H149" s="6" t="s">
        <v>52</v>
      </c>
      <c r="I149" s="6" t="s">
        <v>65</v>
      </c>
      <c r="J149" s="6" t="s">
        <v>38</v>
      </c>
      <c r="K149" s="6" t="s">
        <v>39</v>
      </c>
      <c r="L149" s="6" t="s">
        <v>40</v>
      </c>
      <c r="M149" s="6" t="s">
        <v>41</v>
      </c>
      <c r="N149" s="6" t="s">
        <v>60</v>
      </c>
      <c r="O149" s="4" t="s">
        <v>43</v>
      </c>
      <c r="P149" s="6" t="s">
        <v>81</v>
      </c>
      <c r="Q149" s="4" t="s">
        <v>535</v>
      </c>
      <c r="R149" s="6"/>
      <c r="S149" s="6" t="s">
        <v>46</v>
      </c>
      <c r="T149" s="3"/>
      <c r="U149" s="3"/>
      <c r="V149" s="4"/>
      <c r="W149" s="6"/>
      <c r="X149" s="6"/>
      <c r="Y149" s="6"/>
      <c r="Z149" s="4"/>
      <c r="AA149" s="3"/>
      <c r="AB149" s="9">
        <v>2222.42</v>
      </c>
      <c r="AC149" s="9">
        <v>3799</v>
      </c>
    </row>
    <row r="150" spans="1:29" s="1" customFormat="1" ht="10.9" customHeight="1" x14ac:dyDescent="0.2">
      <c r="A150" s="3" t="s">
        <v>563</v>
      </c>
      <c r="B150" s="4" t="s">
        <v>564</v>
      </c>
      <c r="C150" s="5" t="s">
        <v>31</v>
      </c>
      <c r="D150" s="6" t="s">
        <v>565</v>
      </c>
      <c r="E150" s="6" t="s">
        <v>33</v>
      </c>
      <c r="F150" s="6" t="s">
        <v>34</v>
      </c>
      <c r="G150" s="6" t="s">
        <v>35</v>
      </c>
      <c r="H150" s="6" t="s">
        <v>52</v>
      </c>
      <c r="I150" s="6" t="s">
        <v>65</v>
      </c>
      <c r="J150" s="6" t="s">
        <v>38</v>
      </c>
      <c r="K150" s="6" t="s">
        <v>39</v>
      </c>
      <c r="L150" s="6" t="s">
        <v>40</v>
      </c>
      <c r="M150" s="6" t="s">
        <v>41</v>
      </c>
      <c r="N150" s="6" t="s">
        <v>60</v>
      </c>
      <c r="O150" s="4" t="s">
        <v>43</v>
      </c>
      <c r="P150" s="6" t="s">
        <v>81</v>
      </c>
      <c r="Q150" s="4" t="s">
        <v>535</v>
      </c>
      <c r="R150" s="6"/>
      <c r="S150" s="6" t="s">
        <v>46</v>
      </c>
      <c r="T150" s="3"/>
      <c r="U150" s="3"/>
      <c r="V150" s="4"/>
      <c r="W150" s="6"/>
      <c r="X150" s="6"/>
      <c r="Y150" s="6"/>
      <c r="Z150" s="4"/>
      <c r="AA150" s="3"/>
      <c r="AB150" s="9">
        <v>2222.42</v>
      </c>
      <c r="AC150" s="9">
        <v>3799</v>
      </c>
    </row>
    <row r="151" spans="1:29" s="1" customFormat="1" ht="10.9" customHeight="1" x14ac:dyDescent="0.2">
      <c r="A151" s="3" t="s">
        <v>566</v>
      </c>
      <c r="B151" s="4" t="s">
        <v>567</v>
      </c>
      <c r="C151" s="5" t="s">
        <v>31</v>
      </c>
      <c r="D151" s="6" t="s">
        <v>565</v>
      </c>
      <c r="E151" s="6" t="s">
        <v>33</v>
      </c>
      <c r="F151" s="6" t="s">
        <v>34</v>
      </c>
      <c r="G151" s="6" t="s">
        <v>35</v>
      </c>
      <c r="H151" s="6" t="s">
        <v>52</v>
      </c>
      <c r="I151" s="6" t="s">
        <v>57</v>
      </c>
      <c r="J151" s="6" t="s">
        <v>38</v>
      </c>
      <c r="K151" s="6" t="s">
        <v>39</v>
      </c>
      <c r="L151" s="6" t="s">
        <v>40</v>
      </c>
      <c r="M151" s="6" t="s">
        <v>41</v>
      </c>
      <c r="N151" s="6" t="s">
        <v>60</v>
      </c>
      <c r="O151" s="4" t="s">
        <v>43</v>
      </c>
      <c r="P151" s="6" t="s">
        <v>81</v>
      </c>
      <c r="Q151" s="4" t="s">
        <v>535</v>
      </c>
      <c r="R151" s="6"/>
      <c r="S151" s="6" t="s">
        <v>46</v>
      </c>
      <c r="T151" s="3"/>
      <c r="U151" s="3"/>
      <c r="V151" s="4"/>
      <c r="W151" s="6"/>
      <c r="X151" s="6"/>
      <c r="Y151" s="6"/>
      <c r="Z151" s="4"/>
      <c r="AA151" s="3"/>
      <c r="AB151" s="9">
        <v>2222.42</v>
      </c>
      <c r="AC151" s="9">
        <v>3799</v>
      </c>
    </row>
    <row r="152" spans="1:29" s="1" customFormat="1" ht="10.9" customHeight="1" x14ac:dyDescent="0.2">
      <c r="A152" s="3" t="s">
        <v>568</v>
      </c>
      <c r="B152" s="4" t="s">
        <v>569</v>
      </c>
      <c r="C152" s="5" t="s">
        <v>31</v>
      </c>
      <c r="D152" s="6" t="s">
        <v>102</v>
      </c>
      <c r="E152" s="6" t="s">
        <v>33</v>
      </c>
      <c r="F152" s="6" t="s">
        <v>34</v>
      </c>
      <c r="G152" s="6" t="s">
        <v>35</v>
      </c>
      <c r="H152" s="6" t="s">
        <v>80</v>
      </c>
      <c r="I152" s="6" t="s">
        <v>57</v>
      </c>
      <c r="J152" s="6" t="s">
        <v>38</v>
      </c>
      <c r="K152" s="6" t="s">
        <v>39</v>
      </c>
      <c r="L152" s="6" t="s">
        <v>58</v>
      </c>
      <c r="M152" s="6" t="s">
        <v>59</v>
      </c>
      <c r="N152" s="6" t="s">
        <v>60</v>
      </c>
      <c r="O152" s="4" t="s">
        <v>43</v>
      </c>
      <c r="P152" s="6" t="s">
        <v>44</v>
      </c>
      <c r="Q152" s="4" t="s">
        <v>45</v>
      </c>
      <c r="R152" s="6"/>
      <c r="S152" s="6" t="s">
        <v>46</v>
      </c>
      <c r="T152" s="7">
        <v>5.0000000000000001E-3</v>
      </c>
      <c r="U152" s="7">
        <v>9.9000000000000005E-2</v>
      </c>
      <c r="V152" s="4" t="s">
        <v>570</v>
      </c>
      <c r="W152" s="8">
        <v>990020689371</v>
      </c>
      <c r="X152" s="8">
        <v>886947155481</v>
      </c>
      <c r="Y152" s="6"/>
      <c r="Z152" s="4" t="s">
        <v>48</v>
      </c>
      <c r="AA152" s="11">
        <v>3</v>
      </c>
      <c r="AB152" s="9">
        <v>2222.42</v>
      </c>
      <c r="AC152" s="9">
        <v>3799</v>
      </c>
    </row>
    <row r="153" spans="1:29" s="1" customFormat="1" ht="10.9" customHeight="1" x14ac:dyDescent="0.2">
      <c r="A153" s="3" t="s">
        <v>571</v>
      </c>
      <c r="B153" s="4" t="s">
        <v>572</v>
      </c>
      <c r="C153" s="5" t="s">
        <v>31</v>
      </c>
      <c r="D153" s="6" t="s">
        <v>573</v>
      </c>
      <c r="E153" s="6" t="s">
        <v>33</v>
      </c>
      <c r="F153" s="6" t="s">
        <v>34</v>
      </c>
      <c r="G153" s="6" t="s">
        <v>35</v>
      </c>
      <c r="H153" s="6" t="s">
        <v>115</v>
      </c>
      <c r="I153" s="6" t="s">
        <v>37</v>
      </c>
      <c r="J153" s="6" t="s">
        <v>38</v>
      </c>
      <c r="K153" s="6" t="s">
        <v>39</v>
      </c>
      <c r="L153" s="6" t="s">
        <v>107</v>
      </c>
      <c r="M153" s="6" t="s">
        <v>59</v>
      </c>
      <c r="N153" s="6" t="s">
        <v>60</v>
      </c>
      <c r="O153" s="4" t="s">
        <v>43</v>
      </c>
      <c r="P153" s="6" t="s">
        <v>44</v>
      </c>
      <c r="Q153" s="4" t="s">
        <v>574</v>
      </c>
      <c r="R153" s="6"/>
      <c r="S153" s="6" t="s">
        <v>46</v>
      </c>
      <c r="T153" s="7">
        <v>3.5799999999999998E-3</v>
      </c>
      <c r="U153" s="7">
        <v>8.4000000000000005E-2</v>
      </c>
      <c r="V153" s="4" t="s">
        <v>575</v>
      </c>
      <c r="W153" s="8">
        <v>990034546790</v>
      </c>
      <c r="X153" s="8">
        <v>192093008855</v>
      </c>
      <c r="Y153" s="6"/>
      <c r="Z153" s="4" t="s">
        <v>68</v>
      </c>
      <c r="AA153" s="3"/>
      <c r="AB153" s="9">
        <v>1988.42</v>
      </c>
      <c r="AC153" s="9">
        <v>3399</v>
      </c>
    </row>
    <row r="154" spans="1:29" s="1" customFormat="1" ht="10.9" customHeight="1" x14ac:dyDescent="0.2">
      <c r="A154" s="3" t="s">
        <v>576</v>
      </c>
      <c r="B154" s="4" t="s">
        <v>577</v>
      </c>
      <c r="C154" s="5" t="s">
        <v>31</v>
      </c>
      <c r="D154" s="6" t="s">
        <v>578</v>
      </c>
      <c r="E154" s="6" t="s">
        <v>33</v>
      </c>
      <c r="F154" s="6" t="s">
        <v>34</v>
      </c>
      <c r="G154" s="6" t="s">
        <v>35</v>
      </c>
      <c r="H154" s="6" t="s">
        <v>115</v>
      </c>
      <c r="I154" s="6" t="s">
        <v>37</v>
      </c>
      <c r="J154" s="6" t="s">
        <v>38</v>
      </c>
      <c r="K154" s="6" t="s">
        <v>39</v>
      </c>
      <c r="L154" s="6" t="s">
        <v>40</v>
      </c>
      <c r="M154" s="6" t="s">
        <v>41</v>
      </c>
      <c r="N154" s="6" t="s">
        <v>60</v>
      </c>
      <c r="O154" s="4" t="s">
        <v>43</v>
      </c>
      <c r="P154" s="6" t="s">
        <v>81</v>
      </c>
      <c r="Q154" s="4" t="s">
        <v>579</v>
      </c>
      <c r="R154" s="6"/>
      <c r="S154" s="6" t="s">
        <v>46</v>
      </c>
      <c r="T154" s="7">
        <v>5.5199999999999997E-3</v>
      </c>
      <c r="U154" s="7">
        <v>0.08</v>
      </c>
      <c r="V154" s="4" t="s">
        <v>580</v>
      </c>
      <c r="W154" s="8">
        <v>990034546806</v>
      </c>
      <c r="X154" s="10">
        <v>2991021125057</v>
      </c>
      <c r="Y154" s="6"/>
      <c r="Z154" s="4" t="s">
        <v>68</v>
      </c>
      <c r="AA154" s="3"/>
      <c r="AB154" s="9">
        <v>1871.42</v>
      </c>
      <c r="AC154" s="9">
        <v>3199</v>
      </c>
    </row>
    <row r="155" spans="1:29" s="1" customFormat="1" ht="10.9" customHeight="1" x14ac:dyDescent="0.2">
      <c r="A155" s="3" t="s">
        <v>581</v>
      </c>
      <c r="B155" s="4" t="s">
        <v>582</v>
      </c>
      <c r="C155" s="5" t="s">
        <v>73</v>
      </c>
      <c r="D155" s="6" t="s">
        <v>583</v>
      </c>
      <c r="E155" s="6" t="s">
        <v>33</v>
      </c>
      <c r="F155" s="6" t="s">
        <v>34</v>
      </c>
      <c r="G155" s="6" t="s">
        <v>35</v>
      </c>
      <c r="H155" s="6" t="s">
        <v>163</v>
      </c>
      <c r="I155" s="6" t="s">
        <v>37</v>
      </c>
      <c r="J155" s="6" t="s">
        <v>38</v>
      </c>
      <c r="K155" s="6" t="s">
        <v>39</v>
      </c>
      <c r="L155" s="6" t="s">
        <v>40</v>
      </c>
      <c r="M155" s="6" t="s">
        <v>41</v>
      </c>
      <c r="N155" s="6" t="s">
        <v>42</v>
      </c>
      <c r="O155" s="4" t="s">
        <v>43</v>
      </c>
      <c r="P155" s="6" t="s">
        <v>44</v>
      </c>
      <c r="Q155" s="4" t="s">
        <v>75</v>
      </c>
      <c r="R155" s="6"/>
      <c r="S155" s="6" t="s">
        <v>46</v>
      </c>
      <c r="T155" s="7">
        <v>3.79E-3</v>
      </c>
      <c r="U155" s="7">
        <v>0.10199999999999999</v>
      </c>
      <c r="V155" s="4" t="s">
        <v>584</v>
      </c>
      <c r="W155" s="8">
        <v>990034782983</v>
      </c>
      <c r="X155" s="8">
        <v>885430074452</v>
      </c>
      <c r="Y155" s="6"/>
      <c r="Z155" s="4" t="s">
        <v>48</v>
      </c>
      <c r="AA155" s="3"/>
      <c r="AB155" s="9">
        <v>1695.92</v>
      </c>
      <c r="AC155" s="9">
        <v>2899</v>
      </c>
    </row>
    <row r="156" spans="1:29" s="1" customFormat="1" ht="10.9" customHeight="1" x14ac:dyDescent="0.2">
      <c r="A156" s="3" t="s">
        <v>585</v>
      </c>
      <c r="B156" s="4" t="s">
        <v>586</v>
      </c>
      <c r="C156" s="5" t="s">
        <v>73</v>
      </c>
      <c r="D156" s="6" t="s">
        <v>587</v>
      </c>
      <c r="E156" s="6" t="s">
        <v>33</v>
      </c>
      <c r="F156" s="6" t="s">
        <v>34</v>
      </c>
      <c r="G156" s="6" t="s">
        <v>35</v>
      </c>
      <c r="H156" s="6" t="s">
        <v>163</v>
      </c>
      <c r="I156" s="6" t="s">
        <v>37</v>
      </c>
      <c r="J156" s="6" t="s">
        <v>38</v>
      </c>
      <c r="K156" s="6" t="s">
        <v>39</v>
      </c>
      <c r="L156" s="6" t="s">
        <v>58</v>
      </c>
      <c r="M156" s="6" t="s">
        <v>59</v>
      </c>
      <c r="N156" s="6" t="s">
        <v>42</v>
      </c>
      <c r="O156" s="4" t="s">
        <v>43</v>
      </c>
      <c r="P156" s="6" t="s">
        <v>44</v>
      </c>
      <c r="Q156" s="4" t="s">
        <v>75</v>
      </c>
      <c r="R156" s="6"/>
      <c r="S156" s="6" t="s">
        <v>46</v>
      </c>
      <c r="T156" s="7">
        <v>4.0299999999999997E-3</v>
      </c>
      <c r="U156" s="7">
        <v>0.1</v>
      </c>
      <c r="V156" s="4" t="s">
        <v>588</v>
      </c>
      <c r="W156" s="8">
        <v>990034747876</v>
      </c>
      <c r="X156" s="8">
        <v>719106169466</v>
      </c>
      <c r="Y156" s="6"/>
      <c r="Z156" s="4" t="s">
        <v>48</v>
      </c>
      <c r="AA156" s="3"/>
      <c r="AB156" s="9">
        <v>1695.92</v>
      </c>
      <c r="AC156" s="9">
        <v>2899</v>
      </c>
    </row>
    <row r="157" spans="1:29" s="1" customFormat="1" ht="10.9" customHeight="1" x14ac:dyDescent="0.2">
      <c r="A157" s="3" t="s">
        <v>589</v>
      </c>
      <c r="B157" s="4" t="s">
        <v>590</v>
      </c>
      <c r="C157" s="5" t="s">
        <v>31</v>
      </c>
      <c r="D157" s="6" t="s">
        <v>591</v>
      </c>
      <c r="E157" s="6" t="s">
        <v>33</v>
      </c>
      <c r="F157" s="6" t="s">
        <v>34</v>
      </c>
      <c r="G157" s="6" t="s">
        <v>35</v>
      </c>
      <c r="H157" s="6" t="s">
        <v>177</v>
      </c>
      <c r="I157" s="6" t="s">
        <v>37</v>
      </c>
      <c r="J157" s="6" t="s">
        <v>38</v>
      </c>
      <c r="K157" s="6" t="s">
        <v>39</v>
      </c>
      <c r="L157" s="6" t="s">
        <v>40</v>
      </c>
      <c r="M157" s="6" t="s">
        <v>41</v>
      </c>
      <c r="N157" s="6" t="s">
        <v>149</v>
      </c>
      <c r="O157" s="4" t="s">
        <v>43</v>
      </c>
      <c r="P157" s="6" t="s">
        <v>44</v>
      </c>
      <c r="Q157" s="4" t="s">
        <v>45</v>
      </c>
      <c r="R157" s="6"/>
      <c r="S157" s="6" t="s">
        <v>46</v>
      </c>
      <c r="T157" s="7">
        <v>3.9899999999999996E-3</v>
      </c>
      <c r="U157" s="7">
        <v>0.09</v>
      </c>
      <c r="V157" s="4" t="s">
        <v>592</v>
      </c>
      <c r="W157" s="8">
        <v>990034545915</v>
      </c>
      <c r="X157" s="8">
        <v>889353156370</v>
      </c>
      <c r="Y157" s="6"/>
      <c r="Z157" s="4" t="s">
        <v>48</v>
      </c>
      <c r="AA157" s="3"/>
      <c r="AB157" s="9">
        <v>1520.42</v>
      </c>
      <c r="AC157" s="9">
        <v>2599</v>
      </c>
    </row>
    <row r="158" spans="1:29" s="1" customFormat="1" ht="10.9" customHeight="1" x14ac:dyDescent="0.2">
      <c r="A158" s="3" t="s">
        <v>593</v>
      </c>
      <c r="B158" s="4" t="s">
        <v>594</v>
      </c>
      <c r="C158" s="5" t="s">
        <v>73</v>
      </c>
      <c r="D158" s="6" t="s">
        <v>595</v>
      </c>
      <c r="E158" s="6" t="s">
        <v>33</v>
      </c>
      <c r="F158" s="6" t="s">
        <v>34</v>
      </c>
      <c r="G158" s="6" t="s">
        <v>35</v>
      </c>
      <c r="H158" s="6" t="s">
        <v>163</v>
      </c>
      <c r="I158" s="6" t="s">
        <v>37</v>
      </c>
      <c r="J158" s="6" t="s">
        <v>38</v>
      </c>
      <c r="K158" s="6" t="s">
        <v>39</v>
      </c>
      <c r="L158" s="6" t="s">
        <v>107</v>
      </c>
      <c r="M158" s="6" t="s">
        <v>59</v>
      </c>
      <c r="N158" s="6" t="s">
        <v>60</v>
      </c>
      <c r="O158" s="4" t="s">
        <v>43</v>
      </c>
      <c r="P158" s="6" t="s">
        <v>44</v>
      </c>
      <c r="Q158" s="4" t="s">
        <v>75</v>
      </c>
      <c r="R158" s="6"/>
      <c r="S158" s="6" t="s">
        <v>46</v>
      </c>
      <c r="T158" s="7">
        <v>4.2300000000000003E-3</v>
      </c>
      <c r="U158" s="7">
        <v>0.1</v>
      </c>
      <c r="V158" s="4" t="s">
        <v>596</v>
      </c>
      <c r="W158" s="8">
        <v>990034747883</v>
      </c>
      <c r="X158" s="8">
        <v>719106169787</v>
      </c>
      <c r="Y158" s="6"/>
      <c r="Z158" s="4" t="s">
        <v>48</v>
      </c>
      <c r="AA158" s="3"/>
      <c r="AB158" s="9">
        <v>1695.92</v>
      </c>
      <c r="AC158" s="9">
        <v>2899</v>
      </c>
    </row>
    <row r="159" spans="1:29" s="1" customFormat="1" ht="10.9" customHeight="1" x14ac:dyDescent="0.2">
      <c r="A159" s="3" t="s">
        <v>597</v>
      </c>
      <c r="B159" s="4" t="s">
        <v>598</v>
      </c>
      <c r="C159" s="5" t="s">
        <v>31</v>
      </c>
      <c r="D159" s="6" t="s">
        <v>599</v>
      </c>
      <c r="E159" s="6" t="s">
        <v>33</v>
      </c>
      <c r="F159" s="6" t="s">
        <v>34</v>
      </c>
      <c r="G159" s="6" t="s">
        <v>35</v>
      </c>
      <c r="H159" s="6" t="s">
        <v>115</v>
      </c>
      <c r="I159" s="6" t="s">
        <v>37</v>
      </c>
      <c r="J159" s="6" t="s">
        <v>38</v>
      </c>
      <c r="K159" s="6" t="s">
        <v>39</v>
      </c>
      <c r="L159" s="6" t="s">
        <v>40</v>
      </c>
      <c r="M159" s="6" t="s">
        <v>41</v>
      </c>
      <c r="N159" s="6" t="s">
        <v>42</v>
      </c>
      <c r="O159" s="4" t="s">
        <v>43</v>
      </c>
      <c r="P159" s="6" t="s">
        <v>81</v>
      </c>
      <c r="Q159" s="4" t="s">
        <v>600</v>
      </c>
      <c r="R159" s="6"/>
      <c r="S159" s="6" t="s">
        <v>46</v>
      </c>
      <c r="T159" s="7">
        <v>3.7599999999999999E-3</v>
      </c>
      <c r="U159" s="7">
        <v>9.0999999999999998E-2</v>
      </c>
      <c r="V159" s="4" t="s">
        <v>601</v>
      </c>
      <c r="W159" s="8">
        <v>990034201033</v>
      </c>
      <c r="X159" s="8">
        <v>889675951554</v>
      </c>
      <c r="Y159" s="6"/>
      <c r="Z159" s="4" t="s">
        <v>68</v>
      </c>
      <c r="AA159" s="3"/>
      <c r="AB159" s="9">
        <v>1344.92</v>
      </c>
      <c r="AC159" s="9">
        <v>2299</v>
      </c>
    </row>
    <row r="160" spans="1:29" s="1" customFormat="1" ht="10.9" customHeight="1" x14ac:dyDescent="0.2">
      <c r="A160" s="3" t="s">
        <v>602</v>
      </c>
      <c r="B160" s="4" t="s">
        <v>603</v>
      </c>
      <c r="C160" s="5" t="s">
        <v>31</v>
      </c>
      <c r="D160" s="6" t="s">
        <v>604</v>
      </c>
      <c r="E160" s="6" t="s">
        <v>33</v>
      </c>
      <c r="F160" s="6" t="s">
        <v>34</v>
      </c>
      <c r="G160" s="6" t="s">
        <v>35</v>
      </c>
      <c r="H160" s="6" t="s">
        <v>36</v>
      </c>
      <c r="I160" s="6" t="s">
        <v>37</v>
      </c>
      <c r="J160" s="6" t="s">
        <v>38</v>
      </c>
      <c r="K160" s="6" t="s">
        <v>39</v>
      </c>
      <c r="L160" s="6" t="s">
        <v>40</v>
      </c>
      <c r="M160" s="6" t="s">
        <v>41</v>
      </c>
      <c r="N160" s="6" t="s">
        <v>42</v>
      </c>
      <c r="O160" s="4" t="s">
        <v>43</v>
      </c>
      <c r="P160" s="6" t="s">
        <v>81</v>
      </c>
      <c r="Q160" s="4" t="s">
        <v>45</v>
      </c>
      <c r="R160" s="6"/>
      <c r="S160" s="6" t="s">
        <v>46</v>
      </c>
      <c r="T160" s="7">
        <v>5.5199999999999997E-3</v>
      </c>
      <c r="U160" s="7">
        <v>9.7000000000000003E-2</v>
      </c>
      <c r="V160" s="4" t="s">
        <v>605</v>
      </c>
      <c r="W160" s="8">
        <v>990034201170</v>
      </c>
      <c r="X160" s="10">
        <v>2991019741535</v>
      </c>
      <c r="Y160" s="6"/>
      <c r="Z160" s="4" t="s">
        <v>48</v>
      </c>
      <c r="AA160" s="3"/>
      <c r="AB160" s="9">
        <v>1520.42</v>
      </c>
      <c r="AC160" s="9">
        <v>2599</v>
      </c>
    </row>
  </sheetData>
  <pageMargins left="0.75" right="1" top="0.75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 filterMode="1">
    <outlinePr summaryBelow="0" summaryRight="0"/>
    <pageSetUpPr autoPageBreaks="0"/>
  </sheetPr>
  <dimension ref="A1:X170"/>
  <sheetViews>
    <sheetView tabSelected="1" workbookViewId="0">
      <pane xSplit="10" ySplit="8" topLeftCell="K9" activePane="bottomRight" state="frozen"/>
      <selection pane="topRight"/>
      <selection pane="bottomLeft"/>
      <selection pane="bottomRight" activeCell="D65" sqref="D65"/>
    </sheetView>
  </sheetViews>
  <sheetFormatPr defaultColWidth="10.5" defaultRowHeight="11.45" customHeight="1" x14ac:dyDescent="0.2"/>
  <cols>
    <col min="1" max="1" width="16.6640625" style="1" customWidth="1"/>
    <col min="2" max="2" width="97.33203125" style="1" bestFit="1" customWidth="1"/>
    <col min="3" max="3" width="17.5" style="1" customWidth="1"/>
    <col min="4" max="4" width="71" style="1" bestFit="1" customWidth="1"/>
    <col min="5" max="5" width="17.5" style="1" customWidth="1"/>
    <col min="6" max="6" width="25" style="1" customWidth="1"/>
    <col min="7" max="7" width="20.6640625" style="1" customWidth="1"/>
    <col min="8" max="9" width="10.5" style="1" customWidth="1"/>
    <col min="10" max="10" width="18.33203125" style="1" customWidth="1"/>
    <col min="11" max="13" width="15.6640625" style="1" customWidth="1"/>
    <col min="14" max="19" width="12.6640625" style="1" customWidth="1"/>
    <col min="20" max="20" width="14.6640625" style="1" customWidth="1"/>
    <col min="21" max="21" width="13" style="1" customWidth="1"/>
    <col min="22" max="22" width="23.33203125" style="1" customWidth="1"/>
    <col min="23" max="23" width="38.33203125" style="1" customWidth="1"/>
    <col min="24" max="24" width="7.33203125" style="1" customWidth="1"/>
  </cols>
  <sheetData>
    <row r="1" spans="1:24" s="1" customFormat="1" ht="10.9" customHeight="1" x14ac:dyDescent="0.2">
      <c r="A1" s="12" t="s">
        <v>606</v>
      </c>
      <c r="B1" s="13">
        <v>5032262</v>
      </c>
    </row>
    <row r="2" spans="1:24" s="1" customFormat="1" ht="10.9" customHeight="1" x14ac:dyDescent="0.2">
      <c r="A2" s="12" t="s">
        <v>607</v>
      </c>
      <c r="B2" s="14" t="s">
        <v>608</v>
      </c>
    </row>
    <row r="3" spans="1:24" s="1" customFormat="1" ht="10.9" customHeight="1" x14ac:dyDescent="0.2">
      <c r="A3" s="12" t="s">
        <v>609</v>
      </c>
      <c r="B3" s="15">
        <v>1397659.05</v>
      </c>
    </row>
    <row r="4" spans="1:24" s="1" customFormat="1" ht="10.9" customHeight="1" x14ac:dyDescent="0.2">
      <c r="A4" s="12" t="s">
        <v>610</v>
      </c>
      <c r="B4" s="16">
        <v>911</v>
      </c>
    </row>
    <row r="5" spans="1:24" s="1" customFormat="1" ht="22.15" customHeight="1" x14ac:dyDescent="0.2">
      <c r="A5" s="17" t="s">
        <v>611</v>
      </c>
      <c r="B5" s="18" t="s">
        <v>612</v>
      </c>
    </row>
    <row r="6" spans="1:24" s="1" customFormat="1" ht="10.9" customHeight="1" x14ac:dyDescent="0.2">
      <c r="A6" s="12" t="s">
        <v>613</v>
      </c>
      <c r="B6" s="14" t="s">
        <v>614</v>
      </c>
    </row>
    <row r="7" spans="1:24" s="1" customFormat="1" ht="10.9" customHeight="1" x14ac:dyDescent="0.2">
      <c r="J7" s="19"/>
      <c r="K7" s="20">
        <f t="shared" ref="K7:Q7" si="0">SUM(K9:K167)</f>
        <v>925</v>
      </c>
      <c r="L7" s="20">
        <f t="shared" si="0"/>
        <v>925</v>
      </c>
      <c r="M7" s="20">
        <f t="shared" si="0"/>
        <v>0</v>
      </c>
      <c r="N7" s="20">
        <f t="shared" si="0"/>
        <v>82</v>
      </c>
      <c r="O7" s="20">
        <f t="shared" si="0"/>
        <v>119351.47999999998</v>
      </c>
      <c r="P7" s="20">
        <f t="shared" si="0"/>
        <v>0</v>
      </c>
      <c r="Q7" s="20">
        <f t="shared" si="0"/>
        <v>3274</v>
      </c>
      <c r="R7" s="20">
        <f>SUMPRODUCT(P9:P167,R9:R167)</f>
        <v>0</v>
      </c>
      <c r="S7" s="21">
        <f>SUMPRODUCT(P9:P167,S9:S167)</f>
        <v>0</v>
      </c>
      <c r="T7" s="20">
        <f>SUMPRODUCT(P9:P167,T9:T167)</f>
        <v>0</v>
      </c>
      <c r="U7" s="20">
        <f>SUMPRODUCT(P9:P167,U9:U167)</f>
        <v>0</v>
      </c>
    </row>
    <row r="8" spans="1:24" s="1" customFormat="1" ht="22.15" customHeight="1" x14ac:dyDescent="0.2">
      <c r="A8" s="22" t="s">
        <v>0</v>
      </c>
      <c r="B8" s="22" t="s">
        <v>1</v>
      </c>
      <c r="C8" s="22" t="s">
        <v>3</v>
      </c>
      <c r="D8" s="22"/>
      <c r="E8" s="22" t="s">
        <v>4</v>
      </c>
      <c r="F8" s="22" t="s">
        <v>5</v>
      </c>
      <c r="G8" s="22" t="s">
        <v>6</v>
      </c>
      <c r="H8" s="22" t="s">
        <v>7</v>
      </c>
      <c r="I8" s="22" t="s">
        <v>8</v>
      </c>
      <c r="J8" s="22" t="s">
        <v>11</v>
      </c>
      <c r="K8" s="23" t="s">
        <v>615</v>
      </c>
      <c r="L8" s="23" t="s">
        <v>616</v>
      </c>
      <c r="M8" s="23" t="s">
        <v>617</v>
      </c>
      <c r="N8" s="23" t="s">
        <v>618</v>
      </c>
      <c r="O8" s="23" t="s">
        <v>619</v>
      </c>
      <c r="P8" s="24" t="s">
        <v>620</v>
      </c>
      <c r="Q8" s="24" t="s">
        <v>621</v>
      </c>
      <c r="R8" s="24" t="s">
        <v>28</v>
      </c>
      <c r="S8" s="23" t="s">
        <v>622</v>
      </c>
      <c r="T8" s="24" t="s">
        <v>623</v>
      </c>
      <c r="U8" s="24" t="s">
        <v>624</v>
      </c>
      <c r="V8" s="22" t="s">
        <v>625</v>
      </c>
      <c r="W8" s="22" t="s">
        <v>21</v>
      </c>
      <c r="X8" s="1" t="s">
        <v>626</v>
      </c>
    </row>
    <row r="9" spans="1:24" s="1" customFormat="1" ht="10.9" hidden="1" customHeight="1" x14ac:dyDescent="0.2">
      <c r="A9" s="25" t="s">
        <v>62</v>
      </c>
      <c r="B9" s="4" t="s">
        <v>63</v>
      </c>
      <c r="C9" s="14" t="s">
        <v>64</v>
      </c>
      <c r="D9" s="14"/>
      <c r="E9" s="26" t="s">
        <v>33</v>
      </c>
      <c r="F9" s="14" t="s">
        <v>34</v>
      </c>
      <c r="G9" s="14" t="s">
        <v>35</v>
      </c>
      <c r="H9" s="14" t="s">
        <v>36</v>
      </c>
      <c r="I9" s="14" t="s">
        <v>65</v>
      </c>
      <c r="J9" s="27" t="s">
        <v>40</v>
      </c>
      <c r="K9" s="28">
        <v>3</v>
      </c>
      <c r="L9" s="28">
        <v>3</v>
      </c>
      <c r="M9" s="25">
        <f t="shared" ref="M9:M40" si="1">K9-L9</f>
        <v>0</v>
      </c>
      <c r="N9" s="28">
        <v>0</v>
      </c>
      <c r="O9" s="25">
        <f t="shared" ref="O9:O40" si="2">N9*S9</f>
        <v>0</v>
      </c>
      <c r="P9" s="29"/>
      <c r="Q9" s="28">
        <v>0</v>
      </c>
      <c r="R9" s="15">
        <v>3199</v>
      </c>
      <c r="S9" s="15">
        <v>1592.06</v>
      </c>
      <c r="T9" s="30">
        <v>4.6299999999999996E-3</v>
      </c>
      <c r="U9" s="30">
        <v>0.09</v>
      </c>
      <c r="V9" s="4"/>
      <c r="W9" s="4" t="s">
        <v>67</v>
      </c>
      <c r="X9" s="1" t="s">
        <v>626</v>
      </c>
    </row>
    <row r="10" spans="1:24" s="1" customFormat="1" ht="10.9" hidden="1" customHeight="1" x14ac:dyDescent="0.2">
      <c r="A10" s="25" t="s">
        <v>69</v>
      </c>
      <c r="B10" s="4" t="s">
        <v>70</v>
      </c>
      <c r="C10" s="14" t="s">
        <v>64</v>
      </c>
      <c r="D10" s="14"/>
      <c r="E10" s="26" t="s">
        <v>33</v>
      </c>
      <c r="F10" s="14" t="s">
        <v>34</v>
      </c>
      <c r="G10" s="14" t="s">
        <v>35</v>
      </c>
      <c r="H10" s="14" t="s">
        <v>36</v>
      </c>
      <c r="I10" s="14" t="s">
        <v>57</v>
      </c>
      <c r="J10" s="27" t="s">
        <v>40</v>
      </c>
      <c r="K10" s="28">
        <v>5</v>
      </c>
      <c r="L10" s="28">
        <v>5</v>
      </c>
      <c r="M10" s="25">
        <f t="shared" si="1"/>
        <v>0</v>
      </c>
      <c r="N10" s="28">
        <v>0</v>
      </c>
      <c r="O10" s="25">
        <f t="shared" si="2"/>
        <v>0</v>
      </c>
      <c r="P10" s="29"/>
      <c r="Q10" s="28">
        <v>0</v>
      </c>
      <c r="R10" s="15">
        <v>3199</v>
      </c>
      <c r="S10" s="15">
        <v>1592.06</v>
      </c>
      <c r="T10" s="30">
        <v>4.5599999999999998E-3</v>
      </c>
      <c r="U10" s="30">
        <v>0.1</v>
      </c>
      <c r="V10" s="4"/>
      <c r="W10" s="4" t="s">
        <v>67</v>
      </c>
      <c r="X10" s="1" t="s">
        <v>626</v>
      </c>
    </row>
    <row r="11" spans="1:24" s="1" customFormat="1" ht="10.9" hidden="1" customHeight="1" x14ac:dyDescent="0.2">
      <c r="A11" s="31" t="s">
        <v>86</v>
      </c>
      <c r="B11" s="32" t="s">
        <v>87</v>
      </c>
      <c r="C11" s="33" t="s">
        <v>88</v>
      </c>
      <c r="D11" s="33"/>
      <c r="E11" s="34" t="s">
        <v>33</v>
      </c>
      <c r="F11" s="33" t="s">
        <v>34</v>
      </c>
      <c r="G11" s="33" t="s">
        <v>35</v>
      </c>
      <c r="H11" s="33" t="s">
        <v>36</v>
      </c>
      <c r="I11" s="33" t="s">
        <v>65</v>
      </c>
      <c r="J11" s="35" t="s">
        <v>40</v>
      </c>
      <c r="K11" s="36">
        <v>6</v>
      </c>
      <c r="L11" s="28">
        <v>6</v>
      </c>
      <c r="M11" s="25">
        <f t="shared" si="1"/>
        <v>0</v>
      </c>
      <c r="N11" s="28">
        <v>0</v>
      </c>
      <c r="O11" s="25">
        <f t="shared" si="2"/>
        <v>0</v>
      </c>
      <c r="P11" s="29"/>
      <c r="Q11" s="28">
        <v>0</v>
      </c>
      <c r="R11" s="15">
        <v>3799</v>
      </c>
      <c r="S11" s="15">
        <v>1890.67</v>
      </c>
      <c r="T11" s="30">
        <v>5.0200000000000002E-3</v>
      </c>
      <c r="U11" s="30">
        <v>9.6000000000000002E-2</v>
      </c>
      <c r="V11" s="4"/>
      <c r="W11" s="4" t="s">
        <v>89</v>
      </c>
      <c r="X11" s="1" t="s">
        <v>626</v>
      </c>
    </row>
    <row r="12" spans="1:24" s="1" customFormat="1" ht="10.9" hidden="1" customHeight="1" x14ac:dyDescent="0.2">
      <c r="A12" s="31" t="s">
        <v>90</v>
      </c>
      <c r="B12" s="32" t="s">
        <v>91</v>
      </c>
      <c r="C12" s="33" t="s">
        <v>88</v>
      </c>
      <c r="D12" s="33"/>
      <c r="E12" s="34" t="s">
        <v>33</v>
      </c>
      <c r="F12" s="33" t="s">
        <v>34</v>
      </c>
      <c r="G12" s="33" t="s">
        <v>35</v>
      </c>
      <c r="H12" s="33" t="s">
        <v>36</v>
      </c>
      <c r="I12" s="33" t="s">
        <v>57</v>
      </c>
      <c r="J12" s="35" t="s">
        <v>40</v>
      </c>
      <c r="K12" s="36">
        <v>10</v>
      </c>
      <c r="L12" s="28">
        <v>10</v>
      </c>
      <c r="M12" s="25">
        <f t="shared" si="1"/>
        <v>0</v>
      </c>
      <c r="N12" s="28">
        <v>0</v>
      </c>
      <c r="O12" s="25">
        <f t="shared" si="2"/>
        <v>0</v>
      </c>
      <c r="P12" s="29"/>
      <c r="Q12" s="28">
        <v>0</v>
      </c>
      <c r="R12" s="15">
        <v>3799</v>
      </c>
      <c r="S12" s="15">
        <v>1890.67</v>
      </c>
      <c r="T12" s="30">
        <v>5.6800000000000002E-3</v>
      </c>
      <c r="U12" s="30">
        <v>9.9000000000000005E-2</v>
      </c>
      <c r="V12" s="4"/>
      <c r="W12" s="4" t="s">
        <v>92</v>
      </c>
      <c r="X12" s="1" t="s">
        <v>626</v>
      </c>
    </row>
    <row r="13" spans="1:24" s="1" customFormat="1" ht="10.9" hidden="1" customHeight="1" x14ac:dyDescent="0.2">
      <c r="A13" s="25" t="s">
        <v>112</v>
      </c>
      <c r="B13" s="4" t="s">
        <v>113</v>
      </c>
      <c r="C13" s="14" t="s">
        <v>114</v>
      </c>
      <c r="D13" s="14"/>
      <c r="E13" s="26" t="s">
        <v>33</v>
      </c>
      <c r="F13" s="14" t="s">
        <v>34</v>
      </c>
      <c r="G13" s="14" t="s">
        <v>35</v>
      </c>
      <c r="H13" s="14" t="s">
        <v>115</v>
      </c>
      <c r="I13" s="14" t="s">
        <v>65</v>
      </c>
      <c r="J13" s="27" t="s">
        <v>58</v>
      </c>
      <c r="K13" s="28">
        <v>2</v>
      </c>
      <c r="L13" s="28">
        <v>2</v>
      </c>
      <c r="M13" s="25">
        <f t="shared" si="1"/>
        <v>0</v>
      </c>
      <c r="N13" s="28">
        <v>0</v>
      </c>
      <c r="O13" s="25">
        <f t="shared" si="2"/>
        <v>0</v>
      </c>
      <c r="P13" s="29"/>
      <c r="Q13" s="28">
        <v>0</v>
      </c>
      <c r="R13" s="15">
        <v>3799</v>
      </c>
      <c r="S13" s="15">
        <v>1890.67</v>
      </c>
      <c r="T13" s="30">
        <v>3.0000000000000001E-3</v>
      </c>
      <c r="U13" s="30">
        <v>9.9000000000000005E-2</v>
      </c>
      <c r="V13" s="4"/>
      <c r="W13" s="4" t="s">
        <v>116</v>
      </c>
      <c r="X13" s="1" t="s">
        <v>626</v>
      </c>
    </row>
    <row r="14" spans="1:24" s="1" customFormat="1" ht="10.9" hidden="1" customHeight="1" x14ac:dyDescent="0.2">
      <c r="A14" s="25" t="s">
        <v>117</v>
      </c>
      <c r="B14" s="4" t="s">
        <v>118</v>
      </c>
      <c r="C14" s="14" t="s">
        <v>114</v>
      </c>
      <c r="D14" s="14"/>
      <c r="E14" s="26" t="s">
        <v>33</v>
      </c>
      <c r="F14" s="14" t="s">
        <v>34</v>
      </c>
      <c r="G14" s="14" t="s">
        <v>35</v>
      </c>
      <c r="H14" s="14" t="s">
        <v>115</v>
      </c>
      <c r="I14" s="14" t="s">
        <v>57</v>
      </c>
      <c r="J14" s="27" t="s">
        <v>58</v>
      </c>
      <c r="K14" s="28">
        <v>3</v>
      </c>
      <c r="L14" s="28">
        <v>3</v>
      </c>
      <c r="M14" s="25">
        <f t="shared" si="1"/>
        <v>0</v>
      </c>
      <c r="N14" s="28">
        <v>0</v>
      </c>
      <c r="O14" s="25">
        <f t="shared" si="2"/>
        <v>0</v>
      </c>
      <c r="P14" s="29"/>
      <c r="Q14" s="28">
        <v>0</v>
      </c>
      <c r="R14" s="15">
        <v>3799</v>
      </c>
      <c r="S14" s="15">
        <v>1890.67</v>
      </c>
      <c r="T14" s="30">
        <v>3.0000000000000001E-3</v>
      </c>
      <c r="U14" s="30">
        <v>9.8000000000000004E-2</v>
      </c>
      <c r="V14" s="4"/>
      <c r="W14" s="4" t="s">
        <v>116</v>
      </c>
      <c r="X14" s="1" t="s">
        <v>626</v>
      </c>
    </row>
    <row r="15" spans="1:24" s="1" customFormat="1" ht="10.9" hidden="1" customHeight="1" x14ac:dyDescent="0.2">
      <c r="A15" s="31" t="s">
        <v>104</v>
      </c>
      <c r="B15" s="32" t="s">
        <v>105</v>
      </c>
      <c r="C15" s="33" t="s">
        <v>106</v>
      </c>
      <c r="D15" s="33"/>
      <c r="E15" s="34" t="s">
        <v>33</v>
      </c>
      <c r="F15" s="33" t="s">
        <v>34</v>
      </c>
      <c r="G15" s="33" t="s">
        <v>35</v>
      </c>
      <c r="H15" s="33" t="s">
        <v>80</v>
      </c>
      <c r="I15" s="33" t="s">
        <v>57</v>
      </c>
      <c r="J15" s="35" t="s">
        <v>107</v>
      </c>
      <c r="K15" s="36">
        <v>4</v>
      </c>
      <c r="L15" s="28">
        <v>4</v>
      </c>
      <c r="M15" s="25">
        <f t="shared" si="1"/>
        <v>0</v>
      </c>
      <c r="N15" s="28">
        <v>0</v>
      </c>
      <c r="O15" s="25">
        <f t="shared" si="2"/>
        <v>0</v>
      </c>
      <c r="P15" s="29"/>
      <c r="Q15" s="28">
        <v>0</v>
      </c>
      <c r="R15" s="15">
        <v>3799</v>
      </c>
      <c r="S15" s="15">
        <v>1890.67</v>
      </c>
      <c r="T15" s="30">
        <v>5.0000000000000001E-3</v>
      </c>
      <c r="U15" s="30">
        <v>9.6000000000000002E-2</v>
      </c>
      <c r="V15" s="4"/>
      <c r="W15" s="4" t="s">
        <v>108</v>
      </c>
      <c r="X15" s="1" t="s">
        <v>626</v>
      </c>
    </row>
    <row r="16" spans="1:24" s="1" customFormat="1" ht="10.9" hidden="1" customHeight="1" x14ac:dyDescent="0.2">
      <c r="A16" s="31" t="s">
        <v>109</v>
      </c>
      <c r="B16" s="32" t="s">
        <v>110</v>
      </c>
      <c r="C16" s="33" t="s">
        <v>106</v>
      </c>
      <c r="D16" s="33"/>
      <c r="E16" s="34" t="s">
        <v>33</v>
      </c>
      <c r="F16" s="33" t="s">
        <v>34</v>
      </c>
      <c r="G16" s="33" t="s">
        <v>35</v>
      </c>
      <c r="H16" s="33" t="s">
        <v>80</v>
      </c>
      <c r="I16" s="33" t="s">
        <v>65</v>
      </c>
      <c r="J16" s="35" t="s">
        <v>107</v>
      </c>
      <c r="K16" s="36">
        <v>3</v>
      </c>
      <c r="L16" s="28">
        <v>3</v>
      </c>
      <c r="M16" s="25">
        <f t="shared" si="1"/>
        <v>0</v>
      </c>
      <c r="N16" s="28">
        <v>0</v>
      </c>
      <c r="O16" s="25">
        <f t="shared" si="2"/>
        <v>0</v>
      </c>
      <c r="P16" s="29"/>
      <c r="Q16" s="28">
        <v>0</v>
      </c>
      <c r="R16" s="15">
        <v>3799</v>
      </c>
      <c r="S16" s="15">
        <v>1890.67</v>
      </c>
      <c r="T16" s="30">
        <v>5.0000000000000001E-3</v>
      </c>
      <c r="U16" s="30">
        <v>0.09</v>
      </c>
      <c r="V16" s="4"/>
      <c r="W16" s="4" t="s">
        <v>111</v>
      </c>
      <c r="X16" s="1" t="s">
        <v>626</v>
      </c>
    </row>
    <row r="17" spans="1:24" s="1" customFormat="1" ht="10.9" customHeight="1" x14ac:dyDescent="0.2">
      <c r="A17" s="25" t="s">
        <v>100</v>
      </c>
      <c r="B17" s="4" t="s">
        <v>101</v>
      </c>
      <c r="C17" s="14" t="s">
        <v>102</v>
      </c>
      <c r="D17" s="14" t="str">
        <f>_xlfn.XLOOKUP(A17,'Список товаров'!A:A,'Список товаров'!Q:Q,"ERR",0)</f>
        <v>Состав: 100% Хлопок</v>
      </c>
      <c r="E17" s="26" t="s">
        <v>33</v>
      </c>
      <c r="F17" s="14" t="s">
        <v>34</v>
      </c>
      <c r="G17" s="14" t="s">
        <v>35</v>
      </c>
      <c r="H17" s="14" t="s">
        <v>80</v>
      </c>
      <c r="I17" s="14" t="s">
        <v>65</v>
      </c>
      <c r="J17" s="27" t="s">
        <v>58</v>
      </c>
      <c r="K17" s="28">
        <v>3</v>
      </c>
      <c r="L17" s="28">
        <v>3</v>
      </c>
      <c r="M17" s="25">
        <f t="shared" si="1"/>
        <v>0</v>
      </c>
      <c r="N17" s="28">
        <v>3</v>
      </c>
      <c r="O17" s="25">
        <f t="shared" si="2"/>
        <v>5672.01</v>
      </c>
      <c r="P17" s="29"/>
      <c r="Q17" s="28">
        <v>3</v>
      </c>
      <c r="R17" s="15">
        <v>3799</v>
      </c>
      <c r="S17" s="15">
        <v>1890.67</v>
      </c>
      <c r="T17" s="30">
        <v>5.0000000000000001E-3</v>
      </c>
      <c r="U17" s="30">
        <v>9.5000000000000001E-2</v>
      </c>
      <c r="V17" s="4"/>
      <c r="W17" s="4" t="s">
        <v>103</v>
      </c>
      <c r="X17" s="1" t="s">
        <v>626</v>
      </c>
    </row>
    <row r="18" spans="1:24" s="1" customFormat="1" ht="10.9" customHeight="1" x14ac:dyDescent="0.2">
      <c r="A18" s="25" t="s">
        <v>568</v>
      </c>
      <c r="B18" s="4" t="s">
        <v>569</v>
      </c>
      <c r="C18" s="14" t="s">
        <v>102</v>
      </c>
      <c r="D18" s="14" t="str">
        <f>_xlfn.XLOOKUP(A18,'Список товаров'!A:A,'Список товаров'!Q:Q,"ERR",0)</f>
        <v>Состав: 100% Хлопок</v>
      </c>
      <c r="E18" s="26" t="s">
        <v>33</v>
      </c>
      <c r="F18" s="14" t="s">
        <v>34</v>
      </c>
      <c r="G18" s="14" t="s">
        <v>35</v>
      </c>
      <c r="H18" s="14" t="s">
        <v>80</v>
      </c>
      <c r="I18" s="14" t="s">
        <v>57</v>
      </c>
      <c r="J18" s="27" t="s">
        <v>58</v>
      </c>
      <c r="K18" s="28">
        <v>4</v>
      </c>
      <c r="L18" s="28">
        <v>4</v>
      </c>
      <c r="M18" s="25">
        <f t="shared" si="1"/>
        <v>0</v>
      </c>
      <c r="N18" s="28">
        <v>3</v>
      </c>
      <c r="O18" s="25">
        <f t="shared" si="2"/>
        <v>5672.01</v>
      </c>
      <c r="P18" s="29"/>
      <c r="Q18" s="28">
        <v>3</v>
      </c>
      <c r="R18" s="15">
        <v>3799</v>
      </c>
      <c r="S18" s="15">
        <v>1890.67</v>
      </c>
      <c r="T18" s="30">
        <v>5.0000000000000001E-3</v>
      </c>
      <c r="U18" s="30">
        <v>9.9000000000000005E-2</v>
      </c>
      <c r="V18" s="4"/>
      <c r="W18" s="4" t="s">
        <v>570</v>
      </c>
      <c r="X18" s="1" t="s">
        <v>626</v>
      </c>
    </row>
    <row r="19" spans="1:24" s="1" customFormat="1" ht="10.9" hidden="1" customHeight="1" x14ac:dyDescent="0.2">
      <c r="A19" s="31" t="s">
        <v>83</v>
      </c>
      <c r="B19" s="32" t="s">
        <v>84</v>
      </c>
      <c r="C19" s="33" t="s">
        <v>56</v>
      </c>
      <c r="D19" s="33"/>
      <c r="E19" s="34" t="s">
        <v>33</v>
      </c>
      <c r="F19" s="33" t="s">
        <v>34</v>
      </c>
      <c r="G19" s="33" t="s">
        <v>35</v>
      </c>
      <c r="H19" s="33" t="s">
        <v>52</v>
      </c>
      <c r="I19" s="33" t="s">
        <v>65</v>
      </c>
      <c r="J19" s="35" t="s">
        <v>58</v>
      </c>
      <c r="K19" s="36">
        <v>4</v>
      </c>
      <c r="L19" s="28">
        <v>4</v>
      </c>
      <c r="M19" s="25">
        <f t="shared" si="1"/>
        <v>0</v>
      </c>
      <c r="N19" s="28">
        <v>0</v>
      </c>
      <c r="O19" s="25">
        <f t="shared" si="2"/>
        <v>0</v>
      </c>
      <c r="P19" s="29"/>
      <c r="Q19" s="28">
        <v>0</v>
      </c>
      <c r="R19" s="15">
        <v>3799</v>
      </c>
      <c r="S19" s="15">
        <v>1890.67</v>
      </c>
      <c r="T19" s="30">
        <v>4.1399999999999996E-3</v>
      </c>
      <c r="U19" s="30">
        <v>9.7000000000000003E-2</v>
      </c>
      <c r="V19" s="4"/>
      <c r="W19" s="4" t="s">
        <v>85</v>
      </c>
      <c r="X19" s="1" t="s">
        <v>626</v>
      </c>
    </row>
    <row r="20" spans="1:24" s="1" customFormat="1" ht="10.9" hidden="1" customHeight="1" x14ac:dyDescent="0.2">
      <c r="A20" s="31" t="s">
        <v>54</v>
      </c>
      <c r="B20" s="32" t="s">
        <v>55</v>
      </c>
      <c r="C20" s="33" t="s">
        <v>56</v>
      </c>
      <c r="D20" s="33"/>
      <c r="E20" s="34" t="s">
        <v>33</v>
      </c>
      <c r="F20" s="33" t="s">
        <v>34</v>
      </c>
      <c r="G20" s="33" t="s">
        <v>35</v>
      </c>
      <c r="H20" s="33" t="s">
        <v>52</v>
      </c>
      <c r="I20" s="33" t="s">
        <v>57</v>
      </c>
      <c r="J20" s="35" t="s">
        <v>58</v>
      </c>
      <c r="K20" s="36">
        <v>5</v>
      </c>
      <c r="L20" s="28">
        <v>5</v>
      </c>
      <c r="M20" s="25">
        <f t="shared" si="1"/>
        <v>0</v>
      </c>
      <c r="N20" s="28">
        <v>0</v>
      </c>
      <c r="O20" s="25">
        <f t="shared" si="2"/>
        <v>0</v>
      </c>
      <c r="P20" s="29"/>
      <c r="Q20" s="28">
        <v>0</v>
      </c>
      <c r="R20" s="15">
        <v>3799</v>
      </c>
      <c r="S20" s="15">
        <v>1890.67</v>
      </c>
      <c r="T20" s="30">
        <v>7.9000000000000001E-4</v>
      </c>
      <c r="U20" s="30">
        <v>9.8000000000000004E-2</v>
      </c>
      <c r="V20" s="4"/>
      <c r="W20" s="4" t="s">
        <v>61</v>
      </c>
      <c r="X20" s="1" t="s">
        <v>626</v>
      </c>
    </row>
    <row r="21" spans="1:24" s="1" customFormat="1" ht="10.9" hidden="1" customHeight="1" x14ac:dyDescent="0.2">
      <c r="A21" s="25" t="s">
        <v>77</v>
      </c>
      <c r="B21" s="4" t="s">
        <v>78</v>
      </c>
      <c r="C21" s="14" t="s">
        <v>79</v>
      </c>
      <c r="D21" s="14"/>
      <c r="E21" s="26" t="s">
        <v>33</v>
      </c>
      <c r="F21" s="14" t="s">
        <v>34</v>
      </c>
      <c r="G21" s="14" t="s">
        <v>35</v>
      </c>
      <c r="H21" s="14" t="s">
        <v>80</v>
      </c>
      <c r="I21" s="14" t="s">
        <v>37</v>
      </c>
      <c r="J21" s="27" t="s">
        <v>40</v>
      </c>
      <c r="K21" s="28">
        <v>4</v>
      </c>
      <c r="L21" s="28">
        <v>4</v>
      </c>
      <c r="M21" s="25">
        <f t="shared" si="1"/>
        <v>0</v>
      </c>
      <c r="N21" s="28">
        <v>0</v>
      </c>
      <c r="O21" s="25">
        <f t="shared" si="2"/>
        <v>0</v>
      </c>
      <c r="P21" s="29"/>
      <c r="Q21" s="28">
        <v>0</v>
      </c>
      <c r="R21" s="15">
        <v>2599</v>
      </c>
      <c r="S21" s="15">
        <v>1293.46</v>
      </c>
      <c r="T21" s="30">
        <v>5.0200000000000002E-3</v>
      </c>
      <c r="U21" s="30">
        <v>0.09</v>
      </c>
      <c r="V21" s="4"/>
      <c r="W21" s="4" t="s">
        <v>82</v>
      </c>
      <c r="X21" s="1" t="s">
        <v>626</v>
      </c>
    </row>
    <row r="22" spans="1:24" s="1" customFormat="1" ht="10.9" hidden="1" customHeight="1" x14ac:dyDescent="0.2">
      <c r="A22" s="31" t="s">
        <v>49</v>
      </c>
      <c r="B22" s="32" t="s">
        <v>50</v>
      </c>
      <c r="C22" s="33" t="s">
        <v>51</v>
      </c>
      <c r="D22" s="33"/>
      <c r="E22" s="34" t="s">
        <v>33</v>
      </c>
      <c r="F22" s="33" t="s">
        <v>34</v>
      </c>
      <c r="G22" s="33" t="s">
        <v>35</v>
      </c>
      <c r="H22" s="33" t="s">
        <v>52</v>
      </c>
      <c r="I22" s="33" t="s">
        <v>37</v>
      </c>
      <c r="J22" s="35" t="s">
        <v>40</v>
      </c>
      <c r="K22" s="36">
        <v>20</v>
      </c>
      <c r="L22" s="28">
        <v>20</v>
      </c>
      <c r="M22" s="25">
        <f t="shared" si="1"/>
        <v>0</v>
      </c>
      <c r="N22" s="28">
        <v>0</v>
      </c>
      <c r="O22" s="25">
        <f t="shared" si="2"/>
        <v>0</v>
      </c>
      <c r="P22" s="29"/>
      <c r="Q22" s="28">
        <v>0</v>
      </c>
      <c r="R22" s="15">
        <v>2599</v>
      </c>
      <c r="S22" s="15">
        <v>1293.46</v>
      </c>
      <c r="T22" s="30">
        <v>3.7000000000000002E-3</v>
      </c>
      <c r="U22" s="30">
        <v>9.6000000000000002E-2</v>
      </c>
      <c r="V22" s="4"/>
      <c r="W22" s="4" t="s">
        <v>53</v>
      </c>
      <c r="X22" s="1" t="s">
        <v>626</v>
      </c>
    </row>
    <row r="23" spans="1:24" s="1" customFormat="1" ht="10.9" hidden="1" customHeight="1" x14ac:dyDescent="0.2">
      <c r="A23" s="25" t="s">
        <v>29</v>
      </c>
      <c r="B23" s="4" t="s">
        <v>30</v>
      </c>
      <c r="C23" s="14" t="s">
        <v>32</v>
      </c>
      <c r="D23" s="14"/>
      <c r="E23" s="26" t="s">
        <v>33</v>
      </c>
      <c r="F23" s="14" t="s">
        <v>34</v>
      </c>
      <c r="G23" s="14" t="s">
        <v>35</v>
      </c>
      <c r="H23" s="14" t="s">
        <v>36</v>
      </c>
      <c r="I23" s="14" t="s">
        <v>37</v>
      </c>
      <c r="J23" s="27" t="s">
        <v>40</v>
      </c>
      <c r="K23" s="28">
        <v>30</v>
      </c>
      <c r="L23" s="28">
        <v>30</v>
      </c>
      <c r="M23" s="25">
        <f t="shared" si="1"/>
        <v>0</v>
      </c>
      <c r="N23" s="28">
        <v>0</v>
      </c>
      <c r="O23" s="25">
        <f t="shared" si="2"/>
        <v>0</v>
      </c>
      <c r="P23" s="29"/>
      <c r="Q23" s="28">
        <v>0</v>
      </c>
      <c r="R23" s="15">
        <v>2599</v>
      </c>
      <c r="S23" s="15">
        <v>1293.46</v>
      </c>
      <c r="T23" s="30">
        <v>3.6800000000000001E-3</v>
      </c>
      <c r="U23" s="30">
        <v>0.1</v>
      </c>
      <c r="V23" s="4"/>
      <c r="W23" s="4" t="s">
        <v>47</v>
      </c>
      <c r="X23" s="1" t="s">
        <v>626</v>
      </c>
    </row>
    <row r="24" spans="1:24" s="1" customFormat="1" ht="10.9" hidden="1" customHeight="1" x14ac:dyDescent="0.2">
      <c r="A24" s="31" t="s">
        <v>93</v>
      </c>
      <c r="B24" s="32" t="s">
        <v>94</v>
      </c>
      <c r="C24" s="33" t="s">
        <v>95</v>
      </c>
      <c r="D24" s="33"/>
      <c r="E24" s="34" t="s">
        <v>33</v>
      </c>
      <c r="F24" s="33" t="s">
        <v>34</v>
      </c>
      <c r="G24" s="33" t="s">
        <v>35</v>
      </c>
      <c r="H24" s="33" t="s">
        <v>52</v>
      </c>
      <c r="I24" s="33" t="s">
        <v>57</v>
      </c>
      <c r="J24" s="35" t="s">
        <v>40</v>
      </c>
      <c r="K24" s="36">
        <v>5</v>
      </c>
      <c r="L24" s="28">
        <v>5</v>
      </c>
      <c r="M24" s="25">
        <f t="shared" si="1"/>
        <v>0</v>
      </c>
      <c r="N24" s="28">
        <v>0</v>
      </c>
      <c r="O24" s="25">
        <f t="shared" si="2"/>
        <v>0</v>
      </c>
      <c r="P24" s="29"/>
      <c r="Q24" s="28">
        <v>0</v>
      </c>
      <c r="R24" s="15">
        <v>3199</v>
      </c>
      <c r="S24" s="15">
        <v>1592.06</v>
      </c>
      <c r="T24" s="30">
        <v>3.5899999999999999E-3</v>
      </c>
      <c r="U24" s="30">
        <v>0.09</v>
      </c>
      <c r="V24" s="4"/>
      <c r="W24" s="4" t="s">
        <v>96</v>
      </c>
      <c r="X24" s="1" t="s">
        <v>626</v>
      </c>
    </row>
    <row r="25" spans="1:24" s="1" customFormat="1" ht="10.9" hidden="1" customHeight="1" x14ac:dyDescent="0.2">
      <c r="A25" s="31" t="s">
        <v>97</v>
      </c>
      <c r="B25" s="32" t="s">
        <v>98</v>
      </c>
      <c r="C25" s="33" t="s">
        <v>95</v>
      </c>
      <c r="D25" s="33"/>
      <c r="E25" s="34" t="s">
        <v>33</v>
      </c>
      <c r="F25" s="33" t="s">
        <v>34</v>
      </c>
      <c r="G25" s="33" t="s">
        <v>35</v>
      </c>
      <c r="H25" s="33" t="s">
        <v>52</v>
      </c>
      <c r="I25" s="33" t="s">
        <v>65</v>
      </c>
      <c r="J25" s="35" t="s">
        <v>40</v>
      </c>
      <c r="K25" s="36">
        <v>3</v>
      </c>
      <c r="L25" s="28">
        <v>3</v>
      </c>
      <c r="M25" s="25">
        <f t="shared" si="1"/>
        <v>0</v>
      </c>
      <c r="N25" s="28">
        <v>0</v>
      </c>
      <c r="O25" s="25">
        <f t="shared" si="2"/>
        <v>0</v>
      </c>
      <c r="P25" s="29"/>
      <c r="Q25" s="28">
        <v>0</v>
      </c>
      <c r="R25" s="15">
        <v>3199</v>
      </c>
      <c r="S25" s="15">
        <v>1592.06</v>
      </c>
      <c r="T25" s="30">
        <v>3.9500000000000004E-3</v>
      </c>
      <c r="U25" s="30">
        <v>0.09</v>
      </c>
      <c r="V25" s="4"/>
      <c r="W25" s="4" t="s">
        <v>99</v>
      </c>
      <c r="X25" s="1" t="s">
        <v>626</v>
      </c>
    </row>
    <row r="26" spans="1:24" s="1" customFormat="1" ht="10.9" hidden="1" customHeight="1" x14ac:dyDescent="0.2">
      <c r="A26" s="25" t="s">
        <v>119</v>
      </c>
      <c r="B26" s="4" t="s">
        <v>120</v>
      </c>
      <c r="C26" s="14" t="s">
        <v>121</v>
      </c>
      <c r="D26" s="14"/>
      <c r="E26" s="26" t="s">
        <v>33</v>
      </c>
      <c r="F26" s="14" t="s">
        <v>34</v>
      </c>
      <c r="G26" s="14" t="s">
        <v>35</v>
      </c>
      <c r="H26" s="14" t="s">
        <v>122</v>
      </c>
      <c r="I26" s="14" t="s">
        <v>37</v>
      </c>
      <c r="J26" s="27" t="s">
        <v>40</v>
      </c>
      <c r="K26" s="28">
        <v>7</v>
      </c>
      <c r="L26" s="28">
        <v>7</v>
      </c>
      <c r="M26" s="25">
        <f t="shared" si="1"/>
        <v>0</v>
      </c>
      <c r="N26" s="28">
        <v>0</v>
      </c>
      <c r="O26" s="25">
        <f t="shared" si="2"/>
        <v>0</v>
      </c>
      <c r="P26" s="29"/>
      <c r="Q26" s="28">
        <v>0</v>
      </c>
      <c r="R26" s="15">
        <v>3199</v>
      </c>
      <c r="S26" s="15">
        <v>1592.06</v>
      </c>
      <c r="T26" s="30">
        <v>4.13E-3</v>
      </c>
      <c r="U26" s="30">
        <v>8.2000000000000003E-2</v>
      </c>
      <c r="V26" s="4"/>
      <c r="W26" s="4" t="s">
        <v>124</v>
      </c>
      <c r="X26" s="1" t="s">
        <v>626</v>
      </c>
    </row>
    <row r="27" spans="1:24" s="1" customFormat="1" ht="10.9" hidden="1" customHeight="1" x14ac:dyDescent="0.2">
      <c r="A27" s="31" t="s">
        <v>125</v>
      </c>
      <c r="B27" s="32" t="s">
        <v>126</v>
      </c>
      <c r="C27" s="33" t="s">
        <v>127</v>
      </c>
      <c r="D27" s="33"/>
      <c r="E27" s="34" t="s">
        <v>33</v>
      </c>
      <c r="F27" s="33" t="s">
        <v>34</v>
      </c>
      <c r="G27" s="33" t="s">
        <v>35</v>
      </c>
      <c r="H27" s="33" t="s">
        <v>52</v>
      </c>
      <c r="I27" s="33" t="s">
        <v>37</v>
      </c>
      <c r="J27" s="35" t="s">
        <v>40</v>
      </c>
      <c r="K27" s="36">
        <v>7</v>
      </c>
      <c r="L27" s="28">
        <v>7</v>
      </c>
      <c r="M27" s="25">
        <f t="shared" si="1"/>
        <v>0</v>
      </c>
      <c r="N27" s="28">
        <v>0</v>
      </c>
      <c r="O27" s="25">
        <f t="shared" si="2"/>
        <v>0</v>
      </c>
      <c r="P27" s="29"/>
      <c r="Q27" s="28">
        <v>0</v>
      </c>
      <c r="R27" s="15">
        <v>3199</v>
      </c>
      <c r="S27" s="15">
        <v>1592.06</v>
      </c>
      <c r="T27" s="30">
        <v>4.5399999999999998E-3</v>
      </c>
      <c r="U27" s="30">
        <v>8.3000000000000004E-2</v>
      </c>
      <c r="V27" s="4"/>
      <c r="W27" s="4" t="s">
        <v>128</v>
      </c>
      <c r="X27" s="1" t="s">
        <v>626</v>
      </c>
    </row>
    <row r="28" spans="1:24" s="1" customFormat="1" ht="10.9" hidden="1" customHeight="1" x14ac:dyDescent="0.2">
      <c r="A28" s="25" t="s">
        <v>129</v>
      </c>
      <c r="B28" s="4" t="s">
        <v>130</v>
      </c>
      <c r="C28" s="14" t="s">
        <v>131</v>
      </c>
      <c r="D28" s="14"/>
      <c r="E28" s="26" t="s">
        <v>33</v>
      </c>
      <c r="F28" s="14" t="s">
        <v>34</v>
      </c>
      <c r="G28" s="14" t="s">
        <v>35</v>
      </c>
      <c r="H28" s="14" t="s">
        <v>52</v>
      </c>
      <c r="I28" s="14" t="s">
        <v>37</v>
      </c>
      <c r="J28" s="27" t="s">
        <v>40</v>
      </c>
      <c r="K28" s="28">
        <v>10</v>
      </c>
      <c r="L28" s="28">
        <v>10</v>
      </c>
      <c r="M28" s="25">
        <f t="shared" si="1"/>
        <v>0</v>
      </c>
      <c r="N28" s="28">
        <v>0</v>
      </c>
      <c r="O28" s="25">
        <f t="shared" si="2"/>
        <v>0</v>
      </c>
      <c r="P28" s="29"/>
      <c r="Q28" s="28">
        <v>0</v>
      </c>
      <c r="R28" s="15">
        <v>2599</v>
      </c>
      <c r="S28" s="15">
        <v>1293.46</v>
      </c>
      <c r="T28" s="30">
        <v>4.1000000000000003E-3</v>
      </c>
      <c r="U28" s="30">
        <v>0.1</v>
      </c>
      <c r="V28" s="4"/>
      <c r="W28" s="4" t="s">
        <v>132</v>
      </c>
      <c r="X28" s="1" t="s">
        <v>626</v>
      </c>
    </row>
    <row r="29" spans="1:24" s="1" customFormat="1" ht="10.9" hidden="1" customHeight="1" x14ac:dyDescent="0.2">
      <c r="A29" s="31" t="s">
        <v>133</v>
      </c>
      <c r="B29" s="32" t="s">
        <v>134</v>
      </c>
      <c r="C29" s="33" t="s">
        <v>135</v>
      </c>
      <c r="D29" s="33"/>
      <c r="E29" s="34" t="s">
        <v>33</v>
      </c>
      <c r="F29" s="33" t="s">
        <v>34</v>
      </c>
      <c r="G29" s="33" t="s">
        <v>35</v>
      </c>
      <c r="H29" s="33" t="s">
        <v>80</v>
      </c>
      <c r="I29" s="33" t="s">
        <v>37</v>
      </c>
      <c r="J29" s="35" t="s">
        <v>40</v>
      </c>
      <c r="K29" s="36">
        <v>2</v>
      </c>
      <c r="L29" s="28">
        <v>2</v>
      </c>
      <c r="M29" s="25">
        <f t="shared" si="1"/>
        <v>0</v>
      </c>
      <c r="N29" s="28">
        <v>0</v>
      </c>
      <c r="O29" s="25">
        <f t="shared" si="2"/>
        <v>0</v>
      </c>
      <c r="P29" s="29"/>
      <c r="Q29" s="28">
        <v>0</v>
      </c>
      <c r="R29" s="15">
        <v>3199</v>
      </c>
      <c r="S29" s="15">
        <v>1592.06</v>
      </c>
      <c r="T29" s="30">
        <v>4.1900000000000001E-3</v>
      </c>
      <c r="U29" s="30">
        <v>8.5000000000000006E-2</v>
      </c>
      <c r="V29" s="4"/>
      <c r="W29" s="4" t="s">
        <v>136</v>
      </c>
      <c r="X29" s="1" t="s">
        <v>626</v>
      </c>
    </row>
    <row r="30" spans="1:24" s="1" customFormat="1" ht="10.9" hidden="1" customHeight="1" x14ac:dyDescent="0.2">
      <c r="A30" s="25" t="s">
        <v>137</v>
      </c>
      <c r="B30" s="4" t="s">
        <v>138</v>
      </c>
      <c r="C30" s="14" t="s">
        <v>630</v>
      </c>
      <c r="D30" s="14"/>
      <c r="E30" s="26" t="s">
        <v>33</v>
      </c>
      <c r="F30" s="14" t="s">
        <v>34</v>
      </c>
      <c r="G30" s="14" t="s">
        <v>35</v>
      </c>
      <c r="H30" s="14" t="s">
        <v>122</v>
      </c>
      <c r="I30" s="14" t="s">
        <v>57</v>
      </c>
      <c r="J30" s="27" t="s">
        <v>58</v>
      </c>
      <c r="K30" s="28">
        <v>6</v>
      </c>
      <c r="L30" s="28">
        <v>6</v>
      </c>
      <c r="M30" s="25">
        <f t="shared" si="1"/>
        <v>0</v>
      </c>
      <c r="N30" s="28">
        <v>0</v>
      </c>
      <c r="O30" s="25">
        <f t="shared" si="2"/>
        <v>0</v>
      </c>
      <c r="P30" s="29"/>
      <c r="Q30" s="28">
        <v>0</v>
      </c>
      <c r="R30" s="15">
        <v>3799</v>
      </c>
      <c r="S30" s="15">
        <v>1890.67</v>
      </c>
      <c r="T30" s="30">
        <v>3.5799999999999998E-3</v>
      </c>
      <c r="U30" s="30">
        <v>0.109</v>
      </c>
      <c r="V30" s="4"/>
      <c r="W30" s="4" t="s">
        <v>141</v>
      </c>
      <c r="X30" s="1" t="s">
        <v>626</v>
      </c>
    </row>
    <row r="31" spans="1:24" s="1" customFormat="1" ht="10.9" hidden="1" customHeight="1" x14ac:dyDescent="0.2">
      <c r="A31" s="25" t="s">
        <v>143</v>
      </c>
      <c r="B31" s="4" t="s">
        <v>144</v>
      </c>
      <c r="C31" s="14" t="s">
        <v>630</v>
      </c>
      <c r="D31" s="14"/>
      <c r="E31" s="26" t="s">
        <v>33</v>
      </c>
      <c r="F31" s="14" t="s">
        <v>34</v>
      </c>
      <c r="G31" s="14" t="s">
        <v>35</v>
      </c>
      <c r="H31" s="14" t="s">
        <v>122</v>
      </c>
      <c r="I31" s="14" t="s">
        <v>65</v>
      </c>
      <c r="J31" s="27" t="s">
        <v>58</v>
      </c>
      <c r="K31" s="28">
        <v>4</v>
      </c>
      <c r="L31" s="28">
        <v>4</v>
      </c>
      <c r="M31" s="25">
        <f t="shared" si="1"/>
        <v>0</v>
      </c>
      <c r="N31" s="28">
        <v>0</v>
      </c>
      <c r="O31" s="25">
        <f t="shared" si="2"/>
        <v>0</v>
      </c>
      <c r="P31" s="29"/>
      <c r="Q31" s="28">
        <v>0</v>
      </c>
      <c r="R31" s="15">
        <v>3799</v>
      </c>
      <c r="S31" s="15">
        <v>1890.67</v>
      </c>
      <c r="T31" s="30">
        <v>3.9399999999999999E-3</v>
      </c>
      <c r="U31" s="30">
        <v>0.107</v>
      </c>
      <c r="V31" s="4"/>
      <c r="W31" s="4" t="s">
        <v>145</v>
      </c>
      <c r="X31" s="1" t="s">
        <v>626</v>
      </c>
    </row>
    <row r="32" spans="1:24" s="1" customFormat="1" ht="10.9" hidden="1" customHeight="1" x14ac:dyDescent="0.2">
      <c r="A32" s="31" t="s">
        <v>146</v>
      </c>
      <c r="B32" s="32" t="s">
        <v>147</v>
      </c>
      <c r="C32" s="33" t="s">
        <v>148</v>
      </c>
      <c r="D32" s="33"/>
      <c r="E32" s="34" t="s">
        <v>33</v>
      </c>
      <c r="F32" s="33" t="s">
        <v>34</v>
      </c>
      <c r="G32" s="33" t="s">
        <v>35</v>
      </c>
      <c r="H32" s="33" t="s">
        <v>36</v>
      </c>
      <c r="I32" s="33" t="s">
        <v>37</v>
      </c>
      <c r="J32" s="35" t="s">
        <v>40</v>
      </c>
      <c r="K32" s="36">
        <v>10</v>
      </c>
      <c r="L32" s="28">
        <v>10</v>
      </c>
      <c r="M32" s="25">
        <f t="shared" si="1"/>
        <v>0</v>
      </c>
      <c r="N32" s="28">
        <v>0</v>
      </c>
      <c r="O32" s="25">
        <f t="shared" si="2"/>
        <v>0</v>
      </c>
      <c r="P32" s="29"/>
      <c r="Q32" s="28">
        <v>0</v>
      </c>
      <c r="R32" s="15">
        <v>2599</v>
      </c>
      <c r="S32" s="15">
        <v>1293.46</v>
      </c>
      <c r="T32" s="30">
        <v>3.31E-3</v>
      </c>
      <c r="U32" s="30">
        <v>9.1999999999999998E-2</v>
      </c>
      <c r="V32" s="4"/>
      <c r="W32" s="4" t="s">
        <v>150</v>
      </c>
      <c r="X32" s="1" t="s">
        <v>626</v>
      </c>
    </row>
    <row r="33" spans="1:24" s="1" customFormat="1" ht="10.9" hidden="1" customHeight="1" x14ac:dyDescent="0.2">
      <c r="A33" s="25" t="s">
        <v>151</v>
      </c>
      <c r="B33" s="4" t="s">
        <v>152</v>
      </c>
      <c r="C33" s="14" t="s">
        <v>153</v>
      </c>
      <c r="D33" s="14"/>
      <c r="E33" s="26" t="s">
        <v>33</v>
      </c>
      <c r="F33" s="14" t="s">
        <v>34</v>
      </c>
      <c r="G33" s="14" t="s">
        <v>35</v>
      </c>
      <c r="H33" s="14" t="s">
        <v>36</v>
      </c>
      <c r="I33" s="14" t="s">
        <v>37</v>
      </c>
      <c r="J33" s="27" t="s">
        <v>40</v>
      </c>
      <c r="K33" s="28">
        <v>10</v>
      </c>
      <c r="L33" s="28">
        <v>10</v>
      </c>
      <c r="M33" s="25">
        <f t="shared" si="1"/>
        <v>0</v>
      </c>
      <c r="N33" s="28">
        <v>0</v>
      </c>
      <c r="O33" s="25">
        <f t="shared" si="2"/>
        <v>0</v>
      </c>
      <c r="P33" s="29"/>
      <c r="Q33" s="28">
        <v>0</v>
      </c>
      <c r="R33" s="15">
        <v>2599</v>
      </c>
      <c r="S33" s="15">
        <v>1293.46</v>
      </c>
      <c r="T33" s="30">
        <v>3.4299999999999999E-3</v>
      </c>
      <c r="U33" s="30">
        <v>9.1999999999999998E-2</v>
      </c>
      <c r="V33" s="4"/>
      <c r="W33" s="4" t="s">
        <v>154</v>
      </c>
      <c r="X33" s="1" t="s">
        <v>626</v>
      </c>
    </row>
    <row r="34" spans="1:24" s="1" customFormat="1" ht="10.9" hidden="1" customHeight="1" x14ac:dyDescent="0.2">
      <c r="A34" s="31" t="s">
        <v>155</v>
      </c>
      <c r="B34" s="32" t="s">
        <v>156</v>
      </c>
      <c r="C34" s="33" t="s">
        <v>157</v>
      </c>
      <c r="D34" s="33"/>
      <c r="E34" s="34" t="s">
        <v>33</v>
      </c>
      <c r="F34" s="33" t="s">
        <v>34</v>
      </c>
      <c r="G34" s="33" t="s">
        <v>35</v>
      </c>
      <c r="H34" s="33" t="s">
        <v>158</v>
      </c>
      <c r="I34" s="33" t="s">
        <v>37</v>
      </c>
      <c r="J34" s="35" t="s">
        <v>40</v>
      </c>
      <c r="K34" s="36">
        <v>10</v>
      </c>
      <c r="L34" s="28">
        <v>10</v>
      </c>
      <c r="M34" s="25">
        <f t="shared" si="1"/>
        <v>0</v>
      </c>
      <c r="N34" s="28">
        <v>0</v>
      </c>
      <c r="O34" s="25">
        <f t="shared" si="2"/>
        <v>0</v>
      </c>
      <c r="P34" s="29"/>
      <c r="Q34" s="28">
        <v>0</v>
      </c>
      <c r="R34" s="15">
        <v>2599</v>
      </c>
      <c r="S34" s="15">
        <v>1293.46</v>
      </c>
      <c r="T34" s="30">
        <v>3.5999999999999999E-3</v>
      </c>
      <c r="U34" s="30">
        <v>0.09</v>
      </c>
      <c r="V34" s="4"/>
      <c r="W34" s="4" t="s">
        <v>159</v>
      </c>
      <c r="X34" s="1" t="s">
        <v>626</v>
      </c>
    </row>
    <row r="35" spans="1:24" s="1" customFormat="1" ht="10.9" hidden="1" customHeight="1" x14ac:dyDescent="0.2">
      <c r="A35" s="37" t="s">
        <v>160</v>
      </c>
      <c r="B35" s="4" t="s">
        <v>161</v>
      </c>
      <c r="C35" s="14" t="s">
        <v>162</v>
      </c>
      <c r="D35" s="14"/>
      <c r="E35" s="26" t="s">
        <v>33</v>
      </c>
      <c r="F35" s="14" t="s">
        <v>34</v>
      </c>
      <c r="G35" s="14" t="s">
        <v>35</v>
      </c>
      <c r="H35" s="14" t="s">
        <v>163</v>
      </c>
      <c r="I35" s="14" t="s">
        <v>37</v>
      </c>
      <c r="J35" s="27" t="s">
        <v>40</v>
      </c>
      <c r="K35" s="28">
        <v>7</v>
      </c>
      <c r="L35" s="28">
        <v>7</v>
      </c>
      <c r="M35" s="25">
        <f t="shared" si="1"/>
        <v>0</v>
      </c>
      <c r="N35" s="28">
        <v>0</v>
      </c>
      <c r="O35" s="25">
        <f t="shared" si="2"/>
        <v>0</v>
      </c>
      <c r="P35" s="29"/>
      <c r="Q35" s="28">
        <v>0</v>
      </c>
      <c r="R35" s="15">
        <v>3199</v>
      </c>
      <c r="S35" s="15">
        <v>1592.06</v>
      </c>
      <c r="T35" s="25"/>
      <c r="U35" s="25"/>
      <c r="V35" s="4"/>
      <c r="W35" s="4"/>
      <c r="X35" s="1" t="s">
        <v>626</v>
      </c>
    </row>
    <row r="36" spans="1:24" s="1" customFormat="1" ht="10.9" hidden="1" customHeight="1" x14ac:dyDescent="0.2">
      <c r="A36" s="31" t="s">
        <v>165</v>
      </c>
      <c r="B36" s="32" t="s">
        <v>166</v>
      </c>
      <c r="C36" s="33" t="s">
        <v>167</v>
      </c>
      <c r="D36" s="33"/>
      <c r="E36" s="34" t="s">
        <v>33</v>
      </c>
      <c r="F36" s="33" t="s">
        <v>34</v>
      </c>
      <c r="G36" s="33" t="s">
        <v>35</v>
      </c>
      <c r="H36" s="33" t="s">
        <v>158</v>
      </c>
      <c r="I36" s="33" t="s">
        <v>37</v>
      </c>
      <c r="J36" s="35" t="s">
        <v>107</v>
      </c>
      <c r="K36" s="36">
        <v>7</v>
      </c>
      <c r="L36" s="28">
        <v>7</v>
      </c>
      <c r="M36" s="25">
        <f t="shared" si="1"/>
        <v>0</v>
      </c>
      <c r="N36" s="28">
        <v>0</v>
      </c>
      <c r="O36" s="25">
        <f t="shared" si="2"/>
        <v>0</v>
      </c>
      <c r="P36" s="29"/>
      <c r="Q36" s="28">
        <v>0</v>
      </c>
      <c r="R36" s="15">
        <v>3199</v>
      </c>
      <c r="S36" s="15">
        <v>1592.06</v>
      </c>
      <c r="T36" s="30">
        <v>4.81E-3</v>
      </c>
      <c r="U36" s="30">
        <v>0.08</v>
      </c>
      <c r="V36" s="4"/>
      <c r="W36" s="4" t="s">
        <v>169</v>
      </c>
      <c r="X36" s="1" t="s">
        <v>626</v>
      </c>
    </row>
    <row r="37" spans="1:24" s="1" customFormat="1" ht="10.9" hidden="1" customHeight="1" x14ac:dyDescent="0.2">
      <c r="A37" s="25" t="s">
        <v>170</v>
      </c>
      <c r="B37" s="4" t="s">
        <v>171</v>
      </c>
      <c r="C37" s="14" t="s">
        <v>172</v>
      </c>
      <c r="D37" s="14"/>
      <c r="E37" s="26" t="s">
        <v>33</v>
      </c>
      <c r="F37" s="14" t="s">
        <v>34</v>
      </c>
      <c r="G37" s="14" t="s">
        <v>35</v>
      </c>
      <c r="H37" s="14" t="s">
        <v>173</v>
      </c>
      <c r="I37" s="14" t="s">
        <v>37</v>
      </c>
      <c r="J37" s="27" t="s">
        <v>107</v>
      </c>
      <c r="K37" s="28">
        <v>7</v>
      </c>
      <c r="L37" s="28">
        <v>7</v>
      </c>
      <c r="M37" s="25">
        <f t="shared" si="1"/>
        <v>0</v>
      </c>
      <c r="N37" s="28">
        <v>0</v>
      </c>
      <c r="O37" s="25">
        <f t="shared" si="2"/>
        <v>0</v>
      </c>
      <c r="P37" s="29"/>
      <c r="Q37" s="28">
        <v>0</v>
      </c>
      <c r="R37" s="15">
        <v>3199</v>
      </c>
      <c r="S37" s="15">
        <v>1592.06</v>
      </c>
      <c r="T37" s="30">
        <v>4.3699999999999998E-3</v>
      </c>
      <c r="U37" s="30">
        <v>0.08</v>
      </c>
      <c r="V37" s="4"/>
      <c r="W37" s="4" t="s">
        <v>169</v>
      </c>
      <c r="X37" s="1" t="s">
        <v>626</v>
      </c>
    </row>
    <row r="38" spans="1:24" s="1" customFormat="1" ht="10.9" hidden="1" customHeight="1" x14ac:dyDescent="0.2">
      <c r="A38" s="37" t="s">
        <v>174</v>
      </c>
      <c r="B38" s="32" t="s">
        <v>175</v>
      </c>
      <c r="C38" s="33" t="s">
        <v>176</v>
      </c>
      <c r="D38" s="33"/>
      <c r="E38" s="34" t="s">
        <v>33</v>
      </c>
      <c r="F38" s="33" t="s">
        <v>34</v>
      </c>
      <c r="G38" s="33" t="s">
        <v>35</v>
      </c>
      <c r="H38" s="33" t="s">
        <v>177</v>
      </c>
      <c r="I38" s="33" t="s">
        <v>37</v>
      </c>
      <c r="J38" s="35" t="s">
        <v>40</v>
      </c>
      <c r="K38" s="36">
        <v>6</v>
      </c>
      <c r="L38" s="28">
        <v>6</v>
      </c>
      <c r="M38" s="25">
        <f t="shared" si="1"/>
        <v>0</v>
      </c>
      <c r="N38" s="28">
        <v>0</v>
      </c>
      <c r="O38" s="25">
        <f t="shared" si="2"/>
        <v>0</v>
      </c>
      <c r="P38" s="29"/>
      <c r="Q38" s="28">
        <v>0</v>
      </c>
      <c r="R38" s="15">
        <v>3199</v>
      </c>
      <c r="S38" s="15">
        <v>1592.06</v>
      </c>
      <c r="T38" s="25"/>
      <c r="U38" s="25"/>
      <c r="V38" s="4"/>
      <c r="W38" s="4"/>
      <c r="X38" s="1" t="s">
        <v>626</v>
      </c>
    </row>
    <row r="39" spans="1:24" s="1" customFormat="1" ht="10.9" hidden="1" customHeight="1" x14ac:dyDescent="0.2">
      <c r="A39" s="25" t="s">
        <v>178</v>
      </c>
      <c r="B39" s="4" t="s">
        <v>179</v>
      </c>
      <c r="C39" s="14" t="s">
        <v>180</v>
      </c>
      <c r="D39" s="14"/>
      <c r="E39" s="26" t="s">
        <v>33</v>
      </c>
      <c r="F39" s="14" t="s">
        <v>34</v>
      </c>
      <c r="G39" s="14" t="s">
        <v>35</v>
      </c>
      <c r="H39" s="14" t="s">
        <v>36</v>
      </c>
      <c r="I39" s="14" t="s">
        <v>37</v>
      </c>
      <c r="J39" s="27" t="s">
        <v>58</v>
      </c>
      <c r="K39" s="28">
        <v>7</v>
      </c>
      <c r="L39" s="28">
        <v>7</v>
      </c>
      <c r="M39" s="25">
        <f t="shared" si="1"/>
        <v>0</v>
      </c>
      <c r="N39" s="28">
        <v>0</v>
      </c>
      <c r="O39" s="25">
        <f t="shared" si="2"/>
        <v>0</v>
      </c>
      <c r="P39" s="29"/>
      <c r="Q39" s="28">
        <v>0</v>
      </c>
      <c r="R39" s="15">
        <v>3199</v>
      </c>
      <c r="S39" s="15">
        <v>1592.06</v>
      </c>
      <c r="T39" s="30">
        <v>6.4099999999999999E-3</v>
      </c>
      <c r="U39" s="30">
        <v>8.8999999999999996E-2</v>
      </c>
      <c r="V39" s="4"/>
      <c r="W39" s="4" t="s">
        <v>181</v>
      </c>
      <c r="X39" s="1" t="s">
        <v>626</v>
      </c>
    </row>
    <row r="40" spans="1:24" s="1" customFormat="1" ht="10.9" hidden="1" customHeight="1" x14ac:dyDescent="0.2">
      <c r="A40" s="31" t="s">
        <v>182</v>
      </c>
      <c r="B40" s="32" t="s">
        <v>183</v>
      </c>
      <c r="C40" s="33" t="s">
        <v>184</v>
      </c>
      <c r="D40" s="33"/>
      <c r="E40" s="34" t="s">
        <v>33</v>
      </c>
      <c r="F40" s="33" t="s">
        <v>34</v>
      </c>
      <c r="G40" s="33" t="s">
        <v>35</v>
      </c>
      <c r="H40" s="33" t="s">
        <v>36</v>
      </c>
      <c r="I40" s="33" t="s">
        <v>37</v>
      </c>
      <c r="J40" s="35" t="s">
        <v>107</v>
      </c>
      <c r="K40" s="36">
        <v>10</v>
      </c>
      <c r="L40" s="28">
        <v>10</v>
      </c>
      <c r="M40" s="25">
        <f t="shared" si="1"/>
        <v>0</v>
      </c>
      <c r="N40" s="28">
        <v>0</v>
      </c>
      <c r="O40" s="25">
        <f t="shared" si="2"/>
        <v>0</v>
      </c>
      <c r="P40" s="29"/>
      <c r="Q40" s="28">
        <v>0</v>
      </c>
      <c r="R40" s="15">
        <v>3199</v>
      </c>
      <c r="S40" s="15">
        <v>1592.06</v>
      </c>
      <c r="T40" s="30">
        <v>5.1700000000000001E-3</v>
      </c>
      <c r="U40" s="30">
        <v>8.5000000000000006E-2</v>
      </c>
      <c r="V40" s="4"/>
      <c r="W40" s="4" t="s">
        <v>185</v>
      </c>
      <c r="X40" s="1" t="s">
        <v>626</v>
      </c>
    </row>
    <row r="41" spans="1:24" s="1" customFormat="1" ht="10.9" hidden="1" customHeight="1" x14ac:dyDescent="0.2">
      <c r="A41" s="37" t="s">
        <v>186</v>
      </c>
      <c r="B41" s="4" t="s">
        <v>187</v>
      </c>
      <c r="C41" s="14" t="s">
        <v>188</v>
      </c>
      <c r="D41" s="14"/>
      <c r="E41" s="26" t="s">
        <v>33</v>
      </c>
      <c r="F41" s="14" t="s">
        <v>34</v>
      </c>
      <c r="G41" s="14" t="s">
        <v>35</v>
      </c>
      <c r="H41" s="14" t="s">
        <v>36</v>
      </c>
      <c r="I41" s="14" t="s">
        <v>37</v>
      </c>
      <c r="J41" s="27" t="s">
        <v>40</v>
      </c>
      <c r="K41" s="28">
        <v>10</v>
      </c>
      <c r="L41" s="28">
        <v>10</v>
      </c>
      <c r="M41" s="25">
        <f t="shared" ref="M41:M72" si="3">K41-L41</f>
        <v>0</v>
      </c>
      <c r="N41" s="28">
        <v>0</v>
      </c>
      <c r="O41" s="25">
        <f t="shared" ref="O41:O72" si="4">N41*S41</f>
        <v>0</v>
      </c>
      <c r="P41" s="29"/>
      <c r="Q41" s="28">
        <v>0</v>
      </c>
      <c r="R41" s="15">
        <v>3199</v>
      </c>
      <c r="S41" s="15">
        <v>1592.06</v>
      </c>
      <c r="T41" s="30">
        <v>4.1099999999999999E-3</v>
      </c>
      <c r="U41" s="30">
        <v>8.5999999999999993E-2</v>
      </c>
      <c r="V41" s="4"/>
      <c r="W41" s="4"/>
      <c r="X41" s="1" t="s">
        <v>626</v>
      </c>
    </row>
    <row r="42" spans="1:24" s="1" customFormat="1" ht="10.9" hidden="1" customHeight="1" x14ac:dyDescent="0.2">
      <c r="A42" s="37" t="s">
        <v>190</v>
      </c>
      <c r="B42" s="32" t="s">
        <v>191</v>
      </c>
      <c r="C42" s="33" t="s">
        <v>192</v>
      </c>
      <c r="D42" s="33"/>
      <c r="E42" s="34" t="s">
        <v>33</v>
      </c>
      <c r="F42" s="33" t="s">
        <v>34</v>
      </c>
      <c r="G42" s="33" t="s">
        <v>35</v>
      </c>
      <c r="H42" s="33" t="s">
        <v>193</v>
      </c>
      <c r="I42" s="33" t="s">
        <v>37</v>
      </c>
      <c r="J42" s="35" t="s">
        <v>40</v>
      </c>
      <c r="K42" s="36">
        <v>3</v>
      </c>
      <c r="L42" s="28">
        <v>3</v>
      </c>
      <c r="M42" s="25">
        <f t="shared" si="3"/>
        <v>0</v>
      </c>
      <c r="N42" s="28">
        <v>0</v>
      </c>
      <c r="O42" s="25">
        <f t="shared" si="4"/>
        <v>0</v>
      </c>
      <c r="P42" s="29"/>
      <c r="Q42" s="28">
        <v>0</v>
      </c>
      <c r="R42" s="15">
        <v>3199</v>
      </c>
      <c r="S42" s="15">
        <v>1592.06</v>
      </c>
      <c r="T42" s="25"/>
      <c r="U42" s="25"/>
      <c r="V42" s="4"/>
      <c r="W42" s="4"/>
      <c r="X42" s="1" t="s">
        <v>626</v>
      </c>
    </row>
    <row r="43" spans="1:24" s="1" customFormat="1" ht="10.9" hidden="1" customHeight="1" x14ac:dyDescent="0.2">
      <c r="A43" s="37" t="s">
        <v>194</v>
      </c>
      <c r="B43" s="4" t="s">
        <v>195</v>
      </c>
      <c r="C43" s="14" t="s">
        <v>196</v>
      </c>
      <c r="D43" s="14"/>
      <c r="E43" s="26" t="s">
        <v>33</v>
      </c>
      <c r="F43" s="14" t="s">
        <v>34</v>
      </c>
      <c r="G43" s="14" t="s">
        <v>35</v>
      </c>
      <c r="H43" s="14" t="s">
        <v>197</v>
      </c>
      <c r="I43" s="14" t="s">
        <v>37</v>
      </c>
      <c r="J43" s="27" t="s">
        <v>40</v>
      </c>
      <c r="K43" s="28">
        <v>3</v>
      </c>
      <c r="L43" s="28">
        <v>3</v>
      </c>
      <c r="M43" s="25">
        <f t="shared" si="3"/>
        <v>0</v>
      </c>
      <c r="N43" s="28">
        <v>0</v>
      </c>
      <c r="O43" s="25">
        <f t="shared" si="4"/>
        <v>0</v>
      </c>
      <c r="P43" s="29"/>
      <c r="Q43" s="28">
        <v>0</v>
      </c>
      <c r="R43" s="15">
        <v>3199</v>
      </c>
      <c r="S43" s="15">
        <v>1592.06</v>
      </c>
      <c r="T43" s="25"/>
      <c r="U43" s="25"/>
      <c r="V43" s="4"/>
      <c r="W43" s="4"/>
      <c r="X43" s="1" t="s">
        <v>626</v>
      </c>
    </row>
    <row r="44" spans="1:24" s="1" customFormat="1" ht="10.9" hidden="1" customHeight="1" x14ac:dyDescent="0.2">
      <c r="A44" s="37" t="s">
        <v>199</v>
      </c>
      <c r="B44" s="32" t="s">
        <v>200</v>
      </c>
      <c r="C44" s="33" t="s">
        <v>201</v>
      </c>
      <c r="D44" s="33"/>
      <c r="E44" s="34" t="s">
        <v>33</v>
      </c>
      <c r="F44" s="33" t="s">
        <v>34</v>
      </c>
      <c r="G44" s="33" t="s">
        <v>35</v>
      </c>
      <c r="H44" s="33" t="s">
        <v>122</v>
      </c>
      <c r="I44" s="33" t="s">
        <v>37</v>
      </c>
      <c r="J44" s="35" t="s">
        <v>40</v>
      </c>
      <c r="K44" s="36">
        <v>6</v>
      </c>
      <c r="L44" s="28">
        <v>6</v>
      </c>
      <c r="M44" s="25">
        <f t="shared" si="3"/>
        <v>0</v>
      </c>
      <c r="N44" s="28">
        <v>0</v>
      </c>
      <c r="O44" s="25">
        <f t="shared" si="4"/>
        <v>0</v>
      </c>
      <c r="P44" s="29"/>
      <c r="Q44" s="28">
        <v>0</v>
      </c>
      <c r="R44" s="15">
        <v>2899</v>
      </c>
      <c r="S44" s="15">
        <v>1442.76</v>
      </c>
      <c r="T44" s="25"/>
      <c r="U44" s="25"/>
      <c r="V44" s="4"/>
      <c r="W44" s="4"/>
      <c r="X44" s="1" t="s">
        <v>626</v>
      </c>
    </row>
    <row r="45" spans="1:24" s="1" customFormat="1" ht="10.9" hidden="1" customHeight="1" x14ac:dyDescent="0.2">
      <c r="A45" s="37" t="s">
        <v>202</v>
      </c>
      <c r="B45" s="4" t="s">
        <v>203</v>
      </c>
      <c r="C45" s="14" t="s">
        <v>204</v>
      </c>
      <c r="D45" s="14"/>
      <c r="E45" s="26" t="s">
        <v>33</v>
      </c>
      <c r="F45" s="14" t="s">
        <v>34</v>
      </c>
      <c r="G45" s="14" t="s">
        <v>35</v>
      </c>
      <c r="H45" s="14" t="s">
        <v>80</v>
      </c>
      <c r="I45" s="14" t="s">
        <v>37</v>
      </c>
      <c r="J45" s="27" t="s">
        <v>40</v>
      </c>
      <c r="K45" s="28">
        <v>6</v>
      </c>
      <c r="L45" s="28">
        <v>6</v>
      </c>
      <c r="M45" s="25">
        <f t="shared" si="3"/>
        <v>0</v>
      </c>
      <c r="N45" s="28">
        <v>0</v>
      </c>
      <c r="O45" s="25">
        <f t="shared" si="4"/>
        <v>0</v>
      </c>
      <c r="P45" s="29"/>
      <c r="Q45" s="28">
        <v>0</v>
      </c>
      <c r="R45" s="15">
        <v>3399</v>
      </c>
      <c r="S45" s="15">
        <v>1691.6</v>
      </c>
      <c r="T45" s="25"/>
      <c r="U45" s="25"/>
      <c r="V45" s="4"/>
      <c r="W45" s="4"/>
      <c r="X45" s="1" t="s">
        <v>626</v>
      </c>
    </row>
    <row r="46" spans="1:24" s="1" customFormat="1" ht="10.9" customHeight="1" x14ac:dyDescent="0.2">
      <c r="A46" s="31" t="s">
        <v>205</v>
      </c>
      <c r="B46" s="32" t="s">
        <v>206</v>
      </c>
      <c r="C46" s="33" t="s">
        <v>207</v>
      </c>
      <c r="D46" s="14" t="str">
        <f>_xlfn.XLOOKUP(A46,'Список товаров'!A:A,'Список товаров'!Q:Q,"ERR",0)</f>
        <v>Состав: 100% Хлопок</v>
      </c>
      <c r="E46" s="34" t="s">
        <v>33</v>
      </c>
      <c r="F46" s="33" t="s">
        <v>34</v>
      </c>
      <c r="G46" s="33" t="s">
        <v>35</v>
      </c>
      <c r="H46" s="33" t="s">
        <v>52</v>
      </c>
      <c r="I46" s="33" t="s">
        <v>37</v>
      </c>
      <c r="J46" s="35" t="s">
        <v>208</v>
      </c>
      <c r="K46" s="36">
        <v>6</v>
      </c>
      <c r="L46" s="28">
        <v>6</v>
      </c>
      <c r="M46" s="25">
        <f t="shared" si="3"/>
        <v>0</v>
      </c>
      <c r="N46" s="28">
        <v>6</v>
      </c>
      <c r="O46" s="25">
        <f t="shared" si="4"/>
        <v>7760.76</v>
      </c>
      <c r="P46" s="29"/>
      <c r="Q46" s="28">
        <v>144</v>
      </c>
      <c r="R46" s="15">
        <v>2599</v>
      </c>
      <c r="S46" s="15">
        <v>1293.46</v>
      </c>
      <c r="T46" s="30">
        <v>3.9100000000000003E-3</v>
      </c>
      <c r="U46" s="30">
        <v>9.2999999999999999E-2</v>
      </c>
      <c r="V46" s="4"/>
      <c r="W46" s="4" t="s">
        <v>209</v>
      </c>
      <c r="X46" s="1" t="s">
        <v>626</v>
      </c>
    </row>
    <row r="47" spans="1:24" s="1" customFormat="1" ht="10.9" hidden="1" customHeight="1" x14ac:dyDescent="0.2">
      <c r="A47" s="37" t="s">
        <v>210</v>
      </c>
      <c r="B47" s="4" t="s">
        <v>211</v>
      </c>
      <c r="C47" s="14" t="s">
        <v>212</v>
      </c>
      <c r="D47" s="14"/>
      <c r="E47" s="26" t="s">
        <v>33</v>
      </c>
      <c r="F47" s="14" t="s">
        <v>34</v>
      </c>
      <c r="G47" s="14" t="s">
        <v>35</v>
      </c>
      <c r="H47" s="14" t="s">
        <v>193</v>
      </c>
      <c r="I47" s="14" t="s">
        <v>37</v>
      </c>
      <c r="J47" s="27" t="s">
        <v>40</v>
      </c>
      <c r="K47" s="28">
        <v>6</v>
      </c>
      <c r="L47" s="28">
        <v>6</v>
      </c>
      <c r="M47" s="25">
        <f t="shared" si="3"/>
        <v>0</v>
      </c>
      <c r="N47" s="28">
        <v>0</v>
      </c>
      <c r="O47" s="25">
        <f t="shared" si="4"/>
        <v>0</v>
      </c>
      <c r="P47" s="29"/>
      <c r="Q47" s="28">
        <v>0</v>
      </c>
      <c r="R47" s="15">
        <v>2599</v>
      </c>
      <c r="S47" s="15">
        <v>1293.46</v>
      </c>
      <c r="T47" s="25"/>
      <c r="U47" s="25"/>
      <c r="V47" s="4"/>
      <c r="W47" s="4"/>
      <c r="X47" s="1" t="s">
        <v>626</v>
      </c>
    </row>
    <row r="48" spans="1:24" s="1" customFormat="1" ht="10.9" hidden="1" customHeight="1" x14ac:dyDescent="0.2">
      <c r="A48" s="37" t="s">
        <v>213</v>
      </c>
      <c r="B48" s="32" t="s">
        <v>214</v>
      </c>
      <c r="C48" s="33" t="s">
        <v>215</v>
      </c>
      <c r="D48" s="33"/>
      <c r="E48" s="34" t="s">
        <v>33</v>
      </c>
      <c r="F48" s="33" t="s">
        <v>34</v>
      </c>
      <c r="G48" s="33" t="s">
        <v>35</v>
      </c>
      <c r="H48" s="33" t="s">
        <v>115</v>
      </c>
      <c r="I48" s="33" t="s">
        <v>37</v>
      </c>
      <c r="J48" s="35" t="s">
        <v>40</v>
      </c>
      <c r="K48" s="36">
        <v>6</v>
      </c>
      <c r="L48" s="28">
        <v>6</v>
      </c>
      <c r="M48" s="25">
        <f t="shared" si="3"/>
        <v>0</v>
      </c>
      <c r="N48" s="28">
        <v>0</v>
      </c>
      <c r="O48" s="25">
        <f t="shared" si="4"/>
        <v>0</v>
      </c>
      <c r="P48" s="29"/>
      <c r="Q48" s="28">
        <v>0</v>
      </c>
      <c r="R48" s="15">
        <v>2599</v>
      </c>
      <c r="S48" s="15">
        <v>1293.46</v>
      </c>
      <c r="T48" s="25"/>
      <c r="U48" s="25"/>
      <c r="V48" s="4"/>
      <c r="W48" s="4"/>
      <c r="X48" s="1" t="s">
        <v>626</v>
      </c>
    </row>
    <row r="49" spans="1:24" s="1" customFormat="1" ht="10.9" hidden="1" customHeight="1" x14ac:dyDescent="0.2">
      <c r="A49" s="37" t="s">
        <v>216</v>
      </c>
      <c r="B49" s="4" t="s">
        <v>217</v>
      </c>
      <c r="C49" s="14" t="s">
        <v>218</v>
      </c>
      <c r="D49" s="14"/>
      <c r="E49" s="26" t="s">
        <v>33</v>
      </c>
      <c r="F49" s="14" t="s">
        <v>34</v>
      </c>
      <c r="G49" s="14" t="s">
        <v>35</v>
      </c>
      <c r="H49" s="14" t="s">
        <v>52</v>
      </c>
      <c r="I49" s="14" t="s">
        <v>37</v>
      </c>
      <c r="J49" s="27" t="s">
        <v>40</v>
      </c>
      <c r="K49" s="28">
        <v>3</v>
      </c>
      <c r="L49" s="28">
        <v>3</v>
      </c>
      <c r="M49" s="25">
        <f t="shared" si="3"/>
        <v>0</v>
      </c>
      <c r="N49" s="28">
        <v>0</v>
      </c>
      <c r="O49" s="25">
        <f t="shared" si="4"/>
        <v>0</v>
      </c>
      <c r="P49" s="29"/>
      <c r="Q49" s="28">
        <v>0</v>
      </c>
      <c r="R49" s="15">
        <v>3399</v>
      </c>
      <c r="S49" s="15">
        <v>1691.6</v>
      </c>
      <c r="T49" s="25"/>
      <c r="U49" s="25"/>
      <c r="V49" s="4"/>
      <c r="W49" s="4"/>
      <c r="X49" s="1" t="s">
        <v>626</v>
      </c>
    </row>
    <row r="50" spans="1:24" s="1" customFormat="1" ht="10.9" hidden="1" customHeight="1" x14ac:dyDescent="0.2">
      <c r="A50" s="37" t="s">
        <v>219</v>
      </c>
      <c r="B50" s="32" t="s">
        <v>220</v>
      </c>
      <c r="C50" s="33" t="s">
        <v>221</v>
      </c>
      <c r="D50" s="33"/>
      <c r="E50" s="34" t="s">
        <v>33</v>
      </c>
      <c r="F50" s="33" t="s">
        <v>34</v>
      </c>
      <c r="G50" s="33" t="s">
        <v>35</v>
      </c>
      <c r="H50" s="33" t="s">
        <v>115</v>
      </c>
      <c r="I50" s="33" t="s">
        <v>37</v>
      </c>
      <c r="J50" s="35" t="s">
        <v>40</v>
      </c>
      <c r="K50" s="36">
        <v>6</v>
      </c>
      <c r="L50" s="28">
        <v>6</v>
      </c>
      <c r="M50" s="25">
        <f t="shared" si="3"/>
        <v>0</v>
      </c>
      <c r="N50" s="28">
        <v>0</v>
      </c>
      <c r="O50" s="25">
        <f t="shared" si="4"/>
        <v>0</v>
      </c>
      <c r="P50" s="29"/>
      <c r="Q50" s="28">
        <v>0</v>
      </c>
      <c r="R50" s="15">
        <v>3199</v>
      </c>
      <c r="S50" s="15">
        <v>1592.06</v>
      </c>
      <c r="T50" s="25"/>
      <c r="U50" s="25"/>
      <c r="V50" s="4"/>
      <c r="W50" s="4"/>
      <c r="X50" s="1" t="s">
        <v>626</v>
      </c>
    </row>
    <row r="51" spans="1:24" s="1" customFormat="1" ht="10.9" customHeight="1" x14ac:dyDescent="0.2">
      <c r="A51" s="25" t="s">
        <v>222</v>
      </c>
      <c r="B51" s="4" t="s">
        <v>223</v>
      </c>
      <c r="C51" s="14" t="s">
        <v>224</v>
      </c>
      <c r="D51" s="14" t="str">
        <f>_xlfn.XLOOKUP(A51,'Список товаров'!A:A,'Список товаров'!Q:Q,"ERR",0)</f>
        <v>Состав: 100% Хлопок</v>
      </c>
      <c r="E51" s="26" t="s">
        <v>33</v>
      </c>
      <c r="F51" s="14" t="s">
        <v>34</v>
      </c>
      <c r="G51" s="14" t="s">
        <v>35</v>
      </c>
      <c r="H51" s="14" t="s">
        <v>193</v>
      </c>
      <c r="I51" s="14" t="s">
        <v>37</v>
      </c>
      <c r="J51" s="27" t="s">
        <v>208</v>
      </c>
      <c r="K51" s="28">
        <v>6</v>
      </c>
      <c r="L51" s="28">
        <v>6</v>
      </c>
      <c r="M51" s="25">
        <f t="shared" si="3"/>
        <v>0</v>
      </c>
      <c r="N51" s="28">
        <v>6</v>
      </c>
      <c r="O51" s="25">
        <f t="shared" si="4"/>
        <v>7760.76</v>
      </c>
      <c r="P51" s="29"/>
      <c r="Q51" s="28">
        <v>708</v>
      </c>
      <c r="R51" s="15">
        <v>2599</v>
      </c>
      <c r="S51" s="15">
        <v>1293.46</v>
      </c>
      <c r="T51" s="30">
        <v>3.9699999999999996E-3</v>
      </c>
      <c r="U51" s="30">
        <v>9.4E-2</v>
      </c>
      <c r="V51" s="4"/>
      <c r="W51" s="4" t="s">
        <v>209</v>
      </c>
      <c r="X51" s="1" t="s">
        <v>626</v>
      </c>
    </row>
    <row r="52" spans="1:24" s="1" customFormat="1" ht="10.9" hidden="1" customHeight="1" x14ac:dyDescent="0.2">
      <c r="A52" s="37" t="s">
        <v>225</v>
      </c>
      <c r="B52" s="32" t="s">
        <v>226</v>
      </c>
      <c r="C52" s="33" t="s">
        <v>227</v>
      </c>
      <c r="D52" s="33"/>
      <c r="E52" s="34" t="s">
        <v>33</v>
      </c>
      <c r="F52" s="33" t="s">
        <v>34</v>
      </c>
      <c r="G52" s="33" t="s">
        <v>35</v>
      </c>
      <c r="H52" s="33" t="s">
        <v>173</v>
      </c>
      <c r="I52" s="33" t="s">
        <v>37</v>
      </c>
      <c r="J52" s="35" t="s">
        <v>40</v>
      </c>
      <c r="K52" s="36">
        <v>3</v>
      </c>
      <c r="L52" s="28">
        <v>3</v>
      </c>
      <c r="M52" s="25">
        <f t="shared" si="3"/>
        <v>0</v>
      </c>
      <c r="N52" s="28">
        <v>0</v>
      </c>
      <c r="O52" s="25">
        <f t="shared" si="4"/>
        <v>0</v>
      </c>
      <c r="P52" s="29"/>
      <c r="Q52" s="28">
        <v>0</v>
      </c>
      <c r="R52" s="15">
        <v>3199</v>
      </c>
      <c r="S52" s="15">
        <v>1592.06</v>
      </c>
      <c r="T52" s="25"/>
      <c r="U52" s="25"/>
      <c r="V52" s="4"/>
      <c r="W52" s="4"/>
      <c r="X52" s="1" t="s">
        <v>626</v>
      </c>
    </row>
    <row r="53" spans="1:24" s="1" customFormat="1" ht="10.9" customHeight="1" x14ac:dyDescent="0.2">
      <c r="A53" s="25" t="s">
        <v>228</v>
      </c>
      <c r="B53" s="4" t="s">
        <v>229</v>
      </c>
      <c r="C53" s="14" t="s">
        <v>230</v>
      </c>
      <c r="D53" s="42" t="str">
        <f>_xlfn.XLOOKUP(A53,'Список товаров'!A:A,'Список товаров'!Q:Q,"ERR",0)</f>
        <v>Состав: 100% Полиэстер</v>
      </c>
      <c r="E53" s="26" t="s">
        <v>33</v>
      </c>
      <c r="F53" s="14" t="s">
        <v>34</v>
      </c>
      <c r="G53" s="14" t="s">
        <v>35</v>
      </c>
      <c r="H53" s="14" t="s">
        <v>52</v>
      </c>
      <c r="I53" s="14" t="s">
        <v>37</v>
      </c>
      <c r="J53" s="27" t="s">
        <v>40</v>
      </c>
      <c r="K53" s="28">
        <v>3</v>
      </c>
      <c r="L53" s="28">
        <v>3</v>
      </c>
      <c r="M53" s="25">
        <f t="shared" si="3"/>
        <v>0</v>
      </c>
      <c r="N53" s="28">
        <v>3</v>
      </c>
      <c r="O53" s="25">
        <f t="shared" si="4"/>
        <v>4776.18</v>
      </c>
      <c r="P53" s="29"/>
      <c r="Q53" s="28">
        <v>54</v>
      </c>
      <c r="R53" s="15">
        <v>3199</v>
      </c>
      <c r="S53" s="15">
        <v>1592.06</v>
      </c>
      <c r="T53" s="30">
        <v>5.2199999999999998E-3</v>
      </c>
      <c r="U53" s="30">
        <v>0.1</v>
      </c>
      <c r="V53" s="4"/>
      <c r="W53" s="4" t="s">
        <v>231</v>
      </c>
      <c r="X53" s="1" t="s">
        <v>626</v>
      </c>
    </row>
    <row r="54" spans="1:24" s="1" customFormat="1" ht="10.9" customHeight="1" x14ac:dyDescent="0.2">
      <c r="A54" s="31" t="s">
        <v>232</v>
      </c>
      <c r="B54" s="32" t="s">
        <v>233</v>
      </c>
      <c r="C54" s="33" t="s">
        <v>234</v>
      </c>
      <c r="D54" s="14" t="str">
        <f>_xlfn.XLOOKUP(A54,'Список товаров'!A:A,'Список товаров'!Q:Q,"ERR",0)</f>
        <v>Состав: 100% Хлопок</v>
      </c>
      <c r="E54" s="34" t="s">
        <v>33</v>
      </c>
      <c r="F54" s="33" t="s">
        <v>34</v>
      </c>
      <c r="G54" s="33" t="s">
        <v>35</v>
      </c>
      <c r="H54" s="33" t="s">
        <v>177</v>
      </c>
      <c r="I54" s="33" t="s">
        <v>37</v>
      </c>
      <c r="J54" s="35" t="s">
        <v>208</v>
      </c>
      <c r="K54" s="36">
        <v>3</v>
      </c>
      <c r="L54" s="28">
        <v>3</v>
      </c>
      <c r="M54" s="25">
        <f t="shared" si="3"/>
        <v>0</v>
      </c>
      <c r="N54" s="28">
        <v>3</v>
      </c>
      <c r="O54" s="25">
        <f t="shared" si="4"/>
        <v>3880.38</v>
      </c>
      <c r="P54" s="29"/>
      <c r="Q54" s="28">
        <v>274</v>
      </c>
      <c r="R54" s="15">
        <v>2599</v>
      </c>
      <c r="S54" s="15">
        <v>1293.46</v>
      </c>
      <c r="T54" s="30">
        <v>3.3400000000000001E-3</v>
      </c>
      <c r="U54" s="30">
        <v>9.0999999999999998E-2</v>
      </c>
      <c r="V54" s="4"/>
      <c r="W54" s="4" t="s">
        <v>209</v>
      </c>
      <c r="X54" s="1" t="s">
        <v>626</v>
      </c>
    </row>
    <row r="55" spans="1:24" s="1" customFormat="1" ht="10.9" hidden="1" customHeight="1" x14ac:dyDescent="0.2">
      <c r="A55" s="37" t="s">
        <v>235</v>
      </c>
      <c r="B55" s="4" t="s">
        <v>236</v>
      </c>
      <c r="C55" s="14" t="s">
        <v>237</v>
      </c>
      <c r="D55" s="14"/>
      <c r="E55" s="26" t="s">
        <v>33</v>
      </c>
      <c r="F55" s="14" t="s">
        <v>34</v>
      </c>
      <c r="G55" s="14" t="s">
        <v>35</v>
      </c>
      <c r="H55" s="14" t="s">
        <v>238</v>
      </c>
      <c r="I55" s="14" t="s">
        <v>37</v>
      </c>
      <c r="J55" s="27" t="s">
        <v>208</v>
      </c>
      <c r="K55" s="28">
        <v>3</v>
      </c>
      <c r="L55" s="28">
        <v>3</v>
      </c>
      <c r="M55" s="25">
        <f t="shared" si="3"/>
        <v>0</v>
      </c>
      <c r="N55" s="28">
        <v>0</v>
      </c>
      <c r="O55" s="25">
        <f t="shared" si="4"/>
        <v>0</v>
      </c>
      <c r="P55" s="29"/>
      <c r="Q55" s="28">
        <v>0</v>
      </c>
      <c r="R55" s="15">
        <v>3199</v>
      </c>
      <c r="S55" s="15">
        <v>1592.06</v>
      </c>
      <c r="T55" s="25"/>
      <c r="U55" s="25"/>
      <c r="V55" s="4"/>
      <c r="W55" s="4"/>
      <c r="X55" s="1" t="s">
        <v>626</v>
      </c>
    </row>
    <row r="56" spans="1:24" s="1" customFormat="1" ht="10.9" hidden="1" customHeight="1" x14ac:dyDescent="0.2">
      <c r="A56" s="37" t="s">
        <v>240</v>
      </c>
      <c r="B56" s="32" t="s">
        <v>241</v>
      </c>
      <c r="C56" s="33" t="s">
        <v>242</v>
      </c>
      <c r="D56" s="33"/>
      <c r="E56" s="34" t="s">
        <v>33</v>
      </c>
      <c r="F56" s="33" t="s">
        <v>34</v>
      </c>
      <c r="G56" s="33" t="s">
        <v>35</v>
      </c>
      <c r="H56" s="33" t="s">
        <v>52</v>
      </c>
      <c r="I56" s="33" t="s">
        <v>37</v>
      </c>
      <c r="J56" s="35" t="s">
        <v>40</v>
      </c>
      <c r="K56" s="36">
        <v>4</v>
      </c>
      <c r="L56" s="28">
        <v>4</v>
      </c>
      <c r="M56" s="25">
        <f t="shared" si="3"/>
        <v>0</v>
      </c>
      <c r="N56" s="28">
        <v>0</v>
      </c>
      <c r="O56" s="25">
        <f t="shared" si="4"/>
        <v>0</v>
      </c>
      <c r="P56" s="29"/>
      <c r="Q56" s="28">
        <v>0</v>
      </c>
      <c r="R56" s="15">
        <v>2899</v>
      </c>
      <c r="S56" s="15">
        <v>1442.76</v>
      </c>
      <c r="T56" s="25"/>
      <c r="U56" s="25"/>
      <c r="V56" s="4"/>
      <c r="W56" s="4"/>
      <c r="X56" s="1" t="s">
        <v>626</v>
      </c>
    </row>
    <row r="57" spans="1:24" s="1" customFormat="1" ht="10.9" hidden="1" customHeight="1" x14ac:dyDescent="0.2">
      <c r="A57" s="37" t="s">
        <v>243</v>
      </c>
      <c r="B57" s="4" t="s">
        <v>244</v>
      </c>
      <c r="C57" s="14" t="s">
        <v>245</v>
      </c>
      <c r="D57" s="14"/>
      <c r="E57" s="26" t="s">
        <v>33</v>
      </c>
      <c r="F57" s="14" t="s">
        <v>34</v>
      </c>
      <c r="G57" s="14" t="s">
        <v>35</v>
      </c>
      <c r="H57" s="14" t="s">
        <v>193</v>
      </c>
      <c r="I57" s="14" t="s">
        <v>37</v>
      </c>
      <c r="J57" s="27" t="s">
        <v>40</v>
      </c>
      <c r="K57" s="28">
        <v>4</v>
      </c>
      <c r="L57" s="28">
        <v>4</v>
      </c>
      <c r="M57" s="25">
        <f t="shared" si="3"/>
        <v>0</v>
      </c>
      <c r="N57" s="28">
        <v>0</v>
      </c>
      <c r="O57" s="25">
        <f t="shared" si="4"/>
        <v>0</v>
      </c>
      <c r="P57" s="29"/>
      <c r="Q57" s="28">
        <v>0</v>
      </c>
      <c r="R57" s="15">
        <v>3199</v>
      </c>
      <c r="S57" s="15">
        <v>1592.06</v>
      </c>
      <c r="T57" s="25"/>
      <c r="U57" s="25"/>
      <c r="V57" s="4"/>
      <c r="W57" s="4"/>
      <c r="X57" s="1" t="s">
        <v>626</v>
      </c>
    </row>
    <row r="58" spans="1:24" s="1" customFormat="1" ht="10.9" hidden="1" customHeight="1" x14ac:dyDescent="0.2">
      <c r="A58" s="37" t="s">
        <v>246</v>
      </c>
      <c r="B58" s="32" t="s">
        <v>247</v>
      </c>
      <c r="C58" s="33" t="s">
        <v>248</v>
      </c>
      <c r="D58" s="33"/>
      <c r="E58" s="34" t="s">
        <v>33</v>
      </c>
      <c r="F58" s="33" t="s">
        <v>34</v>
      </c>
      <c r="G58" s="33" t="s">
        <v>35</v>
      </c>
      <c r="H58" s="33" t="s">
        <v>122</v>
      </c>
      <c r="I58" s="33" t="s">
        <v>37</v>
      </c>
      <c r="J58" s="35" t="s">
        <v>40</v>
      </c>
      <c r="K58" s="36">
        <v>3</v>
      </c>
      <c r="L58" s="28">
        <v>3</v>
      </c>
      <c r="M58" s="25">
        <f t="shared" si="3"/>
        <v>0</v>
      </c>
      <c r="N58" s="28">
        <v>0</v>
      </c>
      <c r="O58" s="25">
        <f t="shared" si="4"/>
        <v>0</v>
      </c>
      <c r="P58" s="29"/>
      <c r="Q58" s="28">
        <v>0</v>
      </c>
      <c r="R58" s="15">
        <v>3399</v>
      </c>
      <c r="S58" s="15">
        <v>1691.6</v>
      </c>
      <c r="T58" s="25"/>
      <c r="U58" s="25"/>
      <c r="V58" s="4"/>
      <c r="W58" s="4"/>
      <c r="X58" s="1" t="s">
        <v>626</v>
      </c>
    </row>
    <row r="59" spans="1:24" s="1" customFormat="1" ht="10.9" hidden="1" customHeight="1" x14ac:dyDescent="0.2">
      <c r="A59" s="37" t="s">
        <v>249</v>
      </c>
      <c r="B59" s="4" t="s">
        <v>250</v>
      </c>
      <c r="C59" s="14" t="s">
        <v>251</v>
      </c>
      <c r="D59" s="14"/>
      <c r="E59" s="26" t="s">
        <v>33</v>
      </c>
      <c r="F59" s="14" t="s">
        <v>34</v>
      </c>
      <c r="G59" s="14" t="s">
        <v>35</v>
      </c>
      <c r="H59" s="14" t="s">
        <v>177</v>
      </c>
      <c r="I59" s="14" t="s">
        <v>37</v>
      </c>
      <c r="J59" s="27" t="s">
        <v>40</v>
      </c>
      <c r="K59" s="28">
        <v>12</v>
      </c>
      <c r="L59" s="28">
        <v>12</v>
      </c>
      <c r="M59" s="25">
        <f t="shared" si="3"/>
        <v>0</v>
      </c>
      <c r="N59" s="28">
        <v>0</v>
      </c>
      <c r="O59" s="25">
        <f t="shared" si="4"/>
        <v>0</v>
      </c>
      <c r="P59" s="29"/>
      <c r="Q59" s="28">
        <v>0</v>
      </c>
      <c r="R59" s="15">
        <v>3399</v>
      </c>
      <c r="S59" s="15">
        <v>1691.6</v>
      </c>
      <c r="T59" s="25"/>
      <c r="U59" s="25"/>
      <c r="V59" s="4"/>
      <c r="W59" s="4"/>
      <c r="X59" s="1" t="s">
        <v>626</v>
      </c>
    </row>
    <row r="60" spans="1:24" s="1" customFormat="1" ht="10.9" hidden="1" customHeight="1" x14ac:dyDescent="0.2">
      <c r="A60" s="37" t="s">
        <v>252</v>
      </c>
      <c r="B60" s="32" t="s">
        <v>253</v>
      </c>
      <c r="C60" s="33" t="s">
        <v>254</v>
      </c>
      <c r="D60" s="33"/>
      <c r="E60" s="34" t="s">
        <v>33</v>
      </c>
      <c r="F60" s="33" t="s">
        <v>34</v>
      </c>
      <c r="G60" s="33" t="s">
        <v>35</v>
      </c>
      <c r="H60" s="33" t="s">
        <v>193</v>
      </c>
      <c r="I60" s="33" t="s">
        <v>37</v>
      </c>
      <c r="J60" s="35" t="s">
        <v>40</v>
      </c>
      <c r="K60" s="36">
        <v>4</v>
      </c>
      <c r="L60" s="28">
        <v>4</v>
      </c>
      <c r="M60" s="25">
        <f t="shared" si="3"/>
        <v>0</v>
      </c>
      <c r="N60" s="28">
        <v>0</v>
      </c>
      <c r="O60" s="25">
        <f t="shared" si="4"/>
        <v>0</v>
      </c>
      <c r="P60" s="29"/>
      <c r="Q60" s="28">
        <v>0</v>
      </c>
      <c r="R60" s="15">
        <v>2899</v>
      </c>
      <c r="S60" s="15">
        <v>1442.76</v>
      </c>
      <c r="T60" s="25"/>
      <c r="U60" s="25"/>
      <c r="V60" s="4"/>
      <c r="W60" s="4"/>
      <c r="X60" s="1" t="s">
        <v>626</v>
      </c>
    </row>
    <row r="61" spans="1:24" s="1" customFormat="1" ht="10.9" hidden="1" customHeight="1" x14ac:dyDescent="0.2">
      <c r="A61" s="37" t="s">
        <v>255</v>
      </c>
      <c r="B61" s="4" t="s">
        <v>256</v>
      </c>
      <c r="C61" s="14" t="s">
        <v>257</v>
      </c>
      <c r="D61" s="14"/>
      <c r="E61" s="26" t="s">
        <v>33</v>
      </c>
      <c r="F61" s="14" t="s">
        <v>34</v>
      </c>
      <c r="G61" s="14" t="s">
        <v>35</v>
      </c>
      <c r="H61" s="14" t="s">
        <v>52</v>
      </c>
      <c r="I61" s="14" t="s">
        <v>37</v>
      </c>
      <c r="J61" s="27" t="s">
        <v>40</v>
      </c>
      <c r="K61" s="28">
        <v>4</v>
      </c>
      <c r="L61" s="28">
        <v>4</v>
      </c>
      <c r="M61" s="25">
        <f t="shared" si="3"/>
        <v>0</v>
      </c>
      <c r="N61" s="28">
        <v>0</v>
      </c>
      <c r="O61" s="25">
        <f t="shared" si="4"/>
        <v>0</v>
      </c>
      <c r="P61" s="29"/>
      <c r="Q61" s="28">
        <v>0</v>
      </c>
      <c r="R61" s="15">
        <v>3199</v>
      </c>
      <c r="S61" s="15">
        <v>1592.06</v>
      </c>
      <c r="T61" s="25"/>
      <c r="U61" s="25"/>
      <c r="V61" s="4"/>
      <c r="W61" s="4"/>
      <c r="X61" s="1" t="s">
        <v>626</v>
      </c>
    </row>
    <row r="62" spans="1:24" s="1" customFormat="1" ht="10.9" hidden="1" customHeight="1" x14ac:dyDescent="0.2">
      <c r="A62" s="37" t="s">
        <v>258</v>
      </c>
      <c r="B62" s="32" t="s">
        <v>259</v>
      </c>
      <c r="C62" s="33" t="s">
        <v>260</v>
      </c>
      <c r="D62" s="33"/>
      <c r="E62" s="34" t="s">
        <v>33</v>
      </c>
      <c r="F62" s="33" t="s">
        <v>34</v>
      </c>
      <c r="G62" s="33" t="s">
        <v>35</v>
      </c>
      <c r="H62" s="33" t="s">
        <v>177</v>
      </c>
      <c r="I62" s="33" t="s">
        <v>37</v>
      </c>
      <c r="J62" s="35" t="s">
        <v>208</v>
      </c>
      <c r="K62" s="36">
        <v>6</v>
      </c>
      <c r="L62" s="28">
        <v>6</v>
      </c>
      <c r="M62" s="25">
        <f t="shared" si="3"/>
        <v>0</v>
      </c>
      <c r="N62" s="28">
        <v>0</v>
      </c>
      <c r="O62" s="25">
        <f t="shared" si="4"/>
        <v>0</v>
      </c>
      <c r="P62" s="29"/>
      <c r="Q62" s="28">
        <v>0</v>
      </c>
      <c r="R62" s="15">
        <v>2899</v>
      </c>
      <c r="S62" s="15">
        <v>1442.76</v>
      </c>
      <c r="T62" s="25"/>
      <c r="U62" s="25"/>
      <c r="V62" s="4"/>
      <c r="W62" s="4"/>
      <c r="X62" s="1" t="s">
        <v>626</v>
      </c>
    </row>
    <row r="63" spans="1:24" s="1" customFormat="1" ht="10.9" customHeight="1" x14ac:dyDescent="0.2">
      <c r="A63" s="25" t="s">
        <v>261</v>
      </c>
      <c r="B63" s="4" t="s">
        <v>262</v>
      </c>
      <c r="C63" s="14" t="s">
        <v>263</v>
      </c>
      <c r="D63" s="42" t="str">
        <f>_xlfn.XLOOKUP(A63,'Список товаров'!A:A,'Список товаров'!Q:Q,"ERR",0)</f>
        <v>Состав: 100% Полиэстер</v>
      </c>
      <c r="E63" s="26" t="s">
        <v>33</v>
      </c>
      <c r="F63" s="14" t="s">
        <v>34</v>
      </c>
      <c r="G63" s="14" t="s">
        <v>35</v>
      </c>
      <c r="H63" s="14" t="s">
        <v>115</v>
      </c>
      <c r="I63" s="14" t="s">
        <v>37</v>
      </c>
      <c r="J63" s="27" t="s">
        <v>40</v>
      </c>
      <c r="K63" s="28">
        <v>20</v>
      </c>
      <c r="L63" s="28">
        <v>20</v>
      </c>
      <c r="M63" s="25">
        <f t="shared" si="3"/>
        <v>0</v>
      </c>
      <c r="N63" s="28">
        <v>20</v>
      </c>
      <c r="O63" s="25">
        <f t="shared" si="4"/>
        <v>28855.200000000001</v>
      </c>
      <c r="P63" s="29"/>
      <c r="Q63" s="28">
        <v>200</v>
      </c>
      <c r="R63" s="15">
        <v>2899</v>
      </c>
      <c r="S63" s="15">
        <v>1442.76</v>
      </c>
      <c r="T63" s="30">
        <v>4.7499999999999999E-3</v>
      </c>
      <c r="U63" s="30">
        <v>9.2999999999999999E-2</v>
      </c>
      <c r="V63" s="4"/>
      <c r="W63" s="4" t="s">
        <v>264</v>
      </c>
      <c r="X63" s="1" t="s">
        <v>626</v>
      </c>
    </row>
    <row r="64" spans="1:24" s="1" customFormat="1" ht="10.9" customHeight="1" x14ac:dyDescent="0.2">
      <c r="A64" s="31" t="s">
        <v>265</v>
      </c>
      <c r="B64" s="32" t="s">
        <v>266</v>
      </c>
      <c r="C64" s="33" t="s">
        <v>267</v>
      </c>
      <c r="D64" s="14" t="s">
        <v>45</v>
      </c>
      <c r="E64" s="34" t="s">
        <v>33</v>
      </c>
      <c r="F64" s="33" t="s">
        <v>34</v>
      </c>
      <c r="G64" s="33" t="s">
        <v>35</v>
      </c>
      <c r="H64" s="33" t="s">
        <v>52</v>
      </c>
      <c r="I64" s="33" t="s">
        <v>37</v>
      </c>
      <c r="J64" s="35" t="s">
        <v>208</v>
      </c>
      <c r="K64" s="36">
        <v>6</v>
      </c>
      <c r="L64" s="28">
        <v>6</v>
      </c>
      <c r="M64" s="25">
        <f t="shared" si="3"/>
        <v>0</v>
      </c>
      <c r="N64" s="28">
        <v>6</v>
      </c>
      <c r="O64" s="25">
        <f t="shared" si="4"/>
        <v>9552.36</v>
      </c>
      <c r="P64" s="29"/>
      <c r="Q64" s="28">
        <v>80</v>
      </c>
      <c r="R64" s="15">
        <v>3199</v>
      </c>
      <c r="S64" s="15">
        <v>1592.06</v>
      </c>
      <c r="T64" s="30">
        <v>1.1100000000000001E-3</v>
      </c>
      <c r="U64" s="30">
        <v>8.2000000000000003E-2</v>
      </c>
      <c r="V64" s="4"/>
      <c r="W64" s="4" t="s">
        <v>268</v>
      </c>
      <c r="X64" s="1" t="s">
        <v>626</v>
      </c>
    </row>
    <row r="65" spans="1:24" s="1" customFormat="1" ht="10.9" customHeight="1" x14ac:dyDescent="0.2">
      <c r="A65" s="25" t="s">
        <v>269</v>
      </c>
      <c r="B65" s="4" t="s">
        <v>270</v>
      </c>
      <c r="C65" s="14" t="s">
        <v>271</v>
      </c>
      <c r="D65" s="14" t="s">
        <v>45</v>
      </c>
      <c r="E65" s="26" t="s">
        <v>33</v>
      </c>
      <c r="F65" s="14" t="s">
        <v>34</v>
      </c>
      <c r="G65" s="14" t="s">
        <v>35</v>
      </c>
      <c r="H65" s="14" t="s">
        <v>197</v>
      </c>
      <c r="I65" s="14" t="s">
        <v>37</v>
      </c>
      <c r="J65" s="27" t="s">
        <v>208</v>
      </c>
      <c r="K65" s="28">
        <v>3</v>
      </c>
      <c r="L65" s="28">
        <v>3</v>
      </c>
      <c r="M65" s="25">
        <f t="shared" si="3"/>
        <v>0</v>
      </c>
      <c r="N65" s="28">
        <v>3</v>
      </c>
      <c r="O65" s="25">
        <f t="shared" si="4"/>
        <v>4776.18</v>
      </c>
      <c r="P65" s="29"/>
      <c r="Q65" s="28">
        <v>104</v>
      </c>
      <c r="R65" s="15">
        <v>3199</v>
      </c>
      <c r="S65" s="15">
        <v>1592.06</v>
      </c>
      <c r="T65" s="30">
        <v>4.1599999999999996E-3</v>
      </c>
      <c r="U65" s="30">
        <v>8.1000000000000003E-2</v>
      </c>
      <c r="V65" s="4"/>
      <c r="W65" s="4" t="s">
        <v>268</v>
      </c>
      <c r="X65" s="1" t="s">
        <v>626</v>
      </c>
    </row>
    <row r="66" spans="1:24" s="1" customFormat="1" ht="10.9" hidden="1" customHeight="1" x14ac:dyDescent="0.2">
      <c r="A66" s="37" t="s">
        <v>272</v>
      </c>
      <c r="B66" s="32" t="s">
        <v>273</v>
      </c>
      <c r="C66" s="33" t="s">
        <v>274</v>
      </c>
      <c r="D66" s="33"/>
      <c r="E66" s="34" t="s">
        <v>33</v>
      </c>
      <c r="F66" s="33" t="s">
        <v>34</v>
      </c>
      <c r="G66" s="33" t="s">
        <v>35</v>
      </c>
      <c r="H66" s="33" t="s">
        <v>122</v>
      </c>
      <c r="I66" s="33" t="s">
        <v>37</v>
      </c>
      <c r="J66" s="35" t="s">
        <v>208</v>
      </c>
      <c r="K66" s="36">
        <v>6</v>
      </c>
      <c r="L66" s="28">
        <v>6</v>
      </c>
      <c r="M66" s="25">
        <f t="shared" si="3"/>
        <v>0</v>
      </c>
      <c r="N66" s="28">
        <v>0</v>
      </c>
      <c r="O66" s="25">
        <f t="shared" si="4"/>
        <v>0</v>
      </c>
      <c r="P66" s="29"/>
      <c r="Q66" s="28">
        <v>0</v>
      </c>
      <c r="R66" s="15">
        <v>3199</v>
      </c>
      <c r="S66" s="15">
        <v>1592.06</v>
      </c>
      <c r="T66" s="25"/>
      <c r="U66" s="25"/>
      <c r="V66" s="4"/>
      <c r="W66" s="4"/>
      <c r="X66" s="1" t="s">
        <v>626</v>
      </c>
    </row>
    <row r="67" spans="1:24" s="1" customFormat="1" ht="10.9" hidden="1" customHeight="1" x14ac:dyDescent="0.2">
      <c r="A67" s="37" t="s">
        <v>275</v>
      </c>
      <c r="B67" s="4" t="s">
        <v>276</v>
      </c>
      <c r="C67" s="14" t="s">
        <v>277</v>
      </c>
      <c r="D67" s="14"/>
      <c r="E67" s="26" t="s">
        <v>33</v>
      </c>
      <c r="F67" s="14" t="s">
        <v>34</v>
      </c>
      <c r="G67" s="14" t="s">
        <v>35</v>
      </c>
      <c r="H67" s="14" t="s">
        <v>122</v>
      </c>
      <c r="I67" s="14" t="s">
        <v>37</v>
      </c>
      <c r="J67" s="27" t="s">
        <v>208</v>
      </c>
      <c r="K67" s="28">
        <v>6</v>
      </c>
      <c r="L67" s="28">
        <v>6</v>
      </c>
      <c r="M67" s="25">
        <f t="shared" si="3"/>
        <v>0</v>
      </c>
      <c r="N67" s="28">
        <v>0</v>
      </c>
      <c r="O67" s="25">
        <f t="shared" si="4"/>
        <v>0</v>
      </c>
      <c r="P67" s="29"/>
      <c r="Q67" s="28">
        <v>0</v>
      </c>
      <c r="R67" s="15">
        <v>3199</v>
      </c>
      <c r="S67" s="15">
        <v>1592.06</v>
      </c>
      <c r="T67" s="25"/>
      <c r="U67" s="25"/>
      <c r="V67" s="4"/>
      <c r="W67" s="4"/>
      <c r="X67" s="1" t="s">
        <v>626</v>
      </c>
    </row>
    <row r="68" spans="1:24" s="1" customFormat="1" ht="10.9" hidden="1" customHeight="1" x14ac:dyDescent="0.2">
      <c r="A68" s="37" t="s">
        <v>278</v>
      </c>
      <c r="B68" s="32" t="s">
        <v>279</v>
      </c>
      <c r="C68" s="33" t="s">
        <v>280</v>
      </c>
      <c r="D68" s="33"/>
      <c r="E68" s="34" t="s">
        <v>33</v>
      </c>
      <c r="F68" s="33" t="s">
        <v>34</v>
      </c>
      <c r="G68" s="33" t="s">
        <v>35</v>
      </c>
      <c r="H68" s="33" t="s">
        <v>52</v>
      </c>
      <c r="I68" s="33" t="s">
        <v>37</v>
      </c>
      <c r="J68" s="35" t="s">
        <v>40</v>
      </c>
      <c r="K68" s="36">
        <v>6</v>
      </c>
      <c r="L68" s="28">
        <v>6</v>
      </c>
      <c r="M68" s="25">
        <f t="shared" si="3"/>
        <v>0</v>
      </c>
      <c r="N68" s="28">
        <v>0</v>
      </c>
      <c r="O68" s="25">
        <f t="shared" si="4"/>
        <v>0</v>
      </c>
      <c r="P68" s="29"/>
      <c r="Q68" s="28">
        <v>0</v>
      </c>
      <c r="R68" s="15">
        <v>2599</v>
      </c>
      <c r="S68" s="15">
        <v>1293.46</v>
      </c>
      <c r="T68" s="25"/>
      <c r="U68" s="25"/>
      <c r="V68" s="4"/>
      <c r="W68" s="4"/>
      <c r="X68" s="1" t="s">
        <v>626</v>
      </c>
    </row>
    <row r="69" spans="1:24" s="1" customFormat="1" ht="10.9" hidden="1" customHeight="1" x14ac:dyDescent="0.2">
      <c r="A69" s="37" t="s">
        <v>281</v>
      </c>
      <c r="B69" s="4" t="s">
        <v>282</v>
      </c>
      <c r="C69" s="14" t="s">
        <v>283</v>
      </c>
      <c r="D69" s="14"/>
      <c r="E69" s="26" t="s">
        <v>33</v>
      </c>
      <c r="F69" s="14" t="s">
        <v>34</v>
      </c>
      <c r="G69" s="14" t="s">
        <v>35</v>
      </c>
      <c r="H69" s="14" t="s">
        <v>115</v>
      </c>
      <c r="I69" s="14" t="s">
        <v>37</v>
      </c>
      <c r="J69" s="27" t="s">
        <v>208</v>
      </c>
      <c r="K69" s="28">
        <v>9</v>
      </c>
      <c r="L69" s="28">
        <v>9</v>
      </c>
      <c r="M69" s="25">
        <f t="shared" si="3"/>
        <v>0</v>
      </c>
      <c r="N69" s="28">
        <v>0</v>
      </c>
      <c r="O69" s="25">
        <f t="shared" si="4"/>
        <v>0</v>
      </c>
      <c r="P69" s="29"/>
      <c r="Q69" s="28">
        <v>0</v>
      </c>
      <c r="R69" s="15">
        <v>3699</v>
      </c>
      <c r="S69" s="15">
        <v>1840.9</v>
      </c>
      <c r="T69" s="25"/>
      <c r="U69" s="25"/>
      <c r="V69" s="4"/>
      <c r="W69" s="4"/>
      <c r="X69" s="1" t="s">
        <v>626</v>
      </c>
    </row>
    <row r="70" spans="1:24" s="1" customFormat="1" ht="10.9" hidden="1" customHeight="1" x14ac:dyDescent="0.2">
      <c r="A70" s="37" t="s">
        <v>284</v>
      </c>
      <c r="B70" s="32" t="s">
        <v>285</v>
      </c>
      <c r="C70" s="33" t="s">
        <v>286</v>
      </c>
      <c r="D70" s="33"/>
      <c r="E70" s="34" t="s">
        <v>33</v>
      </c>
      <c r="F70" s="33" t="s">
        <v>34</v>
      </c>
      <c r="G70" s="33" t="s">
        <v>35</v>
      </c>
      <c r="H70" s="33" t="s">
        <v>115</v>
      </c>
      <c r="I70" s="33" t="s">
        <v>37</v>
      </c>
      <c r="J70" s="35" t="s">
        <v>208</v>
      </c>
      <c r="K70" s="36">
        <v>8</v>
      </c>
      <c r="L70" s="28">
        <v>8</v>
      </c>
      <c r="M70" s="25">
        <f t="shared" si="3"/>
        <v>0</v>
      </c>
      <c r="N70" s="28">
        <v>0</v>
      </c>
      <c r="O70" s="25">
        <f t="shared" si="4"/>
        <v>0</v>
      </c>
      <c r="P70" s="29"/>
      <c r="Q70" s="28">
        <v>0</v>
      </c>
      <c r="R70" s="15">
        <v>3699</v>
      </c>
      <c r="S70" s="15">
        <v>1840.9</v>
      </c>
      <c r="T70" s="25"/>
      <c r="U70" s="25"/>
      <c r="V70" s="4"/>
      <c r="W70" s="4"/>
      <c r="X70" s="1" t="s">
        <v>626</v>
      </c>
    </row>
    <row r="71" spans="1:24" s="1" customFormat="1" ht="10.9" hidden="1" customHeight="1" x14ac:dyDescent="0.2">
      <c r="A71" s="37" t="s">
        <v>287</v>
      </c>
      <c r="B71" s="4" t="s">
        <v>288</v>
      </c>
      <c r="C71" s="14" t="s">
        <v>289</v>
      </c>
      <c r="D71" s="14"/>
      <c r="E71" s="26" t="s">
        <v>33</v>
      </c>
      <c r="F71" s="14" t="s">
        <v>34</v>
      </c>
      <c r="G71" s="14" t="s">
        <v>35</v>
      </c>
      <c r="H71" s="14" t="s">
        <v>115</v>
      </c>
      <c r="I71" s="14" t="s">
        <v>37</v>
      </c>
      <c r="J71" s="27" t="s">
        <v>40</v>
      </c>
      <c r="K71" s="28">
        <v>9</v>
      </c>
      <c r="L71" s="28">
        <v>9</v>
      </c>
      <c r="M71" s="25">
        <f t="shared" si="3"/>
        <v>0</v>
      </c>
      <c r="N71" s="28">
        <v>0</v>
      </c>
      <c r="O71" s="25">
        <f t="shared" si="4"/>
        <v>0</v>
      </c>
      <c r="P71" s="29"/>
      <c r="Q71" s="28">
        <v>0</v>
      </c>
      <c r="R71" s="15">
        <v>3699</v>
      </c>
      <c r="S71" s="15">
        <v>1840.9</v>
      </c>
      <c r="T71" s="25"/>
      <c r="U71" s="25"/>
      <c r="V71" s="4"/>
      <c r="W71" s="4"/>
      <c r="X71" s="1" t="s">
        <v>626</v>
      </c>
    </row>
    <row r="72" spans="1:24" s="1" customFormat="1" ht="10.9" customHeight="1" x14ac:dyDescent="0.2">
      <c r="A72" s="31" t="s">
        <v>290</v>
      </c>
      <c r="B72" s="32" t="s">
        <v>291</v>
      </c>
      <c r="C72" s="33" t="s">
        <v>292</v>
      </c>
      <c r="D72" s="14" t="str">
        <f>_xlfn.XLOOKUP(A72,'Список товаров'!A:A,'Список товаров'!Q:Q,"ERR",0)</f>
        <v>Состав: 100% Хлопок</v>
      </c>
      <c r="E72" s="34" t="s">
        <v>33</v>
      </c>
      <c r="F72" s="33" t="s">
        <v>34</v>
      </c>
      <c r="G72" s="33" t="s">
        <v>35</v>
      </c>
      <c r="H72" s="33" t="s">
        <v>177</v>
      </c>
      <c r="I72" s="33" t="s">
        <v>37</v>
      </c>
      <c r="J72" s="35" t="s">
        <v>40</v>
      </c>
      <c r="K72" s="36">
        <v>6</v>
      </c>
      <c r="L72" s="28">
        <v>6</v>
      </c>
      <c r="M72" s="25">
        <f t="shared" si="3"/>
        <v>0</v>
      </c>
      <c r="N72" s="28">
        <v>6</v>
      </c>
      <c r="O72" s="25">
        <f t="shared" si="4"/>
        <v>7760.76</v>
      </c>
      <c r="P72" s="29"/>
      <c r="Q72" s="28">
        <v>144</v>
      </c>
      <c r="R72" s="15">
        <v>2599</v>
      </c>
      <c r="S72" s="15">
        <v>1293.46</v>
      </c>
      <c r="T72" s="30">
        <v>4.3699999999999998E-3</v>
      </c>
      <c r="U72" s="30">
        <v>0.09</v>
      </c>
      <c r="V72" s="4"/>
      <c r="W72" s="4" t="s">
        <v>264</v>
      </c>
      <c r="X72" s="1" t="s">
        <v>626</v>
      </c>
    </row>
    <row r="73" spans="1:24" s="1" customFormat="1" ht="10.9" hidden="1" customHeight="1" x14ac:dyDescent="0.2">
      <c r="A73" s="37" t="s">
        <v>293</v>
      </c>
      <c r="B73" s="4" t="s">
        <v>294</v>
      </c>
      <c r="C73" s="14" t="s">
        <v>295</v>
      </c>
      <c r="D73" s="14"/>
      <c r="E73" s="26" t="s">
        <v>33</v>
      </c>
      <c r="F73" s="14" t="s">
        <v>34</v>
      </c>
      <c r="G73" s="14" t="s">
        <v>35</v>
      </c>
      <c r="H73" s="14" t="s">
        <v>177</v>
      </c>
      <c r="I73" s="14" t="s">
        <v>37</v>
      </c>
      <c r="J73" s="27" t="s">
        <v>40</v>
      </c>
      <c r="K73" s="28">
        <v>3</v>
      </c>
      <c r="L73" s="28">
        <v>3</v>
      </c>
      <c r="M73" s="25">
        <f t="shared" ref="M73:M104" si="5">K73-L73</f>
        <v>0</v>
      </c>
      <c r="N73" s="28">
        <v>0</v>
      </c>
      <c r="O73" s="25">
        <f t="shared" ref="O73:O104" si="6">N73*S73</f>
        <v>0</v>
      </c>
      <c r="P73" s="29"/>
      <c r="Q73" s="28">
        <v>0</v>
      </c>
      <c r="R73" s="15">
        <v>2599</v>
      </c>
      <c r="S73" s="15">
        <v>1293.46</v>
      </c>
      <c r="T73" s="25"/>
      <c r="U73" s="25"/>
      <c r="V73" s="4"/>
      <c r="W73" s="4"/>
      <c r="X73" s="1" t="s">
        <v>626</v>
      </c>
    </row>
    <row r="74" spans="1:24" s="1" customFormat="1" ht="10.9" customHeight="1" x14ac:dyDescent="0.2">
      <c r="A74" s="31" t="s">
        <v>296</v>
      </c>
      <c r="B74" s="32" t="s">
        <v>297</v>
      </c>
      <c r="C74" s="33" t="s">
        <v>298</v>
      </c>
      <c r="D74" s="14" t="str">
        <f>_xlfn.XLOOKUP(A74,'Список товаров'!A:A,'Список товаров'!Q:Q,"ERR",0)</f>
        <v>Состав: 100% Хлопок</v>
      </c>
      <c r="E74" s="34" t="s">
        <v>33</v>
      </c>
      <c r="F74" s="33" t="s">
        <v>34</v>
      </c>
      <c r="G74" s="33" t="s">
        <v>35</v>
      </c>
      <c r="H74" s="33" t="s">
        <v>238</v>
      </c>
      <c r="I74" s="33" t="s">
        <v>37</v>
      </c>
      <c r="J74" s="35" t="s">
        <v>208</v>
      </c>
      <c r="K74" s="36">
        <v>6</v>
      </c>
      <c r="L74" s="28">
        <v>6</v>
      </c>
      <c r="M74" s="25">
        <f t="shared" si="5"/>
        <v>0</v>
      </c>
      <c r="N74" s="28">
        <v>6</v>
      </c>
      <c r="O74" s="25">
        <f t="shared" si="6"/>
        <v>7760.76</v>
      </c>
      <c r="P74" s="29"/>
      <c r="Q74" s="28">
        <v>202</v>
      </c>
      <c r="R74" s="15">
        <v>2599</v>
      </c>
      <c r="S74" s="15">
        <v>1293.46</v>
      </c>
      <c r="T74" s="30">
        <v>3.5699999999999998E-3</v>
      </c>
      <c r="U74" s="30">
        <v>9.1999999999999998E-2</v>
      </c>
      <c r="V74" s="4"/>
      <c r="W74" s="4" t="s">
        <v>209</v>
      </c>
      <c r="X74" s="1" t="s">
        <v>626</v>
      </c>
    </row>
    <row r="75" spans="1:24" s="1" customFormat="1" ht="10.9" hidden="1" customHeight="1" x14ac:dyDescent="0.2">
      <c r="A75" s="37" t="s">
        <v>299</v>
      </c>
      <c r="B75" s="4" t="s">
        <v>300</v>
      </c>
      <c r="C75" s="14" t="s">
        <v>301</v>
      </c>
      <c r="D75" s="14"/>
      <c r="E75" s="26" t="s">
        <v>33</v>
      </c>
      <c r="F75" s="14" t="s">
        <v>34</v>
      </c>
      <c r="G75" s="14" t="s">
        <v>35</v>
      </c>
      <c r="H75" s="14" t="s">
        <v>177</v>
      </c>
      <c r="I75" s="14" t="s">
        <v>37</v>
      </c>
      <c r="J75" s="27" t="s">
        <v>40</v>
      </c>
      <c r="K75" s="28">
        <v>3</v>
      </c>
      <c r="L75" s="28">
        <v>3</v>
      </c>
      <c r="M75" s="25">
        <f t="shared" si="5"/>
        <v>0</v>
      </c>
      <c r="N75" s="28">
        <v>0</v>
      </c>
      <c r="O75" s="25">
        <f t="shared" si="6"/>
        <v>0</v>
      </c>
      <c r="P75" s="29"/>
      <c r="Q75" s="28">
        <v>0</v>
      </c>
      <c r="R75" s="15">
        <v>2599</v>
      </c>
      <c r="S75" s="15">
        <v>1293.46</v>
      </c>
      <c r="T75" s="25"/>
      <c r="U75" s="25"/>
      <c r="V75" s="4"/>
      <c r="W75" s="4"/>
      <c r="X75" s="1" t="s">
        <v>626</v>
      </c>
    </row>
    <row r="76" spans="1:24" s="1" customFormat="1" ht="10.9" customHeight="1" x14ac:dyDescent="0.2">
      <c r="A76" s="31" t="s">
        <v>302</v>
      </c>
      <c r="B76" s="32" t="s">
        <v>303</v>
      </c>
      <c r="C76" s="33" t="s">
        <v>304</v>
      </c>
      <c r="D76" s="14" t="s">
        <v>45</v>
      </c>
      <c r="E76" s="34" t="s">
        <v>33</v>
      </c>
      <c r="F76" s="33" t="s">
        <v>34</v>
      </c>
      <c r="G76" s="33" t="s">
        <v>35</v>
      </c>
      <c r="H76" s="33" t="s">
        <v>305</v>
      </c>
      <c r="I76" s="33" t="s">
        <v>37</v>
      </c>
      <c r="J76" s="35" t="s">
        <v>208</v>
      </c>
      <c r="K76" s="36">
        <v>10</v>
      </c>
      <c r="L76" s="28">
        <v>10</v>
      </c>
      <c r="M76" s="25">
        <f t="shared" si="5"/>
        <v>0</v>
      </c>
      <c r="N76" s="28">
        <v>10</v>
      </c>
      <c r="O76" s="25">
        <f t="shared" si="6"/>
        <v>15920.599999999999</v>
      </c>
      <c r="P76" s="29"/>
      <c r="Q76" s="28">
        <v>466</v>
      </c>
      <c r="R76" s="15">
        <v>3199</v>
      </c>
      <c r="S76" s="15">
        <v>1592.06</v>
      </c>
      <c r="T76" s="30">
        <v>3.0999999999999999E-3</v>
      </c>
      <c r="U76" s="30">
        <v>8.2000000000000003E-2</v>
      </c>
      <c r="V76" s="4"/>
      <c r="W76" s="4" t="s">
        <v>268</v>
      </c>
      <c r="X76" s="1" t="s">
        <v>626</v>
      </c>
    </row>
    <row r="77" spans="1:24" s="1" customFormat="1" ht="10.9" hidden="1" customHeight="1" x14ac:dyDescent="0.2">
      <c r="A77" s="37" t="s">
        <v>306</v>
      </c>
      <c r="B77" s="4" t="s">
        <v>307</v>
      </c>
      <c r="C77" s="14" t="s">
        <v>308</v>
      </c>
      <c r="D77" s="14"/>
      <c r="E77" s="26" t="s">
        <v>33</v>
      </c>
      <c r="F77" s="14" t="s">
        <v>34</v>
      </c>
      <c r="G77" s="14" t="s">
        <v>35</v>
      </c>
      <c r="H77" s="14" t="s">
        <v>115</v>
      </c>
      <c r="I77" s="14" t="s">
        <v>37</v>
      </c>
      <c r="J77" s="27" t="s">
        <v>208</v>
      </c>
      <c r="K77" s="28">
        <v>3</v>
      </c>
      <c r="L77" s="28">
        <v>3</v>
      </c>
      <c r="M77" s="25">
        <f t="shared" si="5"/>
        <v>0</v>
      </c>
      <c r="N77" s="28">
        <v>0</v>
      </c>
      <c r="O77" s="25">
        <f t="shared" si="6"/>
        <v>0</v>
      </c>
      <c r="P77" s="29"/>
      <c r="Q77" s="28">
        <v>0</v>
      </c>
      <c r="R77" s="15">
        <v>3699</v>
      </c>
      <c r="S77" s="15">
        <v>1840.9</v>
      </c>
      <c r="T77" s="25"/>
      <c r="U77" s="25"/>
      <c r="V77" s="4"/>
      <c r="W77" s="4"/>
      <c r="X77" s="1" t="s">
        <v>626</v>
      </c>
    </row>
    <row r="78" spans="1:24" s="1" customFormat="1" ht="10.9" hidden="1" customHeight="1" x14ac:dyDescent="0.2">
      <c r="A78" s="31" t="s">
        <v>309</v>
      </c>
      <c r="B78" s="32" t="s">
        <v>310</v>
      </c>
      <c r="C78" s="33" t="s">
        <v>311</v>
      </c>
      <c r="D78" s="33"/>
      <c r="E78" s="34" t="s">
        <v>33</v>
      </c>
      <c r="F78" s="33" t="s">
        <v>34</v>
      </c>
      <c r="G78" s="33" t="s">
        <v>35</v>
      </c>
      <c r="H78" s="33" t="s">
        <v>177</v>
      </c>
      <c r="I78" s="33" t="s">
        <v>37</v>
      </c>
      <c r="J78" s="35" t="s">
        <v>40</v>
      </c>
      <c r="K78" s="36">
        <v>10</v>
      </c>
      <c r="L78" s="28">
        <v>10</v>
      </c>
      <c r="M78" s="25">
        <f t="shared" si="5"/>
        <v>0</v>
      </c>
      <c r="N78" s="28">
        <v>0</v>
      </c>
      <c r="O78" s="25">
        <f t="shared" si="6"/>
        <v>0</v>
      </c>
      <c r="P78" s="29"/>
      <c r="Q78" s="28">
        <v>0</v>
      </c>
      <c r="R78" s="15">
        <v>3199</v>
      </c>
      <c r="S78" s="15">
        <v>1592.06</v>
      </c>
      <c r="T78" s="30">
        <v>4.45E-3</v>
      </c>
      <c r="U78" s="30">
        <v>8.2000000000000003E-2</v>
      </c>
      <c r="V78" s="4"/>
      <c r="W78" s="4" t="s">
        <v>313</v>
      </c>
      <c r="X78" s="1" t="s">
        <v>626</v>
      </c>
    </row>
    <row r="79" spans="1:24" s="1" customFormat="1" ht="10.9" hidden="1" customHeight="1" x14ac:dyDescent="0.2">
      <c r="A79" s="25" t="s">
        <v>314</v>
      </c>
      <c r="B79" s="4" t="s">
        <v>315</v>
      </c>
      <c r="C79" s="14" t="s">
        <v>316</v>
      </c>
      <c r="D79" s="14"/>
      <c r="E79" s="26" t="s">
        <v>33</v>
      </c>
      <c r="F79" s="14" t="s">
        <v>34</v>
      </c>
      <c r="G79" s="14" t="s">
        <v>35</v>
      </c>
      <c r="H79" s="14" t="s">
        <v>115</v>
      </c>
      <c r="I79" s="14" t="s">
        <v>37</v>
      </c>
      <c r="J79" s="27" t="s">
        <v>40</v>
      </c>
      <c r="K79" s="28">
        <v>20</v>
      </c>
      <c r="L79" s="28">
        <v>20</v>
      </c>
      <c r="M79" s="25">
        <f t="shared" si="5"/>
        <v>0</v>
      </c>
      <c r="N79" s="28">
        <v>0</v>
      </c>
      <c r="O79" s="25">
        <f t="shared" si="6"/>
        <v>0</v>
      </c>
      <c r="P79" s="29"/>
      <c r="Q79" s="28">
        <v>0</v>
      </c>
      <c r="R79" s="15">
        <v>2599</v>
      </c>
      <c r="S79" s="15">
        <v>1293.46</v>
      </c>
      <c r="T79" s="30">
        <v>4.1599999999999996E-3</v>
      </c>
      <c r="U79" s="30">
        <v>0.1</v>
      </c>
      <c r="V79" s="4"/>
      <c r="W79" s="4" t="s">
        <v>317</v>
      </c>
      <c r="X79" s="1" t="s">
        <v>626</v>
      </c>
    </row>
    <row r="80" spans="1:24" s="1" customFormat="1" ht="10.9" customHeight="1" x14ac:dyDescent="0.2">
      <c r="A80" s="31" t="s">
        <v>318</v>
      </c>
      <c r="B80" s="32" t="s">
        <v>319</v>
      </c>
      <c r="C80" s="33" t="s">
        <v>320</v>
      </c>
      <c r="D80" s="42" t="str">
        <f>_xlfn.XLOOKUP(A80,'Список товаров'!A:A,'Список товаров'!Q:Q,"ERR",0)</f>
        <v>Состав: 100% полиэстер</v>
      </c>
      <c r="E80" s="34" t="s">
        <v>33</v>
      </c>
      <c r="F80" s="33" t="s">
        <v>34</v>
      </c>
      <c r="G80" s="33" t="s">
        <v>35</v>
      </c>
      <c r="H80" s="33" t="s">
        <v>122</v>
      </c>
      <c r="I80" s="33" t="s">
        <v>37</v>
      </c>
      <c r="J80" s="35" t="s">
        <v>107</v>
      </c>
      <c r="K80" s="36">
        <v>6</v>
      </c>
      <c r="L80" s="28">
        <v>6</v>
      </c>
      <c r="M80" s="25">
        <f t="shared" si="5"/>
        <v>0</v>
      </c>
      <c r="N80" s="28">
        <v>1</v>
      </c>
      <c r="O80" s="25">
        <f t="shared" si="6"/>
        <v>1442.76</v>
      </c>
      <c r="P80" s="29"/>
      <c r="Q80" s="28">
        <v>1</v>
      </c>
      <c r="R80" s="15">
        <v>2899</v>
      </c>
      <c r="S80" s="15">
        <v>1442.76</v>
      </c>
      <c r="T80" s="30">
        <v>4.4099999999999999E-3</v>
      </c>
      <c r="U80" s="30">
        <v>0.1</v>
      </c>
      <c r="V80" s="4"/>
      <c r="W80" s="4" t="s">
        <v>322</v>
      </c>
      <c r="X80" s="1" t="s">
        <v>626</v>
      </c>
    </row>
    <row r="81" spans="1:24" s="1" customFormat="1" ht="10.9" hidden="1" customHeight="1" x14ac:dyDescent="0.2">
      <c r="A81" s="25" t="s">
        <v>323</v>
      </c>
      <c r="B81" s="4" t="s">
        <v>324</v>
      </c>
      <c r="C81" s="14" t="s">
        <v>325</v>
      </c>
      <c r="D81" s="14"/>
      <c r="E81" s="26" t="s">
        <v>33</v>
      </c>
      <c r="F81" s="14" t="s">
        <v>34</v>
      </c>
      <c r="G81" s="14" t="s">
        <v>35</v>
      </c>
      <c r="H81" s="14" t="s">
        <v>238</v>
      </c>
      <c r="I81" s="14" t="s">
        <v>37</v>
      </c>
      <c r="J81" s="27" t="s">
        <v>107</v>
      </c>
      <c r="K81" s="28">
        <v>6</v>
      </c>
      <c r="L81" s="28">
        <v>6</v>
      </c>
      <c r="M81" s="25">
        <f t="shared" si="5"/>
        <v>0</v>
      </c>
      <c r="N81" s="28">
        <v>0</v>
      </c>
      <c r="O81" s="25">
        <f t="shared" si="6"/>
        <v>0</v>
      </c>
      <c r="P81" s="29"/>
      <c r="Q81" s="28">
        <v>0</v>
      </c>
      <c r="R81" s="15">
        <v>2599</v>
      </c>
      <c r="S81" s="15">
        <v>1293.46</v>
      </c>
      <c r="T81" s="30">
        <v>5.7999999999999996E-3</v>
      </c>
      <c r="U81" s="30">
        <v>0.1</v>
      </c>
      <c r="V81" s="4"/>
      <c r="W81" s="4" t="s">
        <v>326</v>
      </c>
      <c r="X81" s="1" t="s">
        <v>626</v>
      </c>
    </row>
    <row r="82" spans="1:24" s="1" customFormat="1" ht="10.9" hidden="1" customHeight="1" x14ac:dyDescent="0.2">
      <c r="A82" s="31" t="s">
        <v>327</v>
      </c>
      <c r="B82" s="32" t="s">
        <v>328</v>
      </c>
      <c r="C82" s="33" t="s">
        <v>329</v>
      </c>
      <c r="D82" s="33"/>
      <c r="E82" s="34" t="s">
        <v>33</v>
      </c>
      <c r="F82" s="33" t="s">
        <v>34</v>
      </c>
      <c r="G82" s="33" t="s">
        <v>35</v>
      </c>
      <c r="H82" s="33" t="s">
        <v>177</v>
      </c>
      <c r="I82" s="33" t="s">
        <v>37</v>
      </c>
      <c r="J82" s="35" t="s">
        <v>40</v>
      </c>
      <c r="K82" s="36">
        <v>6</v>
      </c>
      <c r="L82" s="28">
        <v>6</v>
      </c>
      <c r="M82" s="25">
        <f t="shared" si="5"/>
        <v>0</v>
      </c>
      <c r="N82" s="28">
        <v>0</v>
      </c>
      <c r="O82" s="25">
        <f t="shared" si="6"/>
        <v>0</v>
      </c>
      <c r="P82" s="29"/>
      <c r="Q82" s="28">
        <v>0</v>
      </c>
      <c r="R82" s="15">
        <v>2599</v>
      </c>
      <c r="S82" s="15">
        <v>1293.46</v>
      </c>
      <c r="T82" s="30">
        <v>4.79E-3</v>
      </c>
      <c r="U82" s="30">
        <v>0.1</v>
      </c>
      <c r="V82" s="4"/>
      <c r="W82" s="4" t="s">
        <v>330</v>
      </c>
      <c r="X82" s="1" t="s">
        <v>626</v>
      </c>
    </row>
    <row r="83" spans="1:24" s="1" customFormat="1" ht="10.9" hidden="1" customHeight="1" x14ac:dyDescent="0.2">
      <c r="A83" s="25" t="s">
        <v>331</v>
      </c>
      <c r="B83" s="4" t="s">
        <v>332</v>
      </c>
      <c r="C83" s="14" t="s">
        <v>333</v>
      </c>
      <c r="D83" s="14"/>
      <c r="E83" s="26" t="s">
        <v>33</v>
      </c>
      <c r="F83" s="14" t="s">
        <v>34</v>
      </c>
      <c r="G83" s="14" t="s">
        <v>35</v>
      </c>
      <c r="H83" s="14" t="s">
        <v>305</v>
      </c>
      <c r="I83" s="14" t="s">
        <v>37</v>
      </c>
      <c r="J83" s="27" t="s">
        <v>58</v>
      </c>
      <c r="K83" s="28">
        <v>10</v>
      </c>
      <c r="L83" s="28">
        <v>10</v>
      </c>
      <c r="M83" s="25">
        <f t="shared" si="5"/>
        <v>0</v>
      </c>
      <c r="N83" s="28">
        <v>0</v>
      </c>
      <c r="O83" s="25">
        <f t="shared" si="6"/>
        <v>0</v>
      </c>
      <c r="P83" s="29"/>
      <c r="Q83" s="28">
        <v>0</v>
      </c>
      <c r="R83" s="15">
        <v>2599</v>
      </c>
      <c r="S83" s="15">
        <v>1293.46</v>
      </c>
      <c r="T83" s="30">
        <v>5.4000000000000003E-3</v>
      </c>
      <c r="U83" s="30">
        <v>0.1</v>
      </c>
      <c r="V83" s="4"/>
      <c r="W83" s="4" t="s">
        <v>334</v>
      </c>
      <c r="X83" s="1" t="s">
        <v>626</v>
      </c>
    </row>
    <row r="84" spans="1:24" s="1" customFormat="1" ht="10.9" hidden="1" customHeight="1" x14ac:dyDescent="0.2">
      <c r="A84" s="31" t="s">
        <v>335</v>
      </c>
      <c r="B84" s="32" t="s">
        <v>336</v>
      </c>
      <c r="C84" s="33" t="s">
        <v>337</v>
      </c>
      <c r="D84" s="33"/>
      <c r="E84" s="34" t="s">
        <v>33</v>
      </c>
      <c r="F84" s="33" t="s">
        <v>34</v>
      </c>
      <c r="G84" s="33" t="s">
        <v>35</v>
      </c>
      <c r="H84" s="33" t="s">
        <v>80</v>
      </c>
      <c r="I84" s="33" t="s">
        <v>37</v>
      </c>
      <c r="J84" s="35" t="s">
        <v>40</v>
      </c>
      <c r="K84" s="36">
        <v>10</v>
      </c>
      <c r="L84" s="28">
        <v>10</v>
      </c>
      <c r="M84" s="25">
        <f t="shared" si="5"/>
        <v>0</v>
      </c>
      <c r="N84" s="28">
        <v>0</v>
      </c>
      <c r="O84" s="25">
        <f t="shared" si="6"/>
        <v>0</v>
      </c>
      <c r="P84" s="29"/>
      <c r="Q84" s="28">
        <v>0</v>
      </c>
      <c r="R84" s="15">
        <v>2599</v>
      </c>
      <c r="S84" s="15">
        <v>1293.46</v>
      </c>
      <c r="T84" s="30">
        <v>4.1000000000000003E-3</v>
      </c>
      <c r="U84" s="30">
        <v>0.1</v>
      </c>
      <c r="V84" s="4"/>
      <c r="W84" s="4" t="s">
        <v>338</v>
      </c>
      <c r="X84" s="1" t="s">
        <v>626</v>
      </c>
    </row>
    <row r="85" spans="1:24" s="1" customFormat="1" ht="10.9" hidden="1" customHeight="1" x14ac:dyDescent="0.2">
      <c r="A85" s="25" t="s">
        <v>339</v>
      </c>
      <c r="B85" s="4" t="s">
        <v>340</v>
      </c>
      <c r="C85" s="14" t="s">
        <v>341</v>
      </c>
      <c r="D85" s="14"/>
      <c r="E85" s="26" t="s">
        <v>33</v>
      </c>
      <c r="F85" s="14" t="s">
        <v>34</v>
      </c>
      <c r="G85" s="14" t="s">
        <v>35</v>
      </c>
      <c r="H85" s="14" t="s">
        <v>342</v>
      </c>
      <c r="I85" s="14" t="s">
        <v>37</v>
      </c>
      <c r="J85" s="27" t="s">
        <v>58</v>
      </c>
      <c r="K85" s="28">
        <v>6</v>
      </c>
      <c r="L85" s="28">
        <v>6</v>
      </c>
      <c r="M85" s="25">
        <f t="shared" si="5"/>
        <v>0</v>
      </c>
      <c r="N85" s="28">
        <v>0</v>
      </c>
      <c r="O85" s="25">
        <f t="shared" si="6"/>
        <v>0</v>
      </c>
      <c r="P85" s="29"/>
      <c r="Q85" s="28">
        <v>0</v>
      </c>
      <c r="R85" s="15">
        <v>2899</v>
      </c>
      <c r="S85" s="15">
        <v>1442.76</v>
      </c>
      <c r="T85" s="30">
        <v>5.9199999999999999E-3</v>
      </c>
      <c r="U85" s="30">
        <v>0.1</v>
      </c>
      <c r="V85" s="4"/>
      <c r="W85" s="4" t="s">
        <v>343</v>
      </c>
      <c r="X85" s="1" t="s">
        <v>626</v>
      </c>
    </row>
    <row r="86" spans="1:24" s="1" customFormat="1" ht="10.9" hidden="1" customHeight="1" x14ac:dyDescent="0.2">
      <c r="A86" s="31" t="s">
        <v>344</v>
      </c>
      <c r="B86" s="32" t="s">
        <v>345</v>
      </c>
      <c r="C86" s="33" t="s">
        <v>346</v>
      </c>
      <c r="D86" s="33"/>
      <c r="E86" s="34" t="s">
        <v>33</v>
      </c>
      <c r="F86" s="33" t="s">
        <v>34</v>
      </c>
      <c r="G86" s="33" t="s">
        <v>35</v>
      </c>
      <c r="H86" s="33" t="s">
        <v>52</v>
      </c>
      <c r="I86" s="33" t="s">
        <v>37</v>
      </c>
      <c r="J86" s="35" t="s">
        <v>40</v>
      </c>
      <c r="K86" s="36">
        <v>6</v>
      </c>
      <c r="L86" s="28">
        <v>6</v>
      </c>
      <c r="M86" s="25">
        <f t="shared" si="5"/>
        <v>0</v>
      </c>
      <c r="N86" s="28">
        <v>0</v>
      </c>
      <c r="O86" s="25">
        <f t="shared" si="6"/>
        <v>0</v>
      </c>
      <c r="P86" s="29"/>
      <c r="Q86" s="28">
        <v>0</v>
      </c>
      <c r="R86" s="15">
        <v>2899</v>
      </c>
      <c r="S86" s="15">
        <v>1442.76</v>
      </c>
      <c r="T86" s="30">
        <v>6.2100000000000002E-3</v>
      </c>
      <c r="U86" s="30">
        <v>0.1</v>
      </c>
      <c r="V86" s="4"/>
      <c r="W86" s="4" t="s">
        <v>347</v>
      </c>
      <c r="X86" s="1" t="s">
        <v>626</v>
      </c>
    </row>
    <row r="87" spans="1:24" s="1" customFormat="1" ht="10.9" hidden="1" customHeight="1" x14ac:dyDescent="0.2">
      <c r="A87" s="25" t="s">
        <v>348</v>
      </c>
      <c r="B87" s="4" t="s">
        <v>349</v>
      </c>
      <c r="C87" s="14" t="s">
        <v>350</v>
      </c>
      <c r="D87" s="14"/>
      <c r="E87" s="26" t="s">
        <v>33</v>
      </c>
      <c r="F87" s="14" t="s">
        <v>34</v>
      </c>
      <c r="G87" s="14" t="s">
        <v>35</v>
      </c>
      <c r="H87" s="14" t="s">
        <v>342</v>
      </c>
      <c r="I87" s="14" t="s">
        <v>37</v>
      </c>
      <c r="J87" s="27" t="s">
        <v>40</v>
      </c>
      <c r="K87" s="28">
        <v>20</v>
      </c>
      <c r="L87" s="28">
        <v>20</v>
      </c>
      <c r="M87" s="25">
        <f t="shared" si="5"/>
        <v>0</v>
      </c>
      <c r="N87" s="28">
        <v>0</v>
      </c>
      <c r="O87" s="25">
        <f t="shared" si="6"/>
        <v>0</v>
      </c>
      <c r="P87" s="29"/>
      <c r="Q87" s="28">
        <v>0</v>
      </c>
      <c r="R87" s="15">
        <v>2899</v>
      </c>
      <c r="S87" s="15">
        <v>1442.76</v>
      </c>
      <c r="T87" s="30">
        <v>5.8199999999999997E-3</v>
      </c>
      <c r="U87" s="30">
        <v>0.1</v>
      </c>
      <c r="V87" s="4"/>
      <c r="W87" s="4" t="s">
        <v>351</v>
      </c>
      <c r="X87" s="1" t="s">
        <v>626</v>
      </c>
    </row>
    <row r="88" spans="1:24" s="1" customFormat="1" ht="10.9" hidden="1" customHeight="1" x14ac:dyDescent="0.2">
      <c r="A88" s="31" t="s">
        <v>352</v>
      </c>
      <c r="B88" s="32" t="s">
        <v>353</v>
      </c>
      <c r="C88" s="33" t="s">
        <v>354</v>
      </c>
      <c r="D88" s="33"/>
      <c r="E88" s="34" t="s">
        <v>33</v>
      </c>
      <c r="F88" s="33" t="s">
        <v>34</v>
      </c>
      <c r="G88" s="33" t="s">
        <v>35</v>
      </c>
      <c r="H88" s="33" t="s">
        <v>355</v>
      </c>
      <c r="I88" s="33" t="s">
        <v>37</v>
      </c>
      <c r="J88" s="35" t="s">
        <v>107</v>
      </c>
      <c r="K88" s="36">
        <v>6</v>
      </c>
      <c r="L88" s="28">
        <v>6</v>
      </c>
      <c r="M88" s="25">
        <f t="shared" si="5"/>
        <v>0</v>
      </c>
      <c r="N88" s="28">
        <v>0</v>
      </c>
      <c r="O88" s="25">
        <f t="shared" si="6"/>
        <v>0</v>
      </c>
      <c r="P88" s="29"/>
      <c r="Q88" s="28">
        <v>0</v>
      </c>
      <c r="R88" s="15">
        <v>2899</v>
      </c>
      <c r="S88" s="15">
        <v>1442.76</v>
      </c>
      <c r="T88" s="30">
        <v>5.1700000000000001E-3</v>
      </c>
      <c r="U88" s="30">
        <v>0.1</v>
      </c>
      <c r="V88" s="4"/>
      <c r="W88" s="4" t="s">
        <v>356</v>
      </c>
      <c r="X88" s="1" t="s">
        <v>626</v>
      </c>
    </row>
    <row r="89" spans="1:24" s="1" customFormat="1" ht="10.9" hidden="1" customHeight="1" x14ac:dyDescent="0.2">
      <c r="A89" s="37" t="s">
        <v>357</v>
      </c>
      <c r="B89" s="4" t="s">
        <v>358</v>
      </c>
      <c r="C89" s="14" t="s">
        <v>359</v>
      </c>
      <c r="D89" s="14"/>
      <c r="E89" s="26" t="s">
        <v>33</v>
      </c>
      <c r="F89" s="14" t="s">
        <v>34</v>
      </c>
      <c r="G89" s="14" t="s">
        <v>35</v>
      </c>
      <c r="H89" s="14" t="s">
        <v>342</v>
      </c>
      <c r="I89" s="14" t="s">
        <v>37</v>
      </c>
      <c r="J89" s="27" t="s">
        <v>40</v>
      </c>
      <c r="K89" s="28">
        <v>4</v>
      </c>
      <c r="L89" s="28">
        <v>4</v>
      </c>
      <c r="M89" s="25">
        <f t="shared" si="5"/>
        <v>0</v>
      </c>
      <c r="N89" s="28">
        <v>0</v>
      </c>
      <c r="O89" s="25">
        <f t="shared" si="6"/>
        <v>0</v>
      </c>
      <c r="P89" s="29"/>
      <c r="Q89" s="28">
        <v>0</v>
      </c>
      <c r="R89" s="15">
        <v>2899</v>
      </c>
      <c r="S89" s="15">
        <v>1442.76</v>
      </c>
      <c r="T89" s="30">
        <v>4.9699999999999996E-3</v>
      </c>
      <c r="U89" s="30">
        <v>0.1</v>
      </c>
      <c r="V89" s="4"/>
      <c r="W89" s="4"/>
      <c r="X89" s="1" t="s">
        <v>626</v>
      </c>
    </row>
    <row r="90" spans="1:24" s="1" customFormat="1" ht="10.9" hidden="1" customHeight="1" x14ac:dyDescent="0.2">
      <c r="A90" s="31" t="s">
        <v>360</v>
      </c>
      <c r="B90" s="32" t="s">
        <v>361</v>
      </c>
      <c r="C90" s="33" t="s">
        <v>362</v>
      </c>
      <c r="D90" s="33"/>
      <c r="E90" s="34" t="s">
        <v>33</v>
      </c>
      <c r="F90" s="33" t="s">
        <v>34</v>
      </c>
      <c r="G90" s="33" t="s">
        <v>35</v>
      </c>
      <c r="H90" s="33" t="s">
        <v>122</v>
      </c>
      <c r="I90" s="33" t="s">
        <v>37</v>
      </c>
      <c r="J90" s="35" t="s">
        <v>40</v>
      </c>
      <c r="K90" s="36">
        <v>8</v>
      </c>
      <c r="L90" s="28">
        <v>8</v>
      </c>
      <c r="M90" s="25">
        <f t="shared" si="5"/>
        <v>0</v>
      </c>
      <c r="N90" s="28">
        <v>0</v>
      </c>
      <c r="O90" s="25">
        <f t="shared" si="6"/>
        <v>0</v>
      </c>
      <c r="P90" s="29"/>
      <c r="Q90" s="28">
        <v>0</v>
      </c>
      <c r="R90" s="15">
        <v>2599</v>
      </c>
      <c r="S90" s="15">
        <v>1293.46</v>
      </c>
      <c r="T90" s="30">
        <v>3.8600000000000001E-3</v>
      </c>
      <c r="U90" s="30">
        <v>0.1</v>
      </c>
      <c r="V90" s="4"/>
      <c r="W90" s="4" t="s">
        <v>364</v>
      </c>
      <c r="X90" s="1" t="s">
        <v>626</v>
      </c>
    </row>
    <row r="91" spans="1:24" s="1" customFormat="1" ht="10.9" hidden="1" customHeight="1" x14ac:dyDescent="0.2">
      <c r="A91" s="25" t="s">
        <v>365</v>
      </c>
      <c r="B91" s="4" t="s">
        <v>366</v>
      </c>
      <c r="C91" s="14" t="s">
        <v>367</v>
      </c>
      <c r="D91" s="14"/>
      <c r="E91" s="26" t="s">
        <v>33</v>
      </c>
      <c r="F91" s="14" t="s">
        <v>34</v>
      </c>
      <c r="G91" s="14" t="s">
        <v>35</v>
      </c>
      <c r="H91" s="14" t="s">
        <v>115</v>
      </c>
      <c r="I91" s="14" t="s">
        <v>37</v>
      </c>
      <c r="J91" s="27" t="s">
        <v>40</v>
      </c>
      <c r="K91" s="28">
        <v>15</v>
      </c>
      <c r="L91" s="28">
        <v>15</v>
      </c>
      <c r="M91" s="25">
        <f t="shared" si="5"/>
        <v>0</v>
      </c>
      <c r="N91" s="28">
        <v>0</v>
      </c>
      <c r="O91" s="25">
        <f t="shared" si="6"/>
        <v>0</v>
      </c>
      <c r="P91" s="29"/>
      <c r="Q91" s="28">
        <v>0</v>
      </c>
      <c r="R91" s="15">
        <v>2599</v>
      </c>
      <c r="S91" s="15">
        <v>1293.46</v>
      </c>
      <c r="T91" s="30">
        <v>4.5999999999999999E-3</v>
      </c>
      <c r="U91" s="30">
        <v>0.1</v>
      </c>
      <c r="V91" s="4"/>
      <c r="W91" s="4" t="s">
        <v>368</v>
      </c>
      <c r="X91" s="1" t="s">
        <v>626</v>
      </c>
    </row>
    <row r="92" spans="1:24" s="1" customFormat="1" ht="10.9" customHeight="1" x14ac:dyDescent="0.2">
      <c r="A92" s="31" t="s">
        <v>369</v>
      </c>
      <c r="B92" s="32" t="s">
        <v>370</v>
      </c>
      <c r="C92" s="33" t="s">
        <v>632</v>
      </c>
      <c r="D92" s="14" t="str">
        <f>_xlfn.XLOOKUP(A92,'Список товаров'!A:A,'Список товаров'!Q:Q,"ERR",0)</f>
        <v>Состав: 100% хлопок</v>
      </c>
      <c r="E92" s="34" t="s">
        <v>33</v>
      </c>
      <c r="F92" s="33" t="s">
        <v>34</v>
      </c>
      <c r="G92" s="33" t="s">
        <v>35</v>
      </c>
      <c r="H92" s="33" t="s">
        <v>122</v>
      </c>
      <c r="I92" s="33" t="s">
        <v>37</v>
      </c>
      <c r="J92" s="35" t="s">
        <v>208</v>
      </c>
      <c r="K92" s="36">
        <v>6</v>
      </c>
      <c r="L92" s="28">
        <v>6</v>
      </c>
      <c r="M92" s="25">
        <f t="shared" si="5"/>
        <v>0</v>
      </c>
      <c r="N92" s="28">
        <v>6</v>
      </c>
      <c r="O92" s="25">
        <f t="shared" si="6"/>
        <v>7760.76</v>
      </c>
      <c r="P92" s="29"/>
      <c r="Q92" s="28">
        <v>891</v>
      </c>
      <c r="R92" s="15">
        <v>2599</v>
      </c>
      <c r="S92" s="15">
        <v>1293.46</v>
      </c>
      <c r="T92" s="30">
        <v>3.9899999999999996E-3</v>
      </c>
      <c r="U92" s="30">
        <v>9.5000000000000001E-2</v>
      </c>
      <c r="V92" s="4"/>
      <c r="W92" s="4" t="s">
        <v>372</v>
      </c>
      <c r="X92" s="1" t="s">
        <v>626</v>
      </c>
    </row>
    <row r="93" spans="1:24" s="1" customFormat="1" ht="10.9" hidden="1" customHeight="1" x14ac:dyDescent="0.2">
      <c r="A93" s="25" t="s">
        <v>373</v>
      </c>
      <c r="B93" s="4" t="s">
        <v>374</v>
      </c>
      <c r="C93" s="14" t="s">
        <v>631</v>
      </c>
      <c r="D93" s="14"/>
      <c r="E93" s="26" t="s">
        <v>33</v>
      </c>
      <c r="F93" s="14" t="s">
        <v>34</v>
      </c>
      <c r="G93" s="14" t="s">
        <v>35</v>
      </c>
      <c r="H93" s="14" t="s">
        <v>122</v>
      </c>
      <c r="I93" s="14" t="s">
        <v>37</v>
      </c>
      <c r="J93" s="27" t="s">
        <v>40</v>
      </c>
      <c r="K93" s="28">
        <v>4</v>
      </c>
      <c r="L93" s="28">
        <v>4</v>
      </c>
      <c r="M93" s="25">
        <f t="shared" si="5"/>
        <v>0</v>
      </c>
      <c r="N93" s="28">
        <v>0</v>
      </c>
      <c r="O93" s="25">
        <f t="shared" si="6"/>
        <v>0</v>
      </c>
      <c r="P93" s="29"/>
      <c r="Q93" s="28">
        <v>0</v>
      </c>
      <c r="R93" s="15">
        <v>3199</v>
      </c>
      <c r="S93" s="15">
        <v>1592.06</v>
      </c>
      <c r="T93" s="30">
        <v>4.7499999999999999E-3</v>
      </c>
      <c r="U93" s="30">
        <v>8.3000000000000004E-2</v>
      </c>
      <c r="V93" s="4"/>
      <c r="W93" s="4" t="s">
        <v>376</v>
      </c>
      <c r="X93" s="1" t="s">
        <v>626</v>
      </c>
    </row>
    <row r="94" spans="1:24" s="1" customFormat="1" ht="10.9" hidden="1" customHeight="1" x14ac:dyDescent="0.2">
      <c r="A94" s="37" t="s">
        <v>377</v>
      </c>
      <c r="B94" s="32" t="s">
        <v>378</v>
      </c>
      <c r="C94" s="33" t="s">
        <v>379</v>
      </c>
      <c r="D94" s="33"/>
      <c r="E94" s="34" t="s">
        <v>33</v>
      </c>
      <c r="F94" s="33" t="s">
        <v>34</v>
      </c>
      <c r="G94" s="33" t="s">
        <v>35</v>
      </c>
      <c r="H94" s="33" t="s">
        <v>177</v>
      </c>
      <c r="I94" s="33" t="s">
        <v>37</v>
      </c>
      <c r="J94" s="35" t="s">
        <v>40</v>
      </c>
      <c r="K94" s="36">
        <v>3</v>
      </c>
      <c r="L94" s="28">
        <v>3</v>
      </c>
      <c r="M94" s="25">
        <f t="shared" si="5"/>
        <v>0</v>
      </c>
      <c r="N94" s="28">
        <v>0</v>
      </c>
      <c r="O94" s="25">
        <f t="shared" si="6"/>
        <v>0</v>
      </c>
      <c r="P94" s="29"/>
      <c r="Q94" s="28">
        <v>0</v>
      </c>
      <c r="R94" s="15">
        <v>2899</v>
      </c>
      <c r="S94" s="15">
        <v>1442.76</v>
      </c>
      <c r="T94" s="25"/>
      <c r="U94" s="25"/>
      <c r="V94" s="4"/>
      <c r="W94" s="4"/>
      <c r="X94" s="1" t="s">
        <v>626</v>
      </c>
    </row>
    <row r="95" spans="1:24" s="1" customFormat="1" ht="10.9" hidden="1" customHeight="1" x14ac:dyDescent="0.2">
      <c r="A95" s="37" t="s">
        <v>380</v>
      </c>
      <c r="B95" s="4" t="s">
        <v>381</v>
      </c>
      <c r="C95" s="14" t="s">
        <v>382</v>
      </c>
      <c r="D95" s="14"/>
      <c r="E95" s="26" t="s">
        <v>33</v>
      </c>
      <c r="F95" s="14" t="s">
        <v>34</v>
      </c>
      <c r="G95" s="14" t="s">
        <v>35</v>
      </c>
      <c r="H95" s="14" t="s">
        <v>163</v>
      </c>
      <c r="I95" s="14" t="s">
        <v>37</v>
      </c>
      <c r="J95" s="27" t="s">
        <v>40</v>
      </c>
      <c r="K95" s="28">
        <v>5</v>
      </c>
      <c r="L95" s="28">
        <v>5</v>
      </c>
      <c r="M95" s="25">
        <f t="shared" si="5"/>
        <v>0</v>
      </c>
      <c r="N95" s="28">
        <v>0</v>
      </c>
      <c r="O95" s="25">
        <f t="shared" si="6"/>
        <v>0</v>
      </c>
      <c r="P95" s="29"/>
      <c r="Q95" s="28">
        <v>0</v>
      </c>
      <c r="R95" s="15">
        <v>2899</v>
      </c>
      <c r="S95" s="15">
        <v>1442.76</v>
      </c>
      <c r="T95" s="25"/>
      <c r="U95" s="25"/>
      <c r="V95" s="4"/>
      <c r="W95" s="4"/>
      <c r="X95" s="1" t="s">
        <v>626</v>
      </c>
    </row>
    <row r="96" spans="1:24" s="1" customFormat="1" ht="10.9" hidden="1" customHeight="1" x14ac:dyDescent="0.2">
      <c r="A96" s="37" t="s">
        <v>383</v>
      </c>
      <c r="B96" s="32" t="s">
        <v>384</v>
      </c>
      <c r="C96" s="33" t="s">
        <v>385</v>
      </c>
      <c r="D96" s="33"/>
      <c r="E96" s="34" t="s">
        <v>33</v>
      </c>
      <c r="F96" s="33" t="s">
        <v>34</v>
      </c>
      <c r="G96" s="33" t="s">
        <v>35</v>
      </c>
      <c r="H96" s="33" t="s">
        <v>386</v>
      </c>
      <c r="I96" s="33" t="s">
        <v>37</v>
      </c>
      <c r="J96" s="35" t="s">
        <v>40</v>
      </c>
      <c r="K96" s="36">
        <v>3</v>
      </c>
      <c r="L96" s="28">
        <v>3</v>
      </c>
      <c r="M96" s="25">
        <f t="shared" si="5"/>
        <v>0</v>
      </c>
      <c r="N96" s="28">
        <v>0</v>
      </c>
      <c r="O96" s="25">
        <f t="shared" si="6"/>
        <v>0</v>
      </c>
      <c r="P96" s="29"/>
      <c r="Q96" s="28">
        <v>0</v>
      </c>
      <c r="R96" s="15">
        <v>2899</v>
      </c>
      <c r="S96" s="15">
        <v>1442.76</v>
      </c>
      <c r="T96" s="25"/>
      <c r="U96" s="25"/>
      <c r="V96" s="4"/>
      <c r="W96" s="4"/>
      <c r="X96" s="1" t="s">
        <v>626</v>
      </c>
    </row>
    <row r="97" spans="1:24" s="1" customFormat="1" ht="10.9" hidden="1" customHeight="1" x14ac:dyDescent="0.2">
      <c r="A97" s="37" t="s">
        <v>387</v>
      </c>
      <c r="B97" s="4" t="s">
        <v>388</v>
      </c>
      <c r="C97" s="14" t="s">
        <v>389</v>
      </c>
      <c r="D97" s="14"/>
      <c r="E97" s="26" t="s">
        <v>33</v>
      </c>
      <c r="F97" s="14" t="s">
        <v>34</v>
      </c>
      <c r="G97" s="14" t="s">
        <v>35</v>
      </c>
      <c r="H97" s="14" t="s">
        <v>52</v>
      </c>
      <c r="I97" s="14" t="s">
        <v>37</v>
      </c>
      <c r="J97" s="27" t="s">
        <v>40</v>
      </c>
      <c r="K97" s="28">
        <v>6</v>
      </c>
      <c r="L97" s="28">
        <v>6</v>
      </c>
      <c r="M97" s="25">
        <f t="shared" si="5"/>
        <v>0</v>
      </c>
      <c r="N97" s="28">
        <v>0</v>
      </c>
      <c r="O97" s="25">
        <f t="shared" si="6"/>
        <v>0</v>
      </c>
      <c r="P97" s="29"/>
      <c r="Q97" s="28">
        <v>0</v>
      </c>
      <c r="R97" s="15">
        <v>2899</v>
      </c>
      <c r="S97" s="15">
        <v>1442.76</v>
      </c>
      <c r="T97" s="25"/>
      <c r="U97" s="25"/>
      <c r="V97" s="4"/>
      <c r="W97" s="4"/>
      <c r="X97" s="1" t="s">
        <v>626</v>
      </c>
    </row>
    <row r="98" spans="1:24" s="1" customFormat="1" ht="10.9" hidden="1" customHeight="1" x14ac:dyDescent="0.2">
      <c r="A98" s="37" t="s">
        <v>390</v>
      </c>
      <c r="B98" s="32" t="s">
        <v>391</v>
      </c>
      <c r="C98" s="33" t="s">
        <v>392</v>
      </c>
      <c r="D98" s="33"/>
      <c r="E98" s="34" t="s">
        <v>33</v>
      </c>
      <c r="F98" s="33" t="s">
        <v>34</v>
      </c>
      <c r="G98" s="33" t="s">
        <v>35</v>
      </c>
      <c r="H98" s="33" t="s">
        <v>393</v>
      </c>
      <c r="I98" s="33" t="s">
        <v>37</v>
      </c>
      <c r="J98" s="35" t="s">
        <v>40</v>
      </c>
      <c r="K98" s="36">
        <v>1</v>
      </c>
      <c r="L98" s="28">
        <v>1</v>
      </c>
      <c r="M98" s="25">
        <f t="shared" si="5"/>
        <v>0</v>
      </c>
      <c r="N98" s="28">
        <v>0</v>
      </c>
      <c r="O98" s="25">
        <f t="shared" si="6"/>
        <v>0</v>
      </c>
      <c r="P98" s="29"/>
      <c r="Q98" s="28">
        <v>0</v>
      </c>
      <c r="R98" s="15">
        <v>2899</v>
      </c>
      <c r="S98" s="15">
        <v>1442.76</v>
      </c>
      <c r="T98" s="25"/>
      <c r="U98" s="25"/>
      <c r="V98" s="4"/>
      <c r="W98" s="4"/>
      <c r="X98" s="1" t="s">
        <v>626</v>
      </c>
    </row>
    <row r="99" spans="1:24" s="1" customFormat="1" ht="10.9" hidden="1" customHeight="1" x14ac:dyDescent="0.2">
      <c r="A99" s="37" t="s">
        <v>394</v>
      </c>
      <c r="B99" s="4" t="s">
        <v>395</v>
      </c>
      <c r="C99" s="14" t="s">
        <v>396</v>
      </c>
      <c r="D99" s="14"/>
      <c r="E99" s="26" t="s">
        <v>33</v>
      </c>
      <c r="F99" s="14" t="s">
        <v>34</v>
      </c>
      <c r="G99" s="14" t="s">
        <v>35</v>
      </c>
      <c r="H99" s="14" t="s">
        <v>177</v>
      </c>
      <c r="I99" s="14" t="s">
        <v>37</v>
      </c>
      <c r="J99" s="27" t="s">
        <v>40</v>
      </c>
      <c r="K99" s="28">
        <v>1</v>
      </c>
      <c r="L99" s="28">
        <v>1</v>
      </c>
      <c r="M99" s="25">
        <f t="shared" si="5"/>
        <v>0</v>
      </c>
      <c r="N99" s="28">
        <v>0</v>
      </c>
      <c r="O99" s="25">
        <f t="shared" si="6"/>
        <v>0</v>
      </c>
      <c r="P99" s="29"/>
      <c r="Q99" s="28">
        <v>0</v>
      </c>
      <c r="R99" s="15">
        <v>3399</v>
      </c>
      <c r="S99" s="15">
        <v>1691.6</v>
      </c>
      <c r="T99" s="25"/>
      <c r="U99" s="25"/>
      <c r="V99" s="4"/>
      <c r="W99" s="4"/>
      <c r="X99" s="1" t="s">
        <v>626</v>
      </c>
    </row>
    <row r="100" spans="1:24" s="1" customFormat="1" ht="10.9" hidden="1" customHeight="1" x14ac:dyDescent="0.2">
      <c r="A100" s="37" t="s">
        <v>397</v>
      </c>
      <c r="B100" s="32" t="s">
        <v>398</v>
      </c>
      <c r="C100" s="33" t="s">
        <v>399</v>
      </c>
      <c r="D100" s="33"/>
      <c r="E100" s="34" t="s">
        <v>33</v>
      </c>
      <c r="F100" s="33" t="s">
        <v>34</v>
      </c>
      <c r="G100" s="33" t="s">
        <v>35</v>
      </c>
      <c r="H100" s="33" t="s">
        <v>393</v>
      </c>
      <c r="I100" s="33" t="s">
        <v>37</v>
      </c>
      <c r="J100" s="35" t="s">
        <v>40</v>
      </c>
      <c r="K100" s="36">
        <v>1</v>
      </c>
      <c r="L100" s="28">
        <v>1</v>
      </c>
      <c r="M100" s="25">
        <f t="shared" si="5"/>
        <v>0</v>
      </c>
      <c r="N100" s="28">
        <v>0</v>
      </c>
      <c r="O100" s="25">
        <f t="shared" si="6"/>
        <v>0</v>
      </c>
      <c r="P100" s="29"/>
      <c r="Q100" s="28">
        <v>0</v>
      </c>
      <c r="R100" s="15">
        <v>3199</v>
      </c>
      <c r="S100" s="15">
        <v>1592.06</v>
      </c>
      <c r="T100" s="25"/>
      <c r="U100" s="25"/>
      <c r="V100" s="4"/>
      <c r="W100" s="4"/>
      <c r="X100" s="1" t="s">
        <v>626</v>
      </c>
    </row>
    <row r="101" spans="1:24" s="1" customFormat="1" ht="10.9" hidden="1" customHeight="1" x14ac:dyDescent="0.2">
      <c r="A101" s="37" t="s">
        <v>400</v>
      </c>
      <c r="B101" s="4" t="s">
        <v>401</v>
      </c>
      <c r="C101" s="14" t="s">
        <v>402</v>
      </c>
      <c r="D101" s="14"/>
      <c r="E101" s="26" t="s">
        <v>33</v>
      </c>
      <c r="F101" s="14" t="s">
        <v>34</v>
      </c>
      <c r="G101" s="14" t="s">
        <v>35</v>
      </c>
      <c r="H101" s="14" t="s">
        <v>122</v>
      </c>
      <c r="I101" s="14" t="s">
        <v>37</v>
      </c>
      <c r="J101" s="27" t="s">
        <v>40</v>
      </c>
      <c r="K101" s="28">
        <v>1</v>
      </c>
      <c r="L101" s="28">
        <v>1</v>
      </c>
      <c r="M101" s="25">
        <f t="shared" si="5"/>
        <v>0</v>
      </c>
      <c r="N101" s="28">
        <v>0</v>
      </c>
      <c r="O101" s="25">
        <f t="shared" si="6"/>
        <v>0</v>
      </c>
      <c r="P101" s="29"/>
      <c r="Q101" s="28">
        <v>0</v>
      </c>
      <c r="R101" s="15">
        <v>3199</v>
      </c>
      <c r="S101" s="15">
        <v>1592.06</v>
      </c>
      <c r="T101" s="25"/>
      <c r="U101" s="25"/>
      <c r="V101" s="4"/>
      <c r="W101" s="4"/>
      <c r="X101" s="1" t="s">
        <v>626</v>
      </c>
    </row>
    <row r="102" spans="1:24" s="1" customFormat="1" ht="10.9" hidden="1" customHeight="1" x14ac:dyDescent="0.2">
      <c r="A102" s="37" t="s">
        <v>403</v>
      </c>
      <c r="B102" s="32" t="s">
        <v>404</v>
      </c>
      <c r="C102" s="33" t="s">
        <v>405</v>
      </c>
      <c r="D102" s="33"/>
      <c r="E102" s="34" t="s">
        <v>33</v>
      </c>
      <c r="F102" s="33" t="s">
        <v>34</v>
      </c>
      <c r="G102" s="33" t="s">
        <v>35</v>
      </c>
      <c r="H102" s="33" t="s">
        <v>36</v>
      </c>
      <c r="I102" s="33" t="s">
        <v>37</v>
      </c>
      <c r="J102" s="35" t="s">
        <v>40</v>
      </c>
      <c r="K102" s="36">
        <v>6</v>
      </c>
      <c r="L102" s="28">
        <v>6</v>
      </c>
      <c r="M102" s="25">
        <f t="shared" si="5"/>
        <v>0</v>
      </c>
      <c r="N102" s="28">
        <v>0</v>
      </c>
      <c r="O102" s="25">
        <f t="shared" si="6"/>
        <v>0</v>
      </c>
      <c r="P102" s="29"/>
      <c r="Q102" s="28">
        <v>0</v>
      </c>
      <c r="R102" s="15">
        <v>2899</v>
      </c>
      <c r="S102" s="15">
        <v>1442.76</v>
      </c>
      <c r="T102" s="25"/>
      <c r="U102" s="25"/>
      <c r="V102" s="4"/>
      <c r="W102" s="4"/>
      <c r="X102" s="1" t="s">
        <v>626</v>
      </c>
    </row>
    <row r="103" spans="1:24" s="1" customFormat="1" ht="10.9" hidden="1" customHeight="1" x14ac:dyDescent="0.2">
      <c r="A103" s="37" t="s">
        <v>406</v>
      </c>
      <c r="B103" s="4" t="s">
        <v>407</v>
      </c>
      <c r="C103" s="14" t="s">
        <v>408</v>
      </c>
      <c r="D103" s="14"/>
      <c r="E103" s="26" t="s">
        <v>33</v>
      </c>
      <c r="F103" s="14" t="s">
        <v>34</v>
      </c>
      <c r="G103" s="14" t="s">
        <v>35</v>
      </c>
      <c r="H103" s="14" t="s">
        <v>238</v>
      </c>
      <c r="I103" s="14" t="s">
        <v>37</v>
      </c>
      <c r="J103" s="27" t="s">
        <v>40</v>
      </c>
      <c r="K103" s="28">
        <v>6</v>
      </c>
      <c r="L103" s="28">
        <v>6</v>
      </c>
      <c r="M103" s="25">
        <f t="shared" si="5"/>
        <v>0</v>
      </c>
      <c r="N103" s="28">
        <v>0</v>
      </c>
      <c r="O103" s="25">
        <f t="shared" si="6"/>
        <v>0</v>
      </c>
      <c r="P103" s="29"/>
      <c r="Q103" s="28">
        <v>0</v>
      </c>
      <c r="R103" s="15">
        <v>2899</v>
      </c>
      <c r="S103" s="15">
        <v>1442.76</v>
      </c>
      <c r="T103" s="25"/>
      <c r="U103" s="25"/>
      <c r="V103" s="4"/>
      <c r="W103" s="4"/>
      <c r="X103" s="1" t="s">
        <v>626</v>
      </c>
    </row>
    <row r="104" spans="1:24" s="1" customFormat="1" ht="10.9" hidden="1" customHeight="1" x14ac:dyDescent="0.2">
      <c r="A104" s="37" t="s">
        <v>409</v>
      </c>
      <c r="B104" s="32" t="s">
        <v>410</v>
      </c>
      <c r="C104" s="33" t="s">
        <v>411</v>
      </c>
      <c r="D104" s="33"/>
      <c r="E104" s="34" t="s">
        <v>33</v>
      </c>
      <c r="F104" s="33" t="s">
        <v>34</v>
      </c>
      <c r="G104" s="33" t="s">
        <v>35</v>
      </c>
      <c r="H104" s="33" t="s">
        <v>177</v>
      </c>
      <c r="I104" s="33" t="s">
        <v>37</v>
      </c>
      <c r="J104" s="35" t="s">
        <v>40</v>
      </c>
      <c r="K104" s="36">
        <v>8</v>
      </c>
      <c r="L104" s="28">
        <v>8</v>
      </c>
      <c r="M104" s="25">
        <f t="shared" si="5"/>
        <v>0</v>
      </c>
      <c r="N104" s="28">
        <v>0</v>
      </c>
      <c r="O104" s="25">
        <f t="shared" si="6"/>
        <v>0</v>
      </c>
      <c r="P104" s="29"/>
      <c r="Q104" s="28">
        <v>0</v>
      </c>
      <c r="R104" s="15">
        <v>2599</v>
      </c>
      <c r="S104" s="15">
        <v>1293.46</v>
      </c>
      <c r="T104" s="25"/>
      <c r="U104" s="25"/>
      <c r="V104" s="4"/>
      <c r="W104" s="4"/>
      <c r="X104" s="1" t="s">
        <v>626</v>
      </c>
    </row>
    <row r="105" spans="1:24" s="1" customFormat="1" ht="10.9" hidden="1" customHeight="1" x14ac:dyDescent="0.2">
      <c r="A105" s="37" t="s">
        <v>412</v>
      </c>
      <c r="B105" s="4" t="s">
        <v>413</v>
      </c>
      <c r="C105" s="14" t="s">
        <v>414</v>
      </c>
      <c r="D105" s="14"/>
      <c r="E105" s="26" t="s">
        <v>33</v>
      </c>
      <c r="F105" s="14" t="s">
        <v>34</v>
      </c>
      <c r="G105" s="14" t="s">
        <v>35</v>
      </c>
      <c r="H105" s="14" t="s">
        <v>36</v>
      </c>
      <c r="I105" s="14" t="s">
        <v>37</v>
      </c>
      <c r="J105" s="27" t="s">
        <v>40</v>
      </c>
      <c r="K105" s="28">
        <v>6</v>
      </c>
      <c r="L105" s="28">
        <v>6</v>
      </c>
      <c r="M105" s="25">
        <f t="shared" ref="M105:M136" si="7">K105-L105</f>
        <v>0</v>
      </c>
      <c r="N105" s="28">
        <v>0</v>
      </c>
      <c r="O105" s="25">
        <f t="shared" ref="O105:O136" si="8">N105*S105</f>
        <v>0</v>
      </c>
      <c r="P105" s="29"/>
      <c r="Q105" s="28">
        <v>0</v>
      </c>
      <c r="R105" s="15">
        <v>2599</v>
      </c>
      <c r="S105" s="15">
        <v>1293.46</v>
      </c>
      <c r="T105" s="25"/>
      <c r="U105" s="25"/>
      <c r="V105" s="4"/>
      <c r="W105" s="4"/>
      <c r="X105" s="1" t="s">
        <v>626</v>
      </c>
    </row>
    <row r="106" spans="1:24" s="1" customFormat="1" ht="10.9" hidden="1" customHeight="1" x14ac:dyDescent="0.2">
      <c r="A106" s="37" t="s">
        <v>415</v>
      </c>
      <c r="B106" s="32" t="s">
        <v>416</v>
      </c>
      <c r="C106" s="33" t="s">
        <v>417</v>
      </c>
      <c r="D106" s="33"/>
      <c r="E106" s="34" t="s">
        <v>33</v>
      </c>
      <c r="F106" s="33" t="s">
        <v>34</v>
      </c>
      <c r="G106" s="33" t="s">
        <v>35</v>
      </c>
      <c r="H106" s="33" t="s">
        <v>177</v>
      </c>
      <c r="I106" s="33" t="s">
        <v>37</v>
      </c>
      <c r="J106" s="35" t="s">
        <v>40</v>
      </c>
      <c r="K106" s="36">
        <v>6</v>
      </c>
      <c r="L106" s="28">
        <v>6</v>
      </c>
      <c r="M106" s="25">
        <f t="shared" si="7"/>
        <v>0</v>
      </c>
      <c r="N106" s="28">
        <v>0</v>
      </c>
      <c r="O106" s="25">
        <f t="shared" si="8"/>
        <v>0</v>
      </c>
      <c r="P106" s="29"/>
      <c r="Q106" s="28">
        <v>0</v>
      </c>
      <c r="R106" s="15">
        <v>2599</v>
      </c>
      <c r="S106" s="15">
        <v>1293.46</v>
      </c>
      <c r="T106" s="25"/>
      <c r="U106" s="25"/>
      <c r="V106" s="4"/>
      <c r="W106" s="4"/>
      <c r="X106" s="1" t="s">
        <v>626</v>
      </c>
    </row>
    <row r="107" spans="1:24" s="1" customFormat="1" ht="10.9" hidden="1" customHeight="1" x14ac:dyDescent="0.2">
      <c r="A107" s="37" t="s">
        <v>418</v>
      </c>
      <c r="B107" s="4" t="s">
        <v>419</v>
      </c>
      <c r="C107" s="14" t="s">
        <v>420</v>
      </c>
      <c r="D107" s="14"/>
      <c r="E107" s="26" t="s">
        <v>33</v>
      </c>
      <c r="F107" s="14" t="s">
        <v>34</v>
      </c>
      <c r="G107" s="14" t="s">
        <v>35</v>
      </c>
      <c r="H107" s="14" t="s">
        <v>393</v>
      </c>
      <c r="I107" s="14" t="s">
        <v>37</v>
      </c>
      <c r="J107" s="27" t="s">
        <v>40</v>
      </c>
      <c r="K107" s="28">
        <v>3</v>
      </c>
      <c r="L107" s="28">
        <v>3</v>
      </c>
      <c r="M107" s="25">
        <f t="shared" si="7"/>
        <v>0</v>
      </c>
      <c r="N107" s="28">
        <v>0</v>
      </c>
      <c r="O107" s="25">
        <f t="shared" si="8"/>
        <v>0</v>
      </c>
      <c r="P107" s="29"/>
      <c r="Q107" s="28">
        <v>0</v>
      </c>
      <c r="R107" s="15">
        <v>2599</v>
      </c>
      <c r="S107" s="15">
        <v>1293.46</v>
      </c>
      <c r="T107" s="25"/>
      <c r="U107" s="25"/>
      <c r="V107" s="4"/>
      <c r="W107" s="4"/>
      <c r="X107" s="1" t="s">
        <v>626</v>
      </c>
    </row>
    <row r="108" spans="1:24" s="1" customFormat="1" ht="10.9" hidden="1" customHeight="1" x14ac:dyDescent="0.2">
      <c r="A108" s="37" t="s">
        <v>421</v>
      </c>
      <c r="B108" s="32" t="s">
        <v>422</v>
      </c>
      <c r="C108" s="33" t="s">
        <v>423</v>
      </c>
      <c r="D108" s="33"/>
      <c r="E108" s="34" t="s">
        <v>33</v>
      </c>
      <c r="F108" s="33" t="s">
        <v>34</v>
      </c>
      <c r="G108" s="33" t="s">
        <v>35</v>
      </c>
      <c r="H108" s="33" t="s">
        <v>52</v>
      </c>
      <c r="I108" s="33" t="s">
        <v>37</v>
      </c>
      <c r="J108" s="35" t="s">
        <v>40</v>
      </c>
      <c r="K108" s="36">
        <v>6</v>
      </c>
      <c r="L108" s="28">
        <v>6</v>
      </c>
      <c r="M108" s="25">
        <f t="shared" si="7"/>
        <v>0</v>
      </c>
      <c r="N108" s="28">
        <v>0</v>
      </c>
      <c r="O108" s="25">
        <f t="shared" si="8"/>
        <v>0</v>
      </c>
      <c r="P108" s="29"/>
      <c r="Q108" s="28">
        <v>0</v>
      </c>
      <c r="R108" s="15">
        <v>2599</v>
      </c>
      <c r="S108" s="15">
        <v>1293.46</v>
      </c>
      <c r="T108" s="25"/>
      <c r="U108" s="25"/>
      <c r="V108" s="4"/>
      <c r="W108" s="4"/>
      <c r="X108" s="1" t="s">
        <v>626</v>
      </c>
    </row>
    <row r="109" spans="1:24" s="1" customFormat="1" ht="10.9" hidden="1" customHeight="1" x14ac:dyDescent="0.2">
      <c r="A109" s="37" t="s">
        <v>424</v>
      </c>
      <c r="B109" s="4" t="s">
        <v>425</v>
      </c>
      <c r="C109" s="14" t="s">
        <v>426</v>
      </c>
      <c r="D109" s="14"/>
      <c r="E109" s="26" t="s">
        <v>33</v>
      </c>
      <c r="F109" s="14" t="s">
        <v>34</v>
      </c>
      <c r="G109" s="14" t="s">
        <v>35</v>
      </c>
      <c r="H109" s="14" t="s">
        <v>393</v>
      </c>
      <c r="I109" s="14" t="s">
        <v>37</v>
      </c>
      <c r="J109" s="27" t="s">
        <v>40</v>
      </c>
      <c r="K109" s="28">
        <v>8</v>
      </c>
      <c r="L109" s="28">
        <v>8</v>
      </c>
      <c r="M109" s="25">
        <f t="shared" si="7"/>
        <v>0</v>
      </c>
      <c r="N109" s="28">
        <v>0</v>
      </c>
      <c r="O109" s="25">
        <f t="shared" si="8"/>
        <v>0</v>
      </c>
      <c r="P109" s="29"/>
      <c r="Q109" s="28">
        <v>0</v>
      </c>
      <c r="R109" s="15">
        <v>2599</v>
      </c>
      <c r="S109" s="15">
        <v>1293.46</v>
      </c>
      <c r="T109" s="25"/>
      <c r="U109" s="25"/>
      <c r="V109" s="4"/>
      <c r="W109" s="4"/>
      <c r="X109" s="1" t="s">
        <v>626</v>
      </c>
    </row>
    <row r="110" spans="1:24" s="1" customFormat="1" ht="10.9" hidden="1" customHeight="1" x14ac:dyDescent="0.2">
      <c r="A110" s="37" t="s">
        <v>427</v>
      </c>
      <c r="B110" s="32" t="s">
        <v>428</v>
      </c>
      <c r="C110" s="33" t="s">
        <v>429</v>
      </c>
      <c r="D110" s="33"/>
      <c r="E110" s="34" t="s">
        <v>33</v>
      </c>
      <c r="F110" s="33" t="s">
        <v>34</v>
      </c>
      <c r="G110" s="33" t="s">
        <v>35</v>
      </c>
      <c r="H110" s="33" t="s">
        <v>52</v>
      </c>
      <c r="I110" s="33" t="s">
        <v>37</v>
      </c>
      <c r="J110" s="35" t="s">
        <v>40</v>
      </c>
      <c r="K110" s="36">
        <v>6</v>
      </c>
      <c r="L110" s="28">
        <v>6</v>
      </c>
      <c r="M110" s="25">
        <f t="shared" si="7"/>
        <v>0</v>
      </c>
      <c r="N110" s="28">
        <v>0</v>
      </c>
      <c r="O110" s="25">
        <f t="shared" si="8"/>
        <v>0</v>
      </c>
      <c r="P110" s="29"/>
      <c r="Q110" s="28">
        <v>0</v>
      </c>
      <c r="R110" s="15">
        <v>2599</v>
      </c>
      <c r="S110" s="15">
        <v>1293.46</v>
      </c>
      <c r="T110" s="25"/>
      <c r="U110" s="25"/>
      <c r="V110" s="4"/>
      <c r="W110" s="4"/>
      <c r="X110" s="1" t="s">
        <v>626</v>
      </c>
    </row>
    <row r="111" spans="1:24" s="1" customFormat="1" ht="10.9" hidden="1" customHeight="1" x14ac:dyDescent="0.2">
      <c r="A111" s="37" t="s">
        <v>430</v>
      </c>
      <c r="B111" s="4" t="s">
        <v>431</v>
      </c>
      <c r="C111" s="14" t="s">
        <v>432</v>
      </c>
      <c r="D111" s="14"/>
      <c r="E111" s="26" t="s">
        <v>33</v>
      </c>
      <c r="F111" s="14" t="s">
        <v>34</v>
      </c>
      <c r="G111" s="14" t="s">
        <v>35</v>
      </c>
      <c r="H111" s="14" t="s">
        <v>173</v>
      </c>
      <c r="I111" s="14" t="s">
        <v>37</v>
      </c>
      <c r="J111" s="27" t="s">
        <v>40</v>
      </c>
      <c r="K111" s="28">
        <v>6</v>
      </c>
      <c r="L111" s="28">
        <v>6</v>
      </c>
      <c r="M111" s="25">
        <f t="shared" si="7"/>
        <v>0</v>
      </c>
      <c r="N111" s="28">
        <v>0</v>
      </c>
      <c r="O111" s="25">
        <f t="shared" si="8"/>
        <v>0</v>
      </c>
      <c r="P111" s="29"/>
      <c r="Q111" s="28">
        <v>0</v>
      </c>
      <c r="R111" s="15">
        <v>2599</v>
      </c>
      <c r="S111" s="15">
        <v>1293.46</v>
      </c>
      <c r="T111" s="25"/>
      <c r="U111" s="25"/>
      <c r="V111" s="4"/>
      <c r="W111" s="4"/>
      <c r="X111" s="1" t="s">
        <v>626</v>
      </c>
    </row>
    <row r="112" spans="1:24" s="1" customFormat="1" ht="10.9" hidden="1" customHeight="1" x14ac:dyDescent="0.2">
      <c r="A112" s="37" t="s">
        <v>433</v>
      </c>
      <c r="B112" s="32" t="s">
        <v>434</v>
      </c>
      <c r="C112" s="33" t="s">
        <v>435</v>
      </c>
      <c r="D112" s="33"/>
      <c r="E112" s="34" t="s">
        <v>33</v>
      </c>
      <c r="F112" s="33" t="s">
        <v>34</v>
      </c>
      <c r="G112" s="33" t="s">
        <v>35</v>
      </c>
      <c r="H112" s="33" t="s">
        <v>177</v>
      </c>
      <c r="I112" s="33" t="s">
        <v>37</v>
      </c>
      <c r="J112" s="35" t="s">
        <v>40</v>
      </c>
      <c r="K112" s="36">
        <v>3</v>
      </c>
      <c r="L112" s="28">
        <v>3</v>
      </c>
      <c r="M112" s="25">
        <f t="shared" si="7"/>
        <v>0</v>
      </c>
      <c r="N112" s="28">
        <v>0</v>
      </c>
      <c r="O112" s="25">
        <f t="shared" si="8"/>
        <v>0</v>
      </c>
      <c r="P112" s="29"/>
      <c r="Q112" s="28">
        <v>0</v>
      </c>
      <c r="R112" s="15">
        <v>2599</v>
      </c>
      <c r="S112" s="15">
        <v>1293.46</v>
      </c>
      <c r="T112" s="25"/>
      <c r="U112" s="25"/>
      <c r="V112" s="4"/>
      <c r="W112" s="4"/>
      <c r="X112" s="1" t="s">
        <v>626</v>
      </c>
    </row>
    <row r="113" spans="1:24" s="1" customFormat="1" ht="10.9" hidden="1" customHeight="1" x14ac:dyDescent="0.2">
      <c r="A113" s="37" t="s">
        <v>436</v>
      </c>
      <c r="B113" s="4" t="s">
        <v>437</v>
      </c>
      <c r="C113" s="14" t="s">
        <v>438</v>
      </c>
      <c r="D113" s="14"/>
      <c r="E113" s="26" t="s">
        <v>33</v>
      </c>
      <c r="F113" s="14" t="s">
        <v>34</v>
      </c>
      <c r="G113" s="14" t="s">
        <v>35</v>
      </c>
      <c r="H113" s="14" t="s">
        <v>158</v>
      </c>
      <c r="I113" s="14" t="s">
        <v>37</v>
      </c>
      <c r="J113" s="27" t="s">
        <v>40</v>
      </c>
      <c r="K113" s="28">
        <v>6</v>
      </c>
      <c r="L113" s="28">
        <v>6</v>
      </c>
      <c r="M113" s="25">
        <f t="shared" si="7"/>
        <v>0</v>
      </c>
      <c r="N113" s="28">
        <v>0</v>
      </c>
      <c r="O113" s="25">
        <f t="shared" si="8"/>
        <v>0</v>
      </c>
      <c r="P113" s="29"/>
      <c r="Q113" s="28">
        <v>0</v>
      </c>
      <c r="R113" s="15">
        <v>2599</v>
      </c>
      <c r="S113" s="15">
        <v>1293.46</v>
      </c>
      <c r="T113" s="25"/>
      <c r="U113" s="25"/>
      <c r="V113" s="4"/>
      <c r="W113" s="4"/>
      <c r="X113" s="1" t="s">
        <v>626</v>
      </c>
    </row>
    <row r="114" spans="1:24" s="1" customFormat="1" ht="10.9" hidden="1" customHeight="1" x14ac:dyDescent="0.2">
      <c r="A114" s="37" t="s">
        <v>439</v>
      </c>
      <c r="B114" s="32" t="s">
        <v>440</v>
      </c>
      <c r="C114" s="33" t="s">
        <v>441</v>
      </c>
      <c r="D114" s="33"/>
      <c r="E114" s="34" t="s">
        <v>33</v>
      </c>
      <c r="F114" s="33" t="s">
        <v>34</v>
      </c>
      <c r="G114" s="33" t="s">
        <v>35</v>
      </c>
      <c r="H114" s="33" t="s">
        <v>197</v>
      </c>
      <c r="I114" s="33" t="s">
        <v>37</v>
      </c>
      <c r="J114" s="35" t="s">
        <v>40</v>
      </c>
      <c r="K114" s="36">
        <v>3</v>
      </c>
      <c r="L114" s="28">
        <v>3</v>
      </c>
      <c r="M114" s="25">
        <f t="shared" si="7"/>
        <v>0</v>
      </c>
      <c r="N114" s="28">
        <v>0</v>
      </c>
      <c r="O114" s="25">
        <f t="shared" si="8"/>
        <v>0</v>
      </c>
      <c r="P114" s="29"/>
      <c r="Q114" s="28">
        <v>0</v>
      </c>
      <c r="R114" s="15">
        <v>2599</v>
      </c>
      <c r="S114" s="15">
        <v>1293.46</v>
      </c>
      <c r="T114" s="25"/>
      <c r="U114" s="25"/>
      <c r="V114" s="4"/>
      <c r="W114" s="4"/>
      <c r="X114" s="1" t="s">
        <v>626</v>
      </c>
    </row>
    <row r="115" spans="1:24" s="1" customFormat="1" ht="10.9" hidden="1" customHeight="1" x14ac:dyDescent="0.2">
      <c r="A115" s="37" t="s">
        <v>442</v>
      </c>
      <c r="B115" s="4" t="s">
        <v>443</v>
      </c>
      <c r="C115" s="14" t="s">
        <v>444</v>
      </c>
      <c r="D115" s="14"/>
      <c r="E115" s="26" t="s">
        <v>33</v>
      </c>
      <c r="F115" s="14" t="s">
        <v>34</v>
      </c>
      <c r="G115" s="14" t="s">
        <v>35</v>
      </c>
      <c r="H115" s="14" t="s">
        <v>173</v>
      </c>
      <c r="I115" s="14" t="s">
        <v>37</v>
      </c>
      <c r="J115" s="27" t="s">
        <v>40</v>
      </c>
      <c r="K115" s="28">
        <v>6</v>
      </c>
      <c r="L115" s="28">
        <v>6</v>
      </c>
      <c r="M115" s="25">
        <f t="shared" si="7"/>
        <v>0</v>
      </c>
      <c r="N115" s="28">
        <v>0</v>
      </c>
      <c r="O115" s="25">
        <f t="shared" si="8"/>
        <v>0</v>
      </c>
      <c r="P115" s="29"/>
      <c r="Q115" s="28">
        <v>0</v>
      </c>
      <c r="R115" s="15">
        <v>2599</v>
      </c>
      <c r="S115" s="15">
        <v>1293.46</v>
      </c>
      <c r="T115" s="25"/>
      <c r="U115" s="25"/>
      <c r="V115" s="4"/>
      <c r="W115" s="4"/>
      <c r="X115" s="1" t="s">
        <v>626</v>
      </c>
    </row>
    <row r="116" spans="1:24" s="1" customFormat="1" ht="10.9" hidden="1" customHeight="1" x14ac:dyDescent="0.2">
      <c r="A116" s="37" t="s">
        <v>445</v>
      </c>
      <c r="B116" s="32" t="s">
        <v>446</v>
      </c>
      <c r="C116" s="33" t="s">
        <v>447</v>
      </c>
      <c r="D116" s="33"/>
      <c r="E116" s="34" t="s">
        <v>33</v>
      </c>
      <c r="F116" s="33" t="s">
        <v>34</v>
      </c>
      <c r="G116" s="33" t="s">
        <v>35</v>
      </c>
      <c r="H116" s="33" t="s">
        <v>386</v>
      </c>
      <c r="I116" s="33" t="s">
        <v>37</v>
      </c>
      <c r="J116" s="35" t="s">
        <v>40</v>
      </c>
      <c r="K116" s="36">
        <v>3</v>
      </c>
      <c r="L116" s="28">
        <v>3</v>
      </c>
      <c r="M116" s="25">
        <f t="shared" si="7"/>
        <v>0</v>
      </c>
      <c r="N116" s="28">
        <v>0</v>
      </c>
      <c r="O116" s="25">
        <f t="shared" si="8"/>
        <v>0</v>
      </c>
      <c r="P116" s="29"/>
      <c r="Q116" s="28">
        <v>0</v>
      </c>
      <c r="R116" s="15">
        <v>3699</v>
      </c>
      <c r="S116" s="15">
        <v>1840.9</v>
      </c>
      <c r="T116" s="25"/>
      <c r="U116" s="25"/>
      <c r="V116" s="4"/>
      <c r="W116" s="4"/>
      <c r="X116" s="1" t="s">
        <v>626</v>
      </c>
    </row>
    <row r="117" spans="1:24" s="1" customFormat="1" ht="10.9" hidden="1" customHeight="1" x14ac:dyDescent="0.2">
      <c r="A117" s="37" t="s">
        <v>448</v>
      </c>
      <c r="B117" s="4" t="s">
        <v>449</v>
      </c>
      <c r="C117" s="14" t="s">
        <v>450</v>
      </c>
      <c r="D117" s="14"/>
      <c r="E117" s="26" t="s">
        <v>33</v>
      </c>
      <c r="F117" s="14" t="s">
        <v>34</v>
      </c>
      <c r="G117" s="14" t="s">
        <v>35</v>
      </c>
      <c r="H117" s="14" t="s">
        <v>177</v>
      </c>
      <c r="I117" s="14" t="s">
        <v>37</v>
      </c>
      <c r="J117" s="27" t="s">
        <v>40</v>
      </c>
      <c r="K117" s="28">
        <v>3</v>
      </c>
      <c r="L117" s="28">
        <v>3</v>
      </c>
      <c r="M117" s="25">
        <f t="shared" si="7"/>
        <v>0</v>
      </c>
      <c r="N117" s="28">
        <v>0</v>
      </c>
      <c r="O117" s="25">
        <f t="shared" si="8"/>
        <v>0</v>
      </c>
      <c r="P117" s="29"/>
      <c r="Q117" s="28">
        <v>0</v>
      </c>
      <c r="R117" s="15">
        <v>2899</v>
      </c>
      <c r="S117" s="15">
        <v>1442.76</v>
      </c>
      <c r="T117" s="25"/>
      <c r="U117" s="25"/>
      <c r="V117" s="4"/>
      <c r="W117" s="4"/>
      <c r="X117" s="1" t="s">
        <v>626</v>
      </c>
    </row>
    <row r="118" spans="1:24" s="1" customFormat="1" ht="10.9" hidden="1" customHeight="1" x14ac:dyDescent="0.2">
      <c r="A118" s="37" t="s">
        <v>451</v>
      </c>
      <c r="B118" s="32" t="s">
        <v>452</v>
      </c>
      <c r="C118" s="33" t="s">
        <v>453</v>
      </c>
      <c r="D118" s="33"/>
      <c r="E118" s="34" t="s">
        <v>33</v>
      </c>
      <c r="F118" s="33" t="s">
        <v>34</v>
      </c>
      <c r="G118" s="33" t="s">
        <v>35</v>
      </c>
      <c r="H118" s="33" t="s">
        <v>52</v>
      </c>
      <c r="I118" s="33" t="s">
        <v>37</v>
      </c>
      <c r="J118" s="35" t="s">
        <v>40</v>
      </c>
      <c r="K118" s="36">
        <v>6</v>
      </c>
      <c r="L118" s="28">
        <v>6</v>
      </c>
      <c r="M118" s="25">
        <f t="shared" si="7"/>
        <v>0</v>
      </c>
      <c r="N118" s="28">
        <v>0</v>
      </c>
      <c r="O118" s="25">
        <f t="shared" si="8"/>
        <v>0</v>
      </c>
      <c r="P118" s="29"/>
      <c r="Q118" s="28">
        <v>0</v>
      </c>
      <c r="R118" s="15">
        <v>2899</v>
      </c>
      <c r="S118" s="15">
        <v>1442.76</v>
      </c>
      <c r="T118" s="25"/>
      <c r="U118" s="25"/>
      <c r="V118" s="4"/>
      <c r="W118" s="4"/>
      <c r="X118" s="1" t="s">
        <v>626</v>
      </c>
    </row>
    <row r="119" spans="1:24" s="1" customFormat="1" ht="10.9" hidden="1" customHeight="1" x14ac:dyDescent="0.2">
      <c r="A119" s="37" t="s">
        <v>454</v>
      </c>
      <c r="B119" s="4" t="s">
        <v>455</v>
      </c>
      <c r="C119" s="14" t="s">
        <v>456</v>
      </c>
      <c r="D119" s="14"/>
      <c r="E119" s="26" t="s">
        <v>33</v>
      </c>
      <c r="F119" s="14" t="s">
        <v>34</v>
      </c>
      <c r="G119" s="14" t="s">
        <v>35</v>
      </c>
      <c r="H119" s="14" t="s">
        <v>163</v>
      </c>
      <c r="I119" s="14" t="s">
        <v>37</v>
      </c>
      <c r="J119" s="27" t="s">
        <v>40</v>
      </c>
      <c r="K119" s="28">
        <v>4</v>
      </c>
      <c r="L119" s="28">
        <v>4</v>
      </c>
      <c r="M119" s="25">
        <f t="shared" si="7"/>
        <v>0</v>
      </c>
      <c r="N119" s="28">
        <v>0</v>
      </c>
      <c r="O119" s="25">
        <f t="shared" si="8"/>
        <v>0</v>
      </c>
      <c r="P119" s="29"/>
      <c r="Q119" s="28">
        <v>0</v>
      </c>
      <c r="R119" s="15">
        <v>3199</v>
      </c>
      <c r="S119" s="15">
        <v>1592.06</v>
      </c>
      <c r="T119" s="25"/>
      <c r="U119" s="25"/>
      <c r="V119" s="4"/>
      <c r="W119" s="4"/>
      <c r="X119" s="1" t="s">
        <v>626</v>
      </c>
    </row>
    <row r="120" spans="1:24" s="1" customFormat="1" ht="10.9" hidden="1" customHeight="1" x14ac:dyDescent="0.2">
      <c r="A120" s="37" t="s">
        <v>457</v>
      </c>
      <c r="B120" s="32" t="s">
        <v>458</v>
      </c>
      <c r="C120" s="33" t="s">
        <v>459</v>
      </c>
      <c r="D120" s="33"/>
      <c r="E120" s="34" t="s">
        <v>33</v>
      </c>
      <c r="F120" s="33" t="s">
        <v>34</v>
      </c>
      <c r="G120" s="33" t="s">
        <v>35</v>
      </c>
      <c r="H120" s="33" t="s">
        <v>238</v>
      </c>
      <c r="I120" s="33" t="s">
        <v>37</v>
      </c>
      <c r="J120" s="35" t="s">
        <v>40</v>
      </c>
      <c r="K120" s="36">
        <v>3</v>
      </c>
      <c r="L120" s="28">
        <v>3</v>
      </c>
      <c r="M120" s="25">
        <f t="shared" si="7"/>
        <v>0</v>
      </c>
      <c r="N120" s="28">
        <v>0</v>
      </c>
      <c r="O120" s="25">
        <f t="shared" si="8"/>
        <v>0</v>
      </c>
      <c r="P120" s="29"/>
      <c r="Q120" s="28">
        <v>0</v>
      </c>
      <c r="R120" s="15">
        <v>2599</v>
      </c>
      <c r="S120" s="15">
        <v>1293.46</v>
      </c>
      <c r="T120" s="25"/>
      <c r="U120" s="25"/>
      <c r="V120" s="4"/>
      <c r="W120" s="4"/>
      <c r="X120" s="1" t="s">
        <v>626</v>
      </c>
    </row>
    <row r="121" spans="1:24" s="1" customFormat="1" ht="10.9" hidden="1" customHeight="1" x14ac:dyDescent="0.2">
      <c r="A121" s="37" t="s">
        <v>460</v>
      </c>
      <c r="B121" s="4" t="s">
        <v>461</v>
      </c>
      <c r="C121" s="14" t="s">
        <v>462</v>
      </c>
      <c r="D121" s="14"/>
      <c r="E121" s="26" t="s">
        <v>33</v>
      </c>
      <c r="F121" s="14" t="s">
        <v>34</v>
      </c>
      <c r="G121" s="14" t="s">
        <v>35</v>
      </c>
      <c r="H121" s="14" t="s">
        <v>36</v>
      </c>
      <c r="I121" s="14" t="s">
        <v>37</v>
      </c>
      <c r="J121" s="27" t="s">
        <v>40</v>
      </c>
      <c r="K121" s="28">
        <v>3</v>
      </c>
      <c r="L121" s="28">
        <v>3</v>
      </c>
      <c r="M121" s="25">
        <f t="shared" si="7"/>
        <v>0</v>
      </c>
      <c r="N121" s="28">
        <v>0</v>
      </c>
      <c r="O121" s="25">
        <f t="shared" si="8"/>
        <v>0</v>
      </c>
      <c r="P121" s="29"/>
      <c r="Q121" s="28">
        <v>0</v>
      </c>
      <c r="R121" s="15">
        <v>3199</v>
      </c>
      <c r="S121" s="15">
        <v>1592.06</v>
      </c>
      <c r="T121" s="25"/>
      <c r="U121" s="25"/>
      <c r="V121" s="4"/>
      <c r="W121" s="4"/>
      <c r="X121" s="1" t="s">
        <v>626</v>
      </c>
    </row>
    <row r="122" spans="1:24" s="1" customFormat="1" ht="10.9" hidden="1" customHeight="1" x14ac:dyDescent="0.2">
      <c r="A122" s="37" t="s">
        <v>463</v>
      </c>
      <c r="B122" s="32" t="s">
        <v>464</v>
      </c>
      <c r="C122" s="33" t="s">
        <v>465</v>
      </c>
      <c r="D122" s="33"/>
      <c r="E122" s="34" t="s">
        <v>33</v>
      </c>
      <c r="F122" s="33" t="s">
        <v>34</v>
      </c>
      <c r="G122" s="33" t="s">
        <v>35</v>
      </c>
      <c r="H122" s="33" t="s">
        <v>305</v>
      </c>
      <c r="I122" s="33" t="s">
        <v>37</v>
      </c>
      <c r="J122" s="35" t="s">
        <v>40</v>
      </c>
      <c r="K122" s="36">
        <v>3</v>
      </c>
      <c r="L122" s="28">
        <v>3</v>
      </c>
      <c r="M122" s="25">
        <f t="shared" si="7"/>
        <v>0</v>
      </c>
      <c r="N122" s="28">
        <v>0</v>
      </c>
      <c r="O122" s="25">
        <f t="shared" si="8"/>
        <v>0</v>
      </c>
      <c r="P122" s="29"/>
      <c r="Q122" s="28">
        <v>0</v>
      </c>
      <c r="R122" s="15">
        <v>2899</v>
      </c>
      <c r="S122" s="15">
        <v>1442.76</v>
      </c>
      <c r="T122" s="25"/>
      <c r="U122" s="25"/>
      <c r="V122" s="4"/>
      <c r="W122" s="4"/>
      <c r="X122" s="1" t="s">
        <v>626</v>
      </c>
    </row>
    <row r="123" spans="1:24" s="1" customFormat="1" ht="10.9" hidden="1" customHeight="1" x14ac:dyDescent="0.2">
      <c r="A123" s="37" t="s">
        <v>466</v>
      </c>
      <c r="B123" s="4" t="s">
        <v>467</v>
      </c>
      <c r="C123" s="14" t="s">
        <v>468</v>
      </c>
      <c r="D123" s="14"/>
      <c r="E123" s="26" t="s">
        <v>33</v>
      </c>
      <c r="F123" s="14" t="s">
        <v>34</v>
      </c>
      <c r="G123" s="14" t="s">
        <v>35</v>
      </c>
      <c r="H123" s="14" t="s">
        <v>163</v>
      </c>
      <c r="I123" s="14" t="s">
        <v>65</v>
      </c>
      <c r="J123" s="27" t="s">
        <v>40</v>
      </c>
      <c r="K123" s="28">
        <v>1</v>
      </c>
      <c r="L123" s="28">
        <v>1</v>
      </c>
      <c r="M123" s="25">
        <f t="shared" si="7"/>
        <v>0</v>
      </c>
      <c r="N123" s="28">
        <v>0</v>
      </c>
      <c r="O123" s="25">
        <f t="shared" si="8"/>
        <v>0</v>
      </c>
      <c r="P123" s="29"/>
      <c r="Q123" s="28">
        <v>0</v>
      </c>
      <c r="R123" s="15">
        <v>3899</v>
      </c>
      <c r="S123" s="15">
        <v>1973.61</v>
      </c>
      <c r="T123" s="25"/>
      <c r="U123" s="25"/>
      <c r="V123" s="4"/>
      <c r="W123" s="4"/>
      <c r="X123" s="1" t="s">
        <v>626</v>
      </c>
    </row>
    <row r="124" spans="1:24" s="1" customFormat="1" ht="10.9" hidden="1" customHeight="1" x14ac:dyDescent="0.2">
      <c r="A124" s="37" t="s">
        <v>469</v>
      </c>
      <c r="B124" s="4" t="s">
        <v>470</v>
      </c>
      <c r="C124" s="14" t="s">
        <v>468</v>
      </c>
      <c r="D124" s="14"/>
      <c r="E124" s="26" t="s">
        <v>33</v>
      </c>
      <c r="F124" s="14" t="s">
        <v>34</v>
      </c>
      <c r="G124" s="14" t="s">
        <v>35</v>
      </c>
      <c r="H124" s="14" t="s">
        <v>163</v>
      </c>
      <c r="I124" s="14" t="s">
        <v>57</v>
      </c>
      <c r="J124" s="27" t="s">
        <v>40</v>
      </c>
      <c r="K124" s="28">
        <v>2</v>
      </c>
      <c r="L124" s="28">
        <v>2</v>
      </c>
      <c r="M124" s="25">
        <f t="shared" si="7"/>
        <v>0</v>
      </c>
      <c r="N124" s="28">
        <v>0</v>
      </c>
      <c r="O124" s="25">
        <f t="shared" si="8"/>
        <v>0</v>
      </c>
      <c r="P124" s="29"/>
      <c r="Q124" s="28">
        <v>0</v>
      </c>
      <c r="R124" s="15">
        <v>3899</v>
      </c>
      <c r="S124" s="15">
        <v>1973.61</v>
      </c>
      <c r="T124" s="25"/>
      <c r="U124" s="25"/>
      <c r="V124" s="4"/>
      <c r="W124" s="4"/>
      <c r="X124" s="1" t="s">
        <v>626</v>
      </c>
    </row>
    <row r="125" spans="1:24" s="1" customFormat="1" ht="10.9" hidden="1" customHeight="1" x14ac:dyDescent="0.2">
      <c r="A125" s="37" t="s">
        <v>471</v>
      </c>
      <c r="B125" s="32" t="s">
        <v>472</v>
      </c>
      <c r="C125" s="33" t="s">
        <v>473</v>
      </c>
      <c r="D125" s="33"/>
      <c r="E125" s="34" t="s">
        <v>33</v>
      </c>
      <c r="F125" s="33" t="s">
        <v>34</v>
      </c>
      <c r="G125" s="33" t="s">
        <v>35</v>
      </c>
      <c r="H125" s="33" t="s">
        <v>177</v>
      </c>
      <c r="I125" s="33" t="s">
        <v>37</v>
      </c>
      <c r="J125" s="35" t="s">
        <v>40</v>
      </c>
      <c r="K125" s="36">
        <v>4</v>
      </c>
      <c r="L125" s="28">
        <v>4</v>
      </c>
      <c r="M125" s="25">
        <f t="shared" si="7"/>
        <v>0</v>
      </c>
      <c r="N125" s="28">
        <v>0</v>
      </c>
      <c r="O125" s="25">
        <f t="shared" si="8"/>
        <v>0</v>
      </c>
      <c r="P125" s="29"/>
      <c r="Q125" s="28">
        <v>0</v>
      </c>
      <c r="R125" s="15">
        <v>3199</v>
      </c>
      <c r="S125" s="15">
        <v>1592.06</v>
      </c>
      <c r="T125" s="25"/>
      <c r="U125" s="25"/>
      <c r="V125" s="4"/>
      <c r="W125" s="4"/>
      <c r="X125" s="1" t="s">
        <v>626</v>
      </c>
    </row>
    <row r="126" spans="1:24" s="1" customFormat="1" ht="10.9" hidden="1" customHeight="1" x14ac:dyDescent="0.2">
      <c r="A126" s="37" t="s">
        <v>475</v>
      </c>
      <c r="B126" s="4" t="s">
        <v>476</v>
      </c>
      <c r="C126" s="14" t="s">
        <v>477</v>
      </c>
      <c r="D126" s="14"/>
      <c r="E126" s="26" t="s">
        <v>33</v>
      </c>
      <c r="F126" s="14" t="s">
        <v>34</v>
      </c>
      <c r="G126" s="14" t="s">
        <v>35</v>
      </c>
      <c r="H126" s="14" t="s">
        <v>393</v>
      </c>
      <c r="I126" s="14" t="s">
        <v>37</v>
      </c>
      <c r="J126" s="27" t="s">
        <v>40</v>
      </c>
      <c r="K126" s="28">
        <v>6</v>
      </c>
      <c r="L126" s="28">
        <v>6</v>
      </c>
      <c r="M126" s="25">
        <f t="shared" si="7"/>
        <v>0</v>
      </c>
      <c r="N126" s="28">
        <v>0</v>
      </c>
      <c r="O126" s="25">
        <f t="shared" si="8"/>
        <v>0</v>
      </c>
      <c r="P126" s="29"/>
      <c r="Q126" s="28">
        <v>0</v>
      </c>
      <c r="R126" s="15">
        <v>2599</v>
      </c>
      <c r="S126" s="15">
        <v>1293.46</v>
      </c>
      <c r="T126" s="25"/>
      <c r="U126" s="25"/>
      <c r="V126" s="4"/>
      <c r="W126" s="4"/>
      <c r="X126" s="1" t="s">
        <v>626</v>
      </c>
    </row>
    <row r="127" spans="1:24" s="1" customFormat="1" ht="10.9" hidden="1" customHeight="1" x14ac:dyDescent="0.2">
      <c r="A127" s="37" t="s">
        <v>478</v>
      </c>
      <c r="B127" s="32" t="s">
        <v>479</v>
      </c>
      <c r="C127" s="33" t="s">
        <v>480</v>
      </c>
      <c r="D127" s="33"/>
      <c r="E127" s="34" t="s">
        <v>33</v>
      </c>
      <c r="F127" s="33" t="s">
        <v>34</v>
      </c>
      <c r="G127" s="33" t="s">
        <v>35</v>
      </c>
      <c r="H127" s="33" t="s">
        <v>163</v>
      </c>
      <c r="I127" s="33" t="s">
        <v>57</v>
      </c>
      <c r="J127" s="35" t="s">
        <v>40</v>
      </c>
      <c r="K127" s="36">
        <v>2</v>
      </c>
      <c r="L127" s="28">
        <v>2</v>
      </c>
      <c r="M127" s="25">
        <f t="shared" si="7"/>
        <v>0</v>
      </c>
      <c r="N127" s="28">
        <v>0</v>
      </c>
      <c r="O127" s="25">
        <f t="shared" si="8"/>
        <v>0</v>
      </c>
      <c r="P127" s="29"/>
      <c r="Q127" s="28">
        <v>0</v>
      </c>
      <c r="R127" s="15">
        <v>4299</v>
      </c>
      <c r="S127" s="15">
        <v>2139.5100000000002</v>
      </c>
      <c r="T127" s="25"/>
      <c r="U127" s="25"/>
      <c r="V127" s="4"/>
      <c r="W127" s="4"/>
      <c r="X127" s="1" t="s">
        <v>626</v>
      </c>
    </row>
    <row r="128" spans="1:24" s="1" customFormat="1" ht="10.9" hidden="1" customHeight="1" x14ac:dyDescent="0.2">
      <c r="A128" s="37" t="s">
        <v>481</v>
      </c>
      <c r="B128" s="4" t="s">
        <v>482</v>
      </c>
      <c r="C128" s="14" t="s">
        <v>483</v>
      </c>
      <c r="D128" s="14"/>
      <c r="E128" s="26" t="s">
        <v>33</v>
      </c>
      <c r="F128" s="14" t="s">
        <v>34</v>
      </c>
      <c r="G128" s="14" t="s">
        <v>35</v>
      </c>
      <c r="H128" s="14" t="s">
        <v>36</v>
      </c>
      <c r="I128" s="14" t="s">
        <v>37</v>
      </c>
      <c r="J128" s="27" t="s">
        <v>40</v>
      </c>
      <c r="K128" s="28">
        <v>3</v>
      </c>
      <c r="L128" s="28">
        <v>3</v>
      </c>
      <c r="M128" s="25">
        <f t="shared" si="7"/>
        <v>0</v>
      </c>
      <c r="N128" s="28">
        <v>0</v>
      </c>
      <c r="O128" s="25">
        <f t="shared" si="8"/>
        <v>0</v>
      </c>
      <c r="P128" s="29"/>
      <c r="Q128" s="28">
        <v>0</v>
      </c>
      <c r="R128" s="15">
        <v>3199</v>
      </c>
      <c r="S128" s="15">
        <v>1592.06</v>
      </c>
      <c r="T128" s="25"/>
      <c r="U128" s="25"/>
      <c r="V128" s="4"/>
      <c r="W128" s="4"/>
      <c r="X128" s="1" t="s">
        <v>626</v>
      </c>
    </row>
    <row r="129" spans="1:24" s="1" customFormat="1" ht="10.9" hidden="1" customHeight="1" x14ac:dyDescent="0.2">
      <c r="A129" s="37" t="s">
        <v>484</v>
      </c>
      <c r="B129" s="32" t="s">
        <v>485</v>
      </c>
      <c r="C129" s="33" t="s">
        <v>486</v>
      </c>
      <c r="D129" s="33"/>
      <c r="E129" s="34" t="s">
        <v>33</v>
      </c>
      <c r="F129" s="33" t="s">
        <v>34</v>
      </c>
      <c r="G129" s="33" t="s">
        <v>35</v>
      </c>
      <c r="H129" s="33" t="s">
        <v>115</v>
      </c>
      <c r="I129" s="33" t="s">
        <v>37</v>
      </c>
      <c r="J129" s="35" t="s">
        <v>40</v>
      </c>
      <c r="K129" s="36">
        <v>6</v>
      </c>
      <c r="L129" s="28">
        <v>6</v>
      </c>
      <c r="M129" s="25">
        <f t="shared" si="7"/>
        <v>0</v>
      </c>
      <c r="N129" s="28">
        <v>0</v>
      </c>
      <c r="O129" s="25">
        <f t="shared" si="8"/>
        <v>0</v>
      </c>
      <c r="P129" s="29"/>
      <c r="Q129" s="28">
        <v>0</v>
      </c>
      <c r="R129" s="15">
        <v>3399</v>
      </c>
      <c r="S129" s="15">
        <v>1691.6</v>
      </c>
      <c r="T129" s="25"/>
      <c r="U129" s="25"/>
      <c r="V129" s="4"/>
      <c r="W129" s="4"/>
      <c r="X129" s="1" t="s">
        <v>626</v>
      </c>
    </row>
    <row r="130" spans="1:24" s="1" customFormat="1" ht="10.9" hidden="1" customHeight="1" x14ac:dyDescent="0.2">
      <c r="A130" s="37" t="s">
        <v>487</v>
      </c>
      <c r="B130" s="4" t="s">
        <v>488</v>
      </c>
      <c r="C130" s="14" t="s">
        <v>489</v>
      </c>
      <c r="D130" s="14"/>
      <c r="E130" s="26" t="s">
        <v>33</v>
      </c>
      <c r="F130" s="14" t="s">
        <v>34</v>
      </c>
      <c r="G130" s="14" t="s">
        <v>35</v>
      </c>
      <c r="H130" s="14" t="s">
        <v>115</v>
      </c>
      <c r="I130" s="14" t="s">
        <v>37</v>
      </c>
      <c r="J130" s="27" t="s">
        <v>40</v>
      </c>
      <c r="K130" s="28">
        <v>8</v>
      </c>
      <c r="L130" s="28">
        <v>8</v>
      </c>
      <c r="M130" s="25">
        <f t="shared" si="7"/>
        <v>0</v>
      </c>
      <c r="N130" s="28">
        <v>0</v>
      </c>
      <c r="O130" s="25">
        <f t="shared" si="8"/>
        <v>0</v>
      </c>
      <c r="P130" s="29"/>
      <c r="Q130" s="28">
        <v>0</v>
      </c>
      <c r="R130" s="15">
        <v>3399</v>
      </c>
      <c r="S130" s="15">
        <v>1691.6</v>
      </c>
      <c r="T130" s="25"/>
      <c r="U130" s="25"/>
      <c r="V130" s="4"/>
      <c r="W130" s="4"/>
      <c r="X130" s="1" t="s">
        <v>626</v>
      </c>
    </row>
    <row r="131" spans="1:24" s="1" customFormat="1" ht="10.9" hidden="1" customHeight="1" x14ac:dyDescent="0.2">
      <c r="A131" s="37" t="s">
        <v>490</v>
      </c>
      <c r="B131" s="32" t="s">
        <v>491</v>
      </c>
      <c r="C131" s="33" t="s">
        <v>492</v>
      </c>
      <c r="D131" s="33"/>
      <c r="E131" s="34" t="s">
        <v>33</v>
      </c>
      <c r="F131" s="33" t="s">
        <v>34</v>
      </c>
      <c r="G131" s="33" t="s">
        <v>35</v>
      </c>
      <c r="H131" s="33" t="s">
        <v>115</v>
      </c>
      <c r="I131" s="33" t="s">
        <v>37</v>
      </c>
      <c r="J131" s="35" t="s">
        <v>493</v>
      </c>
      <c r="K131" s="36">
        <v>10</v>
      </c>
      <c r="L131" s="28">
        <v>10</v>
      </c>
      <c r="M131" s="25">
        <f t="shared" si="7"/>
        <v>0</v>
      </c>
      <c r="N131" s="28">
        <v>0</v>
      </c>
      <c r="O131" s="25">
        <f t="shared" si="8"/>
        <v>0</v>
      </c>
      <c r="P131" s="29"/>
      <c r="Q131" s="28">
        <v>0</v>
      </c>
      <c r="R131" s="15">
        <v>3399</v>
      </c>
      <c r="S131" s="15">
        <v>1691.6</v>
      </c>
      <c r="T131" s="25"/>
      <c r="U131" s="25"/>
      <c r="V131" s="4"/>
      <c r="W131" s="4"/>
      <c r="X131" s="1" t="s">
        <v>626</v>
      </c>
    </row>
    <row r="132" spans="1:24" s="1" customFormat="1" ht="10.9" hidden="1" customHeight="1" x14ac:dyDescent="0.2">
      <c r="A132" s="37" t="s">
        <v>494</v>
      </c>
      <c r="B132" s="4" t="s">
        <v>495</v>
      </c>
      <c r="C132" s="14" t="s">
        <v>496</v>
      </c>
      <c r="D132" s="14"/>
      <c r="E132" s="26" t="s">
        <v>33</v>
      </c>
      <c r="F132" s="14" t="s">
        <v>34</v>
      </c>
      <c r="G132" s="14" t="s">
        <v>35</v>
      </c>
      <c r="H132" s="14" t="s">
        <v>80</v>
      </c>
      <c r="I132" s="14" t="s">
        <v>37</v>
      </c>
      <c r="J132" s="27" t="s">
        <v>40</v>
      </c>
      <c r="K132" s="28">
        <v>6</v>
      </c>
      <c r="L132" s="28">
        <v>6</v>
      </c>
      <c r="M132" s="25">
        <f t="shared" si="7"/>
        <v>0</v>
      </c>
      <c r="N132" s="28">
        <v>0</v>
      </c>
      <c r="O132" s="25">
        <f t="shared" si="8"/>
        <v>0</v>
      </c>
      <c r="P132" s="29"/>
      <c r="Q132" s="28">
        <v>0</v>
      </c>
      <c r="R132" s="15">
        <v>3199</v>
      </c>
      <c r="S132" s="15">
        <v>1592.06</v>
      </c>
      <c r="T132" s="25"/>
      <c r="U132" s="25"/>
      <c r="V132" s="4"/>
      <c r="W132" s="4"/>
      <c r="X132" s="1" t="s">
        <v>626</v>
      </c>
    </row>
    <row r="133" spans="1:24" s="1" customFormat="1" ht="10.9" hidden="1" customHeight="1" x14ac:dyDescent="0.2">
      <c r="A133" s="37" t="s">
        <v>497</v>
      </c>
      <c r="B133" s="32" t="s">
        <v>498</v>
      </c>
      <c r="C133" s="33" t="s">
        <v>499</v>
      </c>
      <c r="D133" s="33"/>
      <c r="E133" s="34" t="s">
        <v>33</v>
      </c>
      <c r="F133" s="33" t="s">
        <v>34</v>
      </c>
      <c r="G133" s="33" t="s">
        <v>35</v>
      </c>
      <c r="H133" s="33" t="s">
        <v>36</v>
      </c>
      <c r="I133" s="33" t="s">
        <v>37</v>
      </c>
      <c r="J133" s="35" t="s">
        <v>40</v>
      </c>
      <c r="K133" s="36">
        <v>2</v>
      </c>
      <c r="L133" s="28">
        <v>2</v>
      </c>
      <c r="M133" s="25">
        <f t="shared" si="7"/>
        <v>0</v>
      </c>
      <c r="N133" s="28">
        <v>0</v>
      </c>
      <c r="O133" s="25">
        <f t="shared" si="8"/>
        <v>0</v>
      </c>
      <c r="P133" s="29"/>
      <c r="Q133" s="28">
        <v>0</v>
      </c>
      <c r="R133" s="15">
        <v>2599</v>
      </c>
      <c r="S133" s="15">
        <v>1293.46</v>
      </c>
      <c r="T133" s="25"/>
      <c r="U133" s="25"/>
      <c r="V133" s="4"/>
      <c r="W133" s="4"/>
      <c r="X133" s="1" t="s">
        <v>626</v>
      </c>
    </row>
    <row r="134" spans="1:24" s="1" customFormat="1" ht="10.9" hidden="1" customHeight="1" x14ac:dyDescent="0.2">
      <c r="A134" s="37" t="s">
        <v>500</v>
      </c>
      <c r="B134" s="4" t="s">
        <v>501</v>
      </c>
      <c r="C134" s="14" t="s">
        <v>502</v>
      </c>
      <c r="D134" s="14"/>
      <c r="E134" s="26" t="s">
        <v>33</v>
      </c>
      <c r="F134" s="14" t="s">
        <v>34</v>
      </c>
      <c r="G134" s="14" t="s">
        <v>35</v>
      </c>
      <c r="H134" s="14" t="s">
        <v>115</v>
      </c>
      <c r="I134" s="14" t="s">
        <v>37</v>
      </c>
      <c r="J134" s="27" t="s">
        <v>40</v>
      </c>
      <c r="K134" s="28">
        <v>4</v>
      </c>
      <c r="L134" s="28">
        <v>4</v>
      </c>
      <c r="M134" s="25">
        <f t="shared" si="7"/>
        <v>0</v>
      </c>
      <c r="N134" s="28">
        <v>0</v>
      </c>
      <c r="O134" s="25">
        <f t="shared" si="8"/>
        <v>0</v>
      </c>
      <c r="P134" s="29"/>
      <c r="Q134" s="28">
        <v>0</v>
      </c>
      <c r="R134" s="15">
        <v>2599</v>
      </c>
      <c r="S134" s="15">
        <v>1293.46</v>
      </c>
      <c r="T134" s="25"/>
      <c r="U134" s="25"/>
      <c r="V134" s="4"/>
      <c r="W134" s="4"/>
      <c r="X134" s="1" t="s">
        <v>626</v>
      </c>
    </row>
    <row r="135" spans="1:24" s="1" customFormat="1" ht="10.9" hidden="1" customHeight="1" x14ac:dyDescent="0.2">
      <c r="A135" s="37" t="s">
        <v>503</v>
      </c>
      <c r="B135" s="32" t="s">
        <v>504</v>
      </c>
      <c r="C135" s="33" t="s">
        <v>505</v>
      </c>
      <c r="D135" s="33"/>
      <c r="E135" s="34" t="s">
        <v>33</v>
      </c>
      <c r="F135" s="33" t="s">
        <v>34</v>
      </c>
      <c r="G135" s="33" t="s">
        <v>35</v>
      </c>
      <c r="H135" s="33" t="s">
        <v>115</v>
      </c>
      <c r="I135" s="33" t="s">
        <v>37</v>
      </c>
      <c r="J135" s="35" t="s">
        <v>40</v>
      </c>
      <c r="K135" s="36">
        <v>4</v>
      </c>
      <c r="L135" s="28">
        <v>4</v>
      </c>
      <c r="M135" s="25">
        <f t="shared" si="7"/>
        <v>0</v>
      </c>
      <c r="N135" s="28">
        <v>0</v>
      </c>
      <c r="O135" s="25">
        <f t="shared" si="8"/>
        <v>0</v>
      </c>
      <c r="P135" s="29"/>
      <c r="Q135" s="28">
        <v>0</v>
      </c>
      <c r="R135" s="15">
        <v>2599</v>
      </c>
      <c r="S135" s="15">
        <v>1293.46</v>
      </c>
      <c r="T135" s="25"/>
      <c r="U135" s="25"/>
      <c r="V135" s="4"/>
      <c r="W135" s="4"/>
      <c r="X135" s="1" t="s">
        <v>626</v>
      </c>
    </row>
    <row r="136" spans="1:24" s="1" customFormat="1" ht="10.9" hidden="1" customHeight="1" x14ac:dyDescent="0.2">
      <c r="A136" s="37" t="s">
        <v>506</v>
      </c>
      <c r="B136" s="4" t="s">
        <v>507</v>
      </c>
      <c r="C136" s="14" t="s">
        <v>508</v>
      </c>
      <c r="D136" s="14"/>
      <c r="E136" s="26" t="s">
        <v>33</v>
      </c>
      <c r="F136" s="14" t="s">
        <v>34</v>
      </c>
      <c r="G136" s="14" t="s">
        <v>35</v>
      </c>
      <c r="H136" s="14" t="s">
        <v>122</v>
      </c>
      <c r="I136" s="14" t="s">
        <v>37</v>
      </c>
      <c r="J136" s="27" t="s">
        <v>40</v>
      </c>
      <c r="K136" s="28">
        <v>3</v>
      </c>
      <c r="L136" s="28">
        <v>3</v>
      </c>
      <c r="M136" s="25">
        <f t="shared" si="7"/>
        <v>0</v>
      </c>
      <c r="N136" s="28">
        <v>0</v>
      </c>
      <c r="O136" s="25">
        <f t="shared" si="8"/>
        <v>0</v>
      </c>
      <c r="P136" s="29"/>
      <c r="Q136" s="28">
        <v>0</v>
      </c>
      <c r="R136" s="15">
        <v>3199</v>
      </c>
      <c r="S136" s="15">
        <v>1592.06</v>
      </c>
      <c r="T136" s="25"/>
      <c r="U136" s="25"/>
      <c r="V136" s="4"/>
      <c r="W136" s="4"/>
      <c r="X136" s="1" t="s">
        <v>626</v>
      </c>
    </row>
    <row r="137" spans="1:24" s="1" customFormat="1" ht="10.9" hidden="1" customHeight="1" x14ac:dyDescent="0.2">
      <c r="A137" s="37" t="s">
        <v>509</v>
      </c>
      <c r="B137" s="32" t="s">
        <v>510</v>
      </c>
      <c r="C137" s="33" t="s">
        <v>511</v>
      </c>
      <c r="D137" s="33"/>
      <c r="E137" s="34" t="s">
        <v>33</v>
      </c>
      <c r="F137" s="33" t="s">
        <v>34</v>
      </c>
      <c r="G137" s="33" t="s">
        <v>35</v>
      </c>
      <c r="H137" s="33" t="s">
        <v>122</v>
      </c>
      <c r="I137" s="33" t="s">
        <v>37</v>
      </c>
      <c r="J137" s="35" t="s">
        <v>40</v>
      </c>
      <c r="K137" s="36">
        <v>3</v>
      </c>
      <c r="L137" s="28">
        <v>3</v>
      </c>
      <c r="M137" s="25">
        <f t="shared" ref="M137:M167" si="9">K137-L137</f>
        <v>0</v>
      </c>
      <c r="N137" s="28">
        <v>0</v>
      </c>
      <c r="O137" s="25">
        <f t="shared" ref="O137:O167" si="10">N137*S137</f>
        <v>0</v>
      </c>
      <c r="P137" s="29"/>
      <c r="Q137" s="28">
        <v>0</v>
      </c>
      <c r="R137" s="15">
        <v>3399</v>
      </c>
      <c r="S137" s="15">
        <v>1691.6</v>
      </c>
      <c r="T137" s="25"/>
      <c r="U137" s="25"/>
      <c r="V137" s="4"/>
      <c r="W137" s="4"/>
      <c r="X137" s="1" t="s">
        <v>626</v>
      </c>
    </row>
    <row r="138" spans="1:24" s="1" customFormat="1" ht="10.9" hidden="1" customHeight="1" x14ac:dyDescent="0.2">
      <c r="A138" s="37" t="s">
        <v>513</v>
      </c>
      <c r="B138" s="4" t="s">
        <v>514</v>
      </c>
      <c r="C138" s="14" t="s">
        <v>515</v>
      </c>
      <c r="D138" s="14"/>
      <c r="E138" s="26" t="s">
        <v>33</v>
      </c>
      <c r="F138" s="14" t="s">
        <v>34</v>
      </c>
      <c r="G138" s="14" t="s">
        <v>35</v>
      </c>
      <c r="H138" s="14" t="s">
        <v>52</v>
      </c>
      <c r="I138" s="14" t="s">
        <v>37</v>
      </c>
      <c r="J138" s="27" t="s">
        <v>40</v>
      </c>
      <c r="K138" s="28">
        <v>3</v>
      </c>
      <c r="L138" s="28">
        <v>3</v>
      </c>
      <c r="M138" s="25">
        <f t="shared" si="9"/>
        <v>0</v>
      </c>
      <c r="N138" s="28">
        <v>0</v>
      </c>
      <c r="O138" s="25">
        <f t="shared" si="10"/>
        <v>0</v>
      </c>
      <c r="P138" s="29"/>
      <c r="Q138" s="28">
        <v>0</v>
      </c>
      <c r="R138" s="15">
        <v>2899</v>
      </c>
      <c r="S138" s="15">
        <v>1442.76</v>
      </c>
      <c r="T138" s="25"/>
      <c r="U138" s="25"/>
      <c r="V138" s="4"/>
      <c r="W138" s="4"/>
      <c r="X138" s="1" t="s">
        <v>626</v>
      </c>
    </row>
    <row r="139" spans="1:24" s="1" customFormat="1" ht="10.9" hidden="1" customHeight="1" x14ac:dyDescent="0.2">
      <c r="A139" s="37" t="s">
        <v>516</v>
      </c>
      <c r="B139" s="32" t="s">
        <v>517</v>
      </c>
      <c r="C139" s="33" t="s">
        <v>518</v>
      </c>
      <c r="D139" s="33"/>
      <c r="E139" s="34" t="s">
        <v>33</v>
      </c>
      <c r="F139" s="33" t="s">
        <v>34</v>
      </c>
      <c r="G139" s="33" t="s">
        <v>35</v>
      </c>
      <c r="H139" s="33" t="s">
        <v>163</v>
      </c>
      <c r="I139" s="33" t="s">
        <v>57</v>
      </c>
      <c r="J139" s="35" t="s">
        <v>40</v>
      </c>
      <c r="K139" s="36">
        <v>4</v>
      </c>
      <c r="L139" s="28">
        <v>4</v>
      </c>
      <c r="M139" s="25">
        <f t="shared" si="9"/>
        <v>0</v>
      </c>
      <c r="N139" s="28">
        <v>0</v>
      </c>
      <c r="O139" s="25">
        <f t="shared" si="10"/>
        <v>0</v>
      </c>
      <c r="P139" s="29"/>
      <c r="Q139" s="28">
        <v>0</v>
      </c>
      <c r="R139" s="15">
        <v>4299</v>
      </c>
      <c r="S139" s="15">
        <v>2139.5100000000002</v>
      </c>
      <c r="T139" s="25"/>
      <c r="U139" s="25"/>
      <c r="V139" s="4"/>
      <c r="W139" s="4"/>
      <c r="X139" s="1" t="s">
        <v>626</v>
      </c>
    </row>
    <row r="140" spans="1:24" s="1" customFormat="1" ht="10.9" hidden="1" customHeight="1" x14ac:dyDescent="0.2">
      <c r="A140" s="37" t="s">
        <v>519</v>
      </c>
      <c r="B140" s="32" t="s">
        <v>520</v>
      </c>
      <c r="C140" s="33" t="s">
        <v>518</v>
      </c>
      <c r="D140" s="33"/>
      <c r="E140" s="34" t="s">
        <v>33</v>
      </c>
      <c r="F140" s="33" t="s">
        <v>34</v>
      </c>
      <c r="G140" s="33" t="s">
        <v>35</v>
      </c>
      <c r="H140" s="33" t="s">
        <v>163</v>
      </c>
      <c r="I140" s="33" t="s">
        <v>65</v>
      </c>
      <c r="J140" s="35" t="s">
        <v>40</v>
      </c>
      <c r="K140" s="36">
        <v>2</v>
      </c>
      <c r="L140" s="28">
        <v>2</v>
      </c>
      <c r="M140" s="25">
        <f t="shared" si="9"/>
        <v>0</v>
      </c>
      <c r="N140" s="28">
        <v>0</v>
      </c>
      <c r="O140" s="25">
        <f t="shared" si="10"/>
        <v>0</v>
      </c>
      <c r="P140" s="29"/>
      <c r="Q140" s="28">
        <v>0</v>
      </c>
      <c r="R140" s="15">
        <v>4299</v>
      </c>
      <c r="S140" s="15">
        <v>2139.5100000000002</v>
      </c>
      <c r="T140" s="25"/>
      <c r="U140" s="25"/>
      <c r="V140" s="4"/>
      <c r="W140" s="4"/>
      <c r="X140" s="1" t="s">
        <v>626</v>
      </c>
    </row>
    <row r="141" spans="1:24" s="1" customFormat="1" ht="10.9" hidden="1" customHeight="1" x14ac:dyDescent="0.2">
      <c r="A141" s="37" t="s">
        <v>521</v>
      </c>
      <c r="B141" s="4" t="s">
        <v>522</v>
      </c>
      <c r="C141" s="14" t="s">
        <v>523</v>
      </c>
      <c r="D141" s="14"/>
      <c r="E141" s="26" t="s">
        <v>33</v>
      </c>
      <c r="F141" s="14" t="s">
        <v>34</v>
      </c>
      <c r="G141" s="14" t="s">
        <v>35</v>
      </c>
      <c r="H141" s="14" t="s">
        <v>163</v>
      </c>
      <c r="I141" s="14" t="s">
        <v>65</v>
      </c>
      <c r="J141" s="27" t="s">
        <v>40</v>
      </c>
      <c r="K141" s="28">
        <v>2</v>
      </c>
      <c r="L141" s="28">
        <v>2</v>
      </c>
      <c r="M141" s="25">
        <f t="shared" si="9"/>
        <v>0</v>
      </c>
      <c r="N141" s="28">
        <v>0</v>
      </c>
      <c r="O141" s="25">
        <f t="shared" si="10"/>
        <v>0</v>
      </c>
      <c r="P141" s="29"/>
      <c r="Q141" s="28">
        <v>0</v>
      </c>
      <c r="R141" s="15">
        <v>4299</v>
      </c>
      <c r="S141" s="15">
        <v>2139.5100000000002</v>
      </c>
      <c r="T141" s="25"/>
      <c r="U141" s="25"/>
      <c r="V141" s="4"/>
      <c r="W141" s="4"/>
      <c r="X141" s="1" t="s">
        <v>626</v>
      </c>
    </row>
    <row r="142" spans="1:24" s="1" customFormat="1" ht="10.9" hidden="1" customHeight="1" x14ac:dyDescent="0.2">
      <c r="A142" s="37" t="s">
        <v>524</v>
      </c>
      <c r="B142" s="4" t="s">
        <v>525</v>
      </c>
      <c r="C142" s="14" t="s">
        <v>523</v>
      </c>
      <c r="D142" s="14"/>
      <c r="E142" s="26" t="s">
        <v>33</v>
      </c>
      <c r="F142" s="14" t="s">
        <v>34</v>
      </c>
      <c r="G142" s="14" t="s">
        <v>35</v>
      </c>
      <c r="H142" s="14" t="s">
        <v>163</v>
      </c>
      <c r="I142" s="14" t="s">
        <v>57</v>
      </c>
      <c r="J142" s="27" t="s">
        <v>40</v>
      </c>
      <c r="K142" s="28">
        <v>4</v>
      </c>
      <c r="L142" s="28">
        <v>4</v>
      </c>
      <c r="M142" s="25">
        <f t="shared" si="9"/>
        <v>0</v>
      </c>
      <c r="N142" s="28">
        <v>0</v>
      </c>
      <c r="O142" s="25">
        <f t="shared" si="10"/>
        <v>0</v>
      </c>
      <c r="P142" s="29"/>
      <c r="Q142" s="28">
        <v>0</v>
      </c>
      <c r="R142" s="15">
        <v>4299</v>
      </c>
      <c r="S142" s="15">
        <v>2139.5100000000002</v>
      </c>
      <c r="T142" s="25"/>
      <c r="U142" s="25"/>
      <c r="V142" s="4"/>
      <c r="W142" s="4"/>
      <c r="X142" s="1" t="s">
        <v>626</v>
      </c>
    </row>
    <row r="143" spans="1:24" s="1" customFormat="1" ht="10.9" hidden="1" customHeight="1" x14ac:dyDescent="0.2">
      <c r="A143" s="37" t="s">
        <v>526</v>
      </c>
      <c r="B143" s="32" t="s">
        <v>527</v>
      </c>
      <c r="C143" s="33" t="s">
        <v>528</v>
      </c>
      <c r="D143" s="33"/>
      <c r="E143" s="34" t="s">
        <v>33</v>
      </c>
      <c r="F143" s="33" t="s">
        <v>34</v>
      </c>
      <c r="G143" s="33" t="s">
        <v>35</v>
      </c>
      <c r="H143" s="33" t="s">
        <v>115</v>
      </c>
      <c r="I143" s="33" t="s">
        <v>37</v>
      </c>
      <c r="J143" s="35" t="s">
        <v>493</v>
      </c>
      <c r="K143" s="36">
        <v>18</v>
      </c>
      <c r="L143" s="28">
        <v>18</v>
      </c>
      <c r="M143" s="25">
        <f t="shared" si="9"/>
        <v>0</v>
      </c>
      <c r="N143" s="28">
        <v>0</v>
      </c>
      <c r="O143" s="25">
        <f t="shared" si="10"/>
        <v>0</v>
      </c>
      <c r="P143" s="29"/>
      <c r="Q143" s="28">
        <v>0</v>
      </c>
      <c r="R143" s="15">
        <v>2899</v>
      </c>
      <c r="S143" s="15">
        <v>1442.76</v>
      </c>
      <c r="T143" s="25"/>
      <c r="U143" s="25"/>
      <c r="V143" s="4"/>
      <c r="W143" s="4"/>
      <c r="X143" s="1" t="s">
        <v>626</v>
      </c>
    </row>
    <row r="144" spans="1:24" s="1" customFormat="1" ht="10.9" hidden="1" customHeight="1" x14ac:dyDescent="0.2">
      <c r="A144" s="37" t="s">
        <v>529</v>
      </c>
      <c r="B144" s="4" t="s">
        <v>530</v>
      </c>
      <c r="C144" s="14" t="s">
        <v>531</v>
      </c>
      <c r="D144" s="14"/>
      <c r="E144" s="26" t="s">
        <v>33</v>
      </c>
      <c r="F144" s="14" t="s">
        <v>34</v>
      </c>
      <c r="G144" s="14" t="s">
        <v>35</v>
      </c>
      <c r="H144" s="14" t="s">
        <v>163</v>
      </c>
      <c r="I144" s="14" t="s">
        <v>37</v>
      </c>
      <c r="J144" s="27" t="s">
        <v>40</v>
      </c>
      <c r="K144" s="28">
        <v>3</v>
      </c>
      <c r="L144" s="28">
        <v>3</v>
      </c>
      <c r="M144" s="25">
        <f t="shared" si="9"/>
        <v>0</v>
      </c>
      <c r="N144" s="28">
        <v>0</v>
      </c>
      <c r="O144" s="25">
        <f t="shared" si="10"/>
        <v>0</v>
      </c>
      <c r="P144" s="29"/>
      <c r="Q144" s="28">
        <v>0</v>
      </c>
      <c r="R144" s="15">
        <v>3199</v>
      </c>
      <c r="S144" s="15">
        <v>1592.06</v>
      </c>
      <c r="T144" s="25"/>
      <c r="U144" s="25"/>
      <c r="V144" s="4"/>
      <c r="W144" s="4"/>
      <c r="X144" s="1" t="s">
        <v>626</v>
      </c>
    </row>
    <row r="145" spans="1:24" s="1" customFormat="1" ht="10.9" hidden="1" customHeight="1" x14ac:dyDescent="0.2">
      <c r="A145" s="37" t="s">
        <v>532</v>
      </c>
      <c r="B145" s="32" t="s">
        <v>533</v>
      </c>
      <c r="C145" s="33" t="s">
        <v>534</v>
      </c>
      <c r="D145" s="33"/>
      <c r="E145" s="34" t="s">
        <v>33</v>
      </c>
      <c r="F145" s="33" t="s">
        <v>34</v>
      </c>
      <c r="G145" s="33" t="s">
        <v>35</v>
      </c>
      <c r="H145" s="33" t="s">
        <v>36</v>
      </c>
      <c r="I145" s="33" t="s">
        <v>65</v>
      </c>
      <c r="J145" s="35" t="s">
        <v>40</v>
      </c>
      <c r="K145" s="36">
        <v>1</v>
      </c>
      <c r="L145" s="28">
        <v>1</v>
      </c>
      <c r="M145" s="25">
        <f t="shared" si="9"/>
        <v>0</v>
      </c>
      <c r="N145" s="28">
        <v>0</v>
      </c>
      <c r="O145" s="25">
        <f t="shared" si="10"/>
        <v>0</v>
      </c>
      <c r="P145" s="29"/>
      <c r="Q145" s="28">
        <v>0</v>
      </c>
      <c r="R145" s="15">
        <v>3799</v>
      </c>
      <c r="S145" s="15">
        <v>1890.67</v>
      </c>
      <c r="T145" s="25"/>
      <c r="U145" s="25"/>
      <c r="V145" s="4"/>
      <c r="W145" s="4"/>
      <c r="X145" s="1" t="s">
        <v>626</v>
      </c>
    </row>
    <row r="146" spans="1:24" s="1" customFormat="1" ht="10.9" hidden="1" customHeight="1" x14ac:dyDescent="0.2">
      <c r="A146" s="37" t="s">
        <v>536</v>
      </c>
      <c r="B146" s="32" t="s">
        <v>537</v>
      </c>
      <c r="C146" s="33" t="s">
        <v>534</v>
      </c>
      <c r="D146" s="33"/>
      <c r="E146" s="34" t="s">
        <v>33</v>
      </c>
      <c r="F146" s="33" t="s">
        <v>34</v>
      </c>
      <c r="G146" s="33" t="s">
        <v>35</v>
      </c>
      <c r="H146" s="33" t="s">
        <v>36</v>
      </c>
      <c r="I146" s="33" t="s">
        <v>57</v>
      </c>
      <c r="J146" s="35" t="s">
        <v>40</v>
      </c>
      <c r="K146" s="36">
        <v>2</v>
      </c>
      <c r="L146" s="28">
        <v>2</v>
      </c>
      <c r="M146" s="25">
        <f t="shared" si="9"/>
        <v>0</v>
      </c>
      <c r="N146" s="28">
        <v>0</v>
      </c>
      <c r="O146" s="25">
        <f t="shared" si="10"/>
        <v>0</v>
      </c>
      <c r="P146" s="29"/>
      <c r="Q146" s="28">
        <v>0</v>
      </c>
      <c r="R146" s="15">
        <v>3799</v>
      </c>
      <c r="S146" s="15">
        <v>1890.67</v>
      </c>
      <c r="T146" s="25"/>
      <c r="U146" s="25"/>
      <c r="V146" s="4"/>
      <c r="W146" s="4"/>
      <c r="X146" s="1" t="s">
        <v>626</v>
      </c>
    </row>
    <row r="147" spans="1:24" s="1" customFormat="1" ht="10.9" hidden="1" customHeight="1" x14ac:dyDescent="0.2">
      <c r="A147" s="37" t="s">
        <v>538</v>
      </c>
      <c r="B147" s="4" t="s">
        <v>539</v>
      </c>
      <c r="C147" s="14" t="s">
        <v>540</v>
      </c>
      <c r="D147" s="14"/>
      <c r="E147" s="26" t="s">
        <v>33</v>
      </c>
      <c r="F147" s="14" t="s">
        <v>34</v>
      </c>
      <c r="G147" s="14" t="s">
        <v>35</v>
      </c>
      <c r="H147" s="14" t="s">
        <v>36</v>
      </c>
      <c r="I147" s="14" t="s">
        <v>65</v>
      </c>
      <c r="J147" s="27" t="s">
        <v>40</v>
      </c>
      <c r="K147" s="28">
        <v>3</v>
      </c>
      <c r="L147" s="28">
        <v>3</v>
      </c>
      <c r="M147" s="25">
        <f t="shared" si="9"/>
        <v>0</v>
      </c>
      <c r="N147" s="28">
        <v>0</v>
      </c>
      <c r="O147" s="25">
        <f t="shared" si="10"/>
        <v>0</v>
      </c>
      <c r="P147" s="29"/>
      <c r="Q147" s="28">
        <v>0</v>
      </c>
      <c r="R147" s="15">
        <v>3799</v>
      </c>
      <c r="S147" s="15">
        <v>1890.67</v>
      </c>
      <c r="T147" s="25"/>
      <c r="U147" s="25"/>
      <c r="V147" s="4"/>
      <c r="W147" s="4"/>
      <c r="X147" s="1" t="s">
        <v>626</v>
      </c>
    </row>
    <row r="148" spans="1:24" s="1" customFormat="1" ht="10.9" hidden="1" customHeight="1" x14ac:dyDescent="0.2">
      <c r="A148" s="37" t="s">
        <v>541</v>
      </c>
      <c r="B148" s="4" t="s">
        <v>542</v>
      </c>
      <c r="C148" s="14" t="s">
        <v>540</v>
      </c>
      <c r="D148" s="14"/>
      <c r="E148" s="26" t="s">
        <v>33</v>
      </c>
      <c r="F148" s="14" t="s">
        <v>34</v>
      </c>
      <c r="G148" s="14" t="s">
        <v>35</v>
      </c>
      <c r="H148" s="14" t="s">
        <v>36</v>
      </c>
      <c r="I148" s="14" t="s">
        <v>57</v>
      </c>
      <c r="J148" s="27" t="s">
        <v>40</v>
      </c>
      <c r="K148" s="28">
        <v>6</v>
      </c>
      <c r="L148" s="28">
        <v>6</v>
      </c>
      <c r="M148" s="25">
        <f t="shared" si="9"/>
        <v>0</v>
      </c>
      <c r="N148" s="28">
        <v>0</v>
      </c>
      <c r="O148" s="25">
        <f t="shared" si="10"/>
        <v>0</v>
      </c>
      <c r="P148" s="29"/>
      <c r="Q148" s="28">
        <v>0</v>
      </c>
      <c r="R148" s="15">
        <v>3799</v>
      </c>
      <c r="S148" s="15">
        <v>1890.67</v>
      </c>
      <c r="T148" s="25"/>
      <c r="U148" s="25"/>
      <c r="V148" s="4"/>
      <c r="W148" s="4"/>
      <c r="X148" s="1" t="s">
        <v>626</v>
      </c>
    </row>
    <row r="149" spans="1:24" s="1" customFormat="1" ht="10.9" hidden="1" customHeight="1" x14ac:dyDescent="0.2">
      <c r="A149" s="37" t="s">
        <v>543</v>
      </c>
      <c r="B149" s="32" t="s">
        <v>544</v>
      </c>
      <c r="C149" s="33" t="s">
        <v>545</v>
      </c>
      <c r="D149" s="33"/>
      <c r="E149" s="34" t="s">
        <v>33</v>
      </c>
      <c r="F149" s="33" t="s">
        <v>34</v>
      </c>
      <c r="G149" s="33" t="s">
        <v>35</v>
      </c>
      <c r="H149" s="33" t="s">
        <v>173</v>
      </c>
      <c r="I149" s="33" t="s">
        <v>57</v>
      </c>
      <c r="J149" s="35" t="s">
        <v>40</v>
      </c>
      <c r="K149" s="36">
        <v>4</v>
      </c>
      <c r="L149" s="28">
        <v>4</v>
      </c>
      <c r="M149" s="25">
        <f t="shared" si="9"/>
        <v>0</v>
      </c>
      <c r="N149" s="28">
        <v>0</v>
      </c>
      <c r="O149" s="25">
        <f t="shared" si="10"/>
        <v>0</v>
      </c>
      <c r="P149" s="29"/>
      <c r="Q149" s="28">
        <v>0</v>
      </c>
      <c r="R149" s="15">
        <v>3799</v>
      </c>
      <c r="S149" s="15">
        <v>1890.67</v>
      </c>
      <c r="T149" s="25"/>
      <c r="U149" s="25"/>
      <c r="V149" s="4"/>
      <c r="W149" s="4"/>
      <c r="X149" s="1" t="s">
        <v>626</v>
      </c>
    </row>
    <row r="150" spans="1:24" s="1" customFormat="1" ht="10.9" hidden="1" customHeight="1" x14ac:dyDescent="0.2">
      <c r="A150" s="37" t="s">
        <v>546</v>
      </c>
      <c r="B150" s="32" t="s">
        <v>547</v>
      </c>
      <c r="C150" s="33" t="s">
        <v>545</v>
      </c>
      <c r="D150" s="33"/>
      <c r="E150" s="34" t="s">
        <v>33</v>
      </c>
      <c r="F150" s="33" t="s">
        <v>34</v>
      </c>
      <c r="G150" s="33" t="s">
        <v>35</v>
      </c>
      <c r="H150" s="33" t="s">
        <v>173</v>
      </c>
      <c r="I150" s="33" t="s">
        <v>65</v>
      </c>
      <c r="J150" s="35" t="s">
        <v>40</v>
      </c>
      <c r="K150" s="36">
        <v>2</v>
      </c>
      <c r="L150" s="28">
        <v>2</v>
      </c>
      <c r="M150" s="25">
        <f t="shared" si="9"/>
        <v>0</v>
      </c>
      <c r="N150" s="28">
        <v>0</v>
      </c>
      <c r="O150" s="25">
        <f t="shared" si="10"/>
        <v>0</v>
      </c>
      <c r="P150" s="29"/>
      <c r="Q150" s="28">
        <v>0</v>
      </c>
      <c r="R150" s="15">
        <v>3799</v>
      </c>
      <c r="S150" s="15">
        <v>1890.67</v>
      </c>
      <c r="T150" s="25"/>
      <c r="U150" s="25"/>
      <c r="V150" s="4"/>
      <c r="W150" s="4"/>
      <c r="X150" s="1" t="s">
        <v>626</v>
      </c>
    </row>
    <row r="151" spans="1:24" s="1" customFormat="1" ht="10.9" hidden="1" customHeight="1" x14ac:dyDescent="0.2">
      <c r="A151" s="37" t="s">
        <v>548</v>
      </c>
      <c r="B151" s="4" t="s">
        <v>549</v>
      </c>
      <c r="C151" s="14" t="s">
        <v>550</v>
      </c>
      <c r="D151" s="14"/>
      <c r="E151" s="26" t="s">
        <v>33</v>
      </c>
      <c r="F151" s="14" t="s">
        <v>34</v>
      </c>
      <c r="G151" s="14" t="s">
        <v>35</v>
      </c>
      <c r="H151" s="14" t="s">
        <v>177</v>
      </c>
      <c r="I151" s="14" t="s">
        <v>65</v>
      </c>
      <c r="J151" s="27" t="s">
        <v>40</v>
      </c>
      <c r="K151" s="28">
        <v>1</v>
      </c>
      <c r="L151" s="28">
        <v>1</v>
      </c>
      <c r="M151" s="25">
        <f t="shared" si="9"/>
        <v>0</v>
      </c>
      <c r="N151" s="28">
        <v>0</v>
      </c>
      <c r="O151" s="25">
        <f t="shared" si="10"/>
        <v>0</v>
      </c>
      <c r="P151" s="29"/>
      <c r="Q151" s="28">
        <v>0</v>
      </c>
      <c r="R151" s="15">
        <v>3799</v>
      </c>
      <c r="S151" s="15">
        <v>1890.67</v>
      </c>
      <c r="T151" s="25"/>
      <c r="U151" s="25"/>
      <c r="V151" s="4"/>
      <c r="W151" s="4"/>
      <c r="X151" s="1" t="s">
        <v>626</v>
      </c>
    </row>
    <row r="152" spans="1:24" s="1" customFormat="1" ht="10.9" hidden="1" customHeight="1" x14ac:dyDescent="0.2">
      <c r="A152" s="37" t="s">
        <v>551</v>
      </c>
      <c r="B152" s="4" t="s">
        <v>552</v>
      </c>
      <c r="C152" s="14" t="s">
        <v>550</v>
      </c>
      <c r="D152" s="14"/>
      <c r="E152" s="26" t="s">
        <v>33</v>
      </c>
      <c r="F152" s="14" t="s">
        <v>34</v>
      </c>
      <c r="G152" s="14" t="s">
        <v>35</v>
      </c>
      <c r="H152" s="14" t="s">
        <v>177</v>
      </c>
      <c r="I152" s="14" t="s">
        <v>57</v>
      </c>
      <c r="J152" s="27" t="s">
        <v>40</v>
      </c>
      <c r="K152" s="28">
        <v>2</v>
      </c>
      <c r="L152" s="28">
        <v>2</v>
      </c>
      <c r="M152" s="25">
        <f t="shared" si="9"/>
        <v>0</v>
      </c>
      <c r="N152" s="28">
        <v>0</v>
      </c>
      <c r="O152" s="25">
        <f t="shared" si="10"/>
        <v>0</v>
      </c>
      <c r="P152" s="29"/>
      <c r="Q152" s="28">
        <v>0</v>
      </c>
      <c r="R152" s="15">
        <v>3799</v>
      </c>
      <c r="S152" s="15">
        <v>1890.67</v>
      </c>
      <c r="T152" s="25"/>
      <c r="U152" s="25"/>
      <c r="V152" s="4"/>
      <c r="W152" s="4"/>
      <c r="X152" s="1" t="s">
        <v>626</v>
      </c>
    </row>
    <row r="153" spans="1:24" s="1" customFormat="1" ht="10.9" hidden="1" customHeight="1" x14ac:dyDescent="0.2">
      <c r="A153" s="37" t="s">
        <v>553</v>
      </c>
      <c r="B153" s="32" t="s">
        <v>554</v>
      </c>
      <c r="C153" s="33" t="s">
        <v>555</v>
      </c>
      <c r="D153" s="33"/>
      <c r="E153" s="34" t="s">
        <v>33</v>
      </c>
      <c r="F153" s="33" t="s">
        <v>34</v>
      </c>
      <c r="G153" s="33" t="s">
        <v>35</v>
      </c>
      <c r="H153" s="33" t="s">
        <v>52</v>
      </c>
      <c r="I153" s="33" t="s">
        <v>57</v>
      </c>
      <c r="J153" s="35" t="s">
        <v>40</v>
      </c>
      <c r="K153" s="36">
        <v>4</v>
      </c>
      <c r="L153" s="28">
        <v>4</v>
      </c>
      <c r="M153" s="25">
        <f t="shared" si="9"/>
        <v>0</v>
      </c>
      <c r="N153" s="28">
        <v>0</v>
      </c>
      <c r="O153" s="25">
        <f t="shared" si="10"/>
        <v>0</v>
      </c>
      <c r="P153" s="29"/>
      <c r="Q153" s="28">
        <v>0</v>
      </c>
      <c r="R153" s="15">
        <v>3799</v>
      </c>
      <c r="S153" s="15">
        <v>1890.67</v>
      </c>
      <c r="T153" s="25"/>
      <c r="U153" s="25"/>
      <c r="V153" s="4"/>
      <c r="W153" s="4"/>
      <c r="X153" s="1" t="s">
        <v>626</v>
      </c>
    </row>
    <row r="154" spans="1:24" s="1" customFormat="1" ht="10.9" hidden="1" customHeight="1" x14ac:dyDescent="0.2">
      <c r="A154" s="37" t="s">
        <v>556</v>
      </c>
      <c r="B154" s="32" t="s">
        <v>557</v>
      </c>
      <c r="C154" s="33" t="s">
        <v>555</v>
      </c>
      <c r="D154" s="33"/>
      <c r="E154" s="34" t="s">
        <v>33</v>
      </c>
      <c r="F154" s="33" t="s">
        <v>34</v>
      </c>
      <c r="G154" s="33" t="s">
        <v>35</v>
      </c>
      <c r="H154" s="33" t="s">
        <v>52</v>
      </c>
      <c r="I154" s="33" t="s">
        <v>65</v>
      </c>
      <c r="J154" s="35" t="s">
        <v>40</v>
      </c>
      <c r="K154" s="36">
        <v>2</v>
      </c>
      <c r="L154" s="28">
        <v>2</v>
      </c>
      <c r="M154" s="25">
        <f t="shared" si="9"/>
        <v>0</v>
      </c>
      <c r="N154" s="28">
        <v>0</v>
      </c>
      <c r="O154" s="25">
        <f t="shared" si="10"/>
        <v>0</v>
      </c>
      <c r="P154" s="29"/>
      <c r="Q154" s="28">
        <v>0</v>
      </c>
      <c r="R154" s="15">
        <v>3799</v>
      </c>
      <c r="S154" s="15">
        <v>1890.67</v>
      </c>
      <c r="T154" s="25"/>
      <c r="U154" s="25"/>
      <c r="V154" s="4"/>
      <c r="W154" s="4"/>
      <c r="X154" s="1" t="s">
        <v>626</v>
      </c>
    </row>
    <row r="155" spans="1:24" s="1" customFormat="1" ht="10.9" hidden="1" customHeight="1" x14ac:dyDescent="0.2">
      <c r="A155" s="37" t="s">
        <v>558</v>
      </c>
      <c r="B155" s="4" t="s">
        <v>559</v>
      </c>
      <c r="C155" s="14" t="s">
        <v>560</v>
      </c>
      <c r="D155" s="14"/>
      <c r="E155" s="26" t="s">
        <v>33</v>
      </c>
      <c r="F155" s="14" t="s">
        <v>34</v>
      </c>
      <c r="G155" s="14" t="s">
        <v>35</v>
      </c>
      <c r="H155" s="14" t="s">
        <v>52</v>
      </c>
      <c r="I155" s="14" t="s">
        <v>57</v>
      </c>
      <c r="J155" s="27" t="s">
        <v>40</v>
      </c>
      <c r="K155" s="28">
        <v>6</v>
      </c>
      <c r="L155" s="28">
        <v>6</v>
      </c>
      <c r="M155" s="25">
        <f t="shared" si="9"/>
        <v>0</v>
      </c>
      <c r="N155" s="28">
        <v>0</v>
      </c>
      <c r="O155" s="25">
        <f t="shared" si="10"/>
        <v>0</v>
      </c>
      <c r="P155" s="29"/>
      <c r="Q155" s="28">
        <v>0</v>
      </c>
      <c r="R155" s="15">
        <v>3799</v>
      </c>
      <c r="S155" s="15">
        <v>1890.67</v>
      </c>
      <c r="T155" s="25"/>
      <c r="U155" s="25"/>
      <c r="V155" s="4"/>
      <c r="W155" s="4"/>
      <c r="X155" s="1" t="s">
        <v>626</v>
      </c>
    </row>
    <row r="156" spans="1:24" s="1" customFormat="1" ht="10.9" hidden="1" customHeight="1" x14ac:dyDescent="0.2">
      <c r="A156" s="37" t="s">
        <v>561</v>
      </c>
      <c r="B156" s="4" t="s">
        <v>562</v>
      </c>
      <c r="C156" s="14" t="s">
        <v>560</v>
      </c>
      <c r="D156" s="14"/>
      <c r="E156" s="26" t="s">
        <v>33</v>
      </c>
      <c r="F156" s="14" t="s">
        <v>34</v>
      </c>
      <c r="G156" s="14" t="s">
        <v>35</v>
      </c>
      <c r="H156" s="14" t="s">
        <v>52</v>
      </c>
      <c r="I156" s="14" t="s">
        <v>65</v>
      </c>
      <c r="J156" s="27" t="s">
        <v>40</v>
      </c>
      <c r="K156" s="28">
        <v>3</v>
      </c>
      <c r="L156" s="28">
        <v>3</v>
      </c>
      <c r="M156" s="25">
        <f t="shared" si="9"/>
        <v>0</v>
      </c>
      <c r="N156" s="28">
        <v>0</v>
      </c>
      <c r="O156" s="25">
        <f t="shared" si="10"/>
        <v>0</v>
      </c>
      <c r="P156" s="29"/>
      <c r="Q156" s="28">
        <v>0</v>
      </c>
      <c r="R156" s="15">
        <v>3799</v>
      </c>
      <c r="S156" s="15">
        <v>1890.67</v>
      </c>
      <c r="T156" s="25"/>
      <c r="U156" s="25"/>
      <c r="V156" s="4"/>
      <c r="W156" s="4"/>
      <c r="X156" s="1" t="s">
        <v>626</v>
      </c>
    </row>
    <row r="157" spans="1:24" s="1" customFormat="1" ht="10.9" hidden="1" customHeight="1" x14ac:dyDescent="0.2">
      <c r="A157" s="37" t="s">
        <v>563</v>
      </c>
      <c r="B157" s="32" t="s">
        <v>564</v>
      </c>
      <c r="C157" s="33" t="s">
        <v>565</v>
      </c>
      <c r="D157" s="33"/>
      <c r="E157" s="34" t="s">
        <v>33</v>
      </c>
      <c r="F157" s="33" t="s">
        <v>34</v>
      </c>
      <c r="G157" s="33" t="s">
        <v>35</v>
      </c>
      <c r="H157" s="33" t="s">
        <v>52</v>
      </c>
      <c r="I157" s="33" t="s">
        <v>65</v>
      </c>
      <c r="J157" s="35" t="s">
        <v>40</v>
      </c>
      <c r="K157" s="36">
        <v>6</v>
      </c>
      <c r="L157" s="28">
        <v>6</v>
      </c>
      <c r="M157" s="25">
        <f t="shared" si="9"/>
        <v>0</v>
      </c>
      <c r="N157" s="28">
        <v>0</v>
      </c>
      <c r="O157" s="25">
        <f t="shared" si="10"/>
        <v>0</v>
      </c>
      <c r="P157" s="29"/>
      <c r="Q157" s="28">
        <v>0</v>
      </c>
      <c r="R157" s="15">
        <v>3799</v>
      </c>
      <c r="S157" s="15">
        <v>1890.67</v>
      </c>
      <c r="T157" s="25"/>
      <c r="U157" s="25"/>
      <c r="V157" s="4"/>
      <c r="W157" s="4"/>
      <c r="X157" s="1" t="s">
        <v>626</v>
      </c>
    </row>
    <row r="158" spans="1:24" s="1" customFormat="1" ht="10.9" hidden="1" customHeight="1" x14ac:dyDescent="0.2">
      <c r="A158" s="37" t="s">
        <v>566</v>
      </c>
      <c r="B158" s="32" t="s">
        <v>567</v>
      </c>
      <c r="C158" s="33" t="s">
        <v>565</v>
      </c>
      <c r="D158" s="33"/>
      <c r="E158" s="34" t="s">
        <v>33</v>
      </c>
      <c r="F158" s="33" t="s">
        <v>34</v>
      </c>
      <c r="G158" s="33" t="s">
        <v>35</v>
      </c>
      <c r="H158" s="33" t="s">
        <v>52</v>
      </c>
      <c r="I158" s="33" t="s">
        <v>57</v>
      </c>
      <c r="J158" s="35" t="s">
        <v>40</v>
      </c>
      <c r="K158" s="36">
        <v>12</v>
      </c>
      <c r="L158" s="28">
        <v>12</v>
      </c>
      <c r="M158" s="25">
        <f t="shared" si="9"/>
        <v>0</v>
      </c>
      <c r="N158" s="28">
        <v>0</v>
      </c>
      <c r="O158" s="25">
        <f t="shared" si="10"/>
        <v>0</v>
      </c>
      <c r="P158" s="29"/>
      <c r="Q158" s="28">
        <v>0</v>
      </c>
      <c r="R158" s="15">
        <v>3799</v>
      </c>
      <c r="S158" s="15">
        <v>1890.67</v>
      </c>
      <c r="T158" s="25"/>
      <c r="U158" s="25"/>
      <c r="V158" s="4"/>
      <c r="W158" s="4"/>
      <c r="X158" s="1" t="s">
        <v>626</v>
      </c>
    </row>
    <row r="159" spans="1:24" s="1" customFormat="1" ht="10.9" hidden="1" customHeight="1" x14ac:dyDescent="0.2">
      <c r="A159" s="25" t="s">
        <v>571</v>
      </c>
      <c r="B159" s="4" t="s">
        <v>572</v>
      </c>
      <c r="C159" s="14" t="s">
        <v>573</v>
      </c>
      <c r="D159" s="14"/>
      <c r="E159" s="26" t="s">
        <v>33</v>
      </c>
      <c r="F159" s="14" t="s">
        <v>34</v>
      </c>
      <c r="G159" s="14" t="s">
        <v>35</v>
      </c>
      <c r="H159" s="14" t="s">
        <v>115</v>
      </c>
      <c r="I159" s="14" t="s">
        <v>37</v>
      </c>
      <c r="J159" s="27" t="s">
        <v>107</v>
      </c>
      <c r="K159" s="28">
        <v>4</v>
      </c>
      <c r="L159" s="28">
        <v>4</v>
      </c>
      <c r="M159" s="25">
        <f t="shared" si="9"/>
        <v>0</v>
      </c>
      <c r="N159" s="28">
        <v>0</v>
      </c>
      <c r="O159" s="25">
        <f t="shared" si="10"/>
        <v>0</v>
      </c>
      <c r="P159" s="29"/>
      <c r="Q159" s="28">
        <v>0</v>
      </c>
      <c r="R159" s="15">
        <v>3399</v>
      </c>
      <c r="S159" s="15">
        <v>1691.6</v>
      </c>
      <c r="T159" s="30">
        <v>3.5799999999999998E-3</v>
      </c>
      <c r="U159" s="30">
        <v>8.4000000000000005E-2</v>
      </c>
      <c r="V159" s="4"/>
      <c r="W159" s="4" t="s">
        <v>575</v>
      </c>
      <c r="X159" s="1" t="s">
        <v>626</v>
      </c>
    </row>
    <row r="160" spans="1:24" s="1" customFormat="1" ht="10.9" hidden="1" customHeight="1" x14ac:dyDescent="0.2">
      <c r="A160" s="31" t="s">
        <v>576</v>
      </c>
      <c r="B160" s="32" t="s">
        <v>577</v>
      </c>
      <c r="C160" s="33" t="s">
        <v>578</v>
      </c>
      <c r="D160" s="33"/>
      <c r="E160" s="34" t="s">
        <v>33</v>
      </c>
      <c r="F160" s="33" t="s">
        <v>34</v>
      </c>
      <c r="G160" s="33" t="s">
        <v>35</v>
      </c>
      <c r="H160" s="33" t="s">
        <v>115</v>
      </c>
      <c r="I160" s="33" t="s">
        <v>37</v>
      </c>
      <c r="J160" s="35" t="s">
        <v>40</v>
      </c>
      <c r="K160" s="36">
        <v>8</v>
      </c>
      <c r="L160" s="28">
        <v>8</v>
      </c>
      <c r="M160" s="25">
        <f t="shared" si="9"/>
        <v>0</v>
      </c>
      <c r="N160" s="28">
        <v>0</v>
      </c>
      <c r="O160" s="25">
        <f t="shared" si="10"/>
        <v>0</v>
      </c>
      <c r="P160" s="29"/>
      <c r="Q160" s="28">
        <v>0</v>
      </c>
      <c r="R160" s="15">
        <v>3199</v>
      </c>
      <c r="S160" s="15">
        <v>1592.06</v>
      </c>
      <c r="T160" s="30">
        <v>5.5199999999999997E-3</v>
      </c>
      <c r="U160" s="30">
        <v>0.08</v>
      </c>
      <c r="V160" s="4"/>
      <c r="W160" s="4" t="s">
        <v>580</v>
      </c>
      <c r="X160" s="1" t="s">
        <v>626</v>
      </c>
    </row>
    <row r="161" spans="1:24" s="1" customFormat="1" ht="10.9" hidden="1" customHeight="1" x14ac:dyDescent="0.2">
      <c r="A161" s="25" t="s">
        <v>581</v>
      </c>
      <c r="B161" s="4" t="s">
        <v>582</v>
      </c>
      <c r="C161" s="14" t="s">
        <v>583</v>
      </c>
      <c r="D161" s="14"/>
      <c r="E161" s="26" t="s">
        <v>33</v>
      </c>
      <c r="F161" s="14" t="s">
        <v>34</v>
      </c>
      <c r="G161" s="14" t="s">
        <v>35</v>
      </c>
      <c r="H161" s="14" t="s">
        <v>163</v>
      </c>
      <c r="I161" s="14" t="s">
        <v>37</v>
      </c>
      <c r="J161" s="27" t="s">
        <v>40</v>
      </c>
      <c r="K161" s="28">
        <v>8</v>
      </c>
      <c r="L161" s="28">
        <v>8</v>
      </c>
      <c r="M161" s="25">
        <f t="shared" si="9"/>
        <v>0</v>
      </c>
      <c r="N161" s="28">
        <v>0</v>
      </c>
      <c r="O161" s="25">
        <f t="shared" si="10"/>
        <v>0</v>
      </c>
      <c r="P161" s="29"/>
      <c r="Q161" s="28">
        <v>0</v>
      </c>
      <c r="R161" s="15">
        <v>2899</v>
      </c>
      <c r="S161" s="15">
        <v>1442.76</v>
      </c>
      <c r="T161" s="30">
        <v>3.79E-3</v>
      </c>
      <c r="U161" s="30">
        <v>0.10199999999999999</v>
      </c>
      <c r="V161" s="4"/>
      <c r="W161" s="4" t="s">
        <v>584</v>
      </c>
      <c r="X161" s="1" t="s">
        <v>626</v>
      </c>
    </row>
    <row r="162" spans="1:24" s="1" customFormat="1" ht="10.9" hidden="1" customHeight="1" x14ac:dyDescent="0.2">
      <c r="A162" s="31" t="s">
        <v>585</v>
      </c>
      <c r="B162" s="32" t="s">
        <v>586</v>
      </c>
      <c r="C162" s="33" t="s">
        <v>587</v>
      </c>
      <c r="D162" s="33"/>
      <c r="E162" s="34" t="s">
        <v>33</v>
      </c>
      <c r="F162" s="33" t="s">
        <v>34</v>
      </c>
      <c r="G162" s="33" t="s">
        <v>35</v>
      </c>
      <c r="H162" s="33" t="s">
        <v>163</v>
      </c>
      <c r="I162" s="33" t="s">
        <v>37</v>
      </c>
      <c r="J162" s="35" t="s">
        <v>58</v>
      </c>
      <c r="K162" s="36">
        <v>6</v>
      </c>
      <c r="L162" s="28">
        <v>6</v>
      </c>
      <c r="M162" s="25">
        <f t="shared" si="9"/>
        <v>0</v>
      </c>
      <c r="N162" s="28">
        <v>0</v>
      </c>
      <c r="O162" s="25">
        <f t="shared" si="10"/>
        <v>0</v>
      </c>
      <c r="P162" s="29"/>
      <c r="Q162" s="28">
        <v>0</v>
      </c>
      <c r="R162" s="15">
        <v>2899</v>
      </c>
      <c r="S162" s="15">
        <v>1442.76</v>
      </c>
      <c r="T162" s="30">
        <v>4.0299999999999997E-3</v>
      </c>
      <c r="U162" s="30">
        <v>0.1</v>
      </c>
      <c r="V162" s="4"/>
      <c r="W162" s="4" t="s">
        <v>588</v>
      </c>
      <c r="X162" s="1" t="s">
        <v>626</v>
      </c>
    </row>
    <row r="163" spans="1:24" s="1" customFormat="1" ht="10.9" hidden="1" customHeight="1" x14ac:dyDescent="0.2">
      <c r="A163" s="25" t="s">
        <v>589</v>
      </c>
      <c r="B163" s="4" t="s">
        <v>590</v>
      </c>
      <c r="C163" s="14" t="s">
        <v>591</v>
      </c>
      <c r="D163" s="14"/>
      <c r="E163" s="26" t="s">
        <v>33</v>
      </c>
      <c r="F163" s="14" t="s">
        <v>34</v>
      </c>
      <c r="G163" s="14" t="s">
        <v>35</v>
      </c>
      <c r="H163" s="14" t="s">
        <v>177</v>
      </c>
      <c r="I163" s="14" t="s">
        <v>37</v>
      </c>
      <c r="J163" s="27" t="s">
        <v>40</v>
      </c>
      <c r="K163" s="28">
        <v>5</v>
      </c>
      <c r="L163" s="28">
        <v>5</v>
      </c>
      <c r="M163" s="25">
        <f t="shared" si="9"/>
        <v>0</v>
      </c>
      <c r="N163" s="28">
        <v>0</v>
      </c>
      <c r="O163" s="25">
        <f t="shared" si="10"/>
        <v>0</v>
      </c>
      <c r="P163" s="29"/>
      <c r="Q163" s="28">
        <v>0</v>
      </c>
      <c r="R163" s="15">
        <v>2599</v>
      </c>
      <c r="S163" s="15">
        <v>1293.46</v>
      </c>
      <c r="T163" s="30">
        <v>3.9899999999999996E-3</v>
      </c>
      <c r="U163" s="30">
        <v>0.09</v>
      </c>
      <c r="V163" s="4"/>
      <c r="W163" s="4" t="s">
        <v>592</v>
      </c>
      <c r="X163" s="1" t="s">
        <v>626</v>
      </c>
    </row>
    <row r="164" spans="1:24" s="1" customFormat="1" ht="10.9" hidden="1" customHeight="1" x14ac:dyDescent="0.2">
      <c r="A164" s="31" t="s">
        <v>593</v>
      </c>
      <c r="B164" s="32" t="s">
        <v>594</v>
      </c>
      <c r="C164" s="33" t="s">
        <v>595</v>
      </c>
      <c r="D164" s="33"/>
      <c r="E164" s="34" t="s">
        <v>33</v>
      </c>
      <c r="F164" s="33" t="s">
        <v>34</v>
      </c>
      <c r="G164" s="33" t="s">
        <v>35</v>
      </c>
      <c r="H164" s="33" t="s">
        <v>163</v>
      </c>
      <c r="I164" s="33" t="s">
        <v>37</v>
      </c>
      <c r="J164" s="35" t="s">
        <v>107</v>
      </c>
      <c r="K164" s="36">
        <v>3</v>
      </c>
      <c r="L164" s="28">
        <v>3</v>
      </c>
      <c r="M164" s="25">
        <f t="shared" si="9"/>
        <v>0</v>
      </c>
      <c r="N164" s="28">
        <v>0</v>
      </c>
      <c r="O164" s="25">
        <f t="shared" si="10"/>
        <v>0</v>
      </c>
      <c r="P164" s="29"/>
      <c r="Q164" s="28">
        <v>0</v>
      </c>
      <c r="R164" s="15">
        <v>2899</v>
      </c>
      <c r="S164" s="15">
        <v>1442.76</v>
      </c>
      <c r="T164" s="30">
        <v>4.2300000000000003E-3</v>
      </c>
      <c r="U164" s="30">
        <v>0.1</v>
      </c>
      <c r="V164" s="4"/>
      <c r="W164" s="4" t="s">
        <v>596</v>
      </c>
      <c r="X164" s="1" t="s">
        <v>626</v>
      </c>
    </row>
    <row r="165" spans="1:24" s="1" customFormat="1" ht="10.9" hidden="1" customHeight="1" x14ac:dyDescent="0.2">
      <c r="A165" s="25" t="s">
        <v>71</v>
      </c>
      <c r="B165" s="4" t="s">
        <v>72</v>
      </c>
      <c r="C165" s="14" t="s">
        <v>74</v>
      </c>
      <c r="D165" s="14"/>
      <c r="E165" s="26" t="s">
        <v>33</v>
      </c>
      <c r="F165" s="14" t="s">
        <v>34</v>
      </c>
      <c r="G165" s="14" t="s">
        <v>35</v>
      </c>
      <c r="H165" s="14" t="s">
        <v>36</v>
      </c>
      <c r="I165" s="14" t="s">
        <v>37</v>
      </c>
      <c r="J165" s="27" t="s">
        <v>40</v>
      </c>
      <c r="K165" s="28">
        <v>6</v>
      </c>
      <c r="L165" s="28">
        <v>6</v>
      </c>
      <c r="M165" s="25">
        <f t="shared" si="9"/>
        <v>0</v>
      </c>
      <c r="N165" s="28">
        <v>0</v>
      </c>
      <c r="O165" s="25">
        <f t="shared" si="10"/>
        <v>0</v>
      </c>
      <c r="P165" s="29"/>
      <c r="Q165" s="28">
        <v>0</v>
      </c>
      <c r="R165" s="15">
        <v>2899</v>
      </c>
      <c r="S165" s="15">
        <v>1442.76</v>
      </c>
      <c r="T165" s="30">
        <v>4.3400000000000001E-3</v>
      </c>
      <c r="U165" s="30">
        <v>0.1</v>
      </c>
      <c r="V165" s="4"/>
      <c r="W165" s="4" t="s">
        <v>76</v>
      </c>
      <c r="X165" s="1" t="s">
        <v>626</v>
      </c>
    </row>
    <row r="166" spans="1:24" s="1" customFormat="1" ht="10.9" hidden="1" customHeight="1" x14ac:dyDescent="0.2">
      <c r="A166" s="31" t="s">
        <v>597</v>
      </c>
      <c r="B166" s="32" t="s">
        <v>598</v>
      </c>
      <c r="C166" s="33" t="s">
        <v>599</v>
      </c>
      <c r="D166" s="33"/>
      <c r="E166" s="34" t="s">
        <v>33</v>
      </c>
      <c r="F166" s="33" t="s">
        <v>34</v>
      </c>
      <c r="G166" s="33" t="s">
        <v>35</v>
      </c>
      <c r="H166" s="33" t="s">
        <v>115</v>
      </c>
      <c r="I166" s="33" t="s">
        <v>37</v>
      </c>
      <c r="J166" s="35" t="s">
        <v>40</v>
      </c>
      <c r="K166" s="36">
        <v>10</v>
      </c>
      <c r="L166" s="28">
        <v>10</v>
      </c>
      <c r="M166" s="25">
        <f t="shared" si="9"/>
        <v>0</v>
      </c>
      <c r="N166" s="28">
        <v>0</v>
      </c>
      <c r="O166" s="25">
        <f t="shared" si="10"/>
        <v>0</v>
      </c>
      <c r="P166" s="29"/>
      <c r="Q166" s="28">
        <v>0</v>
      </c>
      <c r="R166" s="15">
        <v>2299</v>
      </c>
      <c r="S166" s="15">
        <v>1144.1600000000001</v>
      </c>
      <c r="T166" s="30">
        <v>3.7599999999999999E-3</v>
      </c>
      <c r="U166" s="30">
        <v>9.0999999999999998E-2</v>
      </c>
      <c r="V166" s="4"/>
      <c r="W166" s="4" t="s">
        <v>601</v>
      </c>
      <c r="X166" s="1" t="s">
        <v>626</v>
      </c>
    </row>
    <row r="167" spans="1:24" s="1" customFormat="1" ht="10.9" hidden="1" customHeight="1" x14ac:dyDescent="0.2">
      <c r="A167" s="25" t="s">
        <v>602</v>
      </c>
      <c r="B167" s="4" t="s">
        <v>603</v>
      </c>
      <c r="C167" s="14" t="s">
        <v>604</v>
      </c>
      <c r="D167" s="14"/>
      <c r="E167" s="26" t="s">
        <v>33</v>
      </c>
      <c r="F167" s="14" t="s">
        <v>34</v>
      </c>
      <c r="G167" s="14" t="s">
        <v>35</v>
      </c>
      <c r="H167" s="14" t="s">
        <v>36</v>
      </c>
      <c r="I167" s="14" t="s">
        <v>37</v>
      </c>
      <c r="J167" s="27" t="s">
        <v>40</v>
      </c>
      <c r="K167" s="28">
        <v>15</v>
      </c>
      <c r="L167" s="28">
        <v>15</v>
      </c>
      <c r="M167" s="25">
        <f t="shared" si="9"/>
        <v>0</v>
      </c>
      <c r="N167" s="28">
        <v>0</v>
      </c>
      <c r="O167" s="25">
        <f t="shared" si="10"/>
        <v>0</v>
      </c>
      <c r="P167" s="29"/>
      <c r="Q167" s="28">
        <v>0</v>
      </c>
      <c r="R167" s="15">
        <v>2599</v>
      </c>
      <c r="S167" s="15">
        <v>1293.46</v>
      </c>
      <c r="T167" s="30">
        <v>5.5199999999999997E-3</v>
      </c>
      <c r="U167" s="30">
        <v>9.7000000000000003E-2</v>
      </c>
      <c r="V167" s="4"/>
      <c r="W167" s="4" t="s">
        <v>605</v>
      </c>
      <c r="X167" s="1" t="s">
        <v>626</v>
      </c>
    </row>
    <row r="168" spans="1:24" ht="10.9" customHeight="1" x14ac:dyDescent="0.2"/>
    <row r="169" spans="1:24" ht="10.9" customHeight="1" x14ac:dyDescent="0.2">
      <c r="A169" s="38"/>
      <c r="B169" s="39" t="s">
        <v>627</v>
      </c>
    </row>
    <row r="170" spans="1:24" ht="10.9" customHeight="1" x14ac:dyDescent="0.2">
      <c r="A170" s="40"/>
      <c r="B170" s="39" t="s">
        <v>628</v>
      </c>
    </row>
  </sheetData>
  <autoFilter ref="A8:X167" xr:uid="{00000000-0009-0000-0000-000001000000}">
    <filterColumn colId="13">
      <filters>
        <filter val="1"/>
        <filter val="10"/>
        <filter val="20"/>
        <filter val="3"/>
        <filter val="6"/>
      </filters>
    </filterColumn>
  </autoFilter>
  <pageMargins left="0.75" right="1" top="0.75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73242-74BC-417E-8A89-71F76F4A738E}">
  <sheetPr codeName="Лист3"/>
  <dimension ref="A1:O15"/>
  <sheetViews>
    <sheetView workbookViewId="0">
      <selection activeCell="I2" sqref="I2:O15"/>
    </sheetView>
  </sheetViews>
  <sheetFormatPr defaultRowHeight="11.25" x14ac:dyDescent="0.2"/>
  <cols>
    <col min="1" max="1" width="14.5" bestFit="1" customWidth="1"/>
    <col min="5" max="5" width="16.5" bestFit="1" customWidth="1"/>
    <col min="8" max="8" width="12.33203125" bestFit="1" customWidth="1"/>
    <col min="9" max="9" width="13.6640625" bestFit="1" customWidth="1"/>
    <col min="10" max="10" width="10.83203125" bestFit="1" customWidth="1"/>
    <col min="11" max="11" width="10.6640625" bestFit="1" customWidth="1"/>
    <col min="13" max="13" width="10.83203125" bestFit="1" customWidth="1"/>
    <col min="15" max="15" width="10.6640625" bestFit="1" customWidth="1"/>
  </cols>
  <sheetData>
    <row r="1" spans="1:15" x14ac:dyDescent="0.2">
      <c r="A1" t="s">
        <v>629</v>
      </c>
      <c r="E1" s="41" t="s">
        <v>646</v>
      </c>
      <c r="F1" s="41" t="s">
        <v>644</v>
      </c>
      <c r="G1" s="41" t="s">
        <v>645</v>
      </c>
      <c r="H1" s="41" t="s">
        <v>647</v>
      </c>
      <c r="I1" s="41" t="s">
        <v>648</v>
      </c>
      <c r="J1" s="41"/>
      <c r="K1" s="41"/>
      <c r="L1" s="41"/>
      <c r="M1" s="41" t="s">
        <v>649</v>
      </c>
      <c r="N1" s="41"/>
      <c r="O1" s="41" t="s">
        <v>650</v>
      </c>
    </row>
    <row r="2" spans="1:15" x14ac:dyDescent="0.2">
      <c r="E2" s="41" t="str">
        <f t="shared" ref="E2:E11" si="0">F2&amp;G2</f>
        <v>10531954TEAM</v>
      </c>
      <c r="F2" s="41">
        <v>10531954</v>
      </c>
      <c r="G2" s="41" t="s">
        <v>634</v>
      </c>
      <c r="H2" s="41" t="s">
        <v>80</v>
      </c>
      <c r="I2" s="41"/>
      <c r="J2" s="41"/>
      <c r="K2" s="41"/>
      <c r="L2" s="41"/>
      <c r="M2" s="41">
        <v>3</v>
      </c>
      <c r="N2" s="41"/>
      <c r="O2" s="41"/>
    </row>
    <row r="3" spans="1:15" x14ac:dyDescent="0.2">
      <c r="E3" s="41" t="str">
        <f t="shared" si="0"/>
        <v>10531954TEAM</v>
      </c>
      <c r="F3" s="41">
        <v>10531954</v>
      </c>
      <c r="G3" s="41" t="s">
        <v>634</v>
      </c>
      <c r="H3" s="41" t="s">
        <v>80</v>
      </c>
      <c r="I3" s="41"/>
      <c r="J3" s="41"/>
      <c r="K3" s="41"/>
      <c r="L3" s="41"/>
      <c r="M3" s="41"/>
      <c r="N3" s="41"/>
      <c r="O3" s="41">
        <v>3</v>
      </c>
    </row>
    <row r="4" spans="1:15" x14ac:dyDescent="0.2">
      <c r="E4" s="41" t="str">
        <f t="shared" si="0"/>
        <v>60222282IRF</v>
      </c>
      <c r="F4" s="41">
        <v>60222282</v>
      </c>
      <c r="G4" s="41" t="s">
        <v>637</v>
      </c>
      <c r="H4" s="41" t="s">
        <v>52</v>
      </c>
      <c r="I4" s="41">
        <v>6</v>
      </c>
      <c r="J4" s="41"/>
      <c r="K4" s="41"/>
      <c r="L4" s="41"/>
      <c r="M4" s="41"/>
      <c r="N4" s="41"/>
      <c r="O4" s="41"/>
    </row>
    <row r="5" spans="1:15" x14ac:dyDescent="0.2">
      <c r="E5" s="41" t="str">
        <f t="shared" si="0"/>
        <v>60222321TOF</v>
      </c>
      <c r="F5" s="41">
        <v>60222321</v>
      </c>
      <c r="G5" s="41" t="s">
        <v>635</v>
      </c>
      <c r="H5" s="41" t="s">
        <v>193</v>
      </c>
      <c r="I5" s="41">
        <v>6</v>
      </c>
      <c r="J5" s="41"/>
      <c r="K5" s="41"/>
      <c r="L5" s="41"/>
      <c r="M5" s="41"/>
      <c r="N5" s="41"/>
      <c r="O5" s="41"/>
    </row>
    <row r="6" spans="1:15" x14ac:dyDescent="0.2">
      <c r="E6" s="41" t="str">
        <f t="shared" si="0"/>
        <v>60222348NVY</v>
      </c>
      <c r="F6" s="41">
        <v>60222348</v>
      </c>
      <c r="G6" s="41" t="s">
        <v>638</v>
      </c>
      <c r="H6" s="41" t="s">
        <v>52</v>
      </c>
      <c r="I6" s="41">
        <v>3</v>
      </c>
      <c r="J6" s="41"/>
      <c r="K6" s="41"/>
      <c r="L6" s="41"/>
      <c r="M6" s="41"/>
      <c r="N6" s="41"/>
      <c r="O6" s="41"/>
    </row>
    <row r="7" spans="1:15" x14ac:dyDescent="0.2">
      <c r="E7" s="41" t="str">
        <f t="shared" si="0"/>
        <v>60222351WHI</v>
      </c>
      <c r="F7" s="41">
        <v>60222351</v>
      </c>
      <c r="G7" s="41" t="s">
        <v>639</v>
      </c>
      <c r="H7" s="41" t="s">
        <v>177</v>
      </c>
      <c r="I7" s="41">
        <v>3</v>
      </c>
      <c r="J7" s="41"/>
      <c r="K7" s="41"/>
      <c r="L7" s="41"/>
      <c r="M7" s="41"/>
      <c r="N7" s="41"/>
      <c r="O7" s="41"/>
    </row>
    <row r="8" spans="1:15" x14ac:dyDescent="0.2">
      <c r="E8" s="41" t="str">
        <f t="shared" si="0"/>
        <v>60222444BLK</v>
      </c>
      <c r="F8" s="41">
        <v>60222444</v>
      </c>
      <c r="G8" s="41" t="s">
        <v>633</v>
      </c>
      <c r="H8" s="41" t="s">
        <v>115</v>
      </c>
      <c r="I8" s="41">
        <v>20</v>
      </c>
      <c r="J8" s="41"/>
      <c r="K8" s="41"/>
      <c r="L8" s="41"/>
      <c r="M8" s="41"/>
      <c r="N8" s="41"/>
      <c r="O8" s="41"/>
    </row>
    <row r="9" spans="1:15" x14ac:dyDescent="0.2">
      <c r="E9" s="41" t="str">
        <f t="shared" si="0"/>
        <v>60222456IRF</v>
      </c>
      <c r="F9" s="41">
        <v>60222456</v>
      </c>
      <c r="G9" s="41" t="s">
        <v>637</v>
      </c>
      <c r="H9" s="41" t="s">
        <v>52</v>
      </c>
      <c r="I9" s="41">
        <v>6</v>
      </c>
      <c r="J9" s="41"/>
      <c r="K9" s="41"/>
      <c r="L9" s="41"/>
      <c r="M9" s="41"/>
      <c r="N9" s="41"/>
      <c r="O9" s="41"/>
    </row>
    <row r="10" spans="1:15" x14ac:dyDescent="0.2">
      <c r="E10" s="41" t="str">
        <f t="shared" si="0"/>
        <v>60222457RGD</v>
      </c>
      <c r="F10" s="41">
        <v>60222457</v>
      </c>
      <c r="G10" s="41" t="s">
        <v>636</v>
      </c>
      <c r="H10" s="41" t="s">
        <v>197</v>
      </c>
      <c r="I10" s="41">
        <v>3</v>
      </c>
      <c r="J10" s="41"/>
      <c r="K10" s="41"/>
      <c r="L10" s="41"/>
      <c r="M10" s="41"/>
      <c r="N10" s="41"/>
      <c r="O10" s="41"/>
    </row>
    <row r="11" spans="1:15" x14ac:dyDescent="0.2">
      <c r="E11" s="41" t="str">
        <f t="shared" si="0"/>
        <v>60222523WHI</v>
      </c>
      <c r="F11" s="41">
        <v>60222523</v>
      </c>
      <c r="G11" s="41" t="s">
        <v>639</v>
      </c>
      <c r="H11" s="41" t="s">
        <v>177</v>
      </c>
      <c r="I11" s="41">
        <v>6</v>
      </c>
      <c r="J11" s="41"/>
      <c r="K11" s="41"/>
      <c r="L11" s="41"/>
      <c r="M11" s="41"/>
      <c r="N11" s="41"/>
      <c r="O11" s="41"/>
    </row>
    <row r="12" spans="1:15" x14ac:dyDescent="0.2">
      <c r="E12" s="41" t="str">
        <f t="shared" ref="E12:E15" si="1">F12&amp;G12</f>
        <v>60222525PNK</v>
      </c>
      <c r="F12" s="41">
        <v>60222525</v>
      </c>
      <c r="G12" s="41" t="s">
        <v>640</v>
      </c>
      <c r="H12" s="41" t="s">
        <v>238</v>
      </c>
      <c r="I12" s="41">
        <v>6</v>
      </c>
      <c r="J12" s="41"/>
      <c r="K12" s="41"/>
      <c r="L12" s="41"/>
      <c r="M12" s="41"/>
      <c r="N12" s="41"/>
      <c r="O12" s="41"/>
    </row>
    <row r="13" spans="1:15" x14ac:dyDescent="0.2">
      <c r="E13" s="41" t="str">
        <f t="shared" si="1"/>
        <v>60222546NOV</v>
      </c>
      <c r="F13" s="41">
        <v>60222546</v>
      </c>
      <c r="G13" s="41" t="s">
        <v>641</v>
      </c>
      <c r="H13" s="41" t="s">
        <v>305</v>
      </c>
      <c r="I13" s="41">
        <v>10</v>
      </c>
      <c r="J13" s="41"/>
      <c r="K13" s="41"/>
      <c r="L13" s="41"/>
      <c r="M13" s="41"/>
      <c r="N13" s="41"/>
      <c r="O13" s="41"/>
    </row>
    <row r="14" spans="1:15" x14ac:dyDescent="0.2">
      <c r="E14" s="41" t="str">
        <f t="shared" si="1"/>
        <v>80489231GRAPNK</v>
      </c>
      <c r="F14" s="41">
        <v>80489231</v>
      </c>
      <c r="G14" s="41" t="s">
        <v>642</v>
      </c>
      <c r="H14" s="41" t="s">
        <v>122</v>
      </c>
      <c r="I14" s="41">
        <v>1</v>
      </c>
      <c r="J14" s="41"/>
      <c r="K14" s="41"/>
      <c r="L14" s="41"/>
      <c r="M14" s="41"/>
      <c r="N14" s="41"/>
      <c r="O14" s="41"/>
    </row>
    <row r="15" spans="1:15" x14ac:dyDescent="0.2">
      <c r="E15" s="41" t="str">
        <f t="shared" si="1"/>
        <v>60112610TOFWHI</v>
      </c>
      <c r="F15" s="41">
        <v>60112610</v>
      </c>
      <c r="G15" s="41" t="s">
        <v>643</v>
      </c>
      <c r="H15" s="41" t="s">
        <v>122</v>
      </c>
      <c r="I15" s="41">
        <v>6</v>
      </c>
      <c r="J15" s="41"/>
      <c r="K15" s="41"/>
      <c r="L15" s="41"/>
      <c r="M15" s="41"/>
      <c r="N15" s="41"/>
      <c r="O1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товаров</vt:lpstr>
      <vt:lpstr>00911_5032262</vt:lpstr>
      <vt:lpstr>Лист1</vt:lpstr>
    </vt:vector>
  </TitlesOfParts>
  <Company>Спортмастер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dcterms:created xsi:type="dcterms:W3CDTF">2006-09-16T00:00:00Z</dcterms:created>
  <dcterms:modified xsi:type="dcterms:W3CDTF">2022-04-13T07:51:04Z</dcterms:modified>
</cp:coreProperties>
</file>