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F1E4AB46-994D-4A77-9358-463B39935CD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Форма!$A$1:$AW$1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5" i="42" l="1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C1" i="43" l="1"/>
  <c r="C2" i="43"/>
  <c r="AA1" i="39" a="1"/>
  <c r="A3" i="39" l="1"/>
  <c r="S4" i="39"/>
  <c r="A7" i="39"/>
  <c r="S8" i="39"/>
  <c r="A11" i="39"/>
  <c r="S12" i="39"/>
  <c r="A15" i="39"/>
  <c r="T4" i="39"/>
  <c r="T8" i="39"/>
  <c r="T12" i="39"/>
  <c r="T3" i="39"/>
  <c r="A5" i="39"/>
  <c r="S6" i="39"/>
  <c r="A9" i="39"/>
  <c r="S10" i="39"/>
  <c r="A13" i="39"/>
  <c r="S14" i="39"/>
  <c r="T6" i="39"/>
  <c r="T10" i="39"/>
  <c r="T14" i="39"/>
  <c r="S9" i="39"/>
  <c r="A12" i="39"/>
  <c r="S7" i="39"/>
  <c r="A10" i="39"/>
  <c r="S15" i="39"/>
  <c r="A4" i="39"/>
  <c r="T5" i="39"/>
  <c r="T7" i="39"/>
  <c r="T15" i="39"/>
  <c r="S11" i="39"/>
  <c r="T9" i="39"/>
  <c r="A8" i="39"/>
  <c r="S13" i="39"/>
  <c r="A14" i="39"/>
  <c r="T11" i="39"/>
  <c r="S3" i="39"/>
  <c r="S5" i="39"/>
  <c r="T13" i="39"/>
  <c r="A6" i="39"/>
  <c r="AA1" i="39"/>
  <c r="C12" i="39" l="1"/>
  <c r="K12" i="39"/>
  <c r="AK12" i="39" s="1"/>
  <c r="D12" i="39"/>
  <c r="AJ12" i="39" s="1"/>
  <c r="L12" i="39"/>
  <c r="AQ12" i="39" s="1"/>
  <c r="AU12" i="39"/>
  <c r="G12" i="39"/>
  <c r="O12" i="39"/>
  <c r="H12" i="39"/>
  <c r="P12" i="39"/>
  <c r="Q12" i="39"/>
  <c r="B12" i="39"/>
  <c r="AF12" i="39" s="1"/>
  <c r="E12" i="39"/>
  <c r="M12" i="39"/>
  <c r="AS12" i="39" s="1"/>
  <c r="F12" i="39"/>
  <c r="AM12" i="39" s="1"/>
  <c r="N12" i="39"/>
  <c r="I12" i="39"/>
  <c r="Z12" i="39" s="1"/>
  <c r="AP12" i="39" s="1"/>
  <c r="J12" i="39"/>
  <c r="AN12" i="39" s="1"/>
  <c r="G14" i="39"/>
  <c r="O14" i="39"/>
  <c r="H14" i="39"/>
  <c r="P14" i="39"/>
  <c r="AU14" i="39"/>
  <c r="C14" i="39"/>
  <c r="K14" i="39"/>
  <c r="AK14" i="39" s="1"/>
  <c r="D14" i="39"/>
  <c r="AJ14" i="39" s="1"/>
  <c r="L14" i="39"/>
  <c r="AQ14" i="39" s="1"/>
  <c r="E14" i="39"/>
  <c r="I14" i="39"/>
  <c r="J14" i="39"/>
  <c r="AN14" i="39" s="1"/>
  <c r="M14" i="39"/>
  <c r="AS14" i="39" s="1"/>
  <c r="Z14" i="39"/>
  <c r="AP14" i="39" s="1"/>
  <c r="N14" i="39"/>
  <c r="Q14" i="39"/>
  <c r="B14" i="39"/>
  <c r="AF14" i="39" s="1"/>
  <c r="F14" i="39"/>
  <c r="AM14" i="39" s="1"/>
  <c r="C4" i="39"/>
  <c r="K4" i="39"/>
  <c r="AK4" i="39" s="1"/>
  <c r="D4" i="39"/>
  <c r="AJ4" i="39" s="1"/>
  <c r="L4" i="39"/>
  <c r="AQ4" i="39" s="1"/>
  <c r="F4" i="39"/>
  <c r="AM4" i="39" s="1"/>
  <c r="N4" i="39"/>
  <c r="AU4" i="39"/>
  <c r="G4" i="39"/>
  <c r="O4" i="39"/>
  <c r="H4" i="39"/>
  <c r="P4" i="39"/>
  <c r="E4" i="39"/>
  <c r="I4" i="39"/>
  <c r="J4" i="39"/>
  <c r="AN4" i="39" s="1"/>
  <c r="B4" i="39"/>
  <c r="AF4" i="39" s="1"/>
  <c r="M4" i="39"/>
  <c r="AS4" i="39" s="1"/>
  <c r="Q4" i="39"/>
  <c r="AE15" i="39"/>
  <c r="AC15" i="39"/>
  <c r="AL15" i="39"/>
  <c r="C8" i="39"/>
  <c r="K8" i="39"/>
  <c r="AK8" i="39" s="1"/>
  <c r="D8" i="39"/>
  <c r="AJ8" i="39" s="1"/>
  <c r="L8" i="39"/>
  <c r="AQ8" i="39" s="1"/>
  <c r="AU8" i="39"/>
  <c r="G8" i="39"/>
  <c r="O8" i="39"/>
  <c r="H8" i="39"/>
  <c r="P8" i="39"/>
  <c r="I8" i="39"/>
  <c r="Z8" i="39" s="1"/>
  <c r="AP8" i="39" s="1"/>
  <c r="J8" i="39"/>
  <c r="AN8" i="39" s="1"/>
  <c r="M8" i="39"/>
  <c r="AS8" i="39" s="1"/>
  <c r="E8" i="39"/>
  <c r="N8" i="39"/>
  <c r="F8" i="39"/>
  <c r="AM8" i="39" s="1"/>
  <c r="Q8" i="39"/>
  <c r="B8" i="39"/>
  <c r="AF8" i="39" s="1"/>
  <c r="G10" i="39"/>
  <c r="O10" i="39"/>
  <c r="H10" i="39"/>
  <c r="P10" i="39"/>
  <c r="AU10" i="39"/>
  <c r="C10" i="39"/>
  <c r="K10" i="39"/>
  <c r="AK10" i="39" s="1"/>
  <c r="D10" i="39"/>
  <c r="AJ10" i="39" s="1"/>
  <c r="L10" i="39"/>
  <c r="AQ10" i="39" s="1"/>
  <c r="M10" i="39"/>
  <c r="AS10" i="39" s="1"/>
  <c r="N10" i="39"/>
  <c r="Q10" i="39"/>
  <c r="I10" i="39"/>
  <c r="Z10" i="39" s="1"/>
  <c r="AP10" i="39" s="1"/>
  <c r="B10" i="39"/>
  <c r="AF10" i="39" s="1"/>
  <c r="E10" i="39"/>
  <c r="J10" i="39"/>
  <c r="AN10" i="39" s="1"/>
  <c r="F10" i="39"/>
  <c r="AM10" i="39" s="1"/>
  <c r="AU13" i="39"/>
  <c r="E13" i="39"/>
  <c r="M13" i="39"/>
  <c r="AS13" i="39" s="1"/>
  <c r="F13" i="39"/>
  <c r="AM13" i="39" s="1"/>
  <c r="N13" i="39"/>
  <c r="I13" i="39"/>
  <c r="Q13" i="39"/>
  <c r="B13" i="39"/>
  <c r="AF13" i="39" s="1"/>
  <c r="J13" i="39"/>
  <c r="AN13" i="39" s="1"/>
  <c r="K13" i="39"/>
  <c r="AK13" i="39" s="1"/>
  <c r="O13" i="39"/>
  <c r="H13" i="39"/>
  <c r="L13" i="39"/>
  <c r="AQ13" i="39" s="1"/>
  <c r="P13" i="39"/>
  <c r="G13" i="39"/>
  <c r="C13" i="39"/>
  <c r="D13" i="39"/>
  <c r="AJ13" i="39" s="1"/>
  <c r="G6" i="39"/>
  <c r="O6" i="39"/>
  <c r="H6" i="39"/>
  <c r="P6" i="39"/>
  <c r="B6" i="39"/>
  <c r="AF6" i="39" s="1"/>
  <c r="AU6" i="39"/>
  <c r="C6" i="39"/>
  <c r="K6" i="39"/>
  <c r="AK6" i="39" s="1"/>
  <c r="D6" i="39"/>
  <c r="AJ6" i="39" s="1"/>
  <c r="L6" i="39"/>
  <c r="AQ6" i="39" s="1"/>
  <c r="E6" i="39"/>
  <c r="F6" i="39"/>
  <c r="AM6" i="39" s="1"/>
  <c r="I6" i="39"/>
  <c r="J6" i="39"/>
  <c r="AN6" i="39" s="1"/>
  <c r="M6" i="39"/>
  <c r="AS6" i="39" s="1"/>
  <c r="N6" i="39"/>
  <c r="Q6" i="39"/>
  <c r="AE7" i="39"/>
  <c r="AC7" i="39"/>
  <c r="AL7" i="39"/>
  <c r="AC10" i="39"/>
  <c r="AL10" i="39"/>
  <c r="AE10" i="39"/>
  <c r="AU15" i="39"/>
  <c r="I15" i="39"/>
  <c r="Q15" i="39"/>
  <c r="B15" i="39"/>
  <c r="AF15" i="39" s="1"/>
  <c r="J15" i="39"/>
  <c r="AN15" i="39" s="1"/>
  <c r="E15" i="39"/>
  <c r="M15" i="39"/>
  <c r="AS15" i="39" s="1"/>
  <c r="F15" i="39"/>
  <c r="AM15" i="39" s="1"/>
  <c r="N15" i="39"/>
  <c r="O15" i="39"/>
  <c r="C15" i="39"/>
  <c r="D15" i="39"/>
  <c r="AJ15" i="39" s="1"/>
  <c r="K15" i="39"/>
  <c r="AK15" i="39" s="1"/>
  <c r="L15" i="39"/>
  <c r="AQ15" i="39" s="1"/>
  <c r="G15" i="39"/>
  <c r="P15" i="39"/>
  <c r="H15" i="39"/>
  <c r="Z15" i="39"/>
  <c r="AP15" i="39" s="1"/>
  <c r="AE5" i="39"/>
  <c r="AC5" i="39"/>
  <c r="AL5" i="39"/>
  <c r="AE9" i="39"/>
  <c r="AL9" i="39"/>
  <c r="AC9" i="39"/>
  <c r="AC6" i="39"/>
  <c r="AL6" i="39"/>
  <c r="AE6" i="39"/>
  <c r="AU11" i="39"/>
  <c r="I11" i="39"/>
  <c r="Z11" i="39" s="1"/>
  <c r="AP11" i="39" s="1"/>
  <c r="Q11" i="39"/>
  <c r="B11" i="39"/>
  <c r="AF11" i="39" s="1"/>
  <c r="J11" i="39"/>
  <c r="AN11" i="39" s="1"/>
  <c r="E11" i="39"/>
  <c r="M11" i="39"/>
  <c r="AS11" i="39" s="1"/>
  <c r="F11" i="39"/>
  <c r="AM11" i="39" s="1"/>
  <c r="N11" i="39"/>
  <c r="G11" i="39"/>
  <c r="K11" i="39"/>
  <c r="AK11" i="39" s="1"/>
  <c r="L11" i="39"/>
  <c r="AQ11" i="39" s="1"/>
  <c r="D11" i="39"/>
  <c r="AJ11" i="39" s="1"/>
  <c r="O11" i="39"/>
  <c r="H11" i="39"/>
  <c r="P11" i="39"/>
  <c r="C11" i="39"/>
  <c r="AC3" i="39"/>
  <c r="AE3" i="39"/>
  <c r="AL3" i="39"/>
  <c r="AU5" i="39"/>
  <c r="E5" i="39"/>
  <c r="M5" i="39"/>
  <c r="AS5" i="39" s="1"/>
  <c r="F5" i="39"/>
  <c r="AM5" i="39" s="1"/>
  <c r="N5" i="39"/>
  <c r="H5" i="39"/>
  <c r="P5" i="39"/>
  <c r="I5" i="39"/>
  <c r="Q5" i="39"/>
  <c r="B5" i="39"/>
  <c r="AF5" i="39" s="1"/>
  <c r="J5" i="39"/>
  <c r="AN5" i="39" s="1"/>
  <c r="D5" i="39"/>
  <c r="AJ5" i="39" s="1"/>
  <c r="G5" i="39"/>
  <c r="K5" i="39"/>
  <c r="AK5" i="39" s="1"/>
  <c r="L5" i="39"/>
  <c r="AQ5" i="39" s="1"/>
  <c r="Z5" i="39"/>
  <c r="AP5" i="39" s="1"/>
  <c r="O5" i="39"/>
  <c r="C5" i="39"/>
  <c r="AC8" i="39"/>
  <c r="AL8" i="39"/>
  <c r="AE8" i="39"/>
  <c r="AU9" i="39"/>
  <c r="E9" i="39"/>
  <c r="M9" i="39"/>
  <c r="AS9" i="39" s="1"/>
  <c r="F9" i="39"/>
  <c r="AM9" i="39" s="1"/>
  <c r="N9" i="39"/>
  <c r="I9" i="39"/>
  <c r="Q9" i="39"/>
  <c r="B9" i="39"/>
  <c r="AF9" i="39" s="1"/>
  <c r="J9" i="39"/>
  <c r="AN9" i="39" s="1"/>
  <c r="C9" i="39"/>
  <c r="D9" i="39"/>
  <c r="AJ9" i="39" s="1"/>
  <c r="G9" i="39"/>
  <c r="H9" i="39"/>
  <c r="K9" i="39"/>
  <c r="AK9" i="39" s="1"/>
  <c r="O9" i="39"/>
  <c r="L9" i="39"/>
  <c r="AQ9" i="39" s="1"/>
  <c r="P9" i="39"/>
  <c r="AU7" i="39"/>
  <c r="I7" i="39"/>
  <c r="Q7" i="39"/>
  <c r="B7" i="39"/>
  <c r="AF7" i="39" s="1"/>
  <c r="J7" i="39"/>
  <c r="AN7" i="39" s="1"/>
  <c r="E7" i="39"/>
  <c r="M7" i="39"/>
  <c r="AS7" i="39" s="1"/>
  <c r="F7" i="39"/>
  <c r="AM7" i="39" s="1"/>
  <c r="N7" i="39"/>
  <c r="O7" i="39"/>
  <c r="P7" i="39"/>
  <c r="C7" i="39"/>
  <c r="D7" i="39"/>
  <c r="AJ7" i="39" s="1"/>
  <c r="K7" i="39"/>
  <c r="AK7" i="39" s="1"/>
  <c r="G7" i="39"/>
  <c r="L7" i="39"/>
  <c r="AQ7" i="39" s="1"/>
  <c r="H7" i="39"/>
  <c r="AE11" i="39"/>
  <c r="AC11" i="39"/>
  <c r="AL11" i="39"/>
  <c r="AC4" i="39"/>
  <c r="AL4" i="39"/>
  <c r="AE4" i="39"/>
  <c r="AC12" i="39"/>
  <c r="AL12" i="39"/>
  <c r="AE12" i="39"/>
  <c r="AE13" i="39"/>
  <c r="AL13" i="39"/>
  <c r="AC13" i="39"/>
  <c r="AC14" i="39"/>
  <c r="AL14" i="39"/>
  <c r="AE14" i="39"/>
  <c r="AU3" i="39"/>
  <c r="I3" i="39"/>
  <c r="Q3" i="39"/>
  <c r="Z3" i="39"/>
  <c r="AP3" i="39" s="1"/>
  <c r="B3" i="39"/>
  <c r="AF3" i="39" s="1"/>
  <c r="J3" i="39"/>
  <c r="AN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H3" i="39"/>
  <c r="K3" i="39"/>
  <c r="AK3" i="39" s="1"/>
  <c r="O3" i="39"/>
  <c r="C3" i="39"/>
  <c r="P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H7" i="39" l="1"/>
  <c r="AB7" i="39"/>
  <c r="AD7" i="39"/>
  <c r="AO7" i="39"/>
  <c r="AR6" i="39"/>
  <c r="R6" i="39"/>
  <c r="AH14" i="39"/>
  <c r="AB14" i="39"/>
  <c r="AD6" i="39"/>
  <c r="AO6" i="39"/>
  <c r="Z6" i="39"/>
  <c r="AP6" i="39" s="1"/>
  <c r="AR8" i="39"/>
  <c r="R8" i="39"/>
  <c r="AR12" i="39"/>
  <c r="R12" i="39"/>
  <c r="AD9" i="39"/>
  <c r="AO9" i="39"/>
  <c r="AH15" i="39"/>
  <c r="AB15" i="39"/>
  <c r="AD3" i="39"/>
  <c r="AO3" i="39"/>
  <c r="AR9" i="39"/>
  <c r="R9" i="39"/>
  <c r="AH5" i="39"/>
  <c r="AB5" i="39"/>
  <c r="AH3" i="39"/>
  <c r="AB3" i="39"/>
  <c r="Z9" i="39"/>
  <c r="AP9" i="39" s="1"/>
  <c r="AD5" i="39"/>
  <c r="AO5" i="39"/>
  <c r="R7" i="39"/>
  <c r="AR7" i="39"/>
  <c r="Z7" i="39"/>
  <c r="AP7" i="39" s="1"/>
  <c r="AB9" i="39"/>
  <c r="AH9" i="39"/>
  <c r="R15" i="39"/>
  <c r="AR15" i="39"/>
  <c r="AB6" i="39"/>
  <c r="AH6" i="39"/>
  <c r="AH13" i="39"/>
  <c r="AB13" i="39"/>
  <c r="AR5" i="39"/>
  <c r="R5" i="39"/>
  <c r="AH11" i="39"/>
  <c r="AB11" i="39"/>
  <c r="AD11" i="39"/>
  <c r="AO11" i="39"/>
  <c r="R11" i="39"/>
  <c r="AR11" i="39"/>
  <c r="AR13" i="39"/>
  <c r="R13" i="39"/>
  <c r="AR4" i="39"/>
  <c r="R4" i="39"/>
  <c r="AB4" i="39"/>
  <c r="AH4" i="39"/>
  <c r="AD14" i="39"/>
  <c r="AO14" i="39"/>
  <c r="AR10" i="39"/>
  <c r="R10" i="39"/>
  <c r="AD8" i="39"/>
  <c r="AO8" i="39"/>
  <c r="R3" i="39"/>
  <c r="AR3" i="39"/>
  <c r="AR14" i="39"/>
  <c r="R14" i="39"/>
  <c r="AD13" i="39"/>
  <c r="AO13" i="39"/>
  <c r="AB8" i="39"/>
  <c r="AH8" i="39"/>
  <c r="AD4" i="39"/>
  <c r="AO4" i="39"/>
  <c r="AD15" i="39"/>
  <c r="AO15" i="39"/>
  <c r="Z13" i="39"/>
  <c r="AP13" i="39" s="1"/>
  <c r="AD10" i="39"/>
  <c r="AO10" i="39"/>
  <c r="AH10" i="39"/>
  <c r="AB10" i="39"/>
  <c r="Z4" i="39"/>
  <c r="AP4" i="39" s="1"/>
  <c r="AD12" i="39"/>
  <c r="AO12" i="39"/>
  <c r="AB12" i="39"/>
  <c r="AH12" i="39"/>
  <c r="S2" i="39"/>
  <c r="AE2" i="39" s="1"/>
  <c r="A25" i="43"/>
  <c r="A2" i="39"/>
  <c r="P2" i="39" s="1"/>
  <c r="T2" i="39"/>
  <c r="A17" i="43"/>
  <c r="AI15" i="39" l="1"/>
  <c r="V15" i="39"/>
  <c r="W15" i="39"/>
  <c r="AI14" i="39"/>
  <c r="V14" i="39"/>
  <c r="W14" i="39"/>
  <c r="AI10" i="39"/>
  <c r="V10" i="39"/>
  <c r="W10" i="39"/>
  <c r="AI3" i="39"/>
  <c r="V3" i="39"/>
  <c r="W3" i="39"/>
  <c r="V9" i="39"/>
  <c r="W9" i="39"/>
  <c r="AI9" i="39"/>
  <c r="AI11" i="39"/>
  <c r="V11" i="39"/>
  <c r="W11" i="39"/>
  <c r="AI8" i="39"/>
  <c r="W8" i="39"/>
  <c r="V8" i="39"/>
  <c r="AI4" i="39"/>
  <c r="W4" i="39"/>
  <c r="V4" i="39"/>
  <c r="AI6" i="39"/>
  <c r="V6" i="39"/>
  <c r="W6" i="39"/>
  <c r="AI12" i="39"/>
  <c r="V12" i="39"/>
  <c r="W12" i="39"/>
  <c r="AI7" i="39"/>
  <c r="V7" i="39"/>
  <c r="W7" i="39"/>
  <c r="V13" i="39"/>
  <c r="W13" i="39"/>
  <c r="AI13" i="39"/>
  <c r="V5" i="39"/>
  <c r="W5" i="39"/>
  <c r="AI5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W11" i="39" l="1"/>
  <c r="AV11" i="39"/>
  <c r="AT11" i="39"/>
  <c r="AV7" i="39"/>
  <c r="AW7" i="39"/>
  <c r="AT7" i="39"/>
  <c r="AT10" i="39"/>
  <c r="AV10" i="39"/>
  <c r="AW10" i="39"/>
  <c r="AV5" i="39"/>
  <c r="AW5" i="39"/>
  <c r="AT5" i="39"/>
  <c r="AT12" i="39"/>
  <c r="AV12" i="39"/>
  <c r="AW12" i="39"/>
  <c r="AT4" i="39"/>
  <c r="AW4" i="39"/>
  <c r="AV4" i="39"/>
  <c r="AW9" i="39"/>
  <c r="AV9" i="39"/>
  <c r="AT9" i="39"/>
  <c r="AT14" i="39"/>
  <c r="AV14" i="39"/>
  <c r="AW14" i="39"/>
  <c r="AT8" i="39"/>
  <c r="AW8" i="39"/>
  <c r="AV8" i="39"/>
  <c r="AW3" i="39"/>
  <c r="AV3" i="39"/>
  <c r="AT3" i="39"/>
  <c r="AV13" i="39"/>
  <c r="AT13" i="39"/>
  <c r="AW13" i="39"/>
  <c r="AT6" i="39"/>
  <c r="AW6" i="39"/>
  <c r="AV6" i="39"/>
  <c r="AV15" i="39"/>
  <c r="AT15" i="39"/>
  <c r="AW15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<sst xmlns="http://schemas.openxmlformats.org/spreadsheetml/2006/main" count="33597" uniqueCount="29626">
  <si>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</si>
  <si>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</si>
  <si>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</si>
  <si>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</si>
  <si>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</si>
  <si>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</si>
  <si>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</si>
  <si>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</si>
  <si>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</si>
  <si>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</si>
  <si>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</si>
  <si>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</si>
  <si>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</si>
  <si>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</si>
  <si>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</si>
  <si>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</si>
  <si>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</si>
  <si>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</si>
  <si>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</si>
  <si>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</si>
  <si>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</si>
  <si>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</si>
  <si>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</si>
  <si>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</si>
  <si>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</si>
  <si>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</si>
  <si>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</si>
  <si>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</si>
  <si>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</si>
  <si>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</si>
  <si>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</si>
  <si>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</si>
  <si>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</si>
  <si>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</si>
  <si>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</si>
  <si>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</si>
  <si>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</si>
  <si>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</si>
  <si>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</si>
  <si>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</si>
  <si>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</si>
  <si>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</si>
  <si>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</si>
  <si>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</si>
  <si>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</si>
  <si>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</si>
  <si>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</si>
  <si>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</si>
  <si>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</si>
  <si>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</si>
  <si>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</si>
  <si>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</si>
  <si>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</si>
  <si>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</si>
  <si>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</si>
  <si>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</si>
  <si>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</si>
  <si>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</si>
  <si>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</si>
  <si>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</si>
  <si>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</si>
  <si>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</si>
  <si>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</si>
  <si>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</si>
  <si>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</si>
  <si>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</si>
  <si>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</si>
  <si>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</si>
  <si>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</si>
  <si>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</si>
  <si>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</si>
  <si>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</si>
  <si>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</si>
  <si>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</si>
  <si>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</si>
  <si>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</si>
  <si>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</si>
  <si>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</si>
  <si>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</si>
  <si>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</si>
  <si>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</si>
  <si>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</si>
  <si>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</si>
  <si>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</si>
  <si>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</si>
  <si>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</si>
  <si>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</si>
  <si>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</si>
  <si>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</si>
  <si>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</si>
  <si>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</si>
  <si>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</si>
  <si>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</si>
  <si>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</si>
  <si>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</si>
  <si>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</si>
  <si>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</si>
  <si>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</si>
  <si>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</si>
  <si>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</si>
  <si>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</si>
  <si>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</si>
  <si>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</si>
  <si>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</si>
  <si>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</si>
  <si>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</si>
  <si>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</si>
  <si>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</si>
  <si>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</si>
  <si>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</si>
  <si>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</si>
  <si>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</si>
  <si>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</si>
  <si>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</si>
  <si>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</si>
  <si>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</si>
  <si>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</si>
  <si>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</si>
  <si>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</si>
  <si>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</si>
  <si>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</si>
  <si>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</si>
  <si>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</si>
  <si>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</si>
  <si>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</si>
  <si>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</si>
  <si>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</si>
  <si>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</si>
  <si>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</si>
  <si>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</si>
  <si>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</si>
  <si>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</si>
  <si>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</si>
  <si>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</si>
  <si>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</si>
  <si>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</si>
  <si>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</si>
  <si>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</si>
  <si>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</si>
  <si>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</si>
  <si>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</si>
  <si>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</si>
  <si>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</si>
  <si>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</si>
  <si>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</si>
  <si>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</si>
  <si>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</si>
  <si>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</si>
  <si>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</si>
  <si>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</si>
  <si>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</si>
  <si>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</si>
  <si>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</si>
  <si>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</si>
  <si>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</si>
  <si>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</si>
  <si>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</si>
  <si>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</si>
  <si>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</si>
  <si>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</si>
  <si>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</si>
  <si>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</si>
  <si>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</si>
  <si>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</si>
  <si>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</si>
  <si>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</si>
  <si>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</si>
  <si>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</si>
  <si>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</si>
  <si>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</si>
  <si>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</si>
  <si>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</si>
  <si>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</si>
  <si>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</si>
  <si>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</si>
  <si>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</si>
  <si>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</si>
  <si>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</si>
  <si>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</si>
  <si>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</si>
  <si>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</si>
  <si>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</si>
  <si>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</si>
  <si>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</si>
  <si>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</si>
  <si>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</si>
  <si>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</si>
  <si>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</si>
  <si>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</si>
  <si>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</si>
  <si>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</si>
  <si>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</si>
  <si>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</si>
  <si>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</si>
  <si>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</si>
  <si>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</si>
  <si>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</si>
  <si>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</si>
  <si>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</si>
  <si>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</si>
  <si>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</si>
  <si>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</si>
  <si>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</si>
  <si>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</si>
  <si>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</si>
  <si>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</si>
  <si>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</si>
  <si>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</si>
  <si>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</si>
  <si>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</si>
  <si>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</si>
  <si>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</si>
  <si>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</si>
  <si>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</si>
  <si>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</si>
  <si>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</si>
  <si>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</si>
  <si>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</si>
  <si>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</si>
  <si>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</si>
  <si>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</si>
  <si>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</si>
  <si>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</si>
  <si>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</si>
  <si>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</si>
  <si>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</si>
  <si>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</si>
  <si>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</si>
  <si>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</si>
  <si>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</si>
  <si>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</si>
  <si>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</si>
  <si>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</si>
  <si>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</si>
  <si>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</si>
  <si>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</si>
  <si>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</si>
  <si>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</si>
  <si>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</si>
  <si>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</si>
  <si>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</si>
  <si>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</si>
  <si>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</si>
  <si>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</si>
  <si>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</si>
  <si>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</si>
  <si>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</si>
  <si>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</si>
  <si>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</si>
  <si>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</si>
  <si>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</si>
  <si>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</si>
  <si>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</si>
  <si>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</si>
  <si>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</si>
  <si>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</si>
  <si>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</si>
  <si>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</si>
  <si>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</si>
  <si>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</si>
  <si>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</si>
  <si>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</si>
  <si>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</si>
  <si>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</si>
  <si>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</si>
  <si>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</si>
  <si>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</si>
  <si>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</si>
  <si>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</si>
  <si>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</si>
  <si>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</si>
  <si>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</si>
  <si>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</si>
  <si>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</si>
  <si>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</si>
  <si>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</si>
  <si>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</si>
  <si>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</si>
  <si>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</si>
  <si>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</si>
  <si>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</si>
  <si>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</si>
  <si>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</si>
  <si>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</si>
  <si>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</si>
  <si>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</si>
  <si>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</si>
  <si>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</si>
  <si>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</si>
  <si>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</si>
  <si>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</si>
  <si>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</si>
  <si>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</si>
  <si>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</si>
  <si>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</si>
  <si>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</si>
  <si>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</si>
  <si>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</si>
  <si>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</si>
  <si>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</si>
  <si>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</si>
  <si>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</si>
  <si>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</si>
  <si>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</si>
  <si>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</si>
  <si>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</si>
  <si>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</si>
  <si>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</si>
  <si>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</si>
  <si>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</si>
  <si>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</si>
  <si>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</si>
  <si>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</si>
  <si>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</si>
  <si>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</si>
  <si>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</si>
  <si>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</si>
  <si>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</si>
  <si>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</si>
  <si>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</si>
  <si>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</si>
  <si>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</si>
  <si>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</si>
  <si>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</si>
  <si>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</si>
  <si>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</si>
  <si>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</si>
  <si>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</si>
  <si>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</si>
  <si>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</si>
  <si>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</si>
  <si>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</si>
  <si>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</si>
  <si>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</si>
  <si>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</si>
  <si>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</si>
  <si>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</si>
  <si>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</si>
  <si>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</si>
  <si>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</si>
  <si>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</si>
  <si>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</si>
  <si>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</si>
  <si>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</si>
  <si>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</si>
  <si>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</si>
  <si>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</si>
  <si>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</si>
  <si>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</si>
  <si>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</si>
  <si>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</si>
  <si>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</si>
  <si>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</si>
  <si>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</si>
  <si>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</si>
  <si>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</si>
  <si>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</si>
  <si>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</si>
  <si>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</si>
  <si>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</si>
  <si>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</si>
  <si>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</si>
  <si>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</si>
  <si>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</si>
  <si>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</si>
  <si>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</si>
  <si>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</si>
  <si>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</si>
  <si>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</si>
  <si>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</si>
  <si>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</si>
  <si>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</si>
  <si>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</si>
  <si>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</si>
  <si>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</si>
  <si>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</si>
  <si>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</si>
  <si>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</si>
  <si>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</si>
  <si>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</si>
  <si>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</si>
  <si>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</si>
  <si>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</si>
  <si>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</si>
  <si>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</si>
  <si>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</si>
  <si>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</si>
  <si>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</si>
  <si>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</si>
  <si>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</si>
  <si>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</si>
  <si>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</si>
  <si>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</si>
  <si>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</si>
  <si>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</si>
  <si>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</si>
  <si>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</si>
  <si>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</si>
  <si>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</si>
  <si>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</si>
  <si>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</si>
  <si>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</si>
  <si>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</si>
  <si>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</si>
  <si>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</si>
  <si>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</si>
  <si>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</si>
  <si>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</si>
  <si>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</si>
  <si>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</si>
  <si>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</si>
  <si>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</si>
  <si>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</si>
  <si>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</si>
  <si>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</si>
  <si>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</si>
  <si>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</si>
  <si>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</si>
  <si>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</si>
  <si>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</si>
  <si>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</si>
  <si>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</si>
  <si>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</si>
  <si>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</si>
  <si>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</si>
  <si>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</si>
  <si>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</si>
  <si>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</si>
  <si>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</si>
  <si>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</si>
  <si>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</si>
  <si>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</si>
  <si>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</si>
  <si>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</si>
  <si>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</si>
  <si>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</si>
  <si>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</si>
  <si>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</si>
  <si>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</si>
  <si>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</si>
  <si>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</si>
  <si>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</si>
  <si>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</si>
  <si>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</si>
  <si>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</si>
  <si>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</si>
  <si>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</si>
  <si>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</si>
  <si>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</si>
  <si>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</si>
  <si>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</si>
  <si>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</si>
  <si>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</si>
  <si>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</si>
  <si>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</si>
  <si>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</si>
  <si>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</si>
  <si>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</si>
  <si>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</si>
  <si>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</si>
  <si>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</si>
  <si>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</si>
  <si>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</si>
  <si>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</si>
  <si>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</si>
  <si>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</si>
  <si>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</si>
  <si>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</si>
  <si>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</si>
  <si>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</si>
  <si>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</si>
  <si>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</si>
  <si>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</si>
  <si>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</si>
  <si>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</si>
  <si>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</si>
  <si>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</si>
  <si>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</si>
  <si>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</si>
  <si>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</si>
  <si>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</si>
  <si>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</si>
  <si>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</si>
  <si>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</si>
  <si>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</si>
  <si>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</si>
  <si>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</si>
  <si>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</si>
  <si>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</si>
  <si>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</si>
  <si>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</si>
  <si>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</si>
  <si>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</si>
  <si>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</si>
  <si>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</si>
  <si>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</si>
  <si>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</si>
  <si>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</si>
  <si>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</si>
  <si>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</si>
  <si>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</si>
  <si>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</si>
  <si>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</si>
  <si>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</si>
  <si>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</si>
  <si>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</si>
  <si>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</si>
  <si>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</si>
  <si>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</si>
  <si>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</si>
  <si>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</si>
  <si>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</si>
  <si>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</si>
  <si>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</si>
  <si>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</si>
  <si>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</si>
  <si>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</si>
  <si>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</si>
  <si>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</si>
  <si>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</si>
  <si>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</si>
  <si>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</si>
  <si>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</si>
  <si>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</si>
  <si>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</si>
  <si>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</si>
  <si>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</si>
  <si>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</si>
  <si>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</si>
  <si>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</si>
  <si>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</si>
  <si>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</si>
  <si>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</si>
  <si>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</si>
  <si>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</si>
  <si>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</si>
  <si>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</si>
  <si>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</si>
  <si>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</si>
  <si>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</si>
  <si>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</si>
  <si>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</si>
  <si>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</si>
  <si>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</si>
  <si>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</si>
  <si>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</si>
  <si>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</si>
  <si>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</si>
  <si>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</si>
  <si>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</si>
  <si>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</si>
  <si>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</si>
  <si>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</si>
  <si>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</si>
  <si>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</si>
  <si>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</si>
  <si>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</si>
  <si>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</si>
  <si>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</si>
  <si>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</si>
  <si>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</si>
  <si>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</si>
  <si>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</si>
  <si>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</si>
  <si>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</si>
  <si>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</si>
  <si>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</si>
  <si>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</si>
  <si>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</si>
  <si>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</si>
  <si>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</si>
  <si>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</si>
  <si>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</si>
  <si>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</si>
  <si>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</si>
  <si>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</si>
  <si>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</si>
  <si>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</si>
  <si>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</si>
  <si>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</si>
  <si>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</si>
  <si>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</si>
  <si>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</si>
  <si>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</si>
  <si>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</si>
  <si>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</si>
  <si>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</si>
  <si>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</si>
  <si>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</si>
  <si>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</si>
  <si>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</si>
  <si>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</si>
  <si>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</si>
  <si>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</si>
  <si>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</si>
  <si>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</si>
  <si>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</si>
  <si>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</si>
  <si>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</si>
  <si>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</si>
  <si>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</si>
  <si>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</si>
  <si>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</si>
  <si>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</si>
  <si>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</si>
  <si>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</si>
  <si>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</si>
  <si>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</si>
  <si>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</si>
  <si>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</si>
  <si>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</si>
  <si>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</si>
  <si>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</si>
  <si>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</si>
  <si>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</si>
  <si>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</si>
  <si>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</si>
  <si>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</si>
  <si>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</si>
  <si>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</si>
  <si>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</si>
  <si>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</si>
  <si>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</si>
  <si>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</si>
  <si>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</si>
  <si>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</si>
  <si>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</si>
  <si>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</si>
  <si>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</si>
  <si>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</si>
  <si>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</si>
  <si>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</si>
  <si>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</si>
  <si>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</si>
  <si>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</si>
  <si>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</si>
  <si>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</si>
  <si>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</si>
  <si>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</si>
  <si>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</si>
  <si>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</si>
  <si>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</si>
  <si>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</si>
  <si>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</si>
  <si>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</si>
  <si>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</si>
  <si>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</si>
  <si>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</si>
  <si>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</si>
  <si>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</si>
  <si>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</si>
  <si>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</si>
  <si>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</si>
  <si>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</si>
  <si>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</si>
  <si>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</si>
  <si>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</si>
  <si>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</si>
  <si>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</si>
  <si>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</si>
  <si>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</si>
  <si>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</si>
  <si>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</si>
  <si>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</si>
  <si>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</si>
  <si>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</si>
  <si>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</si>
  <si>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</si>
  <si>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</si>
  <si>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</si>
  <si>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</si>
  <si>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</si>
  <si>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</si>
  <si>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</si>
  <si>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</si>
  <si>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</si>
  <si>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</si>
  <si>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</si>
  <si>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</si>
  <si>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</si>
  <si>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</si>
  <si>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</si>
  <si>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</si>
  <si>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</si>
  <si>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</si>
  <si>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</si>
  <si>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</si>
  <si>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</si>
  <si>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</si>
  <si>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</si>
  <si>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</si>
  <si>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</si>
  <si>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</si>
  <si>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</si>
  <si>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</si>
  <si>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</si>
  <si>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</si>
  <si>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</si>
  <si>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</si>
  <si>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</si>
  <si>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</si>
  <si>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</si>
  <si>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</si>
  <si>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</si>
  <si>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</si>
  <si>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</si>
  <si>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</si>
  <si>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</si>
  <si>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</si>
  <si>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</si>
  <si>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</si>
  <si>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</si>
  <si>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</si>
  <si>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</si>
  <si>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</si>
  <si>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</si>
  <si>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</si>
  <si>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</si>
  <si>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</si>
  <si>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</si>
  <si>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</si>
  <si>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</si>
  <si>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</si>
  <si>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</si>
  <si>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</si>
  <si>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</si>
  <si>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</si>
  <si>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</si>
  <si>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</si>
  <si>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</si>
  <si>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</si>
  <si>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</si>
  <si>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</si>
  <si>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</si>
  <si>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</si>
  <si>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</si>
  <si>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</si>
  <si>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</si>
  <si>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</si>
  <si>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</si>
  <si>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</si>
  <si>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</si>
  <si>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</si>
  <si>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</si>
  <si>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</si>
  <si>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</si>
  <si>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</si>
  <si>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</si>
  <si>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</si>
  <si>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</si>
  <si>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</si>
  <si>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</si>
  <si>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</si>
  <si>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</si>
  <si>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</si>
  <si>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</si>
  <si>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</si>
  <si>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</si>
  <si>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</si>
  <si>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</si>
  <si>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</si>
  <si>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</si>
  <si>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</si>
  <si>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</si>
  <si>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</si>
  <si>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</si>
  <si>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</si>
  <si>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</si>
  <si>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</si>
  <si>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</si>
  <si>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</si>
  <si>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</si>
  <si>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</si>
  <si>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</si>
  <si>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</si>
  <si>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</si>
  <si>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</si>
  <si>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</si>
  <si>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</si>
  <si>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</si>
  <si>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</si>
  <si>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</si>
  <si>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</si>
  <si>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</si>
  <si>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</si>
  <si>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</si>
  <si>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</si>
  <si>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</si>
  <si>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</si>
  <si>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</si>
  <si>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</si>
  <si>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</si>
  <si>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</si>
  <si>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</si>
  <si>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</si>
  <si>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</si>
  <si>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</si>
  <si>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</si>
  <si>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</si>
  <si>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</si>
  <si>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</si>
  <si>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</si>
  <si>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</si>
  <si>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</si>
  <si>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</si>
  <si>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</si>
  <si>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</si>
  <si>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</si>
  <si>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</si>
  <si>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</si>
  <si>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</si>
  <si>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</si>
  <si>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</si>
  <si>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</si>
  <si>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</si>
  <si>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</si>
  <si>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</si>
  <si>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</si>
  <si>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</si>
  <si>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</si>
  <si>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</si>
  <si>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</si>
  <si>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</si>
  <si>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</si>
  <si>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</si>
  <si>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</si>
  <si>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</si>
  <si>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</si>
  <si>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</si>
  <si>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</si>
  <si>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</si>
  <si>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</si>
  <si>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</si>
  <si>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</si>
  <si>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</si>
  <si>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</si>
  <si>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</si>
  <si>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</si>
  <si>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</si>
  <si>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</si>
  <si>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</si>
  <si>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</si>
  <si>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</si>
  <si>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</si>
  <si>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</si>
  <si>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</si>
  <si>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</si>
  <si>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</si>
  <si>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</si>
  <si>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</si>
  <si>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</si>
  <si>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</si>
  <si>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</si>
  <si>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</si>
  <si>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</si>
  <si>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</si>
  <si>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</si>
  <si>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</si>
  <si>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</si>
  <si>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</si>
  <si>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</si>
  <si>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</si>
  <si>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</si>
  <si>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</si>
  <si>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</si>
  <si>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</si>
  <si>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</si>
  <si>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</si>
  <si>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</si>
  <si>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</si>
  <si>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</si>
  <si>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</si>
  <si>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</si>
  <si>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</si>
  <si>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</si>
  <si>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</si>
  <si>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</si>
  <si>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</si>
  <si>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</si>
  <si>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</si>
  <si>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</si>
  <si>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</si>
  <si>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</si>
  <si>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</si>
  <si>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</si>
  <si>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</si>
  <si>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</si>
  <si>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</si>
  <si>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</si>
  <si>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</si>
  <si>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</si>
  <si>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</si>
  <si>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</si>
  <si>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</si>
  <si>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</si>
  <si>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</si>
  <si>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</si>
  <si>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</si>
  <si>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</si>
  <si>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</si>
  <si>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</si>
  <si>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</si>
  <si>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</si>
  <si>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</si>
  <si>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</si>
  <si>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</si>
  <si>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</si>
  <si>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</si>
  <si>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</si>
  <si>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</si>
  <si>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</si>
  <si>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</si>
  <si>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</si>
  <si>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</si>
  <si>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</si>
  <si>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</si>
  <si>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</si>
  <si>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</si>
  <si>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</si>
  <si>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</si>
  <si>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</si>
  <si>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</si>
  <si>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</si>
  <si>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</si>
  <si>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</si>
  <si>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</si>
  <si>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</si>
  <si>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</si>
  <si>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</si>
  <si>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</si>
  <si>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</si>
  <si>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</si>
  <si>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</si>
  <si>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</si>
  <si>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</si>
  <si>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</si>
  <si>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</si>
  <si>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</si>
  <si>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</si>
  <si>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</si>
  <si>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</si>
  <si>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</si>
  <si>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</si>
  <si>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</si>
  <si>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</si>
  <si>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</si>
  <si>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</si>
  <si>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</si>
  <si>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</si>
  <si>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</si>
  <si>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</si>
  <si>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</si>
  <si>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</si>
  <si>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</si>
  <si>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</si>
  <si>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</si>
  <si>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</si>
  <si>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</si>
  <si>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</si>
  <si>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</si>
  <si>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</si>
  <si>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</si>
  <si>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</si>
  <si>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</si>
  <si>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</si>
  <si>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</si>
  <si>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</si>
  <si>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</si>
  <si>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</si>
  <si>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</si>
  <si>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</si>
  <si>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</si>
  <si>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</si>
  <si>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</si>
  <si>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</si>
  <si>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</si>
  <si>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</si>
  <si>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</si>
  <si>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</si>
  <si>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</si>
  <si>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</si>
  <si>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</si>
  <si>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</si>
  <si>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</si>
  <si>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</si>
  <si>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</si>
  <si>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</si>
  <si>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</si>
  <si>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</si>
  <si>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</si>
  <si>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</si>
  <si>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</si>
  <si>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</si>
  <si>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</si>
  <si>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</si>
  <si>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</si>
  <si>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</si>
  <si>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</si>
  <si>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</si>
  <si>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</si>
  <si>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</si>
  <si>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</si>
  <si>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</si>
  <si>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</si>
  <si>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</si>
  <si>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</si>
  <si>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</si>
  <si>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</si>
  <si>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</si>
  <si>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</si>
  <si>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</si>
  <si>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</si>
  <si>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</si>
  <si>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</si>
  <si>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</si>
  <si>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</si>
  <si>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</si>
  <si>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</si>
  <si>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</si>
  <si>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</si>
  <si>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</si>
  <si>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</si>
  <si>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</si>
  <si>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</si>
  <si>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</si>
  <si>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</si>
  <si>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</si>
  <si>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</si>
  <si>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</si>
  <si>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</si>
  <si>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</si>
  <si>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</si>
  <si>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</si>
  <si>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</si>
  <si>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</si>
  <si>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</si>
  <si>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</si>
  <si>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</si>
  <si>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</si>
  <si>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</si>
  <si>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</si>
  <si>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</si>
  <si>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</si>
  <si>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</si>
  <si>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</si>
  <si>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</si>
  <si>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</si>
  <si>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</si>
  <si>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</si>
  <si>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</si>
  <si>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</si>
  <si>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</si>
  <si>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</si>
  <si>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</si>
  <si>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</si>
  <si>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</si>
  <si>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</si>
  <si>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</si>
  <si>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</si>
  <si>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</si>
  <si>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</si>
  <si>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</si>
  <si>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</si>
  <si>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</si>
  <si>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</si>
  <si>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</si>
  <si>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</si>
  <si>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</si>
  <si>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</si>
  <si>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</si>
  <si>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</si>
  <si>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</si>
  <si>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</si>
  <si>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</si>
  <si>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</si>
  <si>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</si>
  <si>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</si>
  <si>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</si>
  <si>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</si>
  <si>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</si>
  <si>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</si>
  <si>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</si>
  <si>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</si>
  <si>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</si>
  <si>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</si>
  <si>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</si>
  <si>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</si>
  <si>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</si>
  <si>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</si>
  <si>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</si>
  <si>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</si>
  <si>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</si>
  <si>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</si>
  <si>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</si>
  <si>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</si>
  <si>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</si>
  <si>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</si>
  <si>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</si>
  <si>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</si>
  <si>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</si>
  <si>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</si>
  <si>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</si>
  <si>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</si>
  <si>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</si>
  <si>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</si>
  <si>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</si>
  <si>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</si>
  <si>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</si>
  <si>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</si>
  <si>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</si>
  <si>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</si>
  <si>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</si>
  <si>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</si>
  <si>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</si>
  <si>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</si>
  <si>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</si>
  <si>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</si>
  <si>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</si>
  <si>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</si>
  <si>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</si>
  <si>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</si>
  <si>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</si>
  <si>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</si>
  <si>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</si>
  <si>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</si>
  <si>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</si>
  <si>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</si>
  <si>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</si>
  <si>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</si>
  <si>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</si>
  <si>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</si>
  <si>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</si>
  <si>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</si>
  <si>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</si>
  <si>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</si>
  <si>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</si>
  <si>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</si>
  <si>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</si>
  <si>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</si>
  <si>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</si>
  <si>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</si>
  <si>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</si>
  <si>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</si>
  <si>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</si>
  <si>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</si>
  <si>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</si>
  <si>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</si>
  <si>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</si>
  <si>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</si>
  <si>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</si>
  <si>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</si>
  <si>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</si>
  <si>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</si>
  <si>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</si>
  <si>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</si>
  <si>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</si>
  <si>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</si>
  <si>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</si>
  <si>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</si>
  <si>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</si>
  <si>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</si>
  <si>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</si>
  <si>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</si>
  <si>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</si>
  <si>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</si>
  <si>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</si>
  <si>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</si>
  <si>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</si>
  <si>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</si>
  <si>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</si>
  <si>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</si>
  <si>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</si>
  <si>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</si>
  <si>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</si>
  <si>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</si>
  <si>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</si>
  <si>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</si>
  <si>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</si>
  <si>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</si>
  <si>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</si>
  <si>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</si>
  <si>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</si>
  <si>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</si>
  <si>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</si>
  <si>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</si>
  <si>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</si>
  <si>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</si>
  <si>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</si>
  <si>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</si>
  <si>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</si>
  <si>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</si>
  <si>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</si>
  <si>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</si>
  <si>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</si>
  <si>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</si>
  <si>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</si>
  <si>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</si>
  <si>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</si>
  <si>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</si>
  <si>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</si>
  <si>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</si>
  <si>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</si>
  <si>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</si>
  <si>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</si>
  <si>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</si>
  <si>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</si>
  <si>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</si>
  <si>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</si>
  <si>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</si>
  <si>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</si>
  <si>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</si>
  <si>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</si>
  <si>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</si>
  <si>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</si>
  <si>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</si>
  <si>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</si>
  <si>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</si>
  <si>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</si>
  <si>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</si>
  <si>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</si>
  <si>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</si>
  <si>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</si>
  <si>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</si>
  <si>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</si>
  <si>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</si>
  <si>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</si>
  <si>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</si>
  <si>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</si>
  <si>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</si>
  <si>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</si>
  <si>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</si>
  <si>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</si>
  <si>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</si>
  <si>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</si>
  <si>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</si>
  <si>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</si>
  <si>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</si>
  <si>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</si>
  <si>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</si>
  <si>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</si>
  <si>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</si>
  <si>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</si>
  <si>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</si>
  <si>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</si>
  <si>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</si>
  <si>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</si>
  <si>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</si>
  <si>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</si>
  <si>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</si>
  <si>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</si>
  <si>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</si>
  <si>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</si>
  <si>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</si>
  <si>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</si>
  <si>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</si>
  <si>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</si>
  <si>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</si>
  <si>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</si>
  <si>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</si>
  <si>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</si>
  <si>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</si>
  <si>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</si>
  <si>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</si>
  <si>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</si>
  <si>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</si>
  <si>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</si>
  <si>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</si>
  <si>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</si>
  <si>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</si>
  <si>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</si>
  <si>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</si>
  <si>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</si>
  <si>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</si>
  <si>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</si>
  <si>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</si>
  <si>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</si>
  <si>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</si>
  <si>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</si>
  <si>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</si>
  <si>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</si>
  <si>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</si>
  <si>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</si>
  <si>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</si>
  <si>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</si>
  <si>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</si>
  <si>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</si>
  <si>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</si>
  <si>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</si>
  <si>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</si>
  <si>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</si>
  <si>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</si>
  <si>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</si>
  <si>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</si>
  <si>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</si>
  <si>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</si>
  <si>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</si>
  <si>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</si>
  <si>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</si>
  <si>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</si>
  <si>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</si>
  <si>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</si>
  <si>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</si>
  <si>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</si>
  <si>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</si>
  <si>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</si>
  <si>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</si>
  <si>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</si>
  <si>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</si>
  <si>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</si>
  <si>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</si>
  <si>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</si>
  <si>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</si>
  <si>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</si>
  <si>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</si>
  <si>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</si>
  <si>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</si>
  <si>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</si>
  <si>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</si>
  <si>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</si>
  <si>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</si>
  <si>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</si>
  <si>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</si>
  <si>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</si>
  <si>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</si>
  <si>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</si>
  <si>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</si>
  <si>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</si>
  <si>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</si>
  <si>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</si>
  <si>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</si>
  <si>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</si>
  <si>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</si>
  <si>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</si>
  <si>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</si>
  <si>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</si>
  <si>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</si>
  <si>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</si>
  <si>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</si>
  <si>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</si>
  <si>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</si>
  <si>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</si>
  <si>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</si>
  <si>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</si>
  <si>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</si>
  <si>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</si>
  <si>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</si>
  <si>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</si>
  <si>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</si>
  <si>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</si>
  <si>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</si>
  <si>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</si>
  <si>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</si>
  <si>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</si>
  <si>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</si>
  <si>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</si>
  <si>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</si>
  <si>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</si>
  <si>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</si>
  <si>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</si>
  <si>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</si>
  <si>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</si>
  <si>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</si>
  <si>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</si>
  <si>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</si>
  <si>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</si>
  <si>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</si>
  <si>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</si>
  <si>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</si>
  <si>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</si>
  <si>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</si>
  <si>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</si>
  <si>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</si>
  <si>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</si>
  <si>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</si>
  <si>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</si>
  <si>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</si>
  <si>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</si>
  <si>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</si>
  <si>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</si>
  <si>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</si>
  <si>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</si>
  <si>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</si>
  <si>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</si>
  <si>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</si>
  <si>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</si>
  <si>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</si>
  <si>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</si>
  <si>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</si>
  <si>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</si>
  <si>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</si>
  <si>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</si>
  <si>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</si>
  <si>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</si>
  <si>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</si>
  <si>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</si>
  <si>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</si>
  <si>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</si>
  <si>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</si>
  <si>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</si>
  <si>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</si>
  <si>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</si>
  <si>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</si>
  <si>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</si>
  <si>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</si>
  <si>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</si>
  <si>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</si>
  <si>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</si>
  <si>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</si>
  <si>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</si>
  <si>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</si>
  <si>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</si>
  <si>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</si>
  <si>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</si>
  <si>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</si>
  <si>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</si>
  <si>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</si>
  <si>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</si>
  <si>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</si>
  <si>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</si>
  <si>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</si>
  <si>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</si>
  <si>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</si>
  <si>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</si>
  <si>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</si>
  <si>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</si>
  <si>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</si>
  <si>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</si>
  <si>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</si>
  <si>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</si>
  <si>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</si>
  <si>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</si>
  <si>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</si>
  <si>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</si>
  <si>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</si>
  <si>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</si>
  <si>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</si>
  <si>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</si>
  <si>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</si>
  <si>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</si>
  <si>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</si>
  <si>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</si>
  <si>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</si>
  <si>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</si>
  <si>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</si>
  <si>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</si>
  <si>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</si>
  <si>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</si>
  <si>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</si>
  <si>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</si>
  <si>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</si>
  <si>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</si>
  <si>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</si>
  <si>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</si>
  <si>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</si>
  <si>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</si>
  <si>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</si>
  <si>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</si>
  <si>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</si>
  <si>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</si>
  <si>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</si>
  <si>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</si>
  <si>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</si>
  <si>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</si>
  <si>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</si>
  <si>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</si>
  <si>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</si>
  <si>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</si>
  <si>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</si>
  <si>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</si>
  <si>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</si>
  <si>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</si>
  <si>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</si>
  <si>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</si>
  <si>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</si>
  <si>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</si>
  <si>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</si>
  <si>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</si>
  <si>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</si>
  <si>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</si>
  <si>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</si>
  <si>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</si>
  <si>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</si>
  <si>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</si>
  <si>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</si>
  <si>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</si>
  <si>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</si>
  <si>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</si>
  <si>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</si>
  <si>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</si>
  <si>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</si>
  <si>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</si>
  <si>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</si>
  <si>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</si>
  <si>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</si>
  <si>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</si>
  <si>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</si>
  <si>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</si>
  <si>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</si>
  <si>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</si>
  <si>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</si>
  <si>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</si>
  <si>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</si>
  <si>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</si>
  <si>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</si>
  <si>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</si>
  <si>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</si>
  <si>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</si>
  <si>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</si>
  <si>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</si>
  <si>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</si>
  <si>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</si>
  <si>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</si>
  <si>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</si>
  <si>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</si>
  <si>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</si>
  <si>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</si>
  <si>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</si>
  <si>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</si>
  <si>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</si>
  <si>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</si>
  <si>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</si>
  <si>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</si>
  <si>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</si>
  <si>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</si>
  <si>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</si>
  <si>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</si>
  <si>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</si>
  <si>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</si>
  <si>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</si>
  <si>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</si>
  <si>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</si>
  <si>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</si>
  <si>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</si>
  <si>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</si>
  <si>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</si>
  <si>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</si>
  <si>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</si>
  <si>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</si>
  <si>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</si>
  <si>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</si>
  <si>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</si>
  <si>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</si>
  <si>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</si>
  <si>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</si>
  <si>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</si>
  <si>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</si>
  <si>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</si>
  <si>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</si>
  <si>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</si>
  <si>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</si>
  <si>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</si>
  <si>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</si>
  <si>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</si>
  <si>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</si>
  <si>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</si>
  <si>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</si>
  <si>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</si>
  <si>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</si>
  <si>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</si>
  <si>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</si>
  <si>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</si>
  <si>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</si>
  <si>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</si>
  <si>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</si>
  <si>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</si>
  <si>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</si>
  <si>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</si>
  <si>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</si>
  <si>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</si>
  <si>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</si>
  <si>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</si>
  <si>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</si>
  <si>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</si>
  <si>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</si>
  <si>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</si>
  <si>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</si>
  <si>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</si>
  <si>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</si>
  <si>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</si>
  <si>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</si>
  <si>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</si>
  <si>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</si>
  <si>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</si>
  <si>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</si>
  <si>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</si>
  <si>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</si>
  <si>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</si>
  <si>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</si>
  <si>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</si>
  <si>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</si>
  <si>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</si>
  <si>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</si>
  <si>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</si>
  <si>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</si>
  <si>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</si>
  <si>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</si>
  <si>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</si>
  <si>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</si>
  <si>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</si>
  <si>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</si>
  <si>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</si>
  <si>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</si>
  <si>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</si>
  <si>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</si>
  <si>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</si>
  <si>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</si>
  <si>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</si>
  <si>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</si>
  <si>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</si>
  <si>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</si>
  <si>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</si>
  <si>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</si>
  <si>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</si>
  <si>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</si>
  <si>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</si>
  <si>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</si>
  <si>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</si>
  <si>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</si>
  <si>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</si>
  <si>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</si>
  <si>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</si>
  <si>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</si>
  <si>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</si>
  <si>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</si>
  <si>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</si>
  <si>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</si>
  <si>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</si>
  <si>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</si>
  <si>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</si>
  <si>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</si>
  <si>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</si>
  <si>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</si>
  <si>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</si>
  <si>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</si>
  <si>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</si>
  <si>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</si>
  <si>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</si>
  <si>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</si>
  <si>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</si>
  <si>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</si>
  <si>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</si>
  <si>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</si>
  <si>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</si>
  <si>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</si>
  <si>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</si>
  <si>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</si>
  <si>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</si>
  <si>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</si>
  <si>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</si>
  <si>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</si>
  <si>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</si>
  <si>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</si>
  <si>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</si>
  <si>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</si>
  <si>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</si>
  <si>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</si>
  <si>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</si>
  <si>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</si>
  <si>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</si>
  <si>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</si>
  <si>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</si>
  <si>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</si>
  <si>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</si>
  <si>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</si>
  <si>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</si>
  <si>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</si>
  <si>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</si>
  <si>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</si>
  <si>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</si>
  <si>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</si>
  <si>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</si>
  <si>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</si>
  <si>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</si>
  <si>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</si>
  <si>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</si>
  <si>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</si>
  <si>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</si>
  <si>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</si>
  <si>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</si>
  <si>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</si>
  <si>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</si>
  <si>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</si>
  <si>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</si>
  <si>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</si>
  <si>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</si>
  <si>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</si>
  <si>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</si>
  <si>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</si>
  <si>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</si>
  <si>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</si>
  <si>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</si>
  <si>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</si>
  <si>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</si>
  <si>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</si>
  <si>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</si>
  <si>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</si>
  <si>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</si>
  <si>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</si>
  <si>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</si>
  <si>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</si>
  <si>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</si>
  <si>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</si>
  <si>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</si>
  <si>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</si>
  <si>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</si>
  <si>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</si>
  <si>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</si>
  <si>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</si>
  <si>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</si>
  <si>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</si>
  <si>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</si>
  <si>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</si>
  <si>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</si>
  <si>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</si>
  <si>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</si>
  <si>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</si>
  <si>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</si>
  <si>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</si>
  <si>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</si>
  <si>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</si>
  <si>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</si>
  <si>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</si>
  <si>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</si>
  <si>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</si>
  <si>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</si>
  <si>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</si>
  <si>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</si>
  <si>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</si>
  <si>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</si>
  <si>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</si>
  <si>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</si>
  <si>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</si>
  <si>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</si>
  <si>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</si>
  <si>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</si>
  <si>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</si>
  <si>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</si>
  <si>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</si>
  <si>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</si>
  <si>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</si>
  <si>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</si>
  <si>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</si>
  <si>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</si>
  <si>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</si>
  <si>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</si>
  <si>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</si>
  <si>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</si>
  <si>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</si>
  <si>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</si>
  <si>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</si>
  <si>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</si>
  <si>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</si>
  <si>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</si>
  <si>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</si>
  <si>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</si>
  <si>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</si>
  <si>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</si>
  <si>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</si>
  <si>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</si>
  <si>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</si>
  <si>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</si>
  <si>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</si>
  <si>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</si>
  <si>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</si>
  <si>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</si>
  <si>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</si>
  <si>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</si>
  <si>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</si>
  <si>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</si>
  <si>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</si>
  <si>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</si>
  <si>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</si>
  <si>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</si>
  <si>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</si>
  <si>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</si>
  <si>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</si>
  <si>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</si>
  <si>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</si>
  <si>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</si>
  <si>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</si>
  <si>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</si>
  <si>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</si>
  <si>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</si>
  <si>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</si>
  <si>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</si>
  <si>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</si>
  <si>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</si>
  <si>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</si>
  <si>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</si>
  <si>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</si>
  <si>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</si>
  <si>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</si>
  <si>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</si>
  <si>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</si>
  <si>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</si>
  <si>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</si>
  <si>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</si>
  <si>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</si>
  <si>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</si>
  <si>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</si>
  <si>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</si>
  <si>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</si>
  <si>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</si>
  <si>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</si>
  <si>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</si>
  <si>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</si>
  <si>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</si>
  <si>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</si>
  <si>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</si>
  <si>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</si>
  <si>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</si>
  <si>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</si>
  <si>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</si>
  <si>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</si>
  <si>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</si>
  <si>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</si>
  <si>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</si>
  <si>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</si>
  <si>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</si>
  <si>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</si>
  <si>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</si>
  <si>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</si>
  <si>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</si>
  <si>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</si>
  <si>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</si>
  <si>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</si>
  <si>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</si>
  <si>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</si>
  <si>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</si>
  <si>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</si>
  <si>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</si>
  <si>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</si>
  <si>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</si>
  <si>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</si>
  <si>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</si>
  <si>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</si>
  <si>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</si>
  <si>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</si>
  <si>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</si>
  <si>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</si>
  <si>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</si>
  <si>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</si>
  <si>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</si>
  <si>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</si>
  <si>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</si>
  <si>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</si>
  <si>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</si>
  <si>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</si>
  <si>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</si>
  <si>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</si>
  <si>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</si>
  <si>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</si>
  <si>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</si>
  <si>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</si>
  <si>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</si>
  <si>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</si>
  <si>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</si>
  <si>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</si>
  <si>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</si>
  <si>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</si>
  <si>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</si>
  <si>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</si>
  <si>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</si>
  <si>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</si>
  <si>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</si>
  <si>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</si>
  <si>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</si>
  <si>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</si>
  <si>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</si>
  <si>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</si>
  <si>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</si>
  <si>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</si>
  <si>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</si>
  <si>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</si>
  <si>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</si>
  <si>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</si>
  <si>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</si>
  <si>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</si>
  <si>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</si>
  <si>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</si>
  <si>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</si>
  <si>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</si>
  <si>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</si>
  <si>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</si>
  <si>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</si>
  <si>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</si>
  <si>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</si>
  <si>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</si>
  <si>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</si>
  <si>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</si>
  <si>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</si>
  <si>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</si>
  <si>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</si>
  <si>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</si>
  <si>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</si>
  <si>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</si>
  <si>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</si>
  <si>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</si>
  <si>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</si>
  <si>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</si>
  <si>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</si>
  <si>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</si>
  <si>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</si>
  <si>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</si>
  <si>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</si>
  <si>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</si>
  <si>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</si>
  <si>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</si>
  <si>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</si>
  <si>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</si>
  <si>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</si>
  <si>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</si>
  <si>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</si>
  <si>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</si>
  <si>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</si>
  <si>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</si>
  <si>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</si>
  <si>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</si>
  <si>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</si>
  <si>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</si>
  <si>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</si>
  <si>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</si>
  <si>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</si>
  <si>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</si>
  <si>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</si>
  <si>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</si>
  <si>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</si>
  <si>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</si>
  <si>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</si>
  <si>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</si>
  <si>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</si>
  <si>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</si>
  <si>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</si>
  <si>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</si>
  <si>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</si>
  <si>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</si>
  <si>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</si>
  <si>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</si>
  <si>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</si>
  <si>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</si>
  <si>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</si>
  <si>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</si>
  <si>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</si>
  <si>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</si>
  <si>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</si>
  <si>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</si>
  <si>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</si>
  <si>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</si>
  <si>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</si>
  <si>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</si>
  <si>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</si>
  <si>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</si>
  <si>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</si>
  <si>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</si>
  <si>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</si>
  <si>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</si>
  <si>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</si>
  <si>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</si>
  <si>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</si>
  <si>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</si>
  <si>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</si>
  <si>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</si>
  <si>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</si>
  <si>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</si>
  <si>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</si>
  <si>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</si>
  <si>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</si>
  <si>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</si>
  <si>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</si>
  <si>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</si>
  <si>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</si>
  <si>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</si>
  <si>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</si>
  <si>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</si>
  <si>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</si>
  <si>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</si>
  <si>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</si>
  <si>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</si>
  <si>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</si>
  <si>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</si>
  <si>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</si>
  <si>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</si>
  <si>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</si>
  <si>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</si>
  <si>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</si>
  <si>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</si>
  <si>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</si>
  <si>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</si>
  <si>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</si>
  <si>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</si>
  <si>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</si>
  <si>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</si>
  <si>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</si>
  <si>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</si>
  <si>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</si>
  <si>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</si>
  <si>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</si>
  <si>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</si>
  <si>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</si>
  <si>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</si>
  <si>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</si>
  <si>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</si>
  <si>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</si>
  <si>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</si>
  <si>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</si>
  <si>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</si>
  <si>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</si>
  <si>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</si>
  <si>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</si>
  <si>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</si>
  <si>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</si>
  <si>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</si>
  <si>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</si>
  <si>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</si>
  <si>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</si>
  <si>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</si>
  <si>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</si>
  <si>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</si>
  <si>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</si>
  <si>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</si>
  <si>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</si>
  <si>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</si>
  <si>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</si>
  <si>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</si>
  <si>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</si>
  <si>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</si>
  <si>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</si>
  <si>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</si>
  <si>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</si>
  <si>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</si>
  <si>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</si>
  <si>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</si>
  <si>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</si>
  <si>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</si>
  <si>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</si>
  <si>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</si>
  <si>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</si>
  <si>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</si>
  <si>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</si>
  <si>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</si>
  <si>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</si>
  <si>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</si>
  <si>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</si>
  <si>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</si>
  <si>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</si>
  <si>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</si>
  <si>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</si>
  <si>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</si>
  <si>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</si>
  <si>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</si>
  <si>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</si>
  <si>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</si>
  <si>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</si>
  <si>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</si>
  <si>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</si>
  <si>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</si>
  <si>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</si>
  <si>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</si>
  <si>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</si>
  <si>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</si>
  <si>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</si>
  <si>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</si>
  <si>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</si>
  <si>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</si>
  <si>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</si>
  <si>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</si>
  <si>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</si>
  <si>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</si>
  <si>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</si>
  <si>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</si>
  <si>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</si>
  <si>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</si>
  <si>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</si>
  <si>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</si>
  <si>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</si>
  <si>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</si>
  <si>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</si>
  <si>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</si>
  <si>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</si>
  <si>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</si>
  <si>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</si>
  <si>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</si>
  <si>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</si>
  <si>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</si>
  <si>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</si>
  <si>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</si>
  <si>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</si>
  <si>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</si>
  <si>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</si>
  <si>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</si>
  <si>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</si>
  <si>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</si>
  <si>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</si>
  <si>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</si>
  <si>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</si>
  <si>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</si>
  <si>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</si>
  <si>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</si>
  <si>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</si>
  <si>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</si>
  <si>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</si>
  <si>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</si>
  <si>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</si>
  <si>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</si>
  <si>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</si>
  <si>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</si>
  <si>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</si>
  <si>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</si>
  <si>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</si>
  <si>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</si>
  <si>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</si>
  <si>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</si>
  <si>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</si>
  <si>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</si>
  <si>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</si>
  <si>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</si>
  <si>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</si>
  <si>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</si>
  <si>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</si>
  <si>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</si>
  <si>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</si>
  <si>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</si>
  <si>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</si>
  <si>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</si>
  <si>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</si>
  <si>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</si>
  <si>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</si>
  <si>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</si>
  <si>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</si>
  <si>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</si>
  <si>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</si>
  <si>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</si>
  <si>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</si>
  <si>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</si>
  <si>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</si>
  <si>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</si>
  <si>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</si>
  <si>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</si>
  <si>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</si>
  <si>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</si>
  <si>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</si>
  <si>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</si>
  <si>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</si>
  <si>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</si>
  <si>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</si>
  <si>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</si>
  <si>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</si>
  <si>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</si>
  <si>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</si>
  <si>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</si>
  <si>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</si>
  <si>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</si>
  <si>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</si>
  <si>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</si>
  <si>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</si>
  <si>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</si>
  <si>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</si>
  <si>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</si>
  <si>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</si>
  <si>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</si>
  <si>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</si>
  <si>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</si>
  <si>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</si>
  <si>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</si>
  <si>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</si>
  <si>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</si>
  <si>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</si>
  <si>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</si>
  <si>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</si>
  <si>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</si>
  <si>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</si>
  <si>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</si>
  <si>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</si>
  <si>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</si>
  <si>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</si>
  <si>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</si>
  <si>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</si>
  <si>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</si>
  <si>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</si>
  <si>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</si>
  <si>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</si>
  <si>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</si>
  <si>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</si>
  <si>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</si>
  <si>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</si>
  <si>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</si>
  <si>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</si>
  <si>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</si>
  <si>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</si>
  <si>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</si>
  <si>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</si>
  <si>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</si>
  <si>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</si>
  <si>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</si>
  <si>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</si>
  <si>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</si>
  <si>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</si>
  <si>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</si>
  <si>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</si>
  <si>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</si>
  <si>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</si>
  <si>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</si>
  <si>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</si>
  <si>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</si>
  <si>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</si>
  <si>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</si>
  <si>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</si>
  <si>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</si>
  <si>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</si>
  <si>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</si>
  <si>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</si>
  <si>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</si>
  <si>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</si>
  <si>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</si>
  <si>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</si>
  <si>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</si>
  <si>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</si>
  <si>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</si>
  <si>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</si>
  <si>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</si>
  <si>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</si>
  <si>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</si>
  <si>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</si>
  <si>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</si>
  <si>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</si>
  <si>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</si>
  <si>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</si>
  <si>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</si>
  <si>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</si>
  <si>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</si>
  <si>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</si>
  <si>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</si>
  <si>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</si>
  <si>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</si>
  <si>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</si>
  <si>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</si>
  <si>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</si>
  <si>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</si>
  <si>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</si>
  <si>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</si>
  <si>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</si>
  <si>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</si>
  <si>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</si>
  <si>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</si>
  <si>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</si>
  <si>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</si>
  <si>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</si>
  <si>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</si>
  <si>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</si>
  <si>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</si>
  <si>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</si>
  <si>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</si>
  <si>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</si>
  <si>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</si>
  <si>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</si>
  <si>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</si>
  <si>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</si>
  <si>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</si>
  <si>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</si>
  <si>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</si>
  <si>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</si>
  <si>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</si>
  <si>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</si>
  <si>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</si>
  <si>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</si>
  <si>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</si>
  <si>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</si>
  <si>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</si>
  <si>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</si>
  <si>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</si>
  <si>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</si>
  <si>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</si>
  <si>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</si>
  <si>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</si>
  <si>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</si>
  <si>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</si>
  <si>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</si>
  <si>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</si>
  <si>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</si>
  <si>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</si>
  <si>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</si>
  <si>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</si>
  <si>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</si>
  <si>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</si>
  <si>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</si>
  <si>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</si>
  <si>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</si>
  <si>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</si>
  <si>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</si>
  <si>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</si>
  <si>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</si>
  <si>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</si>
  <si>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</si>
  <si>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</si>
  <si>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</si>
  <si>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</si>
  <si>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</si>
  <si>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</si>
  <si>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</si>
  <si>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</si>
  <si>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</si>
  <si>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</si>
  <si>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</si>
  <si>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</si>
  <si>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</si>
  <si>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</si>
  <si>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</si>
  <si>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</si>
  <si>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</si>
  <si>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</si>
  <si>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</si>
  <si>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</si>
  <si>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</si>
  <si>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</si>
  <si>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</si>
  <si>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</si>
  <si>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</si>
  <si>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</si>
  <si>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</si>
  <si>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</si>
  <si>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</si>
  <si>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</si>
  <si>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</si>
  <si>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</si>
  <si>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</si>
  <si>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</si>
  <si>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</si>
  <si>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</si>
  <si>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</si>
  <si>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</si>
  <si>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</si>
  <si>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</si>
  <si>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</si>
  <si>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</si>
  <si>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</si>
  <si>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</si>
  <si>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</si>
  <si>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</si>
  <si>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</si>
  <si>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</si>
  <si>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</si>
  <si>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</si>
  <si>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</si>
  <si>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</si>
  <si>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</si>
  <si>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</si>
  <si>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</si>
  <si>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</si>
  <si>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</si>
  <si>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</si>
  <si>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</si>
  <si>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</si>
  <si>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</si>
  <si>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</si>
  <si>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</si>
  <si>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</si>
  <si>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</si>
  <si>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</si>
  <si>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</si>
  <si>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</si>
  <si>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</si>
  <si>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</si>
  <si>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</si>
  <si>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</si>
  <si>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</si>
  <si>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</si>
  <si>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</si>
  <si>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</si>
  <si>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</si>
  <si>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</si>
  <si>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</si>
  <si>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</si>
  <si>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</si>
  <si>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</si>
  <si>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</si>
  <si>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</si>
  <si>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</si>
  <si>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</si>
  <si>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</si>
  <si>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</si>
  <si>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</si>
  <si>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</si>
  <si>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</si>
  <si>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</si>
  <si>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</si>
  <si>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</si>
  <si>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</si>
  <si>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</si>
  <si>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</si>
  <si>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</si>
  <si>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</si>
  <si>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</si>
  <si>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</si>
  <si>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</si>
  <si>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</si>
  <si>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</si>
  <si>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</si>
  <si>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</si>
  <si>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</si>
  <si>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</si>
  <si>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</si>
  <si>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</si>
  <si>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</si>
  <si>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</si>
  <si>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</si>
  <si>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</si>
  <si>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</si>
  <si>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</si>
  <si>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</si>
  <si>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</si>
  <si>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</si>
  <si>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</si>
  <si>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</si>
  <si>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</si>
  <si>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</si>
  <si>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</si>
  <si>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</si>
  <si>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</si>
  <si>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</si>
  <si>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</si>
  <si>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</si>
  <si>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</si>
  <si>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</si>
  <si>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</si>
  <si>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</si>
  <si>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</si>
  <si>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</si>
  <si>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</si>
  <si>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</si>
  <si>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</si>
  <si>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</si>
  <si>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</si>
  <si>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</si>
  <si>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</si>
  <si>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</si>
  <si>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</si>
  <si>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</si>
  <si>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</si>
  <si>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</si>
  <si>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</si>
  <si>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</si>
  <si>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</si>
  <si>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</si>
  <si>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</si>
  <si>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</si>
  <si>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</si>
  <si>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</si>
  <si>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</si>
  <si>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</si>
  <si>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</si>
  <si>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</si>
  <si>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</si>
  <si>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</si>
  <si>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</si>
  <si>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</si>
  <si>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</si>
  <si>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</si>
  <si>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</si>
  <si>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</si>
  <si>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</si>
  <si>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</si>
  <si>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</si>
  <si>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</si>
  <si>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</si>
  <si>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</si>
  <si>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</si>
  <si>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</si>
  <si>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</si>
  <si>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</si>
  <si>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</si>
  <si>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</si>
  <si>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</si>
  <si>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</si>
  <si>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</si>
  <si>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</si>
  <si>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</si>
  <si>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</si>
  <si>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</si>
  <si>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</si>
  <si>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</si>
  <si>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</si>
  <si>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</si>
  <si>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</si>
  <si>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</si>
  <si>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</si>
  <si>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</si>
  <si>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</si>
  <si>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</si>
  <si>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</si>
  <si>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</si>
  <si>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</si>
  <si>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</si>
  <si>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</si>
  <si>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</si>
  <si>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</si>
  <si>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</si>
  <si>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</si>
  <si>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</si>
  <si>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</si>
  <si>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</si>
  <si>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</si>
  <si>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</si>
  <si>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</si>
  <si>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</si>
  <si>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</si>
  <si>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</si>
  <si>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</si>
  <si>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</si>
  <si>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</si>
  <si>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</si>
  <si>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</si>
  <si>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</si>
  <si>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</si>
  <si>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</si>
  <si>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</si>
  <si>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</si>
  <si>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</si>
  <si>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</si>
  <si>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</si>
  <si>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</si>
  <si>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</si>
  <si>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</si>
  <si>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</si>
  <si>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</si>
  <si>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</si>
  <si>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</si>
  <si>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</si>
  <si>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</si>
  <si>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</si>
  <si>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</si>
  <si>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</si>
  <si>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</si>
  <si>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</si>
  <si>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</si>
  <si>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</si>
  <si>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</si>
  <si>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</si>
  <si>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</si>
  <si>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</si>
  <si>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</si>
  <si>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</si>
  <si>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</si>
  <si>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</si>
  <si>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</si>
  <si>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</si>
  <si>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</si>
  <si>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</si>
  <si>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</si>
  <si>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</si>
  <si>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</si>
  <si>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</si>
  <si>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</si>
  <si>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</si>
  <si>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</si>
  <si>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</si>
  <si>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</si>
  <si>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</si>
  <si>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</si>
  <si>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</si>
  <si>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</si>
  <si>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</si>
  <si>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</si>
  <si>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</si>
  <si>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</si>
  <si>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</si>
  <si>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</si>
  <si>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</si>
  <si>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</si>
  <si>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</si>
  <si>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</si>
  <si>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</si>
  <si>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</si>
  <si>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</si>
  <si>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</si>
  <si>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</si>
  <si>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</si>
  <si>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</si>
  <si>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</si>
  <si>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</si>
  <si>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</si>
  <si>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</si>
  <si>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</si>
  <si>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</si>
  <si>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</si>
  <si>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</si>
  <si>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</si>
  <si>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</si>
  <si>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</si>
  <si>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</si>
  <si>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</si>
  <si>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</si>
  <si>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</si>
  <si>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</si>
  <si>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</si>
  <si>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</si>
  <si>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</si>
  <si>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</si>
  <si>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</si>
  <si>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</si>
  <si>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</si>
  <si>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</si>
  <si>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</si>
  <si>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</si>
  <si>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</si>
  <si>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</si>
  <si>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</si>
  <si>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</si>
  <si>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</si>
  <si>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</si>
  <si>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</si>
  <si>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</si>
  <si>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</si>
  <si>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</si>
  <si>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</si>
  <si>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</si>
  <si>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</si>
  <si>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</si>
  <si>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</si>
  <si>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</si>
  <si>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</si>
  <si>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</si>
  <si>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</si>
  <si>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</si>
  <si>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</si>
  <si>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</si>
  <si>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</si>
  <si>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</si>
  <si>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</si>
  <si>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</si>
  <si>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</si>
  <si>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</si>
  <si>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</si>
  <si>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</si>
  <si>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</si>
  <si>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</si>
  <si>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</si>
  <si>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</si>
  <si>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</si>
  <si>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</si>
  <si>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</si>
  <si>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</si>
  <si>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</si>
  <si>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</si>
  <si>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</si>
  <si>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</si>
  <si>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</si>
  <si>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</si>
  <si>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</si>
  <si>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</si>
  <si>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</si>
  <si>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</si>
  <si>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</si>
  <si>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</si>
  <si>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</si>
  <si>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</si>
  <si>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</si>
  <si>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</si>
  <si>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</si>
  <si>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</si>
  <si>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</si>
  <si>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</si>
  <si>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</si>
  <si>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</si>
  <si>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</si>
  <si>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</si>
  <si>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</si>
  <si>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</si>
  <si>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</si>
  <si>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</si>
  <si>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</si>
  <si>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</si>
  <si>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</si>
  <si>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</si>
  <si>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</si>
  <si>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</si>
  <si>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</si>
  <si>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</si>
  <si>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</si>
  <si>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</si>
  <si>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</si>
  <si>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</si>
  <si>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</si>
  <si>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</si>
  <si>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</si>
  <si>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</si>
  <si>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</si>
  <si>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</si>
  <si>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</si>
  <si>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</si>
  <si>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</si>
  <si>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</si>
  <si>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</si>
  <si>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</si>
  <si>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</si>
  <si>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</si>
  <si>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</si>
  <si>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</si>
  <si>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</si>
  <si>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</si>
  <si>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</si>
  <si>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</si>
  <si>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</si>
  <si>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</si>
  <si>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</si>
  <si>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</si>
  <si>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</si>
  <si>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</si>
  <si>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</si>
  <si>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</si>
  <si>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</si>
  <si>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</si>
  <si>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</si>
  <si>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</si>
  <si>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</si>
  <si>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</si>
  <si>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</si>
  <si>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</si>
  <si>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</si>
  <si>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</si>
  <si>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</si>
  <si>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</si>
  <si>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</si>
  <si>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</si>
  <si>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</si>
  <si>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</si>
  <si>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</si>
  <si>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</si>
  <si>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</si>
  <si>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</si>
  <si>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</si>
  <si>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</si>
  <si>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</si>
  <si>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</si>
  <si>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</si>
  <si>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</si>
  <si>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</si>
  <si>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</si>
  <si>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</si>
  <si>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</si>
  <si>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</si>
  <si>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</si>
  <si>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</si>
  <si>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</si>
  <si>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</si>
  <si>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</si>
  <si>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</si>
  <si>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</si>
  <si>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</si>
  <si>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</si>
  <si>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</si>
  <si>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</si>
  <si>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</si>
  <si>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</si>
  <si>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</si>
  <si>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</si>
  <si>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</si>
  <si>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</si>
  <si>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</si>
  <si>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</si>
  <si>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</si>
  <si>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</si>
  <si>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</si>
  <si>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</si>
  <si>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</si>
  <si>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</si>
  <si>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</si>
  <si>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</si>
  <si>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</si>
  <si>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</si>
  <si>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</si>
  <si>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</si>
  <si>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</si>
  <si>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</si>
  <si>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</si>
  <si>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</si>
  <si>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</si>
  <si>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</si>
  <si>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</si>
  <si>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</si>
  <si>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</si>
  <si>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</si>
  <si>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</si>
  <si>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</si>
  <si>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</si>
  <si>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</si>
  <si>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</si>
  <si>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</si>
  <si>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</si>
  <si>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</si>
  <si>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</si>
  <si>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</si>
  <si>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</si>
  <si>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</si>
  <si>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</si>
  <si>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</si>
  <si>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</si>
  <si>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</si>
  <si>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</si>
  <si>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</si>
  <si>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</si>
  <si>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</si>
  <si>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</si>
  <si>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</si>
  <si>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</si>
  <si>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</si>
  <si>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</si>
  <si>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</si>
  <si>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</si>
  <si>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</si>
  <si>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</si>
  <si>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</si>
  <si>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</si>
  <si>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</si>
  <si>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</si>
  <si>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</si>
  <si>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</si>
  <si>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</si>
  <si>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</si>
  <si>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</si>
  <si>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</si>
  <si>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</si>
  <si>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</si>
  <si>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</si>
  <si>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</si>
  <si>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</si>
  <si>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</si>
  <si>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</si>
  <si>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</si>
  <si>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</si>
  <si>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</si>
  <si>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</si>
  <si>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</si>
  <si>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</si>
  <si>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</si>
  <si>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</si>
  <si>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</si>
  <si>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</si>
  <si>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</si>
  <si>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</si>
  <si>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</si>
  <si>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</si>
  <si>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</si>
  <si>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</si>
  <si>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</si>
  <si>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</si>
  <si>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</si>
  <si>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</si>
  <si>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</si>
  <si>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</si>
  <si>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</si>
  <si>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</si>
  <si>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</si>
  <si>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</si>
  <si>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</si>
  <si>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</si>
  <si>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</si>
  <si>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</si>
  <si>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</si>
  <si>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</si>
  <si>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</si>
  <si>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</si>
  <si>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</si>
  <si>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</si>
  <si>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</si>
  <si>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</si>
  <si>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</si>
  <si>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</si>
  <si>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</si>
  <si>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</si>
  <si>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</si>
  <si>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</si>
  <si>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</si>
  <si>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</si>
  <si>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</si>
  <si>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</si>
  <si>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</si>
  <si>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</si>
  <si>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</si>
  <si>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</si>
  <si>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</si>
  <si>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</si>
  <si>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</si>
  <si>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</si>
  <si>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</si>
  <si>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</si>
  <si>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</si>
  <si>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</si>
  <si>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</si>
  <si>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</si>
  <si>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</si>
  <si>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</si>
  <si>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</si>
  <si>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</si>
  <si>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</si>
  <si>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</si>
  <si>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</si>
  <si>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</si>
  <si>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</si>
  <si>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</si>
  <si>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</si>
  <si>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</si>
  <si>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</si>
  <si>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</si>
  <si>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</si>
  <si>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</si>
  <si>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</si>
  <si>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</si>
  <si>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</si>
  <si>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</si>
  <si>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</si>
  <si>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</si>
  <si>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</si>
  <si>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</si>
  <si>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</si>
  <si>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</si>
  <si>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</si>
  <si>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</si>
  <si>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</si>
  <si>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</si>
  <si>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</si>
  <si>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</si>
  <si>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</si>
  <si>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</si>
  <si>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</si>
  <si>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</si>
  <si>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</si>
  <si>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</si>
  <si>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</si>
  <si>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</si>
  <si>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</si>
  <si>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</si>
  <si>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</si>
  <si>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</si>
  <si>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</si>
  <si>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</si>
  <si>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</si>
  <si>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</si>
  <si>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</si>
  <si>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</si>
  <si>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</si>
  <si>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</si>
  <si>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</si>
  <si>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</si>
  <si>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</si>
  <si>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</si>
  <si>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</si>
  <si>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</si>
  <si>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</si>
  <si>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</si>
  <si>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</si>
  <si>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</si>
  <si>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</si>
  <si>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</si>
  <si>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</si>
  <si>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</si>
  <si>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</si>
  <si>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</si>
  <si>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</si>
  <si>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</si>
  <si>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</si>
  <si>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</si>
  <si>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</si>
  <si>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</si>
  <si>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</si>
  <si>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</si>
  <si>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</si>
  <si>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</si>
  <si>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</si>
  <si>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</si>
  <si>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</si>
  <si>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</si>
  <si>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</si>
  <si>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</si>
  <si>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</si>
  <si>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</si>
  <si>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</si>
  <si>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</si>
  <si>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</si>
  <si>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</si>
  <si>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</si>
  <si>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</si>
  <si>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</si>
  <si>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</si>
  <si>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</si>
  <si>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</si>
  <si>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</si>
  <si>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</si>
  <si>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</si>
  <si>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</si>
  <si>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</si>
  <si>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</si>
  <si>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</si>
  <si>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</si>
  <si>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</si>
  <si>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</si>
  <si>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</si>
  <si>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</si>
  <si>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</si>
  <si>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</si>
  <si>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</si>
  <si>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</si>
  <si>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</si>
  <si>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</si>
  <si>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</si>
  <si>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</si>
  <si>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</si>
  <si>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</si>
  <si>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</si>
  <si>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</si>
  <si>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</si>
  <si>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</si>
  <si>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</si>
  <si>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</si>
  <si>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</si>
  <si>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</si>
  <si>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</si>
  <si>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</si>
  <si>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</si>
  <si>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</si>
  <si>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</si>
  <si>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</si>
  <si>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</si>
  <si>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</si>
  <si>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</si>
  <si>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</si>
  <si>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</si>
  <si>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</si>
  <si>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</si>
  <si>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</si>
  <si>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</si>
  <si>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</si>
  <si>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</si>
  <si>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</si>
  <si>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</si>
  <si>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</si>
  <si>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</si>
  <si>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</si>
  <si>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</si>
  <si>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</si>
  <si>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</si>
  <si>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</si>
  <si>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</si>
  <si>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</si>
  <si>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</si>
  <si>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</si>
  <si>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</si>
  <si>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</si>
  <si>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</si>
  <si>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</si>
  <si>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</si>
  <si>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</si>
  <si>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</si>
  <si>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</si>
  <si>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</si>
  <si>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</si>
  <si>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</si>
  <si>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</si>
  <si>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</si>
  <si>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</si>
  <si>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</si>
  <si>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</si>
  <si>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</si>
  <si>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</si>
  <si>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</si>
  <si>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</si>
  <si>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</si>
  <si>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</si>
  <si>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</si>
  <si>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</si>
  <si>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</si>
  <si>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</si>
  <si>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</si>
  <si>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</si>
  <si>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</si>
  <si>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</si>
  <si>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</si>
  <si>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</si>
  <si>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</si>
  <si>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</si>
  <si>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</si>
  <si>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</si>
  <si>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</si>
  <si>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</si>
  <si>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</si>
  <si>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</si>
  <si>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</si>
  <si>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</si>
  <si>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</si>
  <si>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</si>
  <si>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</si>
  <si>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</si>
  <si>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</si>
  <si>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</si>
  <si>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</si>
  <si>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</si>
  <si>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</si>
  <si>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</si>
  <si>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</si>
  <si>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</si>
  <si>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</si>
  <si>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</si>
  <si>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</si>
  <si>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</si>
  <si>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</si>
  <si>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</si>
  <si>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</si>
  <si>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</si>
  <si>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</si>
  <si>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</si>
  <si>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</si>
  <si>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</si>
  <si>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</si>
  <si>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</si>
  <si>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</si>
  <si>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</si>
  <si>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</si>
  <si>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</si>
  <si>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</si>
  <si>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</si>
  <si>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</si>
  <si>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</si>
  <si>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</si>
  <si>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</si>
  <si>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</si>
  <si>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</si>
  <si>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</si>
  <si>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</si>
  <si>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</si>
  <si>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</si>
  <si>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</si>
  <si>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</si>
  <si>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</si>
  <si>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</si>
  <si>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</si>
  <si>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</si>
  <si>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</si>
  <si>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</si>
  <si>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</si>
  <si>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</si>
  <si>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</si>
  <si>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</si>
  <si>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</si>
  <si>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</si>
  <si>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</si>
  <si>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</si>
  <si>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</si>
  <si>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</si>
  <si>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</si>
  <si>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</si>
  <si>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</si>
  <si>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</si>
  <si>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</si>
  <si>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</si>
  <si>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</si>
  <si>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</si>
  <si>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</si>
  <si>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</si>
  <si>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</si>
  <si>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</si>
  <si>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</si>
  <si>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</si>
  <si>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</si>
  <si>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</si>
  <si>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</si>
  <si>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</si>
  <si>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</si>
  <si>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</si>
  <si>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</si>
  <si>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</si>
  <si>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</si>
  <si>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</si>
  <si>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</si>
  <si>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</si>
  <si>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</si>
  <si>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</si>
  <si>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</si>
  <si>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</si>
  <si>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</si>
  <si>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</si>
  <si>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</si>
  <si>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</si>
  <si>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</si>
  <si>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</si>
  <si>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</si>
  <si>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</si>
  <si>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</si>
  <si>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</si>
  <si>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</si>
  <si>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</si>
  <si>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</si>
  <si>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</si>
  <si>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</si>
  <si>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</si>
  <si>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</si>
  <si>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</si>
  <si>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</si>
  <si>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</si>
  <si>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</si>
  <si>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</si>
  <si>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</si>
  <si>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</si>
  <si>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</si>
  <si>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</si>
  <si>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</si>
  <si>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</si>
  <si>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</si>
  <si>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</si>
  <si>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</si>
  <si>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</si>
  <si>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</si>
  <si>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</si>
  <si>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</si>
  <si>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</si>
  <si>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</si>
  <si>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</si>
  <si>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</si>
  <si>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</si>
  <si>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</si>
  <si>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</si>
  <si>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</si>
  <si>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</si>
  <si>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</si>
  <si>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</si>
  <si>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</si>
  <si>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</si>
  <si>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</si>
  <si>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</si>
  <si>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</si>
  <si>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</si>
  <si>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</si>
  <si>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</si>
  <si>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</si>
  <si>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</si>
  <si>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</si>
  <si>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</si>
  <si>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</si>
  <si>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</si>
  <si>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</si>
  <si>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</si>
  <si>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</si>
  <si>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</si>
  <si>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</si>
  <si>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</si>
  <si>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</si>
  <si>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</si>
  <si>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</si>
  <si>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</si>
  <si>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</si>
  <si>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</si>
  <si>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</si>
  <si>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</si>
  <si>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</si>
  <si>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</si>
  <si>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</si>
  <si>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</si>
  <si>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</si>
  <si>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</si>
  <si>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</si>
  <si>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</si>
  <si>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</si>
  <si>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</si>
  <si>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</si>
  <si>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</si>
  <si>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</si>
  <si>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</si>
  <si>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</si>
  <si>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</si>
  <si>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</si>
  <si>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</si>
  <si>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</si>
  <si>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</si>
  <si>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</si>
  <si>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</si>
  <si>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</si>
  <si>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</si>
  <si>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</si>
  <si>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</si>
  <si>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</si>
  <si>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</si>
  <si>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</si>
  <si>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</si>
  <si>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</si>
  <si>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</si>
  <si>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</si>
  <si>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</si>
  <si>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</si>
  <si>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</si>
  <si>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</si>
  <si>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</si>
  <si>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</si>
  <si>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</si>
  <si>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</si>
  <si>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</si>
  <si>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</si>
  <si>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</si>
  <si>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</si>
  <si>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</si>
  <si>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</si>
  <si>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</si>
  <si>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</si>
  <si>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</si>
  <si>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</si>
  <si>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</si>
  <si>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</si>
  <si>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</si>
  <si>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</si>
  <si>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</si>
  <si>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</si>
  <si>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</si>
  <si>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</si>
  <si>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</si>
  <si>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</si>
  <si>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</si>
  <si>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</si>
  <si>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</si>
  <si>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</si>
  <si>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</si>
  <si>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</si>
  <si>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</si>
  <si>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</si>
  <si>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</si>
  <si>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</si>
  <si>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</si>
  <si>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</si>
  <si>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</si>
  <si>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</si>
  <si>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</si>
  <si>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</si>
  <si>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</si>
  <si>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</si>
  <si>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</si>
  <si>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</si>
  <si>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</si>
  <si>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</si>
  <si>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</si>
  <si>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</si>
  <si>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</si>
  <si>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</si>
  <si>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</si>
  <si>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</si>
  <si>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</si>
  <si>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</si>
  <si>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</si>
  <si>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</si>
  <si>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</si>
  <si>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</si>
  <si>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</si>
  <si>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</si>
  <si>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</si>
  <si>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</si>
  <si>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</si>
  <si>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</si>
  <si>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</si>
  <si>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</si>
  <si>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</si>
  <si>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</si>
  <si>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</si>
  <si>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</si>
  <si>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</si>
  <si>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</si>
  <si>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</si>
  <si>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</si>
  <si>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</si>
  <si>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</si>
  <si>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</si>
  <si>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</si>
  <si>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</si>
  <si>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</si>
  <si>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</si>
  <si>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</si>
  <si>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</si>
  <si>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</si>
  <si>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</si>
  <si>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</si>
  <si>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</si>
  <si>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</si>
  <si>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</si>
  <si>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</si>
  <si>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</si>
  <si>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</si>
  <si>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</si>
  <si>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</si>
  <si>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</si>
  <si>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</si>
  <si>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</si>
  <si>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</si>
  <si>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</si>
  <si>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</si>
  <si>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</si>
  <si>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</si>
  <si>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</si>
  <si>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</si>
  <si>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</si>
  <si>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</si>
  <si>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</si>
  <si>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</si>
  <si>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</si>
  <si>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</si>
  <si>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</si>
  <si>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</si>
  <si>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</si>
  <si>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</si>
  <si>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</si>
  <si>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</si>
  <si>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</si>
  <si>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</si>
  <si>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</si>
  <si>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</si>
  <si>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</si>
  <si>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</si>
  <si>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</si>
  <si>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</si>
  <si>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</si>
  <si>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</si>
  <si>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</si>
  <si>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</si>
  <si>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</si>
  <si>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</si>
  <si>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</si>
  <si>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</si>
  <si>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</si>
  <si>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</si>
  <si>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</si>
  <si>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</si>
  <si>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</si>
  <si>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</si>
  <si>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</si>
  <si>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</si>
  <si>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</si>
  <si>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</si>
  <si>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</si>
  <si>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</si>
  <si>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</si>
  <si>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</si>
  <si>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</si>
  <si>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</si>
  <si>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</si>
  <si>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</si>
  <si>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</si>
  <si>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</si>
  <si>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</si>
  <si>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</si>
  <si>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</si>
  <si>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</si>
  <si>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</si>
  <si>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</si>
  <si>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</si>
  <si>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</si>
  <si>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</si>
  <si>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</si>
  <si>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</si>
  <si>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</si>
  <si>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</si>
  <si>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</si>
  <si>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</si>
  <si>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</si>
  <si>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</si>
  <si>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</si>
  <si>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</si>
  <si>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</si>
  <si>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</si>
  <si>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</si>
  <si>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</si>
  <si>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</si>
  <si>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</si>
  <si>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</si>
  <si>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</si>
  <si>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</si>
  <si>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</si>
  <si>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</si>
  <si>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</si>
  <si>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</si>
  <si>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</si>
  <si>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</si>
  <si>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</si>
  <si>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</si>
  <si>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</si>
  <si>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</si>
  <si>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</si>
  <si>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</si>
  <si>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</si>
  <si>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</si>
  <si>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</si>
  <si>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</si>
  <si>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</si>
  <si>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</si>
  <si>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</si>
  <si>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</si>
  <si>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</si>
  <si>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</si>
  <si>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</si>
  <si>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</si>
  <si>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</si>
  <si>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</si>
  <si>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</si>
  <si>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</si>
  <si>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</si>
  <si>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</si>
  <si>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</si>
  <si>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</si>
  <si>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</si>
  <si>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</si>
  <si>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</si>
  <si>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</si>
  <si>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</si>
  <si>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</si>
  <si>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</si>
  <si>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</si>
  <si>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</si>
  <si>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</si>
  <si>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</si>
  <si>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</si>
  <si>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</si>
  <si>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</si>
  <si>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</si>
  <si>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</si>
  <si>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</si>
  <si>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</si>
  <si>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</si>
  <si>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</si>
  <si>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</si>
  <si>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</si>
  <si>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</si>
  <si>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</si>
  <si>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</si>
  <si>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</si>
  <si>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</si>
  <si>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</si>
  <si>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</si>
  <si>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</si>
  <si>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</si>
  <si>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</si>
  <si>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</si>
  <si>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</si>
  <si>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</si>
  <si>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</si>
  <si>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</si>
  <si>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</si>
  <si>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</si>
  <si>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</si>
  <si>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</si>
  <si>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</si>
  <si>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</si>
  <si>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</si>
  <si>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</si>
  <si>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</si>
  <si>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</si>
  <si>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</si>
  <si>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</si>
  <si>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</si>
  <si>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</si>
  <si>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</si>
  <si>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</si>
  <si>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</si>
  <si>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</si>
  <si>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</si>
  <si>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</si>
  <si>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</si>
  <si>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</si>
  <si>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</si>
  <si>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</si>
  <si>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</si>
  <si>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</si>
  <si>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</si>
  <si>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</si>
  <si>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</si>
  <si>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</si>
  <si>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</si>
  <si>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</si>
  <si>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</si>
  <si>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</si>
  <si>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</si>
  <si>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</si>
  <si>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</si>
  <si>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</si>
  <si>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</si>
  <si>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</si>
  <si>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</si>
  <si>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</si>
  <si>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</si>
  <si>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</si>
  <si>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</si>
  <si>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</si>
  <si>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</si>
  <si>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</si>
  <si>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</si>
  <si>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</si>
  <si>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</si>
  <si>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</si>
  <si>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</si>
  <si>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</si>
  <si>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</si>
  <si>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</si>
  <si>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</si>
  <si>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</si>
  <si>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</si>
  <si>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</si>
  <si>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</si>
  <si>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</si>
  <si>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</si>
  <si>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</si>
  <si>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</si>
  <si>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</si>
  <si>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</si>
  <si>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</si>
  <si>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</si>
  <si>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</si>
  <si>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</si>
  <si>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</si>
  <si>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</si>
  <si>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</si>
  <si>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</si>
  <si>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</si>
  <si>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</si>
  <si>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</si>
  <si>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</si>
  <si>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</si>
  <si>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</si>
  <si>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</si>
  <si>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</si>
  <si>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</si>
  <si>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</si>
  <si>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</si>
  <si>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</si>
  <si>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</si>
  <si>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</si>
  <si>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</si>
  <si>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</si>
  <si>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</si>
  <si>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</si>
  <si>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</si>
  <si>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</si>
  <si>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</si>
  <si>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</si>
  <si>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</si>
  <si>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</si>
  <si>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</si>
  <si>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</si>
  <si>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</si>
  <si>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</si>
  <si>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</si>
  <si>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</si>
  <si>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</si>
  <si>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</si>
  <si>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</si>
  <si>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</si>
  <si>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</si>
  <si>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</si>
  <si>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</si>
  <si>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</si>
  <si>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</si>
  <si>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</si>
  <si>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</si>
  <si>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</si>
  <si>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</si>
  <si>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</si>
  <si>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</si>
  <si>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</si>
  <si>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</si>
  <si>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</si>
  <si>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</si>
  <si>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</si>
  <si>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</si>
  <si>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</si>
  <si>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</si>
  <si>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</si>
  <si>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</si>
  <si>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</si>
  <si>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</si>
  <si>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</si>
  <si>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</si>
  <si>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</si>
  <si>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</si>
  <si>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</si>
  <si>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</si>
  <si>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</si>
  <si>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</si>
  <si>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</si>
  <si>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</si>
  <si>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</si>
  <si>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</si>
  <si>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</si>
  <si>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</si>
  <si>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</si>
  <si>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</si>
  <si>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</si>
  <si>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</si>
  <si>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</si>
  <si>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</si>
  <si>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</si>
  <si>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</si>
  <si>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</si>
  <si>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</si>
  <si>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</si>
  <si>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</si>
  <si>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</si>
  <si>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</si>
  <si>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</si>
  <si>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</si>
  <si>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</si>
  <si>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</si>
  <si>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</si>
  <si>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</si>
  <si>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</si>
  <si>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</si>
  <si>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</si>
  <si>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</si>
  <si>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</si>
  <si>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</si>
  <si>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</si>
  <si>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</si>
  <si>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</si>
  <si>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</si>
  <si>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</si>
  <si>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</si>
  <si>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</si>
  <si>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</si>
  <si>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</si>
  <si>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</si>
  <si>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</si>
  <si>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</si>
  <si>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</si>
  <si>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</si>
  <si>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</si>
  <si>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</si>
  <si>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</si>
  <si>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</si>
  <si>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</si>
  <si>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</si>
  <si>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</si>
  <si>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</si>
  <si>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</si>
  <si>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</si>
  <si>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</si>
  <si>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</si>
  <si>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</si>
  <si>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</si>
  <si>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</si>
  <si>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</si>
  <si>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</si>
  <si>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</si>
  <si>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</si>
  <si>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</si>
  <si>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</si>
  <si>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</si>
  <si>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</si>
  <si>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</si>
  <si>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</si>
  <si>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</si>
  <si>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</si>
  <si>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</si>
  <si>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</si>
  <si>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</si>
  <si>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</si>
  <si>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</si>
  <si>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</si>
  <si>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</si>
  <si>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</si>
  <si>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</si>
  <si>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</si>
  <si>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</si>
  <si>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</si>
  <si>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</si>
  <si>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</si>
  <si>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</si>
  <si>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</si>
  <si>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</si>
  <si>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</si>
  <si>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</si>
  <si>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</si>
  <si>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</si>
  <si>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</si>
  <si>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</si>
  <si>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</si>
  <si>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</si>
  <si>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</si>
  <si>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</si>
  <si>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</si>
  <si>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</si>
  <si>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</si>
  <si>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</si>
  <si>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</si>
  <si>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</si>
  <si>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</si>
  <si>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</si>
  <si>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</si>
  <si>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</si>
  <si>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</si>
  <si>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</si>
  <si>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</si>
  <si>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</si>
  <si>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</si>
  <si>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</si>
  <si>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</si>
  <si>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</si>
  <si>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</si>
  <si>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</si>
  <si>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</si>
  <si>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</si>
  <si>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</si>
  <si>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</si>
  <si>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</si>
  <si>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</si>
  <si>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</si>
  <si>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</si>
  <si>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</si>
  <si>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</si>
  <si>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</si>
  <si>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</si>
  <si>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</si>
  <si>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</si>
  <si>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</si>
  <si>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</si>
  <si>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</si>
  <si>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</si>
  <si>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</si>
  <si>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</si>
  <si>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</si>
  <si>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</si>
  <si>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</si>
  <si>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</si>
  <si>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</si>
  <si>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</si>
  <si>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</si>
  <si>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</si>
  <si>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</si>
  <si>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</si>
  <si>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</si>
  <si>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</si>
  <si>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</si>
  <si>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</si>
  <si>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</si>
  <si>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</si>
  <si>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</si>
  <si>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</si>
  <si>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</si>
  <si>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</si>
  <si>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</si>
  <si>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</si>
  <si>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</si>
  <si>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</si>
  <si>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</si>
  <si>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</si>
  <si>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</si>
  <si>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</si>
  <si>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</si>
  <si>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</si>
  <si>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</si>
  <si>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</si>
  <si>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</si>
  <si>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</si>
  <si>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</si>
  <si>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</si>
  <si>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</si>
  <si>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</si>
  <si>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</si>
  <si>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</si>
  <si>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</si>
  <si>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</si>
  <si>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</si>
  <si>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</si>
  <si>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</si>
  <si>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</si>
  <si>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</si>
  <si>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</si>
  <si>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</si>
  <si>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</si>
  <si>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</si>
  <si>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</si>
  <si>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</si>
  <si>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</si>
  <si>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</si>
  <si>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</si>
  <si>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</si>
  <si>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</si>
  <si>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</si>
  <si>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</si>
  <si>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</si>
  <si>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</si>
  <si>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</si>
  <si>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</si>
  <si>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</si>
  <si>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</si>
  <si>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</si>
  <si>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</si>
  <si>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</si>
  <si>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</si>
  <si>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</si>
  <si>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</si>
  <si>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</si>
  <si>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</si>
  <si>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</si>
  <si>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</si>
  <si>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</si>
  <si>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</si>
  <si>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</si>
  <si>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</si>
  <si>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</si>
  <si>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</si>
  <si>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</si>
  <si>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</si>
  <si>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</si>
  <si>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</si>
  <si>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</si>
  <si>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</si>
  <si>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</si>
  <si>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</si>
  <si>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</si>
  <si>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</si>
  <si>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</si>
  <si>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</si>
  <si>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</si>
  <si>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</si>
  <si>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</si>
  <si>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</si>
  <si>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</si>
  <si>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</si>
  <si>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</si>
  <si>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</si>
  <si>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</si>
  <si>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</si>
  <si>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</si>
  <si>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</si>
  <si>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</si>
  <si>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</si>
  <si>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</si>
  <si>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</si>
  <si>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</si>
  <si>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</si>
  <si>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</si>
  <si>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</si>
  <si>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</si>
  <si>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</si>
  <si>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</si>
  <si>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</si>
  <si>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</si>
  <si>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</si>
  <si>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</si>
  <si>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</si>
  <si>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</si>
  <si>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</si>
  <si>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</si>
  <si>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</si>
  <si>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</si>
  <si>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</si>
  <si>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</si>
  <si>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</si>
  <si>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</si>
  <si>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</si>
  <si>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</si>
  <si>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</si>
  <si>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</si>
  <si>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</si>
  <si>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</si>
  <si>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</si>
  <si>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</si>
  <si>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</si>
  <si>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</si>
  <si>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</si>
  <si>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</si>
  <si>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</si>
  <si>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</si>
  <si>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</si>
  <si>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</si>
  <si>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</si>
  <si>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</si>
  <si>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</si>
  <si>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</si>
  <si>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</si>
  <si>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</si>
  <si>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</si>
  <si>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</si>
  <si>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</si>
  <si>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</si>
  <si>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</si>
  <si>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</si>
  <si>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</si>
  <si>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</si>
  <si>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</si>
  <si>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</si>
  <si>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</si>
  <si>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</si>
  <si>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</si>
  <si>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</si>
  <si>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</si>
  <si>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</si>
  <si>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</si>
  <si>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</si>
  <si>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</si>
  <si>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</si>
  <si>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</si>
  <si>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</si>
  <si>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</si>
  <si>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</si>
  <si>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</si>
  <si>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</si>
  <si>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</si>
  <si>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</si>
  <si>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</si>
  <si>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</si>
  <si>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</si>
  <si>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</si>
  <si>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</si>
  <si>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</si>
  <si>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</si>
  <si>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</si>
  <si>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</si>
  <si>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</si>
  <si>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</si>
  <si>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</si>
  <si>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</si>
  <si>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</si>
  <si>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</si>
  <si>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</si>
  <si>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</si>
  <si>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</si>
  <si>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</si>
  <si>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</si>
  <si>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</si>
  <si>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</si>
  <si>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</si>
  <si>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</si>
  <si>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</si>
  <si>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</si>
  <si>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</si>
  <si>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</si>
  <si>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</si>
  <si>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</si>
  <si>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</si>
  <si>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</si>
  <si>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</si>
  <si>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</si>
  <si>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</si>
  <si>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</si>
  <si>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</si>
  <si>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</si>
  <si>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</si>
  <si>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</si>
  <si>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</si>
  <si>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</si>
  <si>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</si>
  <si>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</si>
  <si>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</si>
  <si>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</si>
  <si>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</si>
  <si>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</si>
  <si>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</si>
  <si>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</si>
  <si>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</si>
  <si>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</si>
  <si>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</si>
  <si>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</si>
  <si>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</si>
  <si>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</si>
  <si>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</si>
  <si>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</si>
  <si>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</si>
  <si>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</si>
  <si>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</si>
  <si>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</si>
  <si>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</si>
  <si>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</si>
  <si>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</si>
  <si>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</si>
  <si>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</si>
  <si>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</si>
  <si>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</si>
  <si>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</si>
  <si>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</si>
  <si>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</si>
  <si>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</si>
  <si>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</si>
  <si>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</si>
  <si>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</si>
  <si>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</si>
  <si>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</si>
  <si>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</si>
  <si>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</si>
  <si>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</si>
  <si>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</si>
  <si>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</si>
  <si>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</si>
  <si>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</si>
  <si>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</si>
  <si>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</si>
  <si>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</si>
  <si>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</si>
  <si>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</si>
  <si>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</si>
  <si>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</si>
  <si>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</si>
  <si>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</si>
  <si>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</si>
  <si>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</si>
  <si>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</si>
  <si>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</si>
  <si>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</si>
  <si>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</si>
  <si>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</si>
  <si>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</si>
  <si>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</si>
  <si>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</si>
  <si>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</si>
  <si>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</si>
  <si>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</si>
  <si>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</si>
  <si>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</si>
  <si>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</si>
  <si>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</si>
  <si>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</si>
  <si>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</si>
  <si>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</si>
  <si>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</si>
  <si>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</si>
  <si>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</si>
  <si>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</si>
  <si>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</si>
  <si>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</si>
  <si>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</si>
  <si>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</si>
  <si>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</si>
  <si>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</si>
  <si>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</si>
  <si>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</si>
  <si>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</si>
  <si>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</si>
  <si>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</si>
  <si>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</si>
  <si>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</si>
  <si>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</si>
  <si>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</si>
  <si>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</si>
  <si>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</si>
  <si>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</si>
  <si>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</si>
  <si>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</si>
  <si>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</si>
  <si>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</si>
  <si>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</si>
  <si>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</si>
  <si>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</si>
  <si>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</si>
  <si>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</si>
  <si>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</si>
  <si>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</si>
  <si>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</si>
  <si>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</si>
  <si>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</si>
  <si>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</si>
  <si>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</si>
  <si>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</si>
  <si>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</si>
  <si>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</si>
  <si>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</si>
  <si>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</si>
  <si>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</si>
  <si>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</si>
  <si>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</si>
  <si>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</si>
  <si>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</si>
  <si>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</si>
  <si>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</si>
  <si>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</si>
  <si>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</si>
  <si>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</si>
  <si>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</si>
  <si>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</si>
  <si>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</si>
  <si>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</si>
  <si>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</si>
  <si>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</si>
  <si>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</si>
  <si>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</si>
  <si>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</si>
  <si>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</si>
  <si>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</si>
  <si>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</si>
  <si>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</si>
  <si>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</si>
  <si>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</si>
  <si>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</si>
  <si>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</si>
  <si>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</si>
  <si>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</si>
  <si>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</si>
  <si>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</si>
  <si>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</si>
  <si>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</si>
  <si>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</si>
  <si>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</si>
  <si>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</si>
  <si>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</si>
  <si>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</si>
  <si>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</si>
  <si>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</si>
  <si>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</si>
  <si>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</si>
  <si>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</si>
  <si>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</si>
  <si>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</si>
  <si>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</si>
  <si>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</si>
  <si>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</si>
  <si>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</si>
  <si>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</si>
  <si>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</si>
  <si>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</si>
  <si>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</si>
  <si>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</si>
  <si>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</si>
  <si>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</si>
  <si>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</si>
  <si>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</si>
  <si>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</si>
  <si>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</si>
  <si>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</si>
  <si>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</si>
  <si>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</si>
  <si>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</si>
  <si>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</si>
  <si>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</si>
  <si>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</si>
  <si>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</si>
  <si>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</si>
  <si>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</si>
  <si>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</si>
  <si>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</si>
  <si>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</si>
  <si>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</si>
  <si>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</si>
  <si>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</si>
  <si>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</si>
  <si>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</si>
  <si>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</si>
  <si>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</si>
  <si>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</si>
  <si>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</si>
  <si>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</si>
  <si>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</si>
  <si>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</si>
  <si>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</si>
  <si>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</si>
  <si>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</si>
  <si>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</si>
  <si>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</si>
  <si>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</si>
  <si>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</si>
  <si>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</si>
  <si>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</si>
  <si>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</si>
  <si>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</si>
  <si>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</si>
  <si>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</si>
  <si>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</si>
  <si>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</si>
  <si>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</si>
  <si>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</si>
  <si>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</si>
  <si>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</si>
  <si>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</si>
  <si>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</si>
  <si>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</si>
  <si>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</si>
  <si>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</si>
  <si>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</si>
  <si>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</si>
  <si>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</si>
  <si>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</si>
  <si>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</si>
  <si>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</si>
  <si>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</si>
  <si>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</si>
  <si>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</si>
  <si>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</si>
  <si>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</si>
  <si>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</si>
  <si>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</si>
  <si>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</si>
  <si>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</si>
  <si>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</si>
  <si>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</si>
  <si>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</si>
  <si>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</si>
  <si>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</si>
  <si>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</si>
  <si>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</si>
  <si>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</si>
  <si>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</si>
  <si>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</si>
  <si>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</si>
  <si>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</si>
  <si>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</si>
  <si>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</si>
  <si>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</si>
  <si>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</si>
  <si>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</si>
  <si>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</si>
  <si>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</si>
  <si>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</si>
  <si>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</si>
  <si>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</si>
  <si>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</si>
  <si>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</si>
  <si>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</si>
  <si>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</si>
  <si>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</si>
  <si>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</si>
  <si>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</si>
  <si>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</si>
  <si>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</si>
  <si>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</si>
  <si>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</si>
  <si>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</si>
  <si>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</si>
  <si>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</si>
  <si>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</si>
  <si>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</si>
  <si>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</si>
  <si>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</si>
  <si>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</si>
  <si>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</si>
  <si>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</si>
  <si>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</si>
  <si>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</si>
  <si>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</si>
  <si>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</si>
  <si>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</si>
  <si>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</si>
  <si>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</si>
  <si>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</si>
  <si>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</si>
  <si>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</si>
  <si>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</si>
  <si>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</si>
  <si>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</si>
  <si>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</si>
  <si>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</si>
  <si>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</si>
  <si>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</si>
  <si>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</si>
  <si>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</si>
  <si>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</si>
  <si>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</si>
  <si>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</si>
  <si>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</si>
  <si>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</si>
  <si>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</si>
  <si>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</si>
  <si>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</si>
  <si>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</si>
  <si>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</si>
  <si>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</si>
  <si>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</si>
  <si>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</si>
  <si>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</si>
  <si>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</si>
  <si>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</si>
  <si>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</si>
  <si>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</si>
  <si>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</si>
  <si>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</si>
  <si>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</si>
  <si>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</si>
  <si>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</si>
  <si>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</si>
  <si>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</si>
  <si>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</si>
  <si>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</si>
  <si>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</si>
  <si>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</si>
  <si>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</si>
  <si>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</si>
  <si>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</si>
  <si>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</si>
  <si>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</si>
  <si>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</si>
  <si>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</si>
  <si>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</si>
  <si>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</si>
  <si>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</si>
  <si>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</si>
  <si>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</si>
  <si>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</si>
  <si>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</si>
  <si>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</si>
  <si>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</si>
  <si>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</si>
  <si>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</si>
  <si>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</si>
  <si>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</si>
  <si>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</si>
  <si>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</si>
  <si>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</si>
  <si>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</si>
  <si>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</si>
  <si>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</si>
  <si>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</si>
  <si>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</si>
  <si>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</si>
  <si>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</si>
  <si>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</si>
  <si>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</si>
  <si>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</si>
  <si>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</si>
  <si>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</si>
  <si>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</si>
  <si>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</si>
  <si>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</si>
  <si>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</si>
  <si>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</si>
  <si>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</si>
  <si>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</si>
  <si>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</si>
  <si>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</si>
  <si>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</si>
  <si>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</si>
  <si>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</si>
  <si>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</si>
  <si>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</si>
  <si>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</si>
  <si>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</si>
  <si>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</si>
  <si>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</si>
  <si>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</si>
  <si>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</si>
  <si>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</si>
  <si>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</si>
  <si>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</si>
  <si>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</si>
  <si>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</si>
  <si>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</si>
  <si>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</si>
  <si>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</si>
  <si>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</si>
  <si>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</si>
  <si>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</si>
  <si>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</si>
  <si>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</si>
  <si>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</si>
  <si>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</si>
  <si>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</si>
  <si>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</si>
  <si>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</si>
  <si>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</si>
  <si>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</si>
  <si>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</si>
  <si>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</si>
  <si>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</si>
  <si>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</si>
  <si>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</si>
  <si>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</si>
  <si>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</si>
  <si>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</si>
  <si>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</si>
  <si>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</si>
  <si>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</si>
  <si>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</si>
  <si>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</si>
  <si>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</si>
  <si>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</si>
  <si>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</si>
  <si>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</si>
  <si>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</si>
  <si>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</si>
  <si>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</si>
  <si>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</si>
  <si>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</si>
  <si>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</si>
  <si>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</si>
  <si>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</si>
  <si>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</si>
  <si>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</si>
  <si>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</si>
  <si>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</si>
  <si>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</si>
  <si>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</si>
  <si>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</si>
  <si>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</si>
  <si>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</si>
  <si>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</si>
  <si>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</si>
  <si>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</si>
  <si>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</si>
  <si>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</si>
  <si>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</si>
  <si>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</si>
  <si>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</si>
  <si>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</si>
  <si>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</si>
  <si>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</si>
  <si>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</si>
  <si>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</si>
  <si>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</si>
  <si>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</si>
  <si>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</si>
  <si>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</si>
  <si>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</si>
  <si>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</si>
  <si>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</si>
  <si>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</si>
  <si>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</si>
  <si>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</si>
  <si>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</si>
  <si>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</si>
  <si>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</si>
  <si>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</si>
  <si>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</si>
  <si>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</si>
  <si>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</si>
  <si>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</si>
  <si>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</si>
  <si>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</si>
  <si>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</si>
  <si>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</si>
  <si>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</si>
  <si>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</si>
  <si>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</si>
  <si>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</si>
  <si>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</si>
  <si>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</si>
  <si>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</si>
  <si>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</si>
  <si>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</si>
  <si>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</si>
  <si>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</si>
  <si>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</si>
  <si>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</si>
  <si>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</si>
  <si>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</si>
  <si>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</si>
  <si>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</si>
  <si>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</si>
  <si>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</si>
  <si>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</si>
  <si>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</si>
  <si>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</si>
  <si>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</si>
  <si>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</si>
  <si>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</si>
  <si>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</si>
  <si>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</si>
  <si>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</si>
  <si>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</si>
  <si>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</si>
  <si>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</si>
  <si>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</si>
  <si>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</si>
  <si>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</si>
  <si>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</si>
  <si>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</si>
  <si>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</si>
  <si>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</si>
  <si>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</si>
  <si>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</si>
  <si>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</si>
  <si>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</si>
  <si>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</si>
  <si>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</si>
  <si>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</si>
  <si>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</si>
  <si>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</si>
  <si>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</si>
  <si>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</si>
  <si>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</si>
  <si>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</si>
  <si>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</si>
  <si>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</si>
  <si>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</si>
  <si>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</si>
  <si>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</si>
  <si>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</si>
  <si>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</si>
  <si>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</si>
  <si>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</si>
  <si>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</si>
  <si>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</si>
  <si>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</si>
  <si>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</si>
  <si>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</si>
  <si>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</si>
  <si>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</si>
  <si>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</si>
  <si>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</si>
  <si>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</si>
  <si>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</si>
  <si>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</si>
  <si>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</si>
  <si>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</si>
  <si>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</si>
  <si>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</si>
  <si>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</si>
  <si>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</si>
  <si>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</si>
  <si>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</si>
  <si>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</si>
  <si>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</si>
  <si>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</si>
  <si>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</si>
  <si>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</si>
  <si>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</si>
  <si>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</si>
  <si>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</si>
  <si>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</si>
  <si>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</si>
  <si>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</si>
  <si>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</si>
  <si>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</si>
  <si>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</si>
  <si>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</si>
  <si>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</si>
  <si>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</si>
  <si>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</si>
  <si>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</si>
  <si>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</si>
  <si>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</si>
  <si>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</si>
  <si>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</si>
  <si>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</si>
  <si>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</si>
  <si>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</si>
  <si>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</si>
  <si>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</si>
  <si>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</si>
  <si>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</si>
  <si>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</si>
  <si>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</si>
  <si>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</si>
  <si>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</si>
  <si>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</si>
  <si>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</si>
  <si>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</si>
  <si>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</si>
  <si>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</si>
  <si>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</si>
  <si>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</si>
  <si>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</si>
  <si>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</si>
  <si>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</si>
  <si>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</si>
  <si>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</si>
  <si>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</si>
  <si>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</si>
  <si>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</si>
  <si>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</si>
  <si>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</si>
  <si>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</si>
  <si>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</si>
  <si>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</si>
  <si>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</si>
  <si>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</si>
  <si>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</si>
  <si>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</si>
  <si>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</si>
  <si>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</si>
  <si>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</si>
  <si>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</si>
  <si>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</si>
  <si>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</si>
  <si>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</si>
  <si>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</si>
  <si>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</si>
  <si>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</si>
  <si>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</si>
  <si>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</si>
  <si>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</si>
  <si>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</si>
  <si>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</si>
  <si>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</si>
  <si>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</si>
  <si>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</si>
  <si>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</si>
  <si>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</si>
  <si>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</si>
  <si>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</si>
  <si>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</si>
  <si>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</si>
  <si>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</si>
  <si>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</si>
  <si>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</si>
  <si>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</si>
  <si>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</si>
  <si>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</si>
  <si>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</si>
  <si>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</si>
  <si>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</si>
  <si>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</si>
  <si>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</si>
  <si>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</si>
  <si>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</si>
  <si>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</si>
  <si>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</si>
  <si>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</si>
  <si>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</si>
  <si>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</si>
  <si>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</si>
  <si>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</si>
  <si>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</si>
  <si>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</si>
  <si>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</si>
  <si>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</si>
  <si>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</si>
  <si>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</si>
  <si>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</si>
  <si>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</si>
  <si>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</si>
  <si>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</si>
  <si>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</si>
  <si>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</si>
  <si>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</si>
  <si>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</si>
  <si>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</si>
  <si>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</si>
  <si>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</si>
  <si>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</si>
  <si>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</si>
  <si>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</si>
  <si>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</si>
  <si>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</si>
  <si>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</si>
  <si>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</si>
  <si>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</si>
  <si>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</si>
  <si>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</si>
  <si>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</si>
  <si>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</si>
  <si>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</si>
  <si>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</si>
  <si>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</si>
  <si>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</si>
  <si>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</si>
  <si>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</si>
  <si>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</si>
  <si>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</si>
  <si>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</si>
  <si>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</si>
  <si>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</si>
  <si>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</si>
  <si>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</si>
  <si>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</si>
  <si>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</si>
  <si>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</si>
  <si>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</si>
  <si>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</si>
  <si>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</si>
  <si>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</si>
  <si>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</si>
  <si>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</si>
  <si>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</si>
  <si>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</si>
  <si>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</si>
  <si>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</si>
  <si>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</si>
  <si>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</si>
  <si>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</si>
  <si>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</si>
  <si>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</si>
  <si>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</si>
  <si>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</si>
  <si>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</si>
  <si>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</si>
  <si>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</si>
  <si>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</si>
  <si>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</si>
  <si>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</si>
  <si>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</si>
  <si>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</si>
  <si>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</si>
  <si>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</si>
  <si>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</si>
  <si>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</si>
  <si>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</si>
  <si>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</si>
  <si>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</si>
  <si>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</si>
  <si>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</si>
  <si>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</si>
  <si>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</si>
  <si>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</si>
  <si>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</si>
  <si>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</si>
  <si>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</si>
  <si>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</si>
  <si>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</si>
  <si>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</si>
  <si>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</si>
  <si>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</si>
  <si>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</si>
  <si>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</si>
  <si>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</si>
  <si>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</si>
  <si>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</si>
  <si>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</si>
  <si>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</si>
  <si>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</si>
  <si>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</si>
  <si>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</si>
  <si>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</si>
  <si>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</si>
  <si>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</si>
  <si>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</si>
  <si>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</si>
  <si>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</si>
  <si>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</si>
  <si>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</si>
  <si>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</si>
  <si>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</si>
  <si>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</si>
  <si>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</si>
  <si>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</si>
  <si>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</si>
  <si>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</si>
  <si>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</si>
  <si>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</si>
  <si>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</si>
  <si>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</si>
  <si>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</si>
  <si>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</si>
  <si>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</si>
  <si>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</si>
  <si>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</si>
  <si>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</si>
  <si>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</si>
  <si>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</si>
  <si>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</si>
  <si>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</si>
  <si>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</si>
  <si>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</si>
  <si>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</si>
  <si>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</si>
  <si>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</si>
  <si>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</si>
  <si>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</si>
  <si>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</si>
  <si>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</si>
  <si>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</si>
  <si>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</si>
  <si>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</si>
  <si>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</si>
  <si>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</si>
  <si>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</si>
  <si>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</si>
  <si>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</si>
  <si>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</si>
  <si>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</si>
  <si>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</si>
  <si>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</si>
  <si>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</si>
  <si>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</si>
  <si>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</si>
  <si>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</si>
  <si>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</si>
  <si>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</si>
  <si>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</si>
  <si>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</si>
  <si>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</si>
  <si>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</si>
  <si>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</si>
  <si>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</si>
  <si>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</si>
  <si>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</si>
  <si>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</si>
  <si>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</si>
  <si>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</si>
  <si>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</si>
  <si>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</si>
  <si>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</si>
  <si>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</si>
  <si>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</si>
  <si>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</si>
  <si>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</si>
  <si>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</si>
  <si>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</si>
  <si>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</si>
  <si>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</si>
  <si>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</si>
  <si>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</si>
  <si>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</si>
  <si>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</si>
  <si>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</si>
  <si>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</si>
  <si>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</si>
  <si>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</si>
  <si>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</si>
  <si>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</si>
  <si>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</si>
  <si>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</si>
  <si>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</si>
  <si>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</si>
  <si>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</si>
  <si>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</si>
  <si>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</si>
  <si>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</si>
  <si>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</si>
  <si>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</si>
  <si>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</si>
  <si>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</si>
  <si>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</si>
  <si>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</si>
  <si>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</si>
  <si>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</si>
  <si>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</si>
  <si>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</si>
  <si>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</si>
  <si>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</si>
  <si>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</si>
  <si>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</si>
  <si>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</si>
  <si>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</si>
  <si>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</si>
  <si>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</si>
  <si>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</si>
  <si>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</si>
  <si>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</si>
  <si>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</si>
  <si>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</si>
  <si>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</si>
  <si>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</si>
  <si>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</si>
  <si>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</si>
  <si>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</si>
  <si>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</si>
  <si>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</si>
  <si>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</si>
  <si>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</si>
  <si>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</si>
  <si>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</si>
  <si>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</si>
  <si>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</si>
  <si>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</si>
  <si>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</si>
  <si>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</si>
  <si>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</si>
  <si>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</si>
  <si>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</si>
  <si>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</si>
  <si>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</si>
  <si>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</si>
  <si>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</si>
  <si>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</si>
  <si>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</si>
  <si>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</si>
  <si>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</si>
  <si>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</si>
  <si>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</si>
  <si>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</si>
  <si>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</si>
  <si>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</si>
  <si>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</si>
  <si>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</si>
  <si>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</si>
  <si>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</si>
  <si>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</si>
  <si>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</si>
  <si>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</si>
  <si>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</si>
  <si>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</si>
  <si>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</si>
  <si>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</si>
  <si>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</si>
  <si>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</si>
  <si>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</si>
  <si>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</si>
  <si>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</si>
  <si>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</si>
  <si>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</si>
  <si>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</si>
  <si>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</si>
  <si>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</si>
  <si>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</si>
  <si>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</si>
  <si>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</si>
  <si>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</si>
  <si>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</si>
  <si>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</si>
  <si>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</si>
  <si>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</si>
  <si>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</si>
  <si>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</si>
  <si>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</si>
  <si>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</si>
  <si>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</si>
  <si>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</si>
  <si>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</si>
  <si>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</si>
  <si>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</si>
  <si>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</si>
  <si>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</si>
  <si>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</si>
  <si>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</si>
  <si>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</si>
  <si>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</si>
  <si>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</si>
  <si>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</si>
  <si>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</si>
  <si>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</si>
  <si>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</si>
  <si>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</si>
  <si>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</si>
  <si>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</si>
  <si>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</si>
  <si>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</si>
  <si>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</si>
  <si>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</si>
  <si>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</si>
  <si>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</si>
  <si>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</si>
  <si>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</si>
  <si>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</si>
  <si>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</si>
  <si>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</si>
  <si>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</si>
  <si>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</si>
  <si>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</si>
  <si>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</si>
  <si>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</si>
  <si>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</si>
  <si>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</si>
  <si>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</si>
  <si>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</si>
  <si>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</si>
  <si>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</si>
  <si>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</si>
  <si>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</si>
  <si>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</si>
  <si>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</si>
  <si>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</si>
  <si>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</si>
  <si>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</si>
  <si>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</si>
  <si>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</si>
  <si>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</si>
  <si>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</si>
  <si>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</si>
  <si>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</si>
  <si>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</si>
  <si>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</si>
  <si>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</si>
  <si>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</si>
  <si>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</si>
  <si>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</si>
  <si>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</si>
  <si>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</si>
  <si>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</si>
  <si>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</si>
  <si>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</si>
  <si>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</si>
  <si>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</si>
  <si>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</si>
  <si>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</si>
  <si>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</si>
  <si>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</si>
  <si>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</si>
  <si>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</si>
  <si>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</si>
  <si>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</si>
  <si>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</si>
  <si>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</si>
  <si>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</si>
  <si>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</si>
  <si>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</si>
  <si>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</si>
  <si>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</si>
  <si>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</si>
  <si>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</si>
  <si>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</si>
  <si>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</si>
  <si>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</si>
  <si>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</si>
  <si>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</si>
  <si>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</si>
  <si>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</si>
  <si>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</si>
  <si>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</si>
  <si>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</si>
  <si>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</si>
  <si>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</si>
  <si>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</si>
  <si>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</si>
  <si>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</si>
  <si>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</si>
  <si>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</si>
  <si>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</si>
  <si>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</si>
  <si>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</si>
  <si>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</si>
  <si>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</si>
  <si>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</si>
  <si>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</si>
  <si>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</si>
  <si>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</si>
  <si>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</si>
  <si>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</si>
  <si>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</si>
  <si>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</si>
  <si>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</si>
  <si>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</si>
  <si>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</si>
  <si>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</si>
  <si>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</si>
  <si>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</si>
  <si>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</si>
  <si>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</si>
  <si>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</si>
  <si>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</si>
  <si>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</si>
  <si>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</si>
  <si>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</si>
  <si>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</si>
  <si>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</si>
  <si>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</si>
  <si>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</si>
  <si>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</si>
  <si>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</si>
  <si>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</si>
  <si>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</si>
  <si>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</si>
  <si>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</si>
  <si>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</si>
  <si>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</si>
  <si>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</si>
  <si>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</si>
  <si>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</si>
  <si>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</si>
  <si>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</si>
  <si>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</si>
  <si>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</si>
  <si>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</si>
  <si>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</si>
  <si>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</si>
  <si>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</si>
  <si>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</si>
  <si>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</si>
  <si>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</si>
  <si>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</si>
  <si>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</si>
  <si>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</si>
  <si>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</si>
  <si>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</si>
  <si>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</si>
  <si>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</si>
  <si>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</si>
  <si>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</si>
  <si>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</si>
  <si>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</si>
  <si>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</si>
  <si>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</si>
  <si>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</si>
  <si>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</si>
  <si>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</si>
  <si>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</si>
  <si>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</si>
  <si>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</si>
  <si>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</si>
  <si>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</si>
  <si>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</si>
  <si>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</si>
  <si>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</si>
  <si>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</si>
  <si>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</si>
  <si>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</si>
  <si>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</si>
  <si>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</si>
  <si>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</si>
  <si>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</si>
  <si>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</si>
  <si>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</si>
  <si>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</si>
  <si>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</si>
  <si>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</si>
  <si>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</si>
  <si>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</si>
  <si>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</si>
  <si>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</si>
  <si>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</si>
  <si>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</si>
  <si>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</si>
  <si>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</si>
  <si>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</si>
  <si>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</si>
  <si>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</si>
  <si>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</si>
  <si>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</si>
  <si>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</si>
  <si>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</si>
  <si>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</si>
  <si>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</si>
  <si>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</si>
  <si>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</si>
  <si>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</si>
  <si>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</si>
  <si>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</si>
  <si>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</si>
  <si>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</si>
  <si>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</si>
  <si>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</si>
  <si>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</si>
  <si>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</si>
  <si>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</si>
  <si>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</si>
  <si>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</si>
  <si>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</si>
  <si>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</si>
  <si>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</si>
  <si>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</si>
  <si>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</si>
  <si>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</si>
  <si>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</si>
  <si>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</si>
  <si>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</si>
  <si>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</si>
  <si>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</si>
  <si>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</si>
  <si>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</si>
  <si>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</si>
  <si>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</si>
  <si>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</si>
  <si>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</si>
  <si>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</si>
  <si>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</si>
  <si>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</si>
  <si>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</si>
  <si>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</si>
  <si>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</si>
  <si>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</si>
  <si>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</si>
  <si>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</si>
  <si>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</si>
  <si>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</si>
  <si>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</si>
  <si>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</si>
  <si>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</si>
  <si>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</si>
  <si>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</si>
  <si>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</si>
  <si>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</si>
  <si>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</si>
  <si>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</si>
  <si>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</si>
  <si>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</si>
  <si>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</si>
  <si>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</si>
  <si>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</si>
  <si>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</si>
  <si>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</si>
  <si>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</si>
  <si>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</si>
  <si>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</si>
  <si>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</si>
  <si>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</si>
  <si>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</si>
  <si>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</si>
  <si>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</si>
  <si>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</si>
  <si>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</si>
  <si>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</si>
  <si>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</si>
  <si>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</si>
  <si>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</si>
  <si>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</si>
  <si>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</si>
  <si>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</si>
  <si>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</si>
  <si>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</si>
  <si>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</si>
  <si>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</si>
  <si>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</si>
  <si>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</si>
  <si>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</si>
  <si>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</si>
  <si>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</si>
  <si>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</si>
  <si>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</si>
  <si>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</si>
  <si>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</si>
  <si>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</si>
  <si>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</si>
  <si>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</si>
  <si>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</si>
  <si>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</si>
  <si>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</si>
  <si>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</si>
  <si>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</si>
  <si>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</si>
  <si>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</si>
  <si>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</si>
  <si>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</si>
  <si>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</si>
  <si>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</si>
  <si>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</si>
  <si>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</si>
  <si>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</si>
  <si>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</si>
  <si>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</si>
  <si>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</si>
  <si>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</si>
  <si>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</si>
  <si>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</si>
  <si>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</si>
  <si>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</si>
  <si>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</si>
  <si>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</si>
  <si>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</si>
  <si>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</si>
  <si>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</si>
  <si>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</si>
  <si>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</si>
  <si>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</si>
  <si>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</si>
  <si>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</si>
  <si>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</si>
  <si>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</si>
  <si>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</si>
  <si>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</si>
  <si>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</si>
  <si>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</si>
  <si>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</si>
  <si>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</si>
  <si>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</si>
  <si>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</si>
  <si>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</si>
  <si>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</si>
  <si>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</si>
  <si>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</si>
  <si>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</si>
  <si>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</si>
  <si>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</si>
  <si>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</si>
  <si>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</si>
  <si>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</si>
  <si>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</si>
  <si>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</si>
  <si>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</si>
  <si>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</si>
  <si>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</si>
  <si>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</si>
  <si>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</si>
  <si>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</si>
  <si>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</si>
  <si>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</si>
  <si>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</si>
  <si>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</si>
  <si>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</si>
  <si>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</si>
  <si>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</si>
  <si>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</si>
  <si>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</si>
  <si>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</si>
  <si>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</si>
  <si>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</si>
  <si>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</si>
  <si>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</si>
  <si>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</si>
  <si>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</si>
  <si>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</si>
  <si>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</si>
  <si>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</si>
  <si>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</si>
  <si>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</si>
  <si>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</si>
  <si>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</si>
  <si>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</si>
  <si>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</si>
  <si>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</si>
  <si>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</si>
  <si>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</si>
  <si>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</si>
  <si>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</si>
  <si>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</si>
  <si>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</si>
  <si>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</si>
  <si>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</si>
  <si>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</si>
  <si>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</si>
  <si>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</si>
  <si>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</si>
  <si>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</si>
  <si>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</si>
  <si>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</si>
  <si>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</si>
  <si>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</si>
  <si>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</si>
  <si>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</si>
  <si>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</si>
  <si>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</si>
  <si>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</si>
  <si>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</si>
  <si>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</si>
  <si>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</si>
  <si>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</si>
  <si>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</si>
  <si>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</si>
  <si>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</si>
  <si>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</si>
  <si>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</si>
  <si>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</si>
  <si>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</si>
  <si>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</si>
  <si>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</si>
  <si>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</si>
  <si>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</si>
  <si>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</si>
  <si>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</si>
  <si>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</si>
  <si>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</si>
  <si>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</si>
  <si>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</si>
  <si>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</si>
  <si>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</si>
  <si>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</si>
  <si>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</si>
  <si>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</si>
  <si>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</si>
  <si>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</si>
  <si>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</si>
  <si>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</si>
  <si>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</si>
  <si>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</si>
  <si>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</si>
  <si>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</si>
  <si>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</si>
  <si>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</si>
  <si>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</si>
  <si>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</si>
  <si>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</si>
  <si>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</si>
  <si>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</si>
  <si>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</si>
  <si>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</si>
  <si>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</si>
  <si>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</si>
  <si>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</si>
  <si>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</si>
  <si>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</si>
  <si>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</si>
  <si>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</si>
  <si>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</si>
  <si>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</si>
  <si>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</si>
  <si>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</si>
  <si>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</si>
  <si>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</si>
  <si>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</si>
  <si>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</si>
  <si>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</si>
  <si>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</si>
  <si>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</si>
  <si>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</si>
  <si>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</si>
  <si>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</si>
  <si>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</si>
  <si>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</si>
  <si>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</si>
  <si>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</si>
  <si>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</si>
  <si>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</si>
  <si>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</si>
  <si>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</si>
  <si>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</si>
  <si>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</si>
  <si>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</si>
  <si>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</si>
  <si>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</si>
  <si>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</si>
  <si>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</si>
  <si>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</si>
  <si>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</si>
  <si>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</si>
  <si>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</si>
  <si>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</si>
  <si>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</si>
  <si>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</si>
  <si>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</si>
  <si>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</si>
  <si>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</si>
  <si>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</si>
  <si>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</si>
  <si>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</si>
  <si>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</si>
  <si>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</si>
  <si>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</si>
  <si>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</si>
  <si>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</si>
  <si>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</si>
  <si>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</si>
  <si>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</si>
  <si>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</si>
  <si>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</si>
  <si>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</si>
  <si>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</si>
  <si>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</si>
  <si>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</si>
  <si>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</si>
  <si>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</si>
  <si>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</si>
  <si>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</si>
  <si>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</si>
  <si>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</si>
  <si>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</si>
  <si>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</si>
  <si>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</si>
  <si>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</si>
  <si>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</si>
  <si>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</si>
  <si>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</si>
  <si>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</si>
  <si>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</si>
  <si>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</si>
  <si>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</si>
  <si>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</si>
  <si>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</si>
  <si>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</si>
  <si>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</si>
  <si>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</si>
  <si>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</si>
  <si>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</si>
  <si>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</si>
  <si>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</si>
  <si>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</si>
  <si>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</si>
  <si>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</si>
  <si>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</si>
  <si>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</si>
  <si>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</si>
  <si>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</si>
  <si>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</si>
  <si>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</si>
  <si>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</si>
  <si>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</si>
  <si>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</si>
  <si>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</si>
  <si>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</si>
  <si>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</si>
  <si>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</si>
  <si>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</si>
  <si>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</si>
  <si>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</si>
  <si>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</si>
  <si>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</si>
  <si>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</si>
  <si>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</si>
  <si>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</si>
  <si>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</si>
  <si>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</si>
  <si>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</si>
  <si>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</si>
  <si>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</si>
  <si>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</si>
  <si>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</si>
  <si>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</si>
  <si>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</si>
  <si>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</si>
  <si>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</si>
  <si>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</si>
  <si>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</si>
  <si>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</si>
  <si>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</si>
  <si>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</si>
  <si>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</si>
  <si>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</si>
  <si>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</si>
  <si>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</si>
  <si>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</si>
  <si>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</si>
  <si>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</si>
  <si>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</si>
  <si>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</si>
  <si>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</si>
  <si>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</si>
  <si>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</si>
  <si>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</si>
  <si>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</si>
  <si>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</si>
  <si>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</si>
  <si>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</si>
  <si>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</si>
  <si>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</si>
  <si>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</si>
  <si>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</si>
  <si>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</si>
  <si>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</si>
  <si>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</si>
  <si>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</si>
  <si>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</si>
  <si>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</si>
  <si>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</si>
  <si>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</si>
  <si>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</si>
  <si>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</si>
  <si>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</si>
  <si>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</si>
  <si>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</si>
  <si>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</si>
  <si>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</si>
  <si>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</si>
  <si>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</si>
  <si>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</si>
  <si>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</si>
  <si>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</si>
  <si>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</si>
  <si>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</si>
  <si>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</si>
  <si>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</si>
  <si>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</si>
  <si>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</si>
  <si>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</si>
  <si>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</si>
  <si>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</si>
  <si>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</si>
  <si>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</si>
  <si>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</si>
  <si>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</si>
  <si>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</si>
  <si>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</si>
  <si>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</si>
  <si>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</si>
  <si>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</si>
  <si>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</si>
  <si>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</si>
  <si>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</si>
  <si>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</si>
  <si>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</si>
  <si>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</si>
  <si>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</si>
  <si>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</si>
  <si>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</si>
  <si>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</si>
  <si>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</si>
  <si>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</si>
  <si>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</si>
  <si>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</si>
  <si>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</si>
  <si>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</si>
  <si>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</si>
  <si>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</si>
  <si>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</si>
  <si>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</si>
  <si>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</si>
  <si>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</si>
  <si>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</si>
  <si>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</si>
  <si>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</si>
  <si>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</si>
  <si>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</si>
  <si>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</si>
  <si>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</si>
  <si>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</si>
  <si>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</si>
  <si>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</si>
  <si>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</si>
  <si>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</si>
  <si>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</si>
  <si>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</si>
  <si>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</si>
  <si>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</si>
  <si>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</si>
  <si>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</si>
  <si>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</si>
  <si>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</si>
  <si>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</si>
  <si>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</si>
  <si>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</si>
  <si>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</si>
  <si>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</si>
  <si>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</si>
  <si>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</si>
  <si>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</si>
  <si>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</si>
  <si>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</si>
  <si>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</si>
  <si>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</si>
  <si>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</si>
  <si>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</si>
  <si>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</si>
  <si>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</si>
  <si>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</si>
  <si>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</si>
  <si>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</si>
  <si>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</si>
  <si>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</si>
  <si>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</si>
  <si>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</si>
  <si>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</si>
  <si>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</si>
  <si>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</si>
  <si>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</si>
  <si>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</si>
  <si>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</si>
  <si>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</si>
  <si>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</si>
  <si>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</si>
  <si>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</si>
  <si>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</si>
  <si>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</si>
  <si>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</si>
  <si>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</si>
  <si>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</si>
  <si>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</si>
  <si>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</si>
  <si>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</si>
  <si>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</si>
  <si>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</si>
  <si>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</si>
  <si>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</si>
  <si>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</si>
  <si>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</si>
  <si>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</si>
  <si>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</si>
  <si>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</si>
  <si>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</si>
  <si>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</si>
  <si>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</si>
  <si>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</si>
  <si>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</si>
  <si>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</si>
  <si>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</si>
  <si>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</si>
  <si>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</si>
  <si>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</si>
  <si>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</si>
  <si>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</si>
  <si>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</si>
  <si>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</si>
  <si>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</si>
  <si>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</si>
  <si>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</si>
  <si>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</si>
  <si>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</si>
  <si>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</si>
  <si>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</si>
  <si>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</si>
  <si>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</si>
  <si>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</si>
  <si>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</si>
  <si>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</si>
  <si>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</si>
  <si>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</si>
  <si>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</si>
  <si>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</si>
  <si>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</si>
  <si>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</si>
  <si>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</si>
  <si>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</si>
  <si>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</si>
  <si>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</si>
  <si>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</si>
  <si>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</si>
  <si>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</si>
  <si>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</si>
  <si>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</si>
  <si>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</si>
  <si>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</si>
  <si>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</si>
  <si>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</si>
  <si>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</si>
  <si>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</si>
  <si>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</si>
  <si>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</si>
  <si>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</si>
  <si>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</si>
  <si>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</si>
  <si>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</si>
  <si>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</si>
  <si>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</si>
  <si>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</si>
  <si>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</si>
  <si>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</si>
  <si>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</si>
  <si>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</si>
  <si>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</si>
  <si>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</si>
  <si>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</si>
  <si>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</si>
  <si>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</si>
  <si>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</si>
  <si>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</si>
  <si>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</si>
  <si>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</si>
  <si>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</si>
  <si>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</si>
  <si>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</si>
  <si>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</si>
  <si>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</si>
  <si>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</si>
  <si>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</si>
  <si>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</si>
  <si>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</si>
  <si>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</si>
  <si>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</si>
  <si>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</si>
  <si>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</si>
  <si>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</si>
  <si>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</si>
  <si>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</si>
  <si>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</si>
  <si>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</si>
  <si>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</si>
  <si>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</si>
  <si>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</si>
  <si>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</si>
  <si>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</si>
  <si>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</si>
  <si>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</si>
  <si>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</si>
  <si>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</si>
  <si>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</si>
  <si>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</si>
  <si>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</si>
  <si>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</si>
  <si>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</si>
  <si>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</si>
  <si>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</si>
  <si>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</si>
  <si>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</si>
  <si>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</si>
  <si>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</si>
  <si>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</si>
  <si>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</si>
  <si>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</si>
  <si>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</si>
  <si>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</si>
  <si>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</si>
  <si>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</si>
  <si>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</si>
  <si>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</si>
  <si>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</si>
  <si>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</si>
  <si>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</si>
  <si>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</si>
  <si>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</si>
  <si>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</si>
  <si>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</si>
  <si>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</si>
  <si>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</si>
  <si>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</si>
  <si>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</si>
  <si>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</si>
  <si>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</si>
  <si>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</si>
  <si>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</si>
  <si>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</si>
  <si>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</si>
  <si>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</si>
  <si>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</si>
  <si>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</si>
  <si>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</si>
  <si>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</si>
  <si>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</si>
  <si>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</si>
  <si>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</si>
  <si>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</si>
  <si>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</si>
  <si>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</si>
  <si>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</si>
  <si>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</si>
  <si>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</si>
  <si>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</si>
  <si>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</si>
  <si>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</si>
  <si>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</si>
  <si>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</si>
  <si>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</si>
  <si>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</si>
  <si>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</si>
  <si>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</si>
  <si>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</si>
  <si>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</si>
  <si>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</si>
  <si>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</si>
  <si>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</si>
  <si>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</si>
  <si>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</si>
  <si>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</si>
  <si>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</si>
  <si>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</si>
  <si>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</si>
  <si>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</si>
  <si>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</si>
  <si>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</si>
  <si>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</si>
  <si>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</si>
  <si>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</si>
  <si>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</si>
  <si>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</si>
  <si>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</si>
  <si>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</si>
  <si>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</si>
  <si>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</si>
  <si>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</si>
  <si>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</si>
  <si>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</si>
  <si>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</si>
  <si>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</si>
  <si>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</si>
  <si>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</si>
  <si>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</si>
  <si>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</si>
  <si>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</si>
  <si>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</si>
  <si>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</si>
  <si>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</si>
  <si>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</si>
  <si>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</si>
  <si>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</si>
  <si>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</si>
  <si>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</si>
  <si>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</si>
  <si>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</si>
  <si>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</si>
  <si>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</si>
  <si>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</si>
  <si>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</si>
  <si>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</si>
  <si>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</si>
  <si>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</si>
  <si>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</si>
  <si>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</si>
  <si>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</si>
  <si>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</si>
  <si>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</si>
  <si>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</si>
  <si>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</si>
  <si>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</si>
  <si>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</si>
  <si>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</si>
  <si>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</si>
  <si>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</si>
  <si>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</si>
  <si>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</si>
  <si>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</si>
  <si>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</si>
  <si>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</si>
  <si>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</si>
  <si>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</si>
  <si>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</si>
  <si>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</si>
  <si>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</si>
  <si>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</si>
  <si>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</si>
  <si>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</si>
  <si>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</si>
  <si>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</si>
  <si>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</si>
  <si>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</si>
  <si>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</si>
  <si>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</si>
  <si>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</si>
  <si>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</si>
  <si>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</si>
  <si>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</si>
  <si>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</si>
  <si>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</si>
  <si>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</si>
  <si>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</si>
  <si>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</si>
  <si>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</si>
  <si>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</si>
  <si>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</si>
  <si>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</si>
  <si>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</si>
  <si>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</si>
  <si>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</si>
  <si>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</si>
  <si>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</si>
  <si>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</si>
  <si>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</si>
  <si>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</si>
  <si>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</si>
  <si>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</si>
  <si>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</si>
  <si>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</si>
  <si>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</si>
  <si>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</si>
  <si>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</si>
  <si>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</si>
  <si>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</si>
  <si>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</si>
  <si>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</si>
  <si>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</si>
  <si>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</si>
  <si>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</si>
  <si>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</si>
  <si>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</si>
  <si>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</si>
  <si>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</si>
  <si>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</si>
  <si>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</si>
  <si>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</si>
  <si>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</si>
  <si>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</si>
  <si>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</si>
  <si>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</si>
  <si>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</si>
  <si>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</si>
  <si>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</si>
  <si>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</si>
  <si>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</si>
  <si>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</si>
  <si>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</si>
  <si>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</si>
  <si>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</si>
  <si>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</si>
  <si>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</si>
  <si>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</si>
  <si>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</si>
  <si>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</si>
  <si>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</si>
  <si>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</si>
  <si>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</si>
  <si>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</si>
  <si>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</si>
  <si>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</si>
  <si>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</si>
  <si>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</si>
  <si>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</si>
  <si>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</si>
  <si>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</si>
  <si>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</si>
  <si>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</si>
  <si>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</si>
  <si>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</si>
  <si>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</si>
  <si>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</si>
  <si>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</si>
  <si>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</si>
  <si>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</si>
  <si>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</si>
  <si>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</si>
  <si>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</si>
  <si>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</si>
  <si>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</si>
  <si>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</si>
  <si>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</si>
  <si>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</si>
  <si>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</si>
  <si>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</si>
  <si>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</si>
  <si>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</si>
  <si>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</si>
  <si>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</si>
  <si>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</si>
  <si>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</si>
  <si>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</si>
  <si>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</si>
  <si>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</si>
  <si>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</si>
  <si>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</si>
  <si>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</si>
  <si>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</si>
  <si>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</si>
  <si>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</si>
  <si>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</si>
  <si>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</si>
  <si>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</si>
  <si>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</si>
  <si>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</si>
  <si>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</si>
  <si>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</si>
  <si>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</si>
  <si>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</si>
  <si>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</si>
  <si>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</si>
  <si>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</si>
  <si>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</si>
  <si>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</si>
  <si>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</si>
  <si>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</si>
  <si>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</si>
  <si>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</si>
  <si>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</si>
  <si>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</si>
  <si>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</si>
  <si>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</si>
  <si>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</si>
  <si>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</si>
  <si>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</si>
  <si>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</si>
  <si>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</si>
  <si>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</si>
  <si>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</si>
  <si>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</si>
  <si>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</si>
  <si>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</si>
  <si>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</si>
  <si>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</si>
  <si>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</si>
  <si>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</si>
  <si>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</si>
  <si>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</si>
  <si>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</si>
  <si>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</si>
  <si>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</si>
  <si>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</si>
  <si>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</si>
  <si>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</si>
  <si>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</si>
  <si>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</si>
  <si>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</si>
  <si>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</si>
  <si>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</si>
  <si>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</si>
  <si>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</si>
  <si>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</si>
  <si>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</si>
  <si>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</si>
  <si>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</si>
  <si>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</si>
  <si>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</si>
  <si>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</si>
  <si>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</si>
  <si>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</si>
  <si>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</si>
  <si>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</si>
  <si>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</si>
  <si>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</si>
  <si>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</si>
  <si>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</si>
  <si>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</si>
  <si>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</si>
  <si>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</si>
  <si>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</si>
  <si>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</si>
  <si>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</si>
  <si>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</si>
  <si>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</si>
  <si>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</si>
  <si>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</si>
  <si>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</si>
  <si>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</si>
  <si>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</si>
  <si>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</si>
  <si>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</si>
  <si>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</si>
  <si>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</si>
  <si>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</si>
  <si>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</si>
  <si>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</si>
  <si>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</si>
  <si>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</si>
  <si>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</si>
  <si>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</si>
  <si>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</si>
  <si>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</si>
  <si>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</si>
  <si>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</si>
  <si>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</si>
  <si>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</si>
  <si>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</si>
  <si>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</si>
  <si>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</si>
  <si>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</si>
  <si>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</si>
  <si>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</si>
  <si>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</si>
  <si>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</si>
  <si>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</si>
  <si>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</si>
  <si>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</si>
  <si>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</si>
  <si>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</si>
  <si>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</si>
  <si>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</si>
  <si>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</si>
  <si>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</si>
  <si>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</si>
  <si>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</si>
  <si>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</si>
  <si>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</si>
  <si>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</si>
  <si>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</si>
  <si>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</si>
  <si>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</si>
  <si>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</si>
  <si>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</si>
  <si>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</si>
  <si>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</si>
  <si>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</si>
  <si>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</si>
  <si>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</si>
  <si>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</si>
  <si>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</si>
  <si>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</si>
  <si>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</si>
  <si>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</si>
  <si>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</si>
  <si>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</si>
  <si>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</si>
  <si>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</si>
  <si>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</si>
  <si>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</si>
  <si>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</si>
  <si>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</si>
  <si>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</si>
  <si>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</si>
  <si>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</si>
  <si>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</si>
  <si>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</si>
  <si>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</si>
  <si>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</si>
  <si>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</si>
  <si>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</si>
  <si>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</si>
  <si>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</si>
  <si>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</si>
  <si>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</si>
  <si>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</si>
  <si>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</si>
  <si>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</si>
  <si>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</si>
  <si>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</si>
  <si>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</si>
  <si>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</si>
  <si>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</si>
  <si>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</si>
  <si>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</si>
  <si>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</si>
  <si>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</si>
  <si>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</si>
  <si>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</si>
  <si>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</si>
  <si>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</si>
  <si>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</si>
  <si>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</si>
  <si>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</si>
  <si>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</si>
  <si>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</si>
  <si>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</si>
  <si>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</si>
  <si>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</si>
  <si>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</si>
  <si>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</si>
  <si>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</si>
  <si>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</si>
  <si>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</si>
  <si>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</si>
  <si>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</si>
  <si>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</si>
  <si>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</si>
  <si>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</si>
  <si>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</si>
  <si>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</si>
  <si>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</si>
  <si>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</si>
  <si>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</si>
  <si>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</si>
  <si>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</si>
  <si>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</si>
  <si>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</si>
  <si>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</si>
  <si>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</si>
  <si>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</si>
  <si>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</si>
  <si>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</si>
  <si>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</si>
  <si>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</si>
  <si>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</si>
  <si>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</si>
  <si>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</si>
  <si>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</si>
  <si>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</si>
  <si>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</si>
  <si>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</si>
  <si>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</si>
  <si>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</si>
  <si>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</si>
  <si>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</si>
  <si>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</si>
  <si>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</si>
  <si>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</si>
  <si>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</si>
  <si>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</si>
  <si>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</si>
  <si>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</si>
  <si>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</si>
  <si>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</si>
  <si>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</si>
  <si>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</si>
  <si>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</si>
  <si>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</si>
  <si>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</si>
  <si>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</si>
  <si>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</si>
  <si>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</si>
  <si>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</si>
  <si>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</si>
  <si>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</si>
  <si>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</si>
  <si>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</si>
  <si>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</si>
  <si>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</si>
  <si>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</si>
  <si>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</si>
  <si>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</si>
  <si>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</si>
  <si>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</si>
  <si>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</si>
  <si>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</si>
  <si>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</si>
  <si>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</si>
  <si>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</si>
  <si>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</si>
  <si>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</si>
  <si>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</si>
  <si>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</si>
  <si>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</si>
  <si>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</si>
  <si>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</si>
  <si>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</si>
  <si>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</si>
  <si>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</si>
  <si>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</si>
  <si>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</si>
  <si>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</si>
  <si>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</si>
  <si>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</si>
  <si>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</si>
  <si>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</si>
  <si>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</si>
  <si>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</si>
  <si>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</si>
  <si>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</si>
  <si>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</si>
  <si>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</si>
  <si>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</si>
  <si>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</si>
  <si>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</si>
  <si>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</si>
  <si>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</si>
  <si>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</si>
  <si>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</si>
  <si>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</si>
  <si>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</si>
  <si>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</si>
  <si>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</si>
  <si>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</si>
  <si>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</si>
  <si>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</si>
  <si>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</si>
  <si>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</si>
  <si>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</si>
  <si>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</si>
  <si>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</si>
  <si>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</si>
  <si>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</si>
  <si>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</si>
  <si>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</si>
  <si>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</si>
  <si>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</si>
  <si>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</si>
  <si>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</si>
  <si>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</si>
  <si>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</si>
  <si>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</si>
  <si>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</si>
  <si>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</si>
  <si>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</si>
  <si>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</si>
  <si>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</si>
  <si>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</si>
  <si>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</si>
  <si>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</si>
  <si>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</si>
  <si>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</si>
  <si>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</si>
  <si>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</si>
  <si>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</si>
  <si>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</si>
  <si>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</si>
  <si>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</si>
  <si>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</si>
  <si>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</si>
  <si>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</si>
  <si>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</si>
  <si>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</si>
  <si>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</si>
  <si>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</si>
  <si>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</si>
  <si>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</si>
  <si>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</si>
  <si>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</si>
  <si>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</si>
  <si>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</si>
  <si>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</si>
  <si>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</si>
  <si>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</si>
  <si>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</si>
  <si>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</si>
  <si>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</si>
  <si>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</si>
  <si>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</si>
  <si>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</si>
  <si>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</si>
  <si>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</si>
  <si>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</si>
  <si>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</si>
  <si>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</si>
  <si>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</si>
  <si>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</si>
  <si>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</si>
  <si>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</si>
  <si>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</si>
  <si>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</si>
  <si>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</si>
  <si>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</si>
  <si>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</si>
  <si>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</si>
  <si>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</si>
  <si>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</si>
  <si>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</si>
  <si>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</si>
  <si>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</si>
  <si>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</si>
  <si>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</si>
  <si>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</si>
  <si>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</si>
  <si>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</si>
  <si>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</si>
  <si>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</si>
  <si>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</si>
  <si>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</si>
  <si>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</si>
  <si>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</si>
  <si>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</si>
  <si>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</si>
  <si>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</si>
  <si>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</si>
  <si>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</si>
  <si>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</si>
  <si>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</si>
  <si>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</si>
  <si>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</si>
  <si>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</si>
  <si>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</si>
  <si>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</si>
  <si>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</si>
  <si>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</si>
  <si>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</si>
  <si>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</si>
  <si>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</si>
  <si>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</si>
  <si>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</si>
  <si>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</si>
  <si>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</si>
  <si>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</si>
  <si>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</si>
  <si>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</si>
  <si>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</si>
  <si>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</si>
  <si>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</si>
  <si>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</si>
  <si>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</si>
  <si>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</si>
  <si>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</si>
  <si>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</si>
  <si>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</si>
  <si>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</si>
  <si>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</si>
  <si>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</si>
  <si>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</si>
  <si>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</si>
  <si>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</si>
  <si>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</si>
  <si>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</si>
  <si>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</si>
  <si>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</si>
  <si>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</si>
  <si>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</si>
  <si>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</si>
  <si>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</si>
  <si>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</si>
  <si>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</si>
  <si>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</si>
  <si>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</si>
  <si>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</si>
  <si>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</si>
  <si>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</si>
  <si>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</si>
  <si>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</si>
  <si>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</si>
  <si>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</si>
  <si>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</si>
  <si>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</si>
  <si>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</si>
  <si>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</si>
  <si>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</si>
  <si>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</si>
  <si>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</si>
  <si>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</si>
  <si>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</si>
  <si>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</si>
  <si>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</si>
  <si>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</si>
  <si>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</si>
  <si>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</si>
  <si>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</si>
  <si>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</si>
  <si>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</si>
  <si>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</si>
  <si>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</si>
  <si>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</si>
  <si>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</si>
  <si>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</si>
  <si>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</si>
  <si>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</si>
  <si>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</si>
  <si>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</si>
  <si>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</si>
  <si>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</si>
  <si>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</si>
  <si>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</si>
  <si>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</si>
  <si>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</si>
  <si>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</si>
  <si>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</si>
  <si>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</si>
  <si>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</si>
  <si>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</si>
  <si>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</si>
  <si>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</si>
  <si>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</si>
  <si>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</si>
  <si>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</si>
  <si>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</si>
  <si>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</si>
  <si>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</si>
  <si>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</si>
  <si>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</si>
  <si>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</si>
  <si>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</si>
  <si>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</si>
  <si>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</si>
  <si>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</si>
  <si>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</si>
  <si>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</si>
  <si>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</si>
  <si>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</si>
  <si>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</si>
  <si>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</si>
  <si>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</si>
  <si>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</si>
  <si>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</si>
  <si>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</si>
  <si>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</si>
  <si>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</si>
  <si>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</si>
  <si>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</si>
  <si>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</si>
  <si>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</si>
  <si>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</si>
  <si>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</si>
  <si>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</si>
  <si>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</si>
  <si>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</si>
  <si>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</si>
  <si>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</si>
  <si>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</si>
  <si>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</si>
  <si>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</si>
  <si>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</si>
  <si>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</si>
  <si>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</si>
  <si>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</si>
  <si>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</si>
  <si>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</si>
  <si>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</si>
  <si>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</si>
  <si>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</si>
  <si>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</si>
  <si>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</si>
  <si>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</si>
  <si>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</si>
  <si>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</si>
  <si>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</si>
  <si>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</si>
  <si>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</si>
  <si>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</si>
  <si>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</si>
  <si>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</si>
  <si>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</si>
  <si>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</si>
  <si>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</si>
  <si>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</si>
  <si>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</si>
  <si>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</si>
  <si>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</si>
  <si>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</si>
  <si>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</si>
  <si>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</si>
  <si>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</si>
  <si>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</si>
  <si>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</si>
  <si>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</si>
  <si>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</si>
  <si>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</si>
  <si>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</si>
  <si>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</si>
  <si>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</si>
  <si>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</si>
  <si>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</si>
  <si>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</si>
  <si>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</si>
  <si>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</si>
  <si>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</si>
  <si>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</si>
  <si>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</si>
  <si>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</si>
  <si>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</si>
  <si>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</si>
  <si>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</si>
  <si>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</si>
  <si>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</si>
  <si>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</si>
  <si>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</si>
  <si>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</si>
  <si>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</si>
  <si>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</si>
  <si>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</si>
  <si>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</si>
  <si>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</si>
  <si>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</si>
  <si>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</si>
  <si>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</si>
  <si>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</si>
  <si>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</si>
  <si>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</si>
  <si>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</si>
  <si>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</si>
  <si>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</si>
  <si>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</si>
  <si>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</si>
  <si>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</si>
  <si>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</si>
  <si>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</si>
  <si>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</si>
  <si>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</si>
  <si>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</si>
  <si>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</si>
  <si>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</si>
  <si>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</si>
  <si>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</si>
  <si>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</si>
  <si>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</si>
  <si>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</si>
  <si>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</si>
  <si>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</si>
  <si>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</si>
  <si>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</si>
  <si>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</si>
  <si>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</si>
  <si>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</si>
  <si>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</si>
  <si>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</si>
  <si>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</si>
  <si>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</si>
  <si>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</si>
  <si>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</si>
  <si>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</si>
  <si>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</si>
  <si>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</si>
  <si>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</si>
  <si>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</si>
  <si>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</si>
  <si>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</si>
  <si>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</si>
  <si>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</si>
  <si>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</si>
  <si>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</si>
  <si>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</si>
  <si>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</si>
  <si>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</si>
  <si>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</si>
  <si>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</si>
  <si>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</si>
  <si>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</si>
  <si>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</si>
  <si>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</si>
  <si>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</si>
  <si>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</si>
  <si>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</si>
  <si>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</si>
  <si>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</si>
  <si>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</si>
  <si>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</si>
  <si>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</si>
  <si>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</si>
  <si>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</si>
  <si>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</si>
  <si>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</si>
  <si>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</si>
  <si>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</si>
  <si>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</si>
  <si>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</si>
  <si>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</si>
  <si>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</si>
  <si>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</si>
  <si>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</si>
  <si>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</si>
  <si>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</si>
  <si>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</si>
  <si>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</si>
  <si>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</si>
  <si>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</si>
  <si>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</si>
  <si>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</si>
  <si>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</si>
  <si>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</si>
  <si>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</si>
  <si>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</si>
  <si>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</si>
  <si>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</si>
  <si>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</si>
  <si>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</si>
  <si>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</si>
  <si>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</si>
  <si>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</si>
  <si>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</si>
  <si>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</si>
  <si>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</si>
  <si>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</si>
  <si>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</si>
  <si>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</si>
  <si>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</si>
  <si>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</si>
  <si>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</si>
  <si>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</si>
  <si>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</si>
  <si>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</si>
  <si>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</si>
  <si>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</si>
  <si>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</si>
  <si>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</si>
  <si>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</si>
  <si>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</si>
  <si>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</si>
  <si>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</si>
  <si>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</si>
  <si>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</si>
  <si>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</si>
  <si>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</si>
  <si>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</si>
  <si>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</si>
  <si>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</si>
  <si>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</si>
  <si>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</si>
  <si>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</si>
  <si>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</si>
  <si>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</si>
  <si>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</si>
  <si>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</si>
  <si>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</si>
  <si>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</si>
  <si>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</si>
  <si>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</si>
  <si>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</si>
  <si>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</si>
  <si>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</si>
  <si>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</si>
  <si>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</si>
  <si>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</si>
  <si>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</si>
  <si>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</si>
  <si>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</si>
  <si>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</si>
  <si>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</si>
  <si>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</si>
  <si>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</si>
  <si>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</si>
  <si>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</si>
  <si>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</si>
  <si>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</si>
  <si>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</si>
  <si>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</si>
  <si>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</si>
  <si>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</si>
  <si>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</si>
  <si>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</si>
  <si>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</si>
  <si>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</si>
  <si>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</si>
  <si>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</si>
  <si>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</si>
  <si>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</si>
  <si>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</si>
  <si>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</si>
  <si>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</si>
  <si>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</si>
  <si>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</si>
  <si>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</si>
  <si>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</si>
  <si>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</si>
  <si>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</si>
  <si>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</si>
  <si>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</si>
  <si>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</si>
  <si>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</si>
  <si>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</si>
  <si>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</si>
  <si>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</si>
  <si>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</si>
  <si>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</si>
  <si>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</si>
  <si>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</si>
  <si>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</si>
  <si>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</si>
  <si>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</si>
  <si>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</si>
  <si>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</si>
  <si>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</si>
  <si>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</si>
  <si>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</si>
  <si>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</si>
  <si>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</si>
  <si>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</si>
  <si>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</si>
  <si>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</si>
  <si>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</si>
  <si>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</si>
  <si>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</si>
  <si>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</si>
  <si>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</si>
  <si>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</si>
  <si>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</si>
  <si>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</si>
  <si>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</si>
  <si>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</si>
  <si>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</si>
  <si>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</si>
  <si>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</si>
  <si>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</si>
  <si>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</si>
  <si>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</si>
  <si>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</si>
  <si>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</si>
  <si>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</si>
  <si>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</si>
  <si>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</si>
  <si>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</si>
  <si>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</si>
  <si>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</si>
  <si>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</si>
  <si>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</si>
  <si>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</si>
  <si>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</si>
  <si>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</si>
  <si>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</si>
  <si>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</si>
  <si>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</si>
  <si>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</si>
  <si>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</si>
  <si>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</si>
  <si>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</si>
  <si>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</si>
  <si>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</si>
  <si>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</si>
  <si>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</si>
  <si>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</si>
  <si>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</si>
  <si>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</si>
  <si>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</si>
  <si>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</si>
  <si>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</si>
  <si>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</si>
  <si>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</si>
  <si>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</si>
  <si>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</si>
  <si>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</si>
  <si>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</si>
  <si>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</si>
  <si>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</si>
  <si>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</si>
  <si>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</si>
  <si>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</si>
  <si>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</si>
  <si>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</si>
  <si>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</si>
  <si>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</si>
  <si>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</si>
  <si>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</si>
  <si>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</si>
  <si>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</si>
  <si>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</si>
  <si>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</si>
  <si>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</si>
  <si>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</si>
  <si>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</si>
  <si>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</si>
  <si>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</si>
  <si>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</si>
  <si>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</si>
  <si>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</si>
  <si>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</si>
  <si>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</si>
  <si>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</si>
  <si>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</si>
  <si>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</si>
  <si>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</si>
  <si>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</si>
  <si>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</si>
  <si>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</si>
  <si>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</si>
  <si>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</si>
  <si>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</si>
  <si>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</si>
  <si>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</si>
  <si>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</si>
  <si>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</si>
  <si>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</si>
  <si>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</si>
  <si>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</si>
  <si>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</si>
  <si>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</si>
  <si>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</si>
  <si>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</si>
  <si>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</si>
  <si>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</si>
  <si>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</si>
  <si>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</si>
  <si>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</si>
  <si>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</si>
  <si>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</si>
  <si>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</si>
  <si>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</si>
  <si>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</si>
  <si>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</si>
  <si>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</si>
  <si>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</si>
  <si>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</si>
  <si>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</si>
  <si>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</si>
  <si>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</si>
  <si>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</si>
  <si>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</si>
  <si>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</si>
  <si>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</si>
  <si>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</si>
  <si>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</si>
  <si>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</si>
  <si>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</si>
  <si>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</si>
  <si>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</si>
  <si>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</si>
  <si>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</si>
  <si>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</si>
  <si>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</si>
  <si>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</si>
  <si>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</si>
  <si>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</si>
  <si>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</si>
  <si>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</si>
  <si>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</si>
  <si>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</si>
  <si>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</si>
  <si>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</si>
  <si>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</si>
  <si>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</si>
  <si>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</si>
  <si>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</si>
  <si>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</si>
  <si>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</si>
  <si>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</si>
  <si>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</si>
  <si>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</si>
  <si>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</si>
  <si>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</si>
  <si>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</si>
  <si>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</si>
  <si>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</si>
  <si>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</si>
  <si>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</si>
  <si>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</si>
  <si>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</si>
  <si>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</si>
  <si>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</si>
  <si>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</si>
  <si>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</si>
  <si>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</si>
  <si>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</si>
  <si>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</si>
  <si>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</si>
  <si>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</si>
  <si>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</si>
  <si>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</si>
  <si>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</si>
  <si>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</si>
  <si>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</si>
  <si>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</si>
  <si>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</si>
  <si>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</si>
  <si>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</si>
  <si>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</si>
  <si>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</si>
  <si>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</si>
  <si>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</si>
  <si>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</si>
  <si>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</si>
  <si>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</si>
  <si>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</si>
  <si>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</si>
  <si>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</si>
  <si>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</si>
  <si>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</si>
  <si>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</si>
  <si>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</si>
  <si>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</si>
  <si>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</si>
  <si>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</si>
  <si>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</si>
  <si>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</si>
  <si>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</si>
  <si>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</si>
  <si>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</si>
  <si>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</si>
  <si>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</si>
  <si>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</si>
  <si>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</si>
  <si>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</si>
  <si>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</si>
  <si>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</si>
  <si>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</si>
  <si>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</si>
  <si>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</si>
  <si>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</si>
  <si>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</si>
  <si>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</si>
  <si>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</si>
  <si>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</si>
  <si>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</si>
  <si>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</si>
  <si>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</si>
  <si>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</si>
  <si>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</si>
  <si>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</si>
  <si>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</si>
  <si>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</si>
  <si>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</si>
  <si>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</si>
  <si>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</si>
  <si>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</si>
  <si>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</si>
  <si>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</si>
  <si>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</si>
  <si>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</si>
  <si>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</si>
  <si>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</si>
  <si>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</si>
  <si>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</si>
  <si>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</si>
  <si>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</si>
  <si>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</si>
  <si>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</si>
  <si>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</si>
  <si>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</si>
  <si>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</si>
  <si>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</si>
  <si>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</si>
  <si>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</si>
  <si>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</si>
  <si>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</si>
  <si>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</si>
  <si>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</si>
  <si>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</si>
  <si>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</si>
  <si>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</si>
  <si>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</si>
  <si>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</si>
  <si>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</si>
  <si>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</si>
  <si>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</si>
  <si>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</si>
  <si>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</si>
  <si>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</si>
  <si>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</si>
  <si>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</si>
  <si>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</si>
  <si>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</si>
  <si>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</si>
  <si>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</si>
  <si>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</si>
  <si>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</si>
  <si>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</si>
  <si>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</si>
  <si>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</si>
  <si>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</si>
  <si>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</si>
  <si>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</si>
  <si>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</si>
  <si>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</si>
  <si>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</si>
  <si>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</si>
  <si>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</si>
  <si>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</si>
  <si>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</si>
  <si>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</si>
  <si>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</si>
  <si>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</si>
  <si>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</si>
  <si>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</si>
  <si>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</si>
  <si>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</si>
  <si>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</si>
  <si>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</si>
  <si>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</si>
  <si>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</si>
  <si>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</si>
  <si>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</si>
  <si>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</si>
  <si>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</si>
  <si>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</si>
  <si>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</si>
  <si>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</si>
  <si>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</si>
  <si>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</si>
  <si>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</si>
  <si>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</si>
  <si>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</si>
  <si>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</si>
  <si>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</si>
  <si>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</si>
  <si>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</si>
  <si>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</si>
  <si>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</si>
  <si>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</si>
  <si>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</si>
  <si>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</si>
  <si>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</si>
  <si>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</si>
  <si>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</si>
  <si>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</si>
  <si>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</si>
  <si>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</si>
  <si>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</si>
  <si>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</si>
  <si>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</si>
  <si>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</si>
  <si>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</si>
  <si>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</si>
  <si>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</si>
  <si>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</si>
  <si>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</si>
  <si>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</si>
  <si>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</si>
  <si>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</si>
  <si>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</si>
  <si>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</si>
  <si>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</si>
  <si>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</si>
  <si>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</si>
  <si>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</si>
  <si>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</si>
  <si>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</si>
  <si>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</si>
  <si>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</si>
  <si>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</si>
  <si>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</si>
  <si>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</si>
  <si>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</si>
  <si>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</si>
  <si>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</si>
  <si>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</si>
  <si>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</si>
  <si>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</si>
  <si>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</si>
  <si>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</si>
  <si>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</si>
  <si>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</si>
  <si>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</si>
  <si>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</si>
  <si>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</si>
  <si>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</si>
  <si>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</si>
  <si>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</si>
  <si>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</si>
  <si>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</si>
  <si>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</si>
  <si>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</si>
  <si>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</si>
  <si>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</si>
  <si>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</si>
  <si>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</si>
  <si>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</si>
  <si>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</si>
  <si>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</si>
  <si>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</si>
  <si>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</si>
  <si>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</si>
  <si>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</si>
  <si>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</si>
  <si>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</si>
  <si>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</si>
  <si>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</si>
  <si>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</si>
  <si>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</si>
  <si>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</si>
  <si>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</si>
  <si>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</si>
  <si>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</si>
  <si>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</si>
  <si>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</si>
  <si>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</si>
  <si>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</si>
  <si>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</si>
  <si>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</si>
  <si>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</si>
  <si>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</si>
  <si>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</si>
  <si>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</si>
  <si>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</si>
  <si>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</si>
  <si>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</si>
  <si>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</si>
  <si>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</si>
  <si>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</si>
  <si>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</si>
  <si>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</si>
  <si>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</si>
  <si>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</si>
  <si>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</si>
  <si>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</si>
  <si>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</si>
  <si>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</si>
  <si>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</si>
  <si>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</si>
  <si>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</si>
  <si>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</si>
  <si>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</si>
  <si>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</si>
  <si>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</si>
  <si>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</si>
  <si>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</si>
  <si>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</si>
  <si>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</si>
  <si>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</si>
  <si>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</si>
  <si>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</si>
  <si>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</si>
  <si>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</si>
  <si>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</si>
  <si>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</si>
  <si>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</si>
  <si>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</si>
  <si>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</si>
  <si>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</si>
  <si>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</si>
  <si>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</si>
  <si>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</si>
  <si>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</si>
  <si>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</si>
  <si>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</si>
  <si>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</si>
  <si>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</si>
  <si>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</si>
  <si>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</si>
  <si>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</si>
  <si>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</si>
  <si>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</si>
  <si>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</si>
  <si>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</si>
  <si>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</si>
  <si>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</si>
  <si>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</si>
  <si>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</si>
  <si>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</si>
  <si>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</si>
  <si>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</si>
  <si>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</si>
  <si>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</si>
  <si>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</si>
  <si>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</si>
  <si>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</si>
  <si>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</si>
  <si>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</si>
  <si>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</si>
  <si>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</si>
  <si>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</si>
  <si>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</si>
  <si>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</si>
  <si>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</si>
  <si>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</si>
  <si>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</si>
  <si>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</si>
  <si>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</si>
  <si>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</si>
  <si>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</si>
  <si>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</si>
  <si>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</si>
  <si>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</si>
  <si>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</si>
  <si>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</si>
  <si>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</si>
  <si>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</si>
  <si>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</si>
  <si>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</si>
  <si>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</si>
  <si>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</si>
  <si>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</si>
  <si>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</si>
  <si>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</si>
  <si>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</si>
  <si>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</si>
  <si>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</si>
  <si>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</si>
  <si>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</si>
  <si>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</si>
  <si>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</si>
  <si>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</si>
  <si>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</si>
  <si>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</si>
  <si>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</si>
  <si>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</si>
  <si>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</si>
  <si>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</si>
  <si>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</si>
  <si>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</si>
  <si>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</si>
  <si>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</si>
  <si>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</si>
  <si>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</si>
  <si>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</si>
  <si>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</si>
  <si>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</si>
  <si>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</si>
  <si>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</si>
  <si>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</si>
  <si>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</si>
  <si>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</si>
  <si>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</si>
  <si>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</si>
  <si>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</si>
  <si>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</si>
  <si>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</si>
  <si>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</si>
  <si>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</si>
  <si>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</si>
  <si>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</si>
  <si>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</si>
  <si>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</si>
  <si>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</si>
  <si>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</si>
  <si>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</si>
  <si>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</si>
  <si>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</si>
  <si>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</si>
  <si>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</si>
  <si>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</si>
  <si>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</si>
  <si>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</si>
  <si>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</si>
  <si>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</si>
  <si>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</si>
  <si>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</si>
  <si>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</si>
  <si>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</si>
  <si>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</si>
  <si>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</si>
  <si>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</si>
  <si>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</si>
  <si>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</si>
  <si>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</si>
  <si>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</si>
  <si>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</si>
  <si>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</si>
  <si>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</si>
  <si>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</si>
  <si>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</si>
  <si>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</si>
  <si>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</si>
  <si>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</si>
  <si>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</si>
  <si>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</si>
  <si>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</si>
  <si>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</si>
  <si>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</si>
  <si>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</si>
  <si>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</si>
  <si>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</si>
  <si>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</si>
  <si>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</si>
  <si>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</si>
  <si>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</si>
  <si>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</si>
  <si>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</si>
  <si>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</si>
  <si>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</si>
  <si>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</si>
  <si>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</si>
  <si>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</si>
  <si>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</si>
  <si>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</si>
  <si>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</si>
  <si>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</si>
  <si>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</si>
  <si>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</si>
  <si>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</si>
  <si>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</si>
  <si>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</si>
  <si>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</si>
  <si>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</si>
  <si>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</si>
  <si>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</si>
  <si>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</si>
  <si>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</si>
  <si>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</si>
  <si>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</si>
  <si>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</si>
  <si>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</si>
  <si>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</si>
  <si>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</si>
  <si>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</si>
  <si>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</si>
  <si>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</si>
  <si>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</si>
  <si>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</si>
  <si>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</si>
  <si>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</si>
  <si>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</si>
  <si>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</si>
  <si>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</si>
  <si>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</si>
  <si>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</si>
  <si>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</si>
  <si>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</si>
  <si>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</si>
  <si>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</si>
  <si>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</si>
  <si>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</si>
  <si>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</si>
  <si>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</si>
  <si>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</si>
  <si>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</si>
  <si>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</si>
  <si>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</si>
  <si>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</si>
  <si>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</si>
  <si>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</si>
  <si>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</si>
  <si>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</si>
  <si>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</si>
  <si>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</si>
  <si>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</si>
  <si>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</si>
  <si>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</si>
  <si>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</si>
  <si>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</si>
  <si>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</si>
  <si>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</si>
  <si>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</si>
  <si>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</si>
  <si>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</si>
  <si>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</si>
  <si>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</si>
  <si>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</si>
  <si>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</si>
  <si>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</si>
  <si>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</si>
  <si>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</si>
  <si>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</si>
  <si>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</si>
  <si>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</si>
  <si>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</si>
  <si>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</si>
  <si>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</si>
  <si>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</si>
  <si>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</si>
  <si>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</si>
  <si>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</si>
  <si>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</si>
  <si>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</si>
  <si>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</si>
  <si>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</si>
  <si>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</si>
  <si>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</si>
  <si>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</si>
  <si>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</si>
  <si>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</si>
  <si>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</si>
  <si>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</si>
  <si>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</si>
  <si>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</si>
  <si>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</si>
  <si>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</si>
  <si>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</si>
  <si>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</si>
  <si>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</si>
  <si>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</si>
  <si>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</si>
  <si>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</si>
  <si>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</si>
  <si>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</si>
  <si>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</si>
  <si>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</si>
  <si>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</si>
  <si>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</si>
  <si>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</si>
  <si>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</si>
  <si>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</si>
  <si>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</si>
  <si>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</si>
  <si>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</si>
  <si>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</si>
  <si>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</si>
  <si>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</si>
  <si>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</si>
  <si>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</si>
  <si>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</si>
  <si>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</si>
  <si>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</si>
  <si>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</si>
  <si>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</si>
  <si>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</si>
  <si>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</si>
  <si>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</si>
  <si>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</si>
  <si>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</si>
  <si>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</si>
  <si>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</si>
  <si>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</si>
  <si>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</si>
  <si>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</si>
  <si>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</si>
  <si>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</si>
  <si>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</si>
  <si>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</si>
  <si>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</si>
  <si>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</si>
  <si>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</si>
  <si>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</si>
  <si>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</si>
  <si>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</si>
  <si>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</si>
  <si>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</si>
  <si>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</si>
  <si>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</si>
  <si>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</si>
  <si>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</si>
  <si>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</si>
  <si>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</si>
  <si>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</si>
  <si>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</si>
  <si>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</si>
  <si>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</si>
  <si>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</si>
  <si>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</si>
  <si>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</si>
  <si>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</si>
  <si>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</si>
  <si>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</si>
  <si>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</si>
  <si>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</si>
  <si>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</si>
  <si>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</si>
  <si>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</si>
  <si>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</si>
  <si>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</si>
  <si>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</si>
  <si>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</si>
  <si>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</si>
  <si>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</si>
  <si>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</si>
  <si>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</si>
  <si>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</si>
  <si>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</si>
  <si>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</si>
  <si>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</si>
  <si>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</si>
  <si>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</si>
  <si>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</si>
  <si>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</si>
  <si>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</si>
  <si>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</si>
  <si>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</si>
  <si>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</si>
  <si>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</si>
  <si>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</si>
  <si>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</si>
  <si>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</si>
  <si>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</si>
  <si>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</si>
  <si>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</si>
  <si>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</si>
  <si>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</si>
  <si>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</si>
  <si>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</si>
  <si>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</si>
  <si>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</si>
  <si>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</si>
  <si>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</si>
  <si>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</si>
  <si>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</si>
  <si>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</si>
  <si>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</si>
  <si>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</si>
  <si>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</si>
  <si>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</si>
  <si>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</si>
  <si>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</si>
  <si>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</si>
  <si>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</si>
  <si>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</si>
  <si>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</si>
  <si>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</si>
  <si>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</si>
  <si>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</si>
  <si>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</si>
  <si>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</si>
  <si>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</si>
  <si>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</si>
  <si>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</si>
  <si>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</si>
  <si>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</si>
  <si>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</si>
  <si>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</si>
  <si>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</si>
  <si>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</si>
  <si>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</si>
  <si>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</si>
  <si>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</si>
  <si>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</si>
  <si>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</si>
  <si>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</si>
  <si>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</si>
  <si>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</si>
  <si>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</si>
  <si>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</si>
  <si>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</si>
  <si>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</si>
  <si>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</si>
  <si>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</si>
  <si>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</si>
  <si>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</si>
  <si>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</si>
  <si>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</si>
  <si>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</si>
  <si>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</si>
  <si>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</si>
  <si>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</si>
  <si>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</si>
  <si>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</si>
  <si>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</si>
  <si>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</si>
  <si>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</si>
  <si>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</si>
  <si>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</si>
  <si>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</si>
  <si>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</si>
  <si>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</si>
  <si>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</si>
  <si>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</si>
  <si>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</si>
  <si>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</si>
  <si>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</si>
  <si>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</si>
  <si>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</si>
  <si>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</si>
  <si>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</si>
  <si>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</si>
  <si>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</si>
  <si>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</si>
  <si>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</si>
  <si>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</si>
  <si>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</si>
  <si>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</si>
  <si>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</si>
  <si>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</si>
  <si>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</si>
  <si>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</si>
  <si>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</si>
  <si>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</si>
  <si>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</si>
  <si>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</si>
  <si>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</si>
  <si>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</si>
  <si>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</si>
  <si>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</si>
  <si>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</si>
  <si>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</si>
  <si>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</si>
  <si>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</si>
  <si>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</si>
  <si>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</si>
  <si>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</si>
  <si>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</si>
  <si>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</si>
  <si>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</si>
  <si>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</si>
  <si>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</si>
  <si>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</si>
  <si>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</si>
  <si>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</si>
  <si>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</si>
  <si>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</si>
  <si>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</si>
  <si>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</si>
  <si>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</si>
  <si>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</si>
  <si>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</si>
  <si>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</si>
  <si>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</si>
  <si>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</si>
  <si>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</si>
  <si>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</si>
  <si>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</si>
  <si>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</si>
  <si>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</si>
  <si>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</si>
  <si>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</si>
  <si>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</si>
  <si>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</si>
  <si>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</si>
  <si>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</si>
  <si>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</si>
  <si>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</si>
  <si>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</si>
  <si>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</si>
  <si>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</si>
  <si>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</si>
  <si>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</si>
  <si>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</si>
  <si>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</si>
  <si>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</si>
  <si>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</si>
  <si>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</si>
  <si>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</si>
  <si>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</si>
  <si>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</si>
  <si>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</si>
  <si>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</si>
  <si>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</si>
  <si>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</si>
  <si>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</si>
  <si>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</si>
  <si>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</si>
  <si>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</si>
  <si>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</si>
  <si>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</si>
  <si>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</si>
  <si>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</si>
  <si>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</si>
  <si>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</si>
  <si>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</si>
  <si>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</si>
  <si>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</si>
  <si>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</si>
  <si>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</si>
  <si>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</si>
  <si>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</si>
  <si>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</si>
  <si>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</si>
  <si>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</si>
  <si>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</si>
  <si>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</si>
  <si>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</si>
  <si>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</si>
  <si>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</si>
  <si>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</si>
  <si>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</si>
  <si>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</si>
  <si>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</si>
  <si>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</si>
  <si>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</si>
  <si>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</si>
  <si>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</si>
  <si>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</si>
  <si>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</si>
  <si>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</si>
  <si>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</si>
  <si>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</si>
  <si>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</si>
  <si>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</si>
  <si>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</si>
  <si>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</si>
  <si>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</si>
  <si>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</si>
  <si>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</si>
  <si>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</si>
  <si>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</si>
  <si>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</si>
  <si>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</si>
  <si>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</si>
  <si>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</si>
  <si>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</si>
  <si>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</si>
  <si>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</si>
  <si>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</si>
  <si>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</si>
  <si>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</si>
  <si>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</si>
  <si>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</si>
  <si>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</si>
  <si>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</si>
  <si>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</si>
  <si>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</si>
  <si>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</si>
  <si>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</si>
  <si>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</si>
  <si>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</si>
  <si>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</si>
  <si>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</si>
  <si>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</si>
  <si>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</si>
  <si>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</si>
  <si>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</si>
  <si>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</si>
  <si>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</si>
  <si>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</si>
  <si>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</si>
  <si>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</si>
  <si>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</si>
  <si>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</si>
  <si>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</si>
  <si>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</si>
  <si>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</si>
  <si>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</si>
  <si>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</si>
  <si>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</si>
  <si>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</si>
  <si>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</si>
  <si>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</si>
  <si>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</si>
  <si>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</si>
  <si>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</si>
  <si>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</si>
  <si>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</si>
  <si>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</si>
  <si>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</si>
  <si>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</si>
  <si>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</si>
  <si>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</si>
  <si>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</si>
  <si>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</si>
  <si>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</si>
  <si>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</si>
  <si>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</si>
  <si>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</si>
  <si>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</si>
  <si>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</si>
  <si>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</si>
  <si>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</si>
  <si>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</si>
  <si>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</si>
  <si>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</si>
  <si>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</si>
  <si>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</si>
  <si>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</si>
  <si>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</si>
  <si>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</si>
  <si>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</si>
  <si>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</si>
  <si>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</si>
  <si>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</si>
  <si>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</si>
  <si>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</si>
  <si>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</si>
  <si>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</si>
  <si>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</si>
  <si>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</si>
  <si>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</si>
  <si>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</si>
  <si>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</si>
  <si>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</si>
  <si>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</si>
  <si>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</si>
  <si>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</si>
  <si>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</si>
  <si>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</si>
  <si>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</si>
  <si>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</si>
  <si>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</si>
  <si>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</si>
  <si>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</si>
  <si>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</si>
  <si>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</si>
  <si>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</si>
  <si>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</si>
  <si>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</si>
  <si>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</si>
  <si>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</si>
  <si>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</si>
  <si>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</si>
  <si>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</si>
  <si>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</si>
  <si>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</si>
  <si>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</si>
  <si>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</si>
  <si>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</si>
  <si>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</si>
  <si>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</si>
  <si>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</si>
  <si>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</si>
  <si>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</si>
  <si>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</si>
  <si>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</si>
  <si>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</si>
  <si>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</si>
  <si>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</si>
  <si>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</si>
  <si>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</si>
  <si>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</si>
  <si>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</si>
  <si>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</si>
  <si>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</si>
  <si>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</si>
  <si>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</si>
  <si>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</si>
  <si>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</si>
  <si>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</si>
  <si>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</si>
  <si>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</si>
  <si>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</si>
  <si>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</si>
  <si>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</si>
  <si>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</si>
  <si>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</si>
  <si>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</si>
  <si>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</si>
  <si>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</si>
  <si>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</si>
  <si>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</si>
  <si>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</si>
  <si>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</si>
  <si>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</si>
  <si>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</si>
  <si>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</si>
  <si>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</si>
  <si>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</si>
  <si>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</si>
  <si>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</si>
  <si>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</si>
  <si>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</si>
  <si>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</si>
  <si>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</si>
  <si>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</si>
  <si>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</si>
  <si>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</si>
  <si>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</si>
  <si>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</si>
  <si>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</si>
  <si>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</si>
  <si>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</si>
  <si>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</si>
  <si>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</si>
  <si>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</si>
  <si>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</si>
  <si>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</si>
  <si>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</si>
  <si>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</si>
  <si>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</si>
  <si>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</si>
  <si>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</si>
  <si>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</si>
  <si>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</si>
  <si>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</si>
  <si>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</si>
  <si>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</si>
  <si>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</si>
  <si>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</si>
  <si>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</si>
  <si>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</si>
  <si>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</si>
  <si>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</si>
  <si>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</si>
  <si>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</si>
  <si>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</si>
  <si>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</si>
  <si>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</si>
  <si>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</si>
  <si>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</si>
  <si>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</si>
  <si>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</si>
  <si>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</si>
  <si>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</si>
  <si>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</si>
  <si>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</si>
  <si>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</si>
  <si>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</si>
  <si>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</si>
  <si>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</si>
  <si>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</si>
  <si>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</si>
  <si>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</si>
  <si>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</si>
  <si>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</si>
  <si>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</si>
  <si>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</si>
  <si>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</si>
  <si>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</si>
  <si>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</si>
  <si>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</si>
  <si>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</si>
  <si>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</si>
  <si>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</si>
  <si>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</si>
  <si>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</si>
  <si>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</si>
  <si>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</si>
  <si>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</si>
  <si>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</si>
  <si>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</si>
  <si>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</si>
  <si>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</si>
  <si>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</si>
  <si>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</si>
  <si>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</si>
  <si>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</si>
  <si>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</si>
  <si>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</si>
  <si>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</si>
  <si>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</si>
  <si>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</si>
  <si>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</si>
  <si>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</si>
  <si>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</si>
  <si>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</si>
  <si>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</si>
  <si>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</si>
  <si>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</si>
  <si>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</si>
  <si>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</si>
  <si>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</si>
  <si>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</si>
  <si>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</si>
  <si>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</si>
  <si>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</si>
  <si>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</si>
  <si>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</si>
  <si>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</si>
  <si>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</si>
  <si>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</si>
  <si>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</si>
  <si>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</si>
  <si>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</si>
  <si>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</si>
  <si>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</si>
  <si>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</si>
  <si>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</si>
  <si>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</si>
  <si>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</si>
  <si>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</si>
  <si>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</si>
  <si>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</si>
  <si>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</si>
  <si>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</si>
  <si>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</si>
  <si>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</si>
  <si>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</si>
  <si>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</si>
  <si>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</si>
  <si>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</si>
  <si>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</si>
  <si>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</si>
  <si>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</si>
  <si>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</si>
  <si>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</si>
  <si>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</si>
  <si>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</si>
  <si>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</si>
  <si>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</si>
  <si>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</si>
  <si>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</si>
  <si>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</si>
  <si>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</si>
  <si>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</si>
  <si>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</si>
  <si>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</si>
  <si>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</si>
  <si>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</si>
  <si>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</si>
  <si>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</si>
  <si>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</si>
  <si>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</si>
  <si>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</si>
  <si>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</si>
  <si>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</si>
  <si>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</si>
  <si>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</si>
  <si>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</si>
  <si>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</si>
  <si>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</si>
  <si>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</si>
  <si>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</si>
  <si>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</si>
  <si>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</si>
  <si>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</si>
  <si>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</si>
  <si>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</si>
  <si>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</si>
  <si>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</si>
  <si>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</si>
  <si>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</si>
  <si>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</si>
  <si>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</si>
  <si>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</si>
  <si>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</si>
  <si>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</si>
  <si>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</si>
  <si>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</si>
  <si>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</si>
  <si>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</si>
  <si>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</si>
  <si>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</si>
  <si>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</si>
  <si>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</si>
  <si>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</si>
  <si>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</si>
  <si>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</si>
  <si>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</si>
  <si>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</si>
  <si>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</si>
  <si>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</si>
  <si>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</si>
  <si>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</si>
  <si>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</si>
  <si>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</si>
  <si>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</si>
  <si>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</si>
  <si>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</si>
  <si>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</si>
  <si>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</si>
  <si>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</si>
  <si>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</si>
  <si>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</si>
  <si>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</si>
  <si>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</si>
  <si>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</si>
  <si>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</si>
  <si>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</si>
  <si>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</si>
  <si>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</si>
  <si>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</si>
  <si>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</si>
  <si>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</si>
  <si>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</si>
  <si>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</si>
  <si>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</si>
  <si>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</si>
  <si>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</si>
  <si>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</si>
  <si>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</si>
  <si>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</si>
  <si>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</si>
  <si>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</si>
  <si>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</si>
  <si>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</si>
  <si>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</si>
  <si>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</si>
  <si>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</si>
  <si>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</si>
  <si>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</si>
  <si>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</si>
  <si>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</si>
  <si>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</si>
  <si>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</si>
  <si>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</si>
  <si>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</si>
  <si>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</si>
  <si>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</si>
  <si>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</si>
  <si>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</si>
  <si>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</si>
  <si>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</si>
  <si>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</si>
  <si>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</si>
  <si>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</si>
  <si>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</si>
  <si>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</si>
  <si>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</si>
  <si>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</si>
  <si>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</si>
  <si>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</si>
  <si>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</si>
  <si>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</si>
  <si>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</si>
  <si>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</si>
  <si>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</si>
  <si>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</si>
  <si>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</si>
  <si>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</si>
  <si>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</si>
  <si>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</si>
  <si>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</si>
  <si>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</si>
  <si>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</si>
  <si>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</si>
  <si>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</si>
  <si>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</si>
  <si>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</si>
  <si>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</si>
  <si>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</si>
  <si>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</si>
  <si>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</si>
  <si>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</si>
  <si>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</si>
  <si>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</si>
  <si>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</si>
  <si>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</si>
  <si>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</si>
  <si>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</si>
  <si>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</si>
  <si>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</si>
  <si>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</si>
  <si>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</si>
  <si>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</si>
  <si>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</si>
  <si>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</si>
  <si>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</si>
  <si>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</si>
  <si>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</si>
  <si>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</si>
  <si>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</si>
  <si>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</si>
  <si>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</si>
  <si>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</si>
  <si>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</si>
  <si>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</si>
  <si>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</si>
  <si>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</si>
  <si>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</si>
  <si>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</si>
  <si>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</si>
  <si>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</si>
  <si>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</si>
  <si>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</si>
  <si>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</si>
  <si>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</si>
  <si>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</si>
  <si>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</si>
  <si>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</si>
  <si>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</si>
  <si>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</si>
  <si>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</si>
  <si>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</si>
  <si>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</si>
  <si>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</si>
  <si>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</si>
  <si>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</si>
  <si>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</si>
  <si>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</si>
  <si>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</si>
  <si>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</si>
  <si>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</si>
  <si>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</si>
  <si>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</si>
  <si>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</si>
  <si>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</si>
  <si>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</si>
  <si>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</si>
  <si>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</si>
  <si>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</si>
  <si>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</si>
  <si>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</si>
  <si>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</si>
  <si>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</si>
  <si>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</si>
  <si>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</si>
  <si>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</si>
  <si>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</si>
  <si>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</si>
  <si>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</si>
  <si>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</si>
  <si>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</si>
  <si>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</si>
  <si>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</si>
  <si>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</si>
  <si>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</si>
  <si>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</si>
  <si>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</si>
  <si>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</si>
  <si>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</si>
  <si>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</si>
  <si>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</si>
  <si>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</si>
  <si>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</si>
  <si>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</si>
  <si>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</si>
  <si>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</si>
  <si>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</si>
  <si>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</si>
  <si>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</si>
  <si>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</si>
  <si>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</si>
  <si>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</si>
  <si>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</si>
  <si>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</si>
  <si>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</si>
  <si>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</si>
  <si>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</si>
  <si>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</si>
  <si>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</si>
  <si>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</si>
  <si>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</si>
  <si>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</si>
  <si>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</si>
  <si>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</si>
  <si>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</si>
  <si>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</si>
  <si>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</si>
  <si>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</si>
  <si>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</si>
  <si>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</si>
  <si>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</si>
  <si>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</si>
  <si>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</si>
  <si>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</si>
  <si>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</si>
  <si>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</si>
  <si>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</si>
  <si>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</si>
  <si>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</si>
  <si>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</si>
  <si>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</si>
  <si>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</si>
  <si>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</si>
  <si>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</si>
  <si>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</si>
  <si>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</si>
  <si>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</si>
  <si>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</si>
  <si>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</si>
  <si>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</si>
  <si>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</si>
  <si>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</si>
  <si>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</si>
  <si>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</si>
  <si>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</si>
  <si>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</si>
  <si>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</si>
  <si>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</si>
  <si>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</si>
  <si>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</si>
  <si>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</si>
  <si>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</si>
  <si>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</si>
  <si>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</si>
  <si>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</si>
  <si>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</si>
  <si>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</si>
  <si>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</si>
  <si>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</si>
  <si>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</si>
  <si>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</si>
  <si>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</si>
  <si>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</si>
  <si>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</si>
  <si>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</si>
  <si>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</si>
  <si>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</si>
  <si>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</si>
  <si>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</si>
  <si>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</si>
  <si>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</si>
  <si>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</si>
  <si>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</si>
  <si>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</si>
  <si>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</si>
  <si>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</si>
  <si>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</si>
  <si>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</si>
  <si>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</si>
  <si>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</si>
  <si>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</si>
  <si>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</si>
  <si>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</si>
  <si>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</si>
  <si>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</si>
  <si>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</si>
  <si>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</si>
  <si>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</si>
  <si>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</si>
  <si>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</si>
  <si>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</si>
  <si>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</si>
  <si>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</si>
  <si>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</si>
  <si>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</si>
  <si>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</si>
  <si>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</si>
  <si>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</si>
  <si>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</si>
  <si>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</si>
  <si>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</si>
  <si>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</si>
  <si>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</si>
  <si>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</si>
  <si>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</si>
  <si>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</si>
  <si>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</si>
  <si>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</si>
  <si>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</si>
  <si>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</si>
  <si>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</si>
  <si>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</si>
  <si>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</si>
  <si>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</si>
  <si>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</si>
  <si>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</si>
  <si>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</si>
  <si>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</si>
  <si>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</si>
  <si>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</si>
  <si>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</si>
  <si>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</si>
  <si>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</si>
  <si>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</si>
  <si>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</si>
  <si>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</si>
  <si>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</si>
  <si>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</si>
  <si>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</si>
  <si>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</si>
  <si>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</si>
  <si>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</si>
  <si>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</si>
  <si>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</si>
  <si>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</si>
  <si>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</si>
  <si>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</si>
  <si>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</si>
  <si>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</si>
  <si>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</si>
  <si>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</si>
  <si>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</si>
  <si>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</si>
  <si>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</si>
  <si>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</si>
  <si>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</si>
  <si>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</si>
  <si>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</si>
  <si>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</si>
  <si>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</si>
  <si>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</si>
  <si>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</si>
  <si>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</si>
  <si>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</si>
  <si>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</si>
  <si>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</si>
  <si>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</si>
  <si>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</si>
  <si>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</si>
  <si>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</si>
  <si>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</si>
  <si>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</si>
  <si>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</si>
  <si>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</si>
  <si>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</si>
  <si>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</si>
  <si>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</si>
  <si>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</si>
  <si>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</si>
  <si>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</si>
  <si>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</si>
  <si>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</si>
  <si>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</si>
  <si>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</si>
  <si>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</si>
  <si>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</si>
  <si>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</si>
  <si>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</si>
  <si>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</si>
  <si>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</si>
  <si>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</si>
  <si>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</si>
  <si>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</si>
  <si>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</si>
  <si>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</si>
  <si>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</si>
  <si>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</si>
  <si>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</si>
  <si>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</si>
  <si>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</si>
  <si>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</si>
  <si>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</si>
  <si>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</si>
  <si>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</si>
  <si>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</si>
  <si>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</si>
  <si>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</si>
  <si>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</si>
  <si>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</si>
  <si>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</si>
  <si>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</si>
  <si>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</si>
  <si>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</si>
  <si>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</si>
  <si>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</si>
  <si>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</si>
  <si>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</si>
  <si>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</si>
  <si>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</si>
  <si>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</si>
  <si>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</si>
  <si>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</si>
  <si>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</si>
  <si>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</si>
  <si>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</si>
  <si>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</si>
  <si>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</si>
  <si>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</si>
  <si>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</si>
  <si>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</si>
  <si>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</si>
  <si>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</si>
  <si>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</si>
  <si>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</si>
  <si>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</si>
  <si>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</si>
  <si>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</si>
  <si>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</si>
  <si>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</si>
  <si>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</si>
  <si>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</si>
  <si>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</si>
  <si>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</si>
  <si>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</si>
  <si>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</si>
  <si>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</si>
  <si>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</si>
  <si>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</si>
  <si>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</si>
  <si>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</si>
  <si>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</si>
  <si>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</si>
  <si>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</si>
  <si>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</si>
  <si>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</si>
  <si>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</si>
  <si>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</si>
  <si>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</si>
  <si>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</si>
  <si>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</si>
  <si>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</si>
  <si>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</si>
  <si>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</si>
  <si>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</si>
  <si>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</si>
  <si>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</si>
  <si>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</si>
  <si>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</si>
  <si>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</si>
  <si>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</si>
  <si>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</si>
  <si>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</si>
  <si>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</si>
  <si>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</si>
  <si>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</si>
  <si>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</si>
  <si>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</si>
  <si>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</si>
  <si>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</si>
  <si>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</si>
  <si>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</si>
  <si>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</si>
  <si>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</si>
  <si>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</si>
  <si>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</si>
  <si>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</si>
  <si>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</si>
  <si>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</si>
  <si>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</si>
  <si>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</si>
  <si>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</si>
  <si>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</si>
  <si>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</si>
  <si>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</si>
  <si>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</si>
  <si>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</si>
  <si>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</si>
  <si>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</si>
  <si>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</si>
  <si>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</si>
  <si>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</si>
  <si>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</si>
  <si>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</si>
  <si>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</si>
  <si>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</si>
  <si>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</si>
  <si>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</si>
  <si>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</si>
  <si>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</si>
  <si>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</si>
  <si>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</si>
  <si>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</si>
  <si>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</si>
  <si>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</si>
  <si>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</si>
  <si>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</si>
  <si>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</si>
  <si>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</si>
  <si>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</si>
  <si>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</si>
  <si>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</si>
  <si>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</si>
  <si>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</si>
  <si>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</si>
  <si>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</si>
  <si>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</si>
  <si>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</si>
  <si>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</si>
  <si>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</si>
  <si>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</si>
  <si>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</si>
  <si>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</si>
  <si>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</si>
  <si>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</si>
  <si>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</si>
  <si>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</si>
  <si>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</si>
  <si>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</si>
  <si>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</si>
  <si>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</si>
  <si>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</si>
  <si>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</si>
  <si>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</si>
  <si>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</si>
  <si>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</si>
  <si>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</si>
  <si>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</si>
  <si>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</si>
  <si>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</si>
  <si>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</si>
  <si>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</si>
  <si>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</si>
  <si>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</si>
  <si>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</si>
  <si>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</si>
  <si>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</si>
  <si>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</si>
  <si>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</si>
  <si>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</si>
  <si>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</si>
  <si>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</si>
  <si>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</si>
  <si>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</si>
  <si>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</si>
  <si>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</si>
  <si>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</si>
  <si>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</si>
  <si>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</si>
  <si>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</si>
  <si>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</si>
  <si>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</si>
  <si>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</si>
  <si>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</si>
  <si>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</si>
  <si>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</si>
  <si>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</si>
  <si>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</si>
  <si>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</si>
  <si>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</si>
  <si>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</si>
  <si>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</si>
  <si>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</si>
  <si>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</si>
  <si>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</si>
  <si>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</si>
  <si>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</si>
  <si>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</si>
  <si>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</si>
  <si>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</si>
  <si>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</si>
  <si>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</si>
  <si>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</si>
  <si>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</si>
  <si>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</si>
  <si>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</si>
  <si>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</si>
  <si>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</si>
  <si>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</si>
  <si>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</si>
  <si>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</si>
  <si>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</si>
  <si>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</si>
  <si>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</si>
  <si>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</si>
  <si>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</si>
  <si>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</si>
  <si>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</si>
  <si>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</si>
  <si>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</si>
  <si>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</si>
  <si>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</si>
  <si>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</si>
  <si>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</si>
  <si>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</si>
  <si>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</si>
  <si>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</si>
  <si>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</si>
  <si>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</si>
  <si>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</si>
  <si>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</si>
  <si>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</si>
  <si>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</si>
  <si>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</si>
  <si>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</si>
  <si>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</si>
  <si>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</si>
  <si>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</si>
  <si>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</si>
  <si>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</si>
  <si>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</si>
  <si>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</si>
  <si>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</si>
  <si>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</si>
  <si>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</si>
  <si>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</si>
  <si>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</si>
  <si>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</si>
  <si>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</si>
  <si>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</si>
  <si>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</si>
  <si>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</si>
  <si>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</si>
  <si>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</si>
  <si>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</si>
  <si>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</si>
  <si>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</si>
  <si>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</si>
  <si>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</si>
  <si>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</si>
  <si>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</si>
  <si>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</si>
  <si>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</si>
  <si>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</si>
  <si>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</si>
  <si>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</si>
  <si>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</si>
  <si>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</si>
  <si>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</si>
  <si>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</si>
  <si>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</si>
  <si>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</si>
  <si>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</si>
  <si>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</si>
  <si>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</si>
  <si>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</si>
  <si>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</si>
  <si>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</si>
  <si>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</si>
  <si>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</si>
  <si>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</si>
  <si>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</si>
  <si>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</si>
  <si>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</si>
  <si>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</si>
  <si>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</si>
  <si>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</si>
  <si>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</si>
  <si>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</si>
  <si>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</si>
  <si>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</si>
  <si>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</si>
  <si>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</si>
  <si>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</si>
  <si>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</si>
  <si>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</si>
  <si>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</si>
  <si>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</si>
  <si>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</si>
  <si>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</si>
  <si>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</si>
  <si>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</si>
  <si>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</si>
  <si>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</si>
  <si>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</si>
  <si>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</si>
  <si>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</si>
  <si>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</si>
  <si>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</si>
  <si>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</si>
  <si>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</si>
  <si>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</si>
  <si>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</si>
  <si>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</si>
  <si>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</si>
  <si>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</si>
  <si>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</si>
  <si>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</si>
  <si>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</si>
  <si>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</si>
  <si>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</si>
  <si>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</si>
  <si>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</si>
  <si>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</si>
  <si>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</si>
  <si>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</si>
  <si>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</si>
  <si>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</si>
  <si>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</si>
  <si>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</si>
  <si>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</si>
  <si>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</si>
  <si>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</si>
  <si>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</si>
  <si>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</si>
  <si>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</si>
  <si>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</si>
  <si>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</si>
  <si>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</si>
  <si>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</si>
  <si>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</si>
  <si>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</si>
  <si>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</si>
  <si>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</si>
  <si>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</si>
  <si>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</si>
  <si>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</si>
  <si>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</si>
  <si>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</si>
  <si>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</si>
  <si>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</si>
  <si>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</si>
  <si>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</si>
  <si>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</si>
  <si>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</si>
  <si>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</si>
  <si>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</si>
  <si>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</si>
  <si>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</si>
  <si>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</si>
  <si>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</si>
  <si>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</si>
  <si>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</si>
  <si>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</si>
  <si>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</si>
  <si>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</si>
  <si>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</si>
  <si>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</si>
  <si>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</si>
  <si>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</si>
  <si>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</si>
  <si>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</si>
  <si>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</si>
  <si>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</si>
  <si>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</si>
  <si>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</si>
  <si>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</si>
  <si>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</si>
  <si>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</si>
  <si>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</si>
  <si>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</si>
  <si>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</si>
  <si>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</si>
  <si>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</si>
  <si>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</si>
  <si>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</si>
  <si>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</si>
  <si>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</si>
  <si>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</si>
  <si>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</si>
  <si>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</si>
  <si>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</si>
  <si>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</si>
  <si>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</si>
  <si>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</si>
  <si>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</si>
  <si>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</si>
  <si>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</si>
  <si>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</si>
  <si>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</si>
  <si>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</si>
  <si>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</si>
  <si>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</si>
  <si>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</si>
  <si>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</si>
  <si>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</si>
  <si>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</si>
  <si>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</si>
  <si>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</si>
  <si>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</si>
  <si>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</si>
  <si>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</si>
  <si>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</si>
  <si>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</si>
  <si>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</si>
  <si>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</si>
  <si>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</si>
  <si>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</si>
  <si>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</si>
  <si>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</si>
  <si>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</si>
  <si>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</si>
  <si>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</si>
  <si>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</si>
  <si>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</si>
  <si>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</si>
  <si>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</si>
  <si>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</si>
  <si>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</si>
  <si>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</si>
  <si>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</si>
  <si>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</si>
  <si>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</si>
  <si>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</si>
  <si>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</si>
  <si>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</si>
  <si>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</si>
  <si>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</si>
  <si>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</si>
  <si>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</si>
  <si>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</si>
  <si>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</si>
  <si>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</si>
  <si>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</si>
  <si>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</si>
  <si>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</si>
  <si>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</si>
  <si>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</si>
  <si>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</si>
  <si>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</si>
  <si>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</si>
  <si>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</si>
  <si>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</si>
  <si>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</si>
  <si>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</si>
  <si>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</si>
  <si>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</si>
  <si>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</si>
  <si>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</si>
  <si>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</si>
  <si>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</si>
  <si>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</si>
  <si>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</si>
  <si>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</si>
  <si>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</si>
  <si>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</si>
  <si>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</si>
  <si>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</si>
  <si>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</si>
  <si>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</si>
  <si>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</si>
  <si>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</si>
  <si>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</si>
  <si>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</si>
  <si>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</si>
  <si>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</si>
  <si>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</si>
  <si>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</si>
  <si>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</si>
  <si>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</si>
  <si>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</si>
  <si>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</si>
  <si>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</si>
  <si>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</si>
  <si>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</si>
  <si>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</si>
  <si>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</si>
  <si>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</si>
  <si>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</si>
  <si>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</si>
  <si>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</si>
  <si>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</si>
  <si>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</si>
  <si>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</si>
  <si>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</si>
  <si>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</si>
  <si>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</si>
  <si>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</si>
  <si>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</si>
  <si>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</si>
  <si>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</si>
  <si>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</si>
  <si>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</si>
  <si>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</si>
  <si>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</si>
  <si>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</si>
  <si>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</si>
  <si>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</si>
  <si>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</si>
  <si>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</si>
  <si>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</si>
  <si>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</si>
  <si>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</si>
  <si>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</si>
  <si>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</si>
  <si>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</si>
  <si>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</si>
  <si>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</si>
  <si>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</si>
  <si>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</si>
  <si>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</si>
  <si>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</si>
  <si>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</si>
  <si>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</si>
  <si>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</si>
  <si>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</si>
  <si>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</si>
  <si>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</si>
  <si>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</si>
  <si>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</si>
  <si>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</si>
  <si>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</si>
  <si>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</si>
  <si>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</si>
  <si>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</si>
  <si>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</si>
  <si>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</si>
  <si>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</si>
  <si>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</si>
  <si>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</si>
  <si>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</si>
  <si>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</si>
  <si>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</si>
  <si>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</si>
  <si>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</si>
  <si>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</si>
  <si>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</si>
  <si>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</si>
  <si>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</si>
  <si>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</si>
  <si>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</si>
  <si>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</si>
  <si>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</si>
  <si>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</si>
  <si>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</si>
  <si>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</si>
  <si>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</si>
  <si>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</si>
  <si>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</si>
  <si>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</si>
  <si>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</si>
  <si>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</si>
  <si>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</si>
  <si>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</si>
  <si>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</si>
  <si>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</si>
  <si>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</si>
  <si>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</si>
  <si>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</si>
  <si>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</si>
  <si>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</si>
  <si>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</si>
  <si>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</si>
  <si>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</si>
  <si>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</si>
  <si>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</si>
  <si>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</si>
  <si>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</si>
  <si>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</si>
  <si>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</si>
  <si>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</si>
  <si>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</si>
  <si>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</si>
  <si>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</si>
  <si>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</si>
  <si>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</si>
  <si>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</si>
  <si>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</si>
  <si>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</si>
  <si>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</si>
  <si>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</si>
  <si>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</si>
  <si>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</si>
  <si>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</si>
  <si>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</si>
  <si>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</si>
  <si>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</si>
  <si>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</si>
  <si>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</si>
  <si>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</si>
  <si>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</si>
  <si>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</si>
  <si>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</si>
  <si>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</si>
  <si>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</si>
  <si>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</si>
  <si>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</si>
  <si>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</si>
  <si>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</si>
  <si>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</si>
  <si>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</si>
  <si>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</si>
  <si>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</si>
  <si>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</si>
  <si>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</si>
  <si>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</si>
  <si>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</si>
  <si>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</si>
  <si>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</si>
  <si>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</si>
  <si>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</si>
  <si>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</si>
  <si>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</si>
  <si>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</si>
  <si>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</si>
  <si>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</si>
  <si>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</si>
  <si>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</si>
  <si>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</si>
  <si>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</si>
  <si>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</si>
  <si>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</si>
  <si>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</si>
  <si>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</si>
  <si>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</si>
  <si>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</si>
  <si>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</si>
  <si>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</si>
  <si>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</si>
  <si>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</si>
  <si>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</si>
  <si>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</si>
  <si>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</si>
  <si>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</si>
  <si>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</si>
  <si>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</si>
  <si>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</si>
  <si>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</si>
  <si>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</si>
  <si>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</si>
  <si>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</si>
  <si>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</si>
  <si>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</si>
  <si>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</si>
  <si>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</si>
  <si>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</si>
  <si>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</si>
  <si>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</si>
  <si>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</si>
  <si>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</si>
  <si>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</si>
  <si>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</si>
  <si>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</si>
  <si>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</si>
  <si>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</si>
  <si>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</si>
  <si>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</si>
  <si>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</si>
  <si>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</si>
  <si>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</si>
  <si>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</si>
  <si>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</si>
  <si>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</si>
  <si>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</si>
  <si>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</si>
  <si>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</si>
  <si>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</si>
  <si>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</si>
  <si>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</si>
  <si>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</si>
  <si>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</si>
  <si>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</si>
  <si>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</si>
  <si>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</si>
  <si>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</si>
  <si>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</si>
  <si>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</si>
  <si>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</si>
  <si>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</si>
  <si>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</si>
  <si>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</si>
  <si>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</si>
  <si>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</si>
  <si>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</si>
  <si>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</si>
  <si>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</si>
  <si>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</si>
  <si>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</si>
  <si>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</si>
  <si>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</si>
  <si>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</si>
  <si>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</si>
  <si>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</si>
  <si>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</si>
  <si>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</si>
  <si>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</si>
  <si>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</si>
  <si>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</si>
  <si>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</si>
  <si>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</si>
  <si>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</si>
  <si>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</si>
  <si>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</si>
  <si>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</si>
  <si>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</si>
  <si>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</si>
  <si>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</si>
  <si>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</si>
  <si>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</si>
  <si>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</si>
  <si>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</si>
  <si>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</si>
  <si>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</si>
  <si>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</si>
  <si>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</si>
  <si>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</si>
  <si>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</si>
  <si>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</si>
  <si>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</si>
  <si>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</si>
  <si>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</si>
  <si>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</si>
  <si>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</si>
  <si>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</si>
  <si>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</si>
  <si>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</si>
  <si>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</si>
  <si>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</si>
  <si>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</si>
  <si>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</si>
  <si>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</si>
  <si>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</si>
  <si>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</si>
  <si>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</si>
  <si>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</si>
  <si>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</si>
  <si>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</si>
  <si>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</si>
  <si>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</si>
  <si>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</si>
  <si>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</si>
  <si>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</si>
  <si>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</si>
  <si>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</si>
  <si>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</si>
  <si>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</si>
  <si>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</si>
  <si>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</si>
  <si>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</si>
  <si>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</si>
  <si>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</si>
  <si>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</si>
  <si>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</si>
  <si>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</si>
  <si>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</si>
  <si>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</si>
  <si>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</si>
  <si>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</si>
  <si>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</si>
  <si>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</si>
  <si>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</si>
  <si>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</si>
  <si>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</si>
  <si>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</si>
  <si>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</si>
  <si>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</si>
  <si>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</si>
  <si>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</si>
  <si>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</si>
  <si>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</si>
  <si>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</si>
  <si>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</si>
  <si>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</si>
  <si>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</si>
  <si>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</si>
  <si>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</si>
  <si>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</si>
  <si>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</si>
  <si>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</si>
  <si>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</si>
  <si>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</si>
  <si>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</si>
  <si>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</si>
  <si>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</si>
  <si>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</si>
  <si>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</si>
  <si>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</si>
  <si>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</si>
  <si>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</si>
  <si>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</si>
  <si>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</si>
  <si>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</si>
  <si>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</si>
  <si>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</si>
  <si>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</si>
  <si>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</si>
  <si>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</si>
  <si>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</si>
  <si>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</si>
  <si>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</si>
  <si>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</si>
  <si>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</si>
  <si>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</si>
  <si>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</si>
  <si>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</si>
  <si>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</si>
  <si>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</si>
  <si>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</si>
  <si>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</si>
  <si>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</si>
  <si>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</si>
  <si>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</si>
  <si>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</si>
  <si>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</si>
  <si>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</si>
  <si>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</si>
  <si>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</si>
  <si>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</si>
  <si>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</si>
  <si>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</si>
  <si>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</si>
  <si>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</si>
  <si>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</si>
  <si>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</si>
  <si>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</si>
  <si>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</si>
  <si>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</si>
  <si>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</si>
  <si>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</si>
  <si>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</si>
  <si>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</si>
  <si>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</si>
  <si>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</si>
  <si>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</si>
  <si>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</si>
  <si>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</si>
  <si>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</si>
  <si>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</si>
  <si>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</si>
  <si>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</si>
  <si>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</si>
  <si>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</si>
  <si>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</si>
  <si>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</si>
  <si>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</si>
  <si>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</si>
  <si>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</si>
  <si>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</si>
  <si>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</si>
  <si>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</si>
  <si>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</si>
  <si>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</si>
  <si>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</si>
  <si>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</si>
  <si>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</si>
  <si>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</si>
  <si>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</si>
  <si>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</si>
  <si>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</si>
  <si>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</si>
  <si>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</si>
  <si>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</si>
  <si>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</si>
  <si>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</si>
  <si>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</si>
  <si>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</si>
  <si>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</si>
  <si>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</si>
  <si>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</si>
  <si>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</si>
  <si>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</si>
  <si>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</si>
  <si>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</si>
  <si>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</si>
  <si>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</si>
  <si>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</si>
  <si>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</si>
  <si>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</si>
  <si>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</si>
  <si>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</si>
  <si>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</si>
  <si>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</si>
  <si>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</si>
  <si>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</si>
  <si>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</si>
  <si>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</si>
  <si>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</si>
  <si>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</si>
  <si>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</si>
  <si>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</si>
  <si>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</si>
  <si>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</si>
  <si>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</si>
  <si>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</si>
  <si>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</si>
  <si>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</si>
  <si>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</si>
  <si>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</si>
  <si>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</si>
  <si>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</si>
  <si>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</si>
  <si>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</si>
  <si>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</si>
  <si>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</si>
  <si>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</si>
  <si>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</si>
  <si>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</si>
  <si>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</si>
  <si>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</si>
  <si>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</si>
  <si>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</si>
  <si>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</si>
  <si>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</si>
  <si>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</si>
  <si>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</si>
  <si>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</si>
  <si>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</si>
  <si>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</si>
  <si>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</si>
  <si>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</si>
  <si>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</si>
  <si>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</si>
  <si>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</si>
  <si>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</si>
  <si>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</si>
  <si>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</si>
  <si>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</si>
  <si>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</si>
  <si>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</si>
  <si>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</si>
  <si>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</si>
  <si>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</si>
  <si>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</si>
  <si>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</si>
  <si>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</si>
  <si>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</si>
  <si>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</si>
  <si>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</si>
  <si>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</si>
  <si>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</si>
  <si>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</si>
  <si>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</si>
  <si>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</si>
  <si>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</si>
  <si>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</si>
  <si>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</si>
  <si>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</si>
  <si>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</si>
  <si>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</si>
  <si>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</si>
  <si>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</si>
  <si>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</si>
  <si>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</si>
  <si>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</si>
  <si>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</si>
  <si>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</si>
  <si>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</si>
  <si>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</si>
  <si>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</si>
  <si>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</si>
  <si>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</si>
  <si>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</si>
  <si>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</si>
  <si>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</si>
  <si>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</si>
  <si>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</si>
  <si>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</si>
  <si>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</si>
  <si>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</si>
  <si>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</si>
  <si>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</si>
  <si>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</si>
  <si>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</si>
  <si>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</si>
  <si>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</si>
  <si>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</si>
  <si>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</si>
  <si>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</si>
  <si>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</si>
  <si>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</si>
  <si>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</si>
  <si>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</si>
  <si>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</si>
  <si>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</si>
  <si>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</si>
  <si>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</si>
  <si>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</si>
  <si>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</si>
  <si>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</si>
  <si>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</si>
  <si>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</si>
  <si>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</si>
  <si>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</si>
  <si>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</si>
  <si>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</si>
  <si>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</si>
  <si>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</si>
  <si>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</si>
  <si>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</si>
  <si>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</si>
  <si>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</si>
  <si>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</si>
  <si>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</si>
  <si>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</si>
  <si>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</si>
  <si>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</si>
  <si>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</si>
  <si>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</si>
  <si>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</si>
  <si>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</si>
  <si>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</si>
  <si>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</si>
  <si>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</si>
  <si>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</si>
  <si>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</si>
  <si>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</si>
  <si>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</si>
  <si>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</si>
  <si>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</si>
  <si>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</si>
  <si>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</si>
  <si>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</si>
  <si>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</si>
  <si>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</si>
  <si>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</si>
  <si>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</si>
  <si>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</si>
  <si>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</si>
  <si>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</si>
  <si>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</si>
  <si>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</si>
  <si>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</si>
  <si>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</si>
  <si>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</si>
  <si>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</si>
  <si>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</si>
  <si>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</si>
  <si>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</si>
  <si>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</si>
  <si>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</si>
  <si>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</si>
  <si>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</si>
  <si>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</si>
  <si>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</si>
  <si>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</si>
  <si>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</si>
  <si>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</si>
  <si>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</si>
  <si>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</si>
  <si>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</si>
  <si>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</si>
  <si>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</si>
  <si>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</si>
  <si>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</si>
  <si>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</si>
  <si>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</si>
  <si>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</si>
  <si>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</si>
  <si>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</si>
  <si>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</si>
  <si>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</si>
  <si>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</si>
  <si>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</si>
  <si>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</si>
  <si>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</si>
  <si>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</si>
  <si>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</si>
  <si>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</si>
  <si>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</si>
  <si>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</si>
  <si>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</si>
  <si>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</si>
  <si>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</si>
  <si>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</si>
  <si>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</si>
  <si>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</si>
  <si>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</si>
  <si>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</si>
  <si>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</si>
  <si>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</si>
  <si>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</si>
  <si>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</si>
  <si>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</si>
  <si>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</si>
  <si>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</si>
  <si>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</si>
  <si>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</si>
  <si>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</si>
  <si>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</si>
  <si>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</si>
  <si>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</si>
  <si>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</si>
  <si>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</si>
  <si>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</si>
  <si>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</si>
  <si>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</si>
  <si>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</si>
  <si>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</si>
  <si>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</si>
  <si>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</si>
  <si>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</si>
  <si>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</si>
  <si>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</si>
  <si>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</si>
  <si>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</si>
  <si>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</si>
  <si>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</si>
  <si>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</si>
  <si>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</si>
  <si>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</si>
  <si>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</si>
  <si>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</si>
  <si>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</si>
  <si>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</si>
  <si>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</si>
  <si>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</si>
  <si>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</si>
  <si>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</si>
  <si>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</si>
  <si>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</si>
  <si>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</si>
  <si>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</si>
  <si>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</si>
  <si>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</si>
  <si>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</si>
  <si>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</si>
  <si>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</si>
  <si>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</si>
  <si>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</si>
  <si>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</si>
  <si>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</si>
  <si>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</si>
  <si>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</si>
  <si>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</si>
  <si>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</si>
  <si>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</si>
  <si>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</si>
  <si>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</si>
  <si>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</si>
  <si>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</si>
  <si>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</si>
  <si>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</si>
  <si>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</si>
  <si>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</si>
  <si>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</si>
  <si>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</si>
  <si>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</si>
  <si>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</si>
  <si>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</si>
  <si>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</si>
  <si>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</si>
  <si>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</si>
  <si>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</si>
  <si>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</si>
  <si>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</si>
  <si>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</si>
  <si>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</si>
  <si>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</si>
  <si>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</si>
  <si>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</si>
  <si>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</si>
  <si>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</si>
  <si>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</si>
  <si>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</si>
  <si>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</si>
  <si>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</si>
  <si>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</si>
  <si>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</si>
  <si>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</si>
  <si>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</si>
  <si>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</si>
  <si>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</si>
  <si>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</si>
  <si>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</si>
  <si>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</si>
  <si>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</si>
  <si>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</si>
  <si>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</si>
  <si>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</si>
  <si>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</si>
  <si>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</si>
  <si>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</si>
  <si>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</si>
  <si>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</si>
  <si>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</si>
  <si>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</si>
  <si>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</si>
  <si>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</si>
  <si>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</si>
  <si>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</si>
  <si>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</si>
  <si>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</si>
  <si>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</si>
  <si>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</si>
  <si>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</si>
  <si>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</si>
  <si>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</si>
  <si>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</si>
  <si>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</si>
  <si>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</si>
  <si>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</si>
  <si>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</si>
  <si>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</si>
  <si>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</si>
  <si>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</si>
  <si>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</si>
  <si>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</si>
  <si>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</si>
  <si>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</si>
  <si>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</si>
  <si>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</si>
  <si>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</si>
  <si>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</si>
  <si>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</si>
  <si>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</si>
  <si>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</si>
  <si>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</si>
  <si>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</si>
  <si>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</si>
  <si>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</si>
  <si>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</si>
  <si>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</si>
  <si>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</si>
  <si>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</si>
  <si>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</si>
  <si>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</si>
  <si>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</si>
  <si>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</si>
  <si>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</si>
  <si>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</si>
  <si>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</si>
  <si>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</si>
  <si>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</si>
  <si>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</si>
  <si>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</si>
  <si>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</si>
  <si>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</si>
  <si>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</si>
  <si>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</si>
  <si>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</si>
  <si>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</si>
  <si>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</si>
  <si>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</si>
  <si>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</si>
  <si>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</si>
  <si>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</si>
  <si>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</si>
  <si>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</si>
  <si>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</si>
  <si>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</si>
  <si>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</si>
  <si>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</si>
  <si>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</si>
  <si>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</si>
  <si>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</si>
  <si>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</si>
  <si>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</si>
  <si>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</si>
  <si>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</si>
  <si>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</si>
  <si>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</si>
  <si>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</si>
  <si>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</si>
  <si>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</si>
  <si>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</si>
  <si>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</si>
  <si>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</si>
  <si>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</si>
  <si>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</si>
  <si>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</si>
  <si>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</si>
  <si>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</si>
  <si>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</si>
  <si>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</si>
  <si>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</si>
  <si>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</si>
  <si>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</si>
  <si>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</si>
  <si>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</si>
  <si>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</si>
  <si>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</si>
  <si>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</si>
  <si>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</si>
  <si>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</si>
  <si>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</si>
  <si>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</si>
  <si>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</si>
  <si>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</si>
  <si>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</si>
  <si>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</si>
  <si>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</si>
  <si>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</si>
  <si>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</si>
  <si>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</si>
  <si>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</si>
  <si>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</si>
  <si>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</si>
  <si>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</si>
  <si>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</si>
  <si>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</si>
  <si>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</si>
  <si>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</si>
  <si>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</si>
  <si>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</si>
  <si>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</si>
  <si>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</si>
  <si>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</si>
  <si>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</si>
  <si>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</si>
  <si>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</si>
  <si>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</si>
  <si>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</si>
  <si>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</si>
  <si>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</si>
  <si>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</si>
  <si>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</si>
  <si>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</si>
  <si>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</si>
  <si>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</si>
  <si>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</si>
  <si>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</si>
  <si>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</si>
  <si>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</si>
  <si>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</si>
  <si>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</si>
  <si>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</si>
  <si>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</si>
  <si>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</si>
  <si>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</si>
  <si>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</si>
  <si>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</si>
  <si>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</si>
  <si>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</si>
  <si>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</si>
  <si>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</si>
  <si>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</si>
  <si>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</si>
  <si>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</si>
  <si>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</si>
  <si>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</si>
  <si>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</si>
  <si>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</si>
  <si>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</si>
  <si>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</si>
  <si>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</si>
  <si>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</si>
  <si>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</si>
  <si>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</si>
  <si>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</si>
  <si>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</si>
  <si>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</si>
  <si>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</si>
  <si>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</si>
  <si>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</si>
  <si>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</si>
  <si>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</si>
  <si>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</si>
  <si>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</si>
  <si>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</si>
  <si>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</si>
  <si>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</si>
  <si>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</si>
  <si>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</si>
  <si>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</si>
  <si>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</si>
  <si>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</si>
  <si>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</si>
  <si>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</si>
  <si>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</si>
  <si>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</si>
  <si>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</si>
  <si>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</si>
  <si>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</si>
  <si>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</si>
  <si>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</si>
  <si>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</si>
  <si>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</si>
  <si>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</si>
  <si>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</si>
  <si>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</si>
  <si>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</si>
  <si>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</si>
  <si>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</si>
  <si>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</si>
  <si>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</si>
  <si>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</si>
  <si>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</si>
  <si>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</si>
  <si>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</si>
  <si>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</si>
  <si>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</si>
  <si>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</si>
  <si>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</si>
  <si>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</si>
  <si>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</si>
  <si>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</si>
  <si>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</si>
  <si>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</si>
  <si>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</si>
  <si>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</si>
  <si>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</si>
  <si>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</si>
  <si>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</si>
  <si>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</si>
  <si>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</si>
  <si>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</si>
  <si>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</si>
  <si>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</si>
  <si>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</si>
  <si>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</si>
  <si>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</si>
  <si>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</si>
  <si>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</si>
  <si>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</si>
  <si>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</si>
  <si>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</si>
  <si>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</si>
  <si>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</si>
  <si>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</si>
  <si>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</si>
  <si>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</si>
  <si>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</si>
  <si>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</si>
  <si>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</si>
  <si>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</si>
  <si>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</si>
  <si>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</si>
  <si>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</si>
  <si>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</si>
  <si>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</si>
  <si>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</si>
  <si>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</si>
  <si>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</si>
  <si>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</si>
  <si>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</si>
  <si>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</si>
  <si>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</si>
  <si>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</si>
  <si>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</si>
  <si>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</si>
  <si>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</si>
  <si>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</si>
  <si>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</si>
  <si>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</si>
  <si>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</si>
  <si>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</si>
  <si>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</si>
  <si>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</si>
  <si>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</si>
  <si>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</si>
  <si>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</si>
  <si>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</si>
  <si>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</si>
  <si>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</si>
  <si>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</si>
  <si>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</si>
  <si>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</si>
  <si>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</si>
  <si>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</si>
  <si>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</si>
  <si>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</si>
  <si>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</si>
  <si>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</si>
  <si>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</si>
  <si>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</si>
  <si>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</si>
  <si>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</si>
  <si>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</si>
  <si>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</si>
  <si>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</si>
  <si>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</si>
  <si>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</si>
  <si>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</si>
  <si>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</si>
  <si>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</si>
  <si>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</si>
  <si>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</si>
  <si>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</si>
  <si>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</si>
  <si>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</si>
  <si>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</si>
  <si>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</si>
  <si>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</si>
  <si>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</si>
  <si>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</si>
  <si>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</si>
  <si>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</si>
  <si>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</si>
  <si>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</si>
  <si>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</si>
  <si>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</si>
  <si>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</si>
  <si>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</si>
  <si>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</si>
  <si>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</si>
  <si>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</si>
  <si>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</si>
  <si>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</si>
  <si>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</si>
  <si>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</si>
  <si>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</si>
  <si>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</si>
  <si>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</si>
  <si>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</si>
  <si>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</si>
  <si>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</si>
  <si>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</si>
  <si>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</si>
  <si>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</si>
  <si>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</si>
  <si>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</si>
  <si>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</si>
  <si>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</si>
  <si>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</si>
  <si>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</si>
  <si>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</si>
  <si>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</si>
  <si>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</si>
  <si>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</si>
  <si>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</si>
  <si>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</si>
  <si>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</si>
  <si>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</si>
  <si>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</si>
  <si>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</si>
  <si>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</si>
  <si>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</si>
  <si>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</si>
  <si>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</si>
  <si>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</si>
  <si>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</si>
  <si>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</si>
  <si>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</si>
  <si>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</si>
  <si>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</si>
  <si>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</si>
  <si>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</si>
  <si>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</si>
  <si>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</si>
  <si>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</si>
  <si>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</si>
  <si>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</si>
  <si>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</si>
  <si>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</si>
  <si>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</si>
  <si>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</si>
  <si>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</si>
  <si>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</si>
  <si>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</si>
  <si>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</si>
  <si>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</si>
  <si>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</si>
  <si>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</si>
  <si>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</si>
  <si>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</si>
  <si>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</si>
  <si>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</si>
  <si>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</si>
  <si>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</si>
  <si>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</si>
  <si>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</si>
  <si>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</si>
  <si>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</si>
  <si>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</si>
  <si>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</si>
  <si>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</si>
  <si>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</si>
  <si>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</si>
  <si>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</si>
  <si>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</si>
  <si>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</si>
  <si>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</si>
  <si>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</si>
  <si>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</si>
  <si>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</si>
  <si>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</si>
  <si>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</si>
  <si>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</si>
  <si>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</si>
  <si>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</si>
  <si>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</si>
  <si>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</si>
  <si>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</si>
  <si>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</si>
  <si>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</si>
  <si>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</si>
  <si>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</si>
  <si>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</si>
  <si>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</si>
  <si>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</si>
  <si>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</si>
  <si>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</si>
  <si>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</si>
  <si>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</si>
  <si>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</si>
  <si>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</si>
  <si>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</si>
  <si>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</si>
  <si>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</si>
  <si>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</si>
  <si>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</si>
  <si>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</si>
  <si>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</si>
  <si>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</si>
  <si>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</si>
  <si>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</si>
  <si>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</si>
  <si>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</si>
  <si>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</si>
  <si>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</si>
  <si>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</si>
  <si>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</si>
  <si>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</si>
  <si>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</si>
  <si>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</si>
  <si>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</si>
  <si>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</si>
  <si>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</si>
  <si>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</si>
  <si>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</si>
  <si>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</si>
  <si>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</si>
  <si>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</si>
  <si>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</si>
  <si>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</si>
  <si>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</si>
  <si>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</si>
  <si>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</si>
  <si>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</si>
  <si>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</si>
  <si>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</si>
  <si>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</si>
  <si>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</si>
  <si>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</si>
  <si>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</si>
  <si>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</si>
  <si>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</si>
  <si>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</si>
  <si>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</si>
  <si>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</si>
  <si>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</si>
  <si>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</si>
  <si>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</si>
  <si>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</si>
  <si>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</si>
  <si>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</si>
  <si>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</si>
  <si>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</si>
  <si>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</si>
  <si>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</si>
  <si>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</si>
  <si>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</si>
  <si>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</si>
  <si>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</si>
  <si>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</si>
  <si>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</si>
  <si>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</si>
  <si>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</si>
  <si>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</si>
  <si>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</si>
  <si>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</si>
  <si>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</si>
  <si>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</si>
  <si>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</si>
  <si>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</si>
  <si>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</si>
  <si>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</si>
  <si>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</si>
  <si>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</si>
  <si>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</si>
  <si>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</si>
  <si>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</si>
  <si>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</si>
  <si>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</si>
  <si>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</si>
  <si>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</si>
  <si>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</si>
  <si>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</si>
  <si>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</si>
  <si>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</si>
  <si>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</si>
  <si>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</si>
  <si>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</si>
  <si>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</si>
  <si>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</si>
  <si>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</si>
  <si>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</si>
  <si>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</si>
  <si>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</si>
  <si>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</si>
  <si>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</si>
  <si>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</si>
  <si>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</si>
  <si>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</si>
  <si>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</si>
  <si>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</si>
  <si>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</si>
  <si>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</si>
  <si>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</si>
  <si>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</si>
  <si>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</si>
  <si>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</si>
  <si>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</si>
  <si>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</si>
  <si>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</si>
  <si>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</si>
  <si>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</si>
  <si>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</si>
  <si>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</si>
  <si>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</si>
  <si>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</si>
  <si>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</si>
  <si>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</si>
  <si>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</si>
  <si>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</si>
  <si>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</si>
  <si>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</si>
  <si>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</si>
  <si>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</si>
  <si>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</si>
  <si>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</si>
  <si>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</si>
  <si>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</si>
  <si>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</si>
  <si>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</si>
  <si>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</si>
  <si>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</si>
  <si>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</si>
  <si>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</si>
  <si>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</si>
  <si>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</si>
  <si>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</si>
  <si>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</si>
  <si>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</si>
  <si>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</si>
  <si>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</si>
  <si>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</si>
  <si>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</si>
  <si>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</si>
  <si>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</si>
  <si>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</si>
  <si>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</si>
  <si>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</si>
  <si>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</si>
  <si>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</si>
  <si>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</si>
  <si>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</si>
  <si>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</si>
  <si>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</si>
  <si>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</si>
  <si>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</si>
  <si>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</si>
  <si>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</si>
  <si>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</si>
  <si>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</si>
  <si>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</si>
  <si>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</si>
  <si>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</si>
  <si>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</si>
  <si>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</si>
  <si>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</si>
  <si>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</si>
  <si>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</si>
  <si>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</si>
  <si>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</si>
  <si>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</si>
  <si>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</si>
  <si>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</si>
  <si>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</si>
  <si>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</si>
  <si>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</si>
  <si>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</si>
  <si>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</si>
  <si>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</si>
  <si>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</si>
  <si>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</si>
  <si>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</si>
  <si>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</si>
  <si>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</si>
  <si>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</si>
  <si>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</si>
  <si>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</si>
  <si>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</si>
  <si>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</si>
  <si>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</si>
  <si>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</si>
  <si>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</si>
  <si>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</si>
  <si>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</si>
  <si>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</si>
  <si>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</si>
  <si>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</si>
  <si>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</si>
  <si>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</si>
  <si>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</si>
  <si>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</si>
  <si>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</si>
  <si>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</si>
  <si>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</si>
  <si>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</si>
  <si>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</si>
  <si>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</si>
  <si>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</si>
  <si>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</si>
  <si>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</si>
  <si>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</si>
  <si>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</si>
  <si>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</si>
  <si>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</si>
  <si>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</si>
  <si>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</si>
  <si>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</si>
  <si>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</si>
  <si>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</si>
  <si>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</si>
  <si>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</si>
  <si>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</si>
  <si>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</si>
  <si>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</si>
  <si>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</si>
  <si>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</si>
  <si>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</si>
  <si>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</si>
  <si>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</si>
  <si>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</si>
  <si>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</si>
  <si>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</si>
  <si>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</si>
  <si>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</si>
  <si>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</si>
  <si>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</si>
  <si>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</si>
  <si>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</si>
  <si>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</si>
  <si>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</si>
  <si>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</si>
  <si>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</si>
  <si>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</si>
  <si>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</si>
  <si>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</si>
  <si>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</si>
  <si>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</si>
  <si>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</si>
  <si>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</si>
  <si>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</si>
  <si>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</si>
  <si>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</si>
  <si>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</si>
  <si>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</si>
  <si>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</si>
  <si>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</si>
  <si>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</si>
  <si>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</si>
  <si>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</si>
  <si>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</si>
  <si>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</si>
  <si>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</si>
  <si>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</si>
  <si>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</si>
  <si>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</si>
  <si>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</si>
  <si>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</si>
  <si>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</si>
  <si>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</si>
  <si>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</si>
  <si>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</si>
  <si>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</si>
  <si>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</si>
  <si>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</si>
  <si>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</si>
  <si>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</si>
  <si>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</si>
  <si>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</si>
  <si>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</si>
  <si>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</si>
  <si>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</si>
  <si>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</si>
  <si>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</si>
  <si>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</si>
  <si>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</si>
  <si>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</si>
  <si>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</si>
  <si>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</si>
  <si>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</si>
  <si>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</si>
  <si>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</si>
  <si>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</si>
  <si>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</si>
  <si>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</si>
  <si>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</si>
  <si>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</si>
  <si>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</si>
  <si>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</si>
  <si>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</si>
  <si>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</si>
  <si>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</si>
  <si>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</si>
  <si>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</si>
  <si>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</si>
  <si>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</si>
  <si>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</si>
  <si>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</si>
  <si>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</si>
  <si>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</si>
  <si>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</si>
  <si>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</si>
  <si>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</si>
  <si>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</si>
  <si>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</si>
  <si>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</si>
  <si>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</si>
  <si>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</si>
  <si>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</si>
  <si>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</si>
  <si>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</si>
  <si>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</si>
  <si>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</si>
  <si>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</si>
  <si>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</si>
  <si>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</si>
  <si>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</si>
  <si>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</si>
  <si>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</si>
  <si>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</si>
  <si>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</si>
  <si>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</si>
  <si>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</si>
  <si>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</si>
  <si>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</si>
  <si>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</si>
  <si>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</si>
  <si>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</si>
  <si>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</si>
  <si>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</si>
  <si>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</si>
  <si>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</si>
  <si>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</si>
  <si>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</si>
  <si>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</si>
  <si>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</si>
  <si>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</si>
  <si>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</si>
  <si>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</si>
  <si>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</si>
  <si>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</si>
  <si>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</si>
  <si>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</si>
  <si>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</si>
  <si>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</si>
  <si>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</si>
  <si>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</si>
  <si>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</si>
  <si>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</si>
  <si>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</si>
  <si>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</si>
  <si>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</si>
  <si>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</si>
  <si>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</si>
  <si>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</si>
  <si>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</si>
  <si>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</si>
  <si>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</si>
  <si>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</si>
  <si>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</si>
  <si>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</si>
  <si>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</si>
  <si>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</si>
  <si>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</si>
  <si>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</si>
  <si>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</si>
  <si>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</si>
  <si>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</si>
  <si>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</si>
  <si>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</si>
  <si>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</si>
  <si>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</si>
  <si>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</si>
  <si>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</si>
  <si>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</si>
  <si>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</si>
  <si>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</si>
  <si>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</si>
  <si>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</si>
  <si>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</si>
  <si>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</si>
  <si>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</si>
  <si>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</si>
  <si>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</si>
  <si>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</si>
  <si>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</si>
  <si>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</si>
  <si>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</si>
  <si>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</si>
  <si>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</si>
  <si>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</si>
  <si>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</si>
  <si>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</si>
  <si>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</si>
  <si>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</si>
  <si>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</si>
  <si>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</si>
  <si>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</si>
  <si>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</si>
  <si>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</si>
  <si>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</si>
  <si>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</si>
  <si>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</si>
  <si>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</si>
  <si>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</si>
  <si>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</si>
  <si>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</si>
  <si>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</si>
  <si>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</si>
  <si>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</si>
  <si>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</si>
  <si>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</si>
  <si>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</si>
  <si>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</si>
  <si>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</si>
  <si>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</si>
  <si>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</si>
  <si>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</si>
  <si>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</si>
  <si>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</si>
  <si>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</si>
  <si>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</si>
  <si>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</si>
  <si>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</si>
  <si>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</si>
  <si>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</si>
  <si>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</si>
  <si>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</si>
  <si>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</si>
  <si>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</si>
  <si>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</si>
  <si>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</si>
  <si>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</si>
  <si>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</si>
  <si>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</si>
  <si>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</si>
  <si>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</si>
  <si>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</si>
  <si>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</si>
  <si>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</si>
  <si>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</si>
  <si>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</si>
  <si>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</si>
  <si>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</si>
  <si>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</si>
  <si>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</si>
  <si>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</si>
  <si>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</si>
  <si>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</si>
  <si>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</si>
  <si>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</si>
  <si>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</si>
  <si>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</si>
  <si>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</si>
  <si>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</si>
  <si>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</si>
  <si>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</si>
  <si>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</si>
  <si>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</si>
  <si>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</si>
  <si>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</si>
  <si>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</si>
  <si>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</si>
  <si>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</si>
  <si>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</si>
  <si>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</si>
  <si>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</si>
  <si>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</si>
  <si>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</si>
  <si>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</si>
  <si>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</si>
  <si>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</si>
  <si>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</si>
  <si>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</si>
  <si>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</si>
  <si>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</si>
  <si>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</si>
  <si>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</si>
  <si>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</si>
  <si>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</si>
  <si>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</si>
  <si>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</si>
  <si>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</si>
  <si>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</si>
  <si>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</si>
  <si>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</si>
  <si>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</si>
  <si>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</si>
  <si>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</si>
  <si>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</si>
  <si>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</si>
  <si>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</si>
  <si>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</si>
  <si>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</si>
  <si>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</si>
  <si>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</si>
  <si>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</si>
  <si>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</si>
  <si>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</si>
  <si>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</si>
  <si>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</si>
  <si>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</si>
  <si>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</si>
  <si>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</si>
  <si>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</si>
  <si>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</si>
  <si>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</si>
  <si>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</si>
  <si>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</si>
  <si>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</si>
  <si>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</si>
  <si>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</si>
  <si>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</si>
  <si>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</si>
  <si>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</si>
  <si>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</si>
  <si>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</si>
  <si>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</si>
  <si>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</si>
  <si>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</si>
  <si>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</si>
  <si>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</si>
  <si>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</si>
  <si>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</si>
  <si>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</si>
  <si>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</si>
  <si>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</si>
  <si>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</si>
  <si>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</si>
  <si>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</si>
  <si>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</si>
  <si>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</si>
  <si>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</si>
  <si>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</si>
  <si>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</si>
  <si>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</si>
  <si>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</si>
  <si>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</si>
  <si>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</si>
  <si>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</si>
  <si>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</si>
  <si>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</si>
  <si>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</si>
  <si>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</si>
  <si>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</si>
  <si>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</si>
  <si>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</si>
  <si>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</si>
  <si>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</si>
  <si>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</si>
  <si>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</si>
  <si>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</si>
  <si>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</si>
  <si>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</si>
  <si>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</si>
  <si>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</si>
  <si>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</si>
  <si>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</si>
  <si>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</si>
  <si>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</si>
  <si>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</si>
  <si>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</si>
  <si>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</si>
  <si>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</si>
  <si>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</si>
  <si>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</si>
  <si>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</si>
  <si>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</si>
  <si>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</si>
  <si>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</si>
  <si>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</si>
  <si>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</si>
  <si>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</si>
  <si>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</si>
  <si>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</si>
  <si>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</si>
  <si>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</si>
  <si>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</si>
  <si>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</si>
  <si>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</si>
  <si>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</si>
  <si>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</si>
  <si>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</si>
  <si>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</si>
  <si>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</si>
  <si>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</si>
  <si>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</si>
  <si>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</si>
  <si>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</si>
  <si>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</si>
  <si>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</si>
  <si>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</si>
  <si>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</si>
  <si>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</si>
  <si>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</si>
  <si>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</si>
  <si>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</si>
  <si>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</si>
  <si>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</si>
  <si>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</si>
  <si>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</si>
  <si>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</si>
  <si>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</si>
  <si>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</si>
  <si>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</si>
  <si>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</si>
  <si>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</si>
  <si>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</si>
  <si>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</si>
  <si>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</si>
  <si>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</si>
  <si>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</si>
  <si>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</si>
  <si>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</si>
  <si>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</si>
  <si>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</si>
  <si>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</si>
  <si>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</si>
  <si>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</si>
  <si>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</si>
  <si>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</si>
  <si>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</si>
  <si>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</si>
  <si>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</si>
  <si>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</si>
  <si>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</si>
  <si>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</si>
  <si>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</si>
  <si>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</si>
  <si>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</si>
  <si>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</si>
  <si>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</si>
  <si>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</si>
  <si>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</si>
  <si>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</si>
  <si>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</si>
  <si>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</si>
  <si>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</si>
  <si>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</si>
  <si>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</si>
  <si>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</si>
  <si>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</si>
  <si>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</si>
  <si>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</si>
  <si>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</si>
  <si>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</si>
  <si>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</si>
  <si>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</si>
  <si>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</si>
  <si>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</si>
  <si>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</si>
  <si>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</si>
  <si>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</si>
  <si>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</si>
  <si>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</si>
  <si>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</si>
  <si>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</si>
  <si>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</si>
  <si>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</si>
  <si>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</si>
  <si>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</si>
  <si>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</si>
  <si>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</si>
  <si>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</si>
  <si>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</si>
  <si>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</si>
  <si>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</si>
  <si>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</si>
  <si>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</si>
  <si>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</si>
  <si>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</si>
  <si>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</si>
  <si>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</si>
  <si>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</si>
  <si>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</si>
  <si>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</si>
  <si>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</si>
  <si>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</si>
  <si>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</si>
  <si>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</si>
  <si>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</si>
  <si>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</si>
  <si>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</si>
  <si>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</si>
  <si>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</si>
  <si>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</si>
  <si>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</si>
  <si>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</si>
  <si>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</si>
  <si>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</si>
  <si>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</si>
  <si>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</si>
  <si>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</si>
  <si>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</si>
  <si>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</si>
  <si>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</si>
  <si>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</si>
  <si>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</si>
  <si>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</si>
  <si>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</si>
  <si>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</si>
  <si>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</si>
  <si>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</si>
  <si>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</si>
  <si>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</si>
  <si>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</si>
  <si>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</si>
  <si>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</si>
  <si>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</si>
  <si>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</si>
  <si>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</si>
  <si>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</si>
  <si>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</si>
  <si>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</si>
  <si>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</si>
  <si>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</si>
  <si>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</si>
  <si>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</si>
  <si>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</si>
  <si>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</si>
  <si>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</si>
  <si>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</si>
  <si>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</si>
  <si>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</si>
  <si>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</si>
  <si>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</si>
  <si>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</si>
  <si>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</si>
  <si>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</si>
  <si>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</si>
  <si>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</si>
  <si>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</si>
  <si>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</si>
  <si>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</si>
  <si>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</si>
  <si>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</si>
  <si>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</si>
  <si>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</si>
  <si>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</si>
  <si>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</si>
  <si>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</si>
  <si>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</si>
  <si>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</si>
  <si>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</si>
  <si>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</si>
  <si>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</si>
  <si>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</si>
  <si>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</si>
  <si>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</si>
  <si>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</si>
  <si>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</si>
  <si>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</si>
  <si>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</si>
  <si>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</si>
  <si>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</si>
  <si>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</si>
  <si>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</si>
  <si>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</si>
  <si>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</si>
  <si>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</si>
  <si>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</si>
  <si>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</si>
  <si>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</si>
  <si>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</si>
  <si>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</si>
  <si>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</si>
  <si>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</si>
  <si>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</si>
  <si>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</si>
  <si>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</si>
  <si>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</si>
  <si>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</si>
  <si>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</si>
  <si>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</si>
  <si>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</si>
  <si>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</si>
  <si>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</si>
  <si>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</si>
  <si>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</si>
  <si>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</si>
  <si>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</si>
  <si>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</si>
  <si>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</si>
  <si>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</si>
  <si>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</si>
  <si>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</si>
  <si>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</si>
  <si>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</si>
  <si>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</si>
  <si>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</si>
  <si>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</si>
  <si>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</si>
  <si>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</si>
  <si>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</si>
  <si>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</si>
  <si>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</si>
  <si>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</si>
  <si>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</si>
  <si>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</si>
  <si>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</si>
  <si>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</si>
  <si>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</si>
  <si>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</si>
  <si>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</si>
  <si>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</si>
  <si>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</si>
  <si>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</si>
  <si>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</si>
  <si>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</si>
  <si>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</si>
  <si>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</si>
  <si>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</si>
  <si>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</si>
  <si>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</si>
  <si>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</si>
  <si>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</si>
  <si>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</si>
  <si>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</si>
  <si>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</si>
  <si>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</si>
  <si>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</si>
  <si>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</si>
  <si>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</si>
  <si>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</si>
  <si>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</si>
  <si>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</si>
  <si>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</si>
  <si>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</si>
  <si>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</si>
  <si>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</si>
  <si>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</si>
  <si>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</si>
  <si>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</si>
  <si>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</si>
  <si>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</si>
  <si>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</si>
  <si>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</si>
  <si>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</si>
  <si>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</si>
  <si>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</si>
  <si>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</si>
  <si>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</si>
  <si>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</si>
  <si>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</si>
  <si>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</si>
  <si>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</si>
  <si>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</si>
  <si>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</si>
  <si>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</si>
  <si>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</si>
  <si>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</si>
  <si>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</si>
  <si>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</si>
  <si>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</si>
  <si>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</si>
  <si>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</si>
  <si>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</si>
  <si>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</si>
  <si>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</si>
  <si>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</si>
  <si>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</si>
  <si>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</si>
  <si>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</si>
  <si>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</si>
  <si>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</si>
  <si>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</si>
  <si>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</si>
  <si>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</si>
  <si>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</si>
  <si>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</si>
  <si>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</si>
  <si>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</si>
  <si>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</si>
  <si>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</si>
  <si>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</si>
  <si>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</si>
  <si>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</si>
  <si>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</si>
  <si>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</si>
  <si>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</si>
  <si>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</si>
  <si>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</si>
  <si>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</si>
  <si>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</si>
  <si>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</si>
  <si>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</si>
  <si>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</si>
  <si>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</si>
  <si>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</si>
  <si>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</si>
  <si>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</si>
  <si>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</si>
  <si>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</si>
  <si>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</si>
  <si>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</si>
  <si>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</si>
  <si>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</si>
  <si>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</si>
  <si>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</si>
  <si>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</si>
  <si>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</si>
  <si>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</si>
  <si>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</si>
  <si>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</si>
  <si>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</si>
  <si>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</si>
  <si>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</si>
  <si>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</si>
  <si>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</si>
  <si>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</si>
  <si>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</si>
  <si>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</si>
  <si>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</si>
  <si>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</si>
  <si>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</si>
  <si>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</si>
  <si>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</si>
  <si>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</si>
  <si>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</si>
  <si>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</si>
  <si>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</si>
  <si>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</si>
  <si>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</si>
  <si>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</si>
  <si>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</si>
  <si>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</si>
  <si>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</si>
  <si>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</si>
  <si>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</si>
  <si>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</si>
  <si>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</si>
  <si>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</si>
  <si>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</si>
  <si>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</si>
  <si>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</si>
  <si>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</si>
  <si>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</si>
  <si>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</si>
  <si>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</si>
  <si>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</si>
  <si>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</si>
  <si>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</si>
  <si>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</si>
  <si>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</si>
  <si>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</si>
  <si>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</si>
  <si>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</si>
  <si>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</si>
  <si>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</si>
  <si>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</si>
  <si>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</si>
  <si>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</si>
  <si>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</si>
  <si>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</si>
  <si>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</si>
  <si>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</si>
  <si>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</si>
  <si>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</si>
  <si>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</si>
  <si>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</si>
  <si>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</si>
  <si>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</si>
  <si>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</si>
  <si>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</si>
  <si>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</si>
  <si>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</si>
  <si>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</si>
  <si>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</si>
  <si>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</si>
  <si>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</si>
  <si>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</si>
  <si>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</si>
  <si>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</si>
  <si>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</si>
  <si>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</si>
  <si>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</si>
  <si>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</si>
  <si>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</si>
  <si>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</si>
  <si>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</si>
  <si>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</si>
  <si>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</si>
  <si>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</si>
  <si>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</si>
  <si>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</si>
  <si>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</si>
  <si>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</si>
  <si>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</si>
  <si>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</si>
  <si>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</si>
  <si>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</si>
  <si>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</si>
  <si>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</si>
  <si>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</si>
  <si>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</si>
  <si>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</si>
  <si>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</si>
  <si>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</si>
  <si>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</si>
  <si>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</si>
  <si>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</si>
  <si>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</si>
  <si>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</si>
  <si>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</si>
  <si>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</si>
  <si>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</si>
  <si>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</si>
  <si>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</si>
  <si>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</si>
  <si>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</si>
  <si>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</si>
  <si>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</si>
  <si>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</si>
  <si>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</si>
  <si>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</si>
  <si>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</si>
  <si>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</si>
  <si>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</si>
  <si>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</si>
  <si>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</si>
  <si>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</si>
  <si>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</si>
  <si>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</si>
  <si>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</si>
  <si>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</si>
  <si>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</si>
  <si>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</si>
  <si>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</si>
  <si>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</si>
  <si>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</si>
  <si>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</si>
  <si>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</si>
  <si>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</si>
  <si>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</si>
  <si>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</si>
  <si>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</si>
  <si>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</si>
  <si>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</si>
  <si>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</si>
  <si>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</si>
  <si>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</si>
  <si>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</si>
  <si>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</si>
  <si>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</si>
  <si>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</si>
  <si>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</si>
  <si>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</si>
  <si>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</si>
  <si>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</si>
  <si>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</si>
  <si>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</si>
  <si>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</si>
  <si>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</si>
  <si>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</si>
  <si>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</si>
  <si>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</si>
  <si>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</si>
  <si>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</si>
  <si>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</si>
  <si>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</si>
  <si>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</si>
  <si>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</si>
  <si>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</si>
  <si>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</si>
  <si>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</si>
  <si>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</si>
  <si>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</si>
  <si>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</si>
  <si>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</si>
  <si>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</si>
  <si>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</si>
  <si>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</si>
  <si>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</si>
  <si>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</si>
  <si>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</si>
  <si>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</si>
  <si>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</si>
  <si>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</si>
  <si>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</si>
  <si>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</si>
  <si>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</si>
  <si>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</si>
  <si>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</si>
  <si>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</si>
  <si>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</si>
  <si>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</si>
  <si>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</si>
  <si>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</si>
  <si>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</si>
  <si>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</si>
  <si>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</si>
  <si>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</si>
  <si>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</si>
  <si>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</si>
  <si>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</si>
  <si>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</si>
  <si>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</si>
  <si>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</si>
  <si>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</si>
  <si>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</si>
  <si>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</si>
  <si>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</si>
  <si>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</si>
  <si>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</si>
  <si>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</si>
  <si>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</si>
  <si>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</si>
  <si>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</si>
  <si>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</si>
  <si>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</si>
  <si>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</si>
  <si>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</si>
  <si>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</si>
  <si>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</si>
  <si>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</si>
  <si>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</si>
  <si>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</si>
  <si>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</si>
  <si>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</si>
  <si>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</si>
  <si>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</si>
  <si>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</si>
  <si>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</si>
  <si>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</si>
  <si>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</si>
  <si>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</si>
  <si>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</si>
  <si>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</si>
  <si>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</si>
  <si>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</si>
  <si>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</si>
  <si>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</si>
  <si>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</si>
  <si>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</si>
  <si>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</si>
  <si>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</si>
  <si>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</si>
  <si>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</si>
  <si>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</si>
  <si>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</si>
  <si>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</si>
  <si>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</si>
  <si>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</si>
  <si>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</si>
  <si>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</si>
  <si>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</si>
  <si>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</si>
  <si>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</si>
  <si>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</si>
  <si>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</si>
  <si>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</si>
  <si>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</si>
  <si>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</si>
  <si>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</si>
  <si>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</si>
  <si>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</si>
  <si>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</si>
  <si>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</si>
  <si>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</si>
  <si>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</si>
  <si>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</si>
  <si>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</si>
  <si>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</si>
  <si>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</si>
  <si>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</si>
  <si>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</si>
  <si>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</si>
  <si>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</si>
  <si>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</si>
  <si>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</si>
  <si>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</si>
  <si>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</si>
  <si>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</si>
  <si>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</si>
  <si>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</si>
  <si>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</si>
  <si>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</si>
  <si>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</si>
  <si>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</si>
  <si>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</si>
  <si>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</si>
  <si>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</si>
  <si>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</si>
  <si>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</si>
  <si>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</si>
  <si>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</si>
  <si>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</si>
  <si>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</si>
  <si>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</si>
  <si>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</si>
  <si>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</si>
  <si>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</si>
  <si>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</si>
  <si>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</si>
  <si>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</si>
  <si>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</si>
  <si>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</si>
  <si>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</si>
  <si>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</si>
  <si>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</si>
  <si>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</si>
  <si>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</si>
  <si>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</si>
  <si>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</si>
  <si>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</si>
  <si>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</si>
  <si>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</si>
  <si>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</si>
  <si>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</si>
  <si>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</si>
  <si>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</si>
  <si>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</si>
  <si>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</si>
  <si>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</si>
  <si>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</si>
  <si>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</si>
  <si>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</si>
  <si>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</si>
  <si>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</si>
  <si>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</si>
  <si>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</si>
  <si>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</si>
  <si>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</si>
  <si>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</si>
  <si>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</si>
  <si>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</si>
  <si>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</si>
  <si>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</si>
  <si>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</si>
  <si>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</si>
  <si>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</si>
  <si>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</si>
  <si>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</si>
  <si>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</si>
  <si>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</si>
  <si>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</si>
  <si>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</si>
  <si>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</si>
  <si>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</si>
  <si>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</si>
  <si>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</si>
  <si>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</si>
  <si>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</si>
  <si>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</si>
  <si>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</si>
  <si>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</si>
  <si>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</si>
  <si>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</si>
  <si>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</si>
  <si>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</si>
  <si>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</si>
  <si>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</si>
  <si>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</si>
  <si>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</si>
  <si>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</si>
  <si>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</si>
  <si>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</si>
  <si>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</si>
  <si>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</si>
  <si>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</si>
  <si>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</si>
  <si>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</si>
  <si>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</si>
  <si>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</si>
  <si>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</si>
  <si>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</si>
  <si>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</si>
  <si>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</si>
  <si>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</si>
  <si>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</si>
  <si>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</si>
  <si>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</si>
  <si>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</si>
  <si>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</si>
  <si>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</si>
  <si>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</si>
  <si>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</si>
  <si>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</si>
  <si>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</si>
  <si>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</si>
  <si>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</si>
  <si>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</si>
  <si>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</si>
  <si>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</si>
  <si>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</si>
  <si>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</si>
  <si>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</si>
  <si>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</si>
  <si>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</si>
  <si>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</si>
  <si>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</si>
  <si>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</si>
  <si>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</si>
  <si>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</si>
  <si>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</si>
  <si>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</si>
  <si>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</si>
  <si>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</si>
  <si>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</si>
  <si>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</si>
  <si>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</si>
  <si>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</si>
  <si>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</si>
  <si>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</si>
  <si>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</si>
  <si>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</si>
  <si>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</si>
  <si>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</si>
  <si>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</si>
  <si>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</si>
  <si>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</si>
  <si>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</si>
  <si>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</si>
  <si>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</si>
  <si>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</si>
  <si>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</si>
  <si>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</si>
  <si>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</si>
  <si>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</si>
  <si>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</si>
  <si>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</si>
  <si>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</si>
  <si>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</si>
  <si>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</si>
  <si>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</si>
  <si>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</si>
  <si>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</si>
  <si>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</si>
  <si>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</si>
  <si>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</si>
  <si>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</si>
  <si>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</si>
  <si>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</si>
  <si>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</si>
  <si>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</si>
  <si>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</si>
  <si>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</si>
  <si>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</si>
  <si>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</si>
  <si>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</si>
  <si>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</si>
  <si>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</si>
  <si>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</si>
  <si>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</si>
  <si>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</si>
  <si>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</si>
  <si>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</si>
  <si>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</si>
  <si>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</si>
  <si>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</si>
  <si>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</si>
  <si>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</si>
  <si>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</si>
  <si>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</si>
  <si>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</si>
  <si>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</si>
  <si>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</si>
  <si>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</si>
  <si>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</si>
  <si>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</si>
  <si>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</si>
  <si>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</si>
  <si>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</si>
  <si>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</si>
  <si>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</si>
  <si>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</si>
  <si>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</si>
  <si>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</si>
  <si>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</si>
  <si>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</si>
  <si>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</si>
  <si>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</si>
  <si>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</si>
  <si>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</si>
  <si>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</si>
  <si>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</si>
  <si>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</si>
  <si>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</si>
  <si>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</si>
  <si>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</si>
  <si>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</si>
  <si>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</si>
  <si>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</si>
  <si>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</si>
  <si>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</si>
  <si>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</si>
  <si>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</si>
  <si>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</si>
  <si>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</si>
  <si>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</si>
  <si>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</si>
  <si>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</si>
  <si>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</si>
  <si>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</si>
  <si>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</si>
  <si>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</si>
  <si>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</si>
  <si>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</si>
  <si>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</si>
  <si>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</si>
  <si>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</si>
  <si>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</si>
  <si>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</si>
  <si>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</si>
  <si>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</si>
  <si>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</si>
  <si>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</si>
  <si>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</si>
  <si>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</si>
  <si>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</si>
  <si>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</si>
  <si>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</si>
  <si>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</si>
  <si>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</si>
  <si>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</si>
  <si>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</si>
  <si>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</si>
  <si>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</si>
  <si>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</si>
  <si>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</si>
  <si>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</si>
  <si>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</si>
  <si>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</si>
  <si>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</si>
  <si>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</si>
  <si>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</si>
  <si>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</si>
  <si>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</si>
  <si>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</si>
  <si>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</si>
  <si>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</si>
  <si>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</si>
  <si>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</si>
  <si>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</si>
  <si>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</si>
  <si>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</si>
  <si>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</si>
  <si>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</si>
  <si>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</si>
  <si>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</si>
  <si>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</si>
  <si>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</si>
  <si>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</si>
  <si>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</si>
  <si>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</si>
  <si>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</si>
  <si>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</si>
  <si>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</si>
  <si>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</si>
  <si>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</si>
  <si>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</si>
  <si>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</si>
  <si>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</si>
  <si>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</si>
  <si>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</si>
  <si>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</si>
  <si>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</si>
  <si>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</si>
  <si>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</si>
  <si>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</si>
  <si>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</si>
  <si>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</si>
  <si>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</si>
  <si>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</si>
  <si>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</si>
  <si>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</si>
  <si>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</si>
  <si>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</si>
  <si>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</si>
  <si>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</si>
  <si>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</si>
  <si>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</si>
  <si>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</si>
  <si>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</si>
  <si>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</si>
  <si>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</si>
  <si>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</si>
  <si>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</si>
  <si>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</si>
  <si>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</si>
  <si>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</si>
  <si>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</si>
  <si>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</si>
  <si>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</si>
  <si>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</si>
  <si>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</si>
  <si>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</si>
  <si>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</si>
  <si>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</si>
  <si>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</si>
  <si>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</si>
  <si>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</si>
  <si>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</si>
  <si>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</si>
  <si>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</si>
  <si>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</si>
  <si>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</si>
  <si>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</si>
  <si>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</si>
  <si>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</si>
  <si>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</si>
  <si>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</si>
  <si>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</si>
  <si>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</si>
  <si>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</si>
  <si>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</si>
  <si>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</si>
  <si>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</si>
  <si>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</si>
  <si>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</si>
  <si>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</si>
  <si>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</si>
  <si>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</si>
  <si>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</si>
  <si>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</si>
  <si>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</si>
  <si>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</si>
  <si>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</si>
  <si>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</si>
  <si>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</si>
  <si>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</si>
  <si>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</si>
  <si>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</si>
  <si>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</si>
  <si>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</si>
  <si>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</si>
  <si>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</si>
  <si>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</si>
  <si>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</si>
  <si>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</si>
  <si>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</si>
  <si>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</si>
  <si>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</si>
  <si>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</si>
  <si>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</si>
  <si>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</si>
  <si>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</si>
  <si>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</si>
  <si>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</si>
  <si>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</si>
  <si>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</si>
  <si>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</si>
  <si>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</si>
  <si>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</si>
  <si>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</si>
  <si>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</si>
  <si>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</si>
  <si>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</si>
  <si>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</si>
  <si>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</si>
  <si>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</si>
  <si>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</si>
  <si>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</si>
  <si>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</si>
  <si>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</si>
  <si>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</si>
  <si>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</si>
  <si>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</si>
  <si>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</si>
  <si>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</si>
  <si>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</si>
  <si>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</si>
  <si>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</si>
  <si>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</si>
  <si>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</si>
  <si>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</si>
  <si>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</si>
  <si>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</si>
  <si>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</si>
  <si>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</si>
  <si>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</si>
  <si>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</si>
  <si>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</si>
  <si>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</si>
  <si>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</si>
  <si>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</si>
  <si>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</si>
  <si>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</si>
  <si>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</si>
  <si>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</si>
  <si>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</si>
  <si>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</si>
  <si>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</si>
  <si>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</si>
  <si>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</si>
  <si>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</si>
  <si>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</si>
  <si>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</si>
  <si>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</si>
  <si>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</si>
  <si>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</si>
  <si>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</si>
  <si>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</si>
  <si>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</si>
  <si>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</si>
  <si>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</si>
  <si>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</si>
  <si>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</si>
  <si>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</si>
  <si>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</si>
  <si>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</si>
  <si>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</si>
  <si>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</si>
  <si>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</si>
  <si>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</si>
  <si>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</si>
  <si>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</si>
  <si>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</si>
  <si>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</si>
  <si>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</si>
  <si>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</si>
  <si>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</si>
  <si>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</si>
  <si>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</si>
  <si>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</si>
  <si>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</si>
  <si>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</si>
  <si>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</si>
  <si>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</si>
  <si>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</si>
  <si>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</si>
  <si>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</si>
  <si>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</si>
  <si>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</si>
  <si>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</si>
  <si>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</si>
  <si>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</si>
  <si>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</si>
  <si>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</si>
  <si>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</si>
  <si>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</si>
  <si>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</si>
  <si>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</si>
  <si>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</si>
  <si>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</si>
  <si>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</si>
  <si>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</si>
  <si>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</si>
  <si>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</si>
  <si>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</si>
  <si>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</si>
  <si>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</si>
  <si>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</si>
  <si>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</si>
  <si>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</si>
  <si>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</si>
  <si>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</si>
  <si>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</si>
  <si>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</si>
  <si>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</si>
  <si>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</si>
  <si>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</si>
  <si>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</si>
  <si>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</si>
  <si>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</si>
  <si>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</si>
  <si>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</si>
  <si>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</si>
  <si>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</si>
  <si>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</si>
  <si>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</si>
  <si>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</si>
  <si>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</si>
  <si>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</si>
  <si>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</si>
  <si>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</si>
  <si>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</si>
  <si>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</si>
  <si>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</si>
  <si>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</si>
  <si>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</si>
  <si>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</si>
  <si>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</si>
  <si>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</si>
  <si>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</si>
  <si>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</si>
  <si>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</si>
  <si>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</si>
  <si>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</si>
  <si>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</si>
  <si>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</si>
  <si>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</si>
  <si>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</si>
  <si>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</si>
  <si>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</si>
  <si>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</si>
  <si>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</si>
  <si>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</si>
  <si>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</si>
  <si>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</si>
  <si>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</si>
  <si>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</si>
  <si>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</si>
  <si>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</si>
  <si>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</si>
  <si>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</si>
  <si>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</si>
  <si>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</si>
  <si>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</si>
  <si>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</si>
  <si>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</si>
  <si>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</si>
  <si>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</si>
  <si>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</si>
  <si>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</si>
  <si>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</si>
  <si>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</si>
  <si>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</si>
  <si>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</si>
  <si>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</si>
  <si>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</si>
  <si>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</si>
  <si>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</si>
  <si>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</si>
  <si>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</si>
  <si>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</si>
  <si>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</si>
  <si>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</si>
  <si>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</si>
  <si>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</si>
  <si>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</si>
  <si>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</si>
  <si>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</si>
  <si>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</si>
  <si>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</si>
  <si>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</si>
  <si>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</si>
  <si>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</si>
  <si>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</si>
  <si>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</si>
  <si>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</si>
  <si>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</si>
  <si>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</si>
  <si>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</si>
  <si>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</si>
  <si>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</si>
  <si>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</si>
  <si>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</si>
  <si>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</si>
  <si>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</si>
  <si>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</si>
  <si>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</si>
  <si>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</si>
  <si>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</si>
  <si>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</si>
  <si>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</si>
  <si>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</si>
  <si>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</si>
  <si>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</si>
  <si>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</si>
  <si>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</si>
  <si>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</si>
  <si>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</si>
  <si>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</si>
  <si>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</si>
  <si>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</si>
  <si>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</si>
  <si>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</si>
  <si>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</si>
  <si>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</si>
  <si>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</si>
  <si>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</si>
  <si>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</si>
  <si>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</si>
  <si>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</si>
  <si>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</si>
  <si>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</si>
  <si>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</si>
  <si>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</si>
  <si>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</si>
  <si>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</si>
  <si>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</si>
  <si>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</si>
  <si>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</si>
  <si>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</si>
  <si>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</si>
  <si>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</si>
  <si>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</si>
  <si>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</si>
  <si>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</si>
  <si>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</si>
  <si>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</si>
  <si>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</si>
  <si>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</si>
  <si>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</si>
  <si>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</si>
  <si>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</si>
  <si>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</si>
  <si>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</si>
  <si>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</si>
  <si>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</si>
  <si>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</si>
  <si>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</si>
  <si>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</si>
  <si>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</si>
  <si>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</si>
  <si>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</si>
  <si>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</si>
  <si>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</si>
  <si>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</si>
  <si>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</si>
  <si>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</si>
  <si>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</si>
  <si>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</si>
  <si>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</si>
  <si>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</si>
  <si>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</si>
  <si>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</si>
  <si>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</si>
  <si>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</si>
  <si>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</si>
  <si>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</si>
  <si>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</si>
  <si>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</si>
  <si>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</si>
  <si>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</si>
  <si>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</si>
  <si>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</si>
  <si>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</si>
  <si>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</si>
  <si>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</si>
  <si>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</si>
  <si>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</si>
  <si>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</si>
  <si>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</si>
  <si>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</si>
  <si>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</si>
  <si>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</si>
  <si>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</si>
  <si>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</si>
  <si>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</si>
  <si>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</si>
  <si>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</si>
  <si>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</si>
  <si>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</si>
  <si>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</si>
  <si>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</si>
  <si>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</si>
  <si>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</si>
  <si>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</si>
  <si>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</si>
  <si>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</si>
  <si>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</si>
  <si>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</si>
  <si>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</si>
  <si>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</si>
  <si>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</si>
  <si>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</si>
  <si>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</si>
  <si>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</si>
  <si>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</si>
  <si>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</si>
  <si>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</si>
  <si>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</si>
  <si>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</si>
  <si>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</si>
  <si>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</si>
  <si>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</si>
  <si>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</si>
  <si>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</si>
  <si>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</si>
  <si>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</si>
  <si>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</si>
  <si>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</si>
  <si>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</si>
  <si>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</si>
  <si>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</si>
  <si>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</si>
  <si>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</si>
  <si>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</si>
  <si>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</si>
  <si>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</si>
  <si>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</si>
  <si>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</si>
  <si>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</si>
  <si>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</si>
  <si>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</si>
  <si>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</si>
  <si>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</si>
  <si>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</si>
  <si>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</si>
  <si>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</si>
  <si>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</si>
  <si>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</si>
  <si>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</si>
  <si>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</si>
  <si>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</si>
  <si>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</si>
  <si>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</si>
  <si>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</si>
  <si>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</si>
  <si>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</si>
  <si>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</si>
  <si>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</si>
  <si>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</si>
  <si>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</si>
  <si>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</si>
  <si>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</si>
  <si>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</si>
  <si>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</si>
  <si>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</si>
  <si>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</si>
  <si>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</si>
  <si>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</si>
  <si>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</si>
  <si>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</si>
  <si>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</si>
  <si>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</si>
  <si>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</si>
  <si>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</si>
  <si>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</si>
  <si>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</si>
  <si>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</si>
  <si>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</si>
  <si>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</si>
  <si>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</si>
  <si>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</si>
  <si>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</si>
  <si>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</si>
  <si>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</si>
  <si>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</si>
  <si>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</si>
  <si>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</si>
  <si>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</si>
  <si>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</si>
  <si>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</si>
  <si>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</si>
  <si>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</si>
  <si>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</si>
  <si>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</si>
  <si>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</si>
  <si>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</si>
  <si>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</si>
  <si>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</si>
  <si>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</si>
  <si>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</si>
  <si>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</si>
  <si>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</si>
  <si>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</si>
  <si>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</si>
  <si>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</si>
  <si>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</si>
  <si>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</si>
  <si>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</si>
  <si>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</si>
  <si>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</si>
  <si>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</si>
  <si>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</si>
  <si>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</si>
  <si>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</si>
  <si>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</si>
  <si>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</si>
  <si>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</si>
  <si>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</si>
  <si>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</si>
  <si>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</si>
  <si>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</si>
  <si>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</si>
  <si>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</si>
  <si>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</si>
  <si>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</si>
  <si>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</si>
  <si>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</si>
  <si>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</si>
  <si>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</si>
  <si>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</si>
  <si>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</si>
  <si>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</si>
  <si>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</si>
  <si>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</si>
  <si>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</si>
  <si>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</si>
  <si>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</si>
  <si>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</si>
  <si>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</si>
  <si>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</si>
  <si>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</si>
  <si>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</si>
  <si>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</si>
  <si>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</si>
  <si>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</si>
  <si>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</si>
  <si>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</si>
  <si>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</si>
  <si>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</si>
  <si>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</si>
  <si>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</si>
  <si>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</si>
  <si>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</si>
  <si>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</si>
  <si>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</si>
  <si>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</si>
  <si>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</si>
  <si>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</si>
  <si>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</si>
  <si>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</si>
  <si>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</si>
  <si>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</si>
  <si>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</si>
  <si>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</si>
  <si>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</si>
  <si>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</si>
  <si>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</si>
  <si>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</si>
  <si>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</si>
  <si>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</si>
  <si>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</si>
  <si>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</si>
  <si>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</si>
  <si>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</si>
  <si>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</si>
  <si>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</si>
  <si>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</si>
  <si>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</si>
  <si>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</si>
  <si>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</si>
  <si>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</si>
  <si>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</si>
  <si>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</si>
  <si>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</si>
  <si>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</si>
  <si>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</si>
  <si>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</si>
  <si>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</si>
  <si>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</si>
  <si>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</si>
  <si>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</si>
  <si>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</si>
  <si>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</si>
  <si>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</si>
  <si>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</si>
  <si>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</si>
  <si>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</si>
  <si>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</si>
  <si>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</si>
  <si>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</si>
  <si>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</si>
  <si>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</si>
  <si>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</si>
  <si>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</si>
  <si>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</si>
  <si>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</si>
  <si>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</si>
  <si>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</si>
  <si>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</si>
  <si>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</si>
  <si>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</si>
  <si>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</si>
  <si>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</si>
  <si>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</si>
  <si>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</si>
  <si>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</si>
  <si>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</si>
  <si>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</si>
  <si>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</si>
  <si>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</si>
  <si>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</si>
  <si>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</si>
  <si>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</si>
  <si>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</si>
  <si>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</si>
  <si>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</si>
  <si>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</si>
  <si>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</si>
  <si>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</si>
  <si>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</si>
  <si>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</si>
  <si>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</si>
  <si>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</si>
  <si>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</si>
  <si>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</si>
  <si>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</si>
  <si>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</si>
  <si>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</si>
  <si>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</si>
  <si>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</si>
  <si>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</si>
  <si>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</si>
  <si>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</si>
  <si>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</si>
  <si>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</si>
  <si>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</si>
  <si>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</si>
  <si>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</si>
  <si>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</si>
  <si>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</si>
  <si>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</si>
  <si>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</si>
  <si>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</si>
  <si>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</si>
  <si>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</si>
  <si>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</si>
  <si>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</si>
  <si>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</si>
  <si>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</si>
  <si>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</si>
  <si>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</si>
  <si>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</si>
  <si>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</si>
  <si>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</si>
  <si>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</si>
  <si>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</si>
  <si>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</si>
  <si>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</si>
  <si>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</si>
  <si>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</si>
  <si>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</si>
  <si>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</si>
  <si>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</si>
  <si>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</si>
  <si>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</si>
  <si>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</si>
  <si>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</si>
  <si>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</si>
  <si>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</si>
  <si>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</si>
  <si>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</si>
  <si>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</si>
  <si>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</si>
  <si>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</si>
  <si>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</si>
  <si>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</si>
  <si>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</si>
  <si>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</si>
  <si>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</si>
  <si>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</si>
  <si>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</si>
  <si>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</si>
  <si>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</si>
  <si>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</si>
  <si>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</si>
  <si>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</si>
  <si>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</si>
  <si>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</si>
  <si>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</si>
  <si>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</si>
  <si>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</si>
  <si>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</si>
  <si>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</si>
  <si>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</si>
  <si>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</si>
  <si>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</si>
  <si>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</si>
  <si>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</si>
  <si>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</si>
  <si>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</si>
  <si>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</si>
  <si>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</si>
  <si>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</si>
  <si>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</si>
  <si>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</si>
  <si>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</si>
  <si>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</si>
  <si>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</si>
  <si>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</si>
  <si>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</si>
  <si>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</si>
  <si>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</si>
  <si>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</si>
  <si>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</si>
  <si>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</si>
  <si>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</si>
  <si>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</si>
  <si>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</si>
  <si>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</si>
  <si>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</si>
  <si>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</si>
  <si>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</si>
  <si>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</si>
  <si>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</si>
  <si>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</si>
  <si>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</si>
  <si>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</si>
  <si>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</si>
  <si>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</si>
  <si>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</si>
  <si>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</si>
  <si>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</si>
  <si>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</si>
  <si>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</si>
  <si>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</si>
  <si>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</si>
  <si>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</si>
  <si>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</si>
  <si>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</si>
  <si>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</si>
  <si>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</si>
  <si>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</si>
  <si>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</si>
  <si>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</si>
  <si>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</si>
  <si>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</si>
  <si>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</si>
  <si>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</si>
  <si>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</si>
  <si>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</si>
  <si>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</si>
  <si>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</si>
  <si>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</si>
  <si>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</si>
  <si>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</si>
  <si>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</si>
  <si>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</si>
  <si>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</si>
  <si>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</si>
  <si>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</si>
  <si>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</si>
  <si>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</si>
  <si>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</si>
  <si>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</si>
  <si>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</si>
  <si>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</si>
  <si>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</si>
  <si>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</si>
  <si>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</si>
  <si>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</si>
  <si>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</si>
  <si>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</si>
  <si>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</si>
  <si>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</si>
  <si>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</si>
  <si>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</si>
  <si>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</si>
  <si>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</si>
  <si>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</si>
  <si>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</si>
  <si>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</si>
  <si>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</si>
  <si>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</si>
  <si>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</si>
  <si>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</si>
  <si>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</si>
  <si>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</si>
  <si>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</si>
  <si>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</si>
  <si>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</si>
  <si>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</si>
  <si>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</si>
  <si>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</si>
  <si>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</si>
  <si>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</si>
  <si>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</si>
  <si>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</si>
  <si>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</si>
  <si>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</si>
  <si>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</si>
  <si>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</si>
  <si>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</si>
  <si>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</si>
  <si>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</si>
  <si>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</si>
  <si>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</si>
  <si>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</si>
  <si>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</si>
  <si>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</si>
  <si>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</si>
  <si>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</si>
  <si>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</si>
  <si>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</si>
  <si>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</si>
  <si>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</si>
  <si>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</si>
  <si>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</si>
  <si>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</si>
  <si>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</si>
  <si>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</si>
  <si>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</si>
  <si>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</si>
  <si>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</si>
  <si>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</si>
  <si>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</si>
  <si>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</si>
  <si>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</si>
  <si>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</si>
  <si>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</si>
  <si>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</si>
  <si>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</si>
  <si>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</si>
  <si>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</si>
  <si>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</si>
  <si>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</si>
  <si>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</si>
  <si>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</si>
  <si>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</si>
  <si>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</si>
  <si>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</si>
  <si>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</si>
  <si>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</si>
  <si>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</si>
  <si>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</si>
  <si>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</si>
  <si>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</si>
  <si>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</si>
  <si>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</si>
  <si>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</si>
  <si>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</si>
  <si>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</si>
  <si>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</si>
  <si>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</si>
  <si>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</si>
  <si>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</si>
  <si>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</si>
  <si>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</si>
  <si>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</si>
  <si>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</si>
  <si>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</si>
  <si>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</si>
  <si>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</si>
  <si>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</si>
  <si>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</si>
  <si>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</si>
  <si>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</si>
  <si>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</si>
  <si>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</si>
  <si>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</si>
  <si>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</si>
  <si>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</si>
  <si>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</si>
  <si>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</si>
  <si>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</si>
  <si>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</si>
  <si>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</si>
  <si>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</si>
  <si>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</si>
  <si>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</si>
  <si>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</si>
  <si>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</si>
  <si>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</si>
  <si>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</si>
  <si>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</si>
  <si>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</si>
  <si>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</si>
  <si>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</si>
  <si>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</si>
  <si>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</si>
  <si>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</si>
  <si>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</si>
  <si>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</si>
  <si>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</si>
  <si>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</si>
  <si>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</si>
  <si>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</si>
  <si>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</si>
  <si>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</si>
  <si>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</si>
  <si>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</si>
  <si>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</si>
  <si>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</si>
  <si>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</si>
  <si>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</si>
  <si>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</si>
  <si>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</si>
  <si>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</si>
  <si>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</si>
  <si>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</si>
  <si>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</si>
  <si>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</si>
  <si>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</si>
  <si>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</si>
  <si>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</si>
  <si>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</si>
  <si>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</si>
  <si>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</si>
  <si>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</si>
  <si>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</si>
  <si>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</si>
  <si>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</si>
  <si>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</si>
  <si>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</si>
  <si>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</si>
  <si>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</si>
  <si>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</si>
  <si>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</si>
  <si>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</si>
  <si>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</si>
  <si>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</si>
  <si>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</si>
  <si>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</si>
  <si>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</si>
  <si>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</si>
  <si>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</si>
  <si>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</si>
  <si>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</si>
  <si>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</si>
  <si>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</si>
  <si>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</si>
  <si>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</si>
  <si>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</si>
  <si>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</si>
  <si>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</si>
  <si>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</si>
  <si>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</si>
  <si>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</si>
  <si>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</si>
  <si>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</si>
  <si>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</si>
  <si>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</si>
  <si>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</si>
  <si>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</si>
  <si>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</si>
  <si>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</si>
  <si>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</si>
  <si>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</si>
  <si>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</si>
  <si>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</si>
  <si>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</si>
  <si>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</si>
  <si>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</si>
  <si>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</si>
  <si>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</si>
  <si>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</si>
  <si>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</si>
  <si>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</si>
  <si>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</si>
  <si>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</si>
  <si>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</si>
  <si>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</si>
  <si>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</si>
  <si>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</si>
  <si>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</si>
  <si>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</si>
  <si>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</si>
  <si>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</si>
  <si>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</si>
  <si>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</si>
  <si>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</si>
  <si>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</si>
  <si>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</si>
  <si>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</si>
  <si>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</si>
  <si>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</si>
  <si>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</si>
  <si>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</si>
  <si>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</si>
  <si>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</si>
  <si>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</si>
  <si>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</si>
  <si>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</si>
  <si>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</si>
  <si>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</si>
  <si>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</si>
  <si>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</si>
  <si>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</si>
  <si>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</si>
  <si>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</si>
  <si>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</si>
  <si>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</si>
  <si>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</si>
  <si>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</si>
  <si>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</si>
  <si>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</si>
  <si>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</si>
  <si>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</si>
  <si>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</si>
  <si>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</si>
  <si>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</si>
  <si>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</si>
  <si>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</si>
  <si>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</si>
  <si>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</si>
  <si>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</si>
  <si>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</si>
  <si>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</si>
  <si>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</si>
  <si>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</si>
  <si>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</si>
  <si>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</si>
  <si>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</si>
  <si>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</si>
  <si>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</si>
  <si>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</si>
  <si>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</si>
  <si>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</si>
  <si>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</si>
  <si>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</si>
  <si>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</si>
  <si>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</si>
  <si>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</si>
  <si>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</si>
  <si>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</si>
  <si>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</si>
  <si>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</si>
  <si>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</si>
  <si>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</si>
  <si>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</si>
  <si>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</si>
  <si>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</si>
  <si>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</si>
  <si>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</si>
  <si>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</si>
  <si>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</si>
  <si>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</si>
  <si>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</si>
  <si>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</si>
  <si>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</si>
  <si>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</si>
  <si>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</si>
  <si>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</si>
  <si>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</si>
  <si>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</si>
  <si>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</si>
  <si>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</si>
  <si>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</si>
  <si>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</si>
  <si>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</si>
  <si>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</si>
  <si>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</si>
  <si>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</si>
  <si>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</si>
  <si>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</si>
  <si>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</si>
  <si>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</si>
  <si>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</si>
  <si>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</si>
  <si>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</si>
  <si>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</si>
  <si>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</si>
  <si>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</si>
  <si>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</si>
  <si>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</si>
  <si>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</si>
  <si>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</si>
  <si>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</si>
  <si>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</si>
  <si>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</si>
  <si>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</si>
  <si>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</si>
  <si>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</si>
  <si>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</si>
  <si>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</si>
  <si>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</si>
  <si>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</si>
  <si>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</si>
  <si>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</si>
  <si>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</si>
  <si>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</si>
  <si>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</si>
  <si>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</si>
  <si>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</si>
  <si>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</si>
  <si>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</si>
  <si>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</si>
  <si>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</si>
  <si>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</si>
  <si>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</si>
  <si>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</si>
  <si>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</si>
  <si>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</si>
  <si>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</si>
  <si>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</si>
  <si>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</si>
  <si>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</si>
  <si>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</si>
  <si>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</si>
  <si>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</si>
  <si>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</si>
  <si>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</si>
  <si>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</si>
  <si>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</si>
  <si>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</si>
  <si>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</si>
  <si>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</si>
  <si>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</si>
  <si>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</si>
  <si>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</si>
  <si>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</si>
  <si>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</si>
  <si>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</si>
  <si>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</si>
  <si>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</si>
  <si>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</si>
  <si>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</si>
  <si>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</si>
  <si>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</si>
  <si>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</si>
  <si>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</si>
  <si>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</si>
  <si>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</si>
  <si>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</si>
  <si>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</si>
  <si>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</si>
  <si>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</si>
  <si>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</si>
  <si>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</si>
  <si>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</si>
  <si>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</si>
  <si>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</si>
  <si>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</si>
  <si>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</si>
  <si>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</si>
  <si>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</si>
  <si>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</si>
  <si>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</si>
  <si>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</si>
  <si>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</si>
  <si>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</si>
  <si>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</si>
  <si>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</si>
  <si>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</si>
  <si>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</si>
  <si>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</si>
  <si>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</si>
  <si>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</si>
  <si>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</si>
  <si>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</si>
  <si>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</si>
  <si>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</si>
  <si>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</si>
  <si>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</si>
  <si>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</si>
  <si>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</si>
  <si>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</si>
  <si>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</si>
  <si>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</si>
  <si>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</si>
  <si>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</si>
  <si>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</si>
  <si>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</si>
  <si>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</si>
  <si>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</si>
  <si>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</si>
  <si>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</si>
  <si>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</si>
  <si>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</si>
  <si>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</si>
  <si>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</si>
  <si>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</si>
  <si>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</si>
  <si>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</si>
  <si>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</si>
  <si>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</si>
  <si>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</si>
  <si>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</si>
  <si>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</si>
  <si>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</si>
  <si>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</si>
  <si>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</si>
  <si>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</si>
  <si>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</si>
  <si>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</si>
  <si>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</si>
  <si>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</si>
  <si>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</si>
  <si>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</si>
  <si>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</si>
  <si>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</si>
  <si>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</si>
  <si>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</si>
  <si>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</si>
  <si>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</si>
  <si>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</si>
  <si>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</si>
  <si>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</si>
  <si>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</si>
  <si>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</si>
  <si>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</si>
  <si>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</si>
  <si>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</si>
  <si>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</si>
  <si>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</si>
  <si>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</si>
  <si>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</si>
  <si>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</si>
  <si>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</si>
  <si>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</si>
  <si>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</si>
  <si>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</si>
  <si>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</si>
  <si>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</si>
  <si>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</si>
  <si>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</si>
  <si>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</si>
  <si>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</si>
  <si>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</si>
  <si>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</si>
  <si>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</si>
  <si>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</si>
  <si>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</si>
  <si>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</si>
  <si>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</si>
  <si>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</si>
  <si>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</si>
  <si>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</si>
  <si>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</si>
  <si>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</si>
  <si>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</si>
  <si>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</si>
  <si>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</si>
  <si>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</si>
  <si>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</si>
  <si>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</si>
  <si>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</si>
  <si>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</si>
  <si>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</si>
  <si>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</si>
  <si>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</si>
  <si>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</si>
  <si>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</si>
  <si>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</si>
  <si>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</si>
  <si>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</si>
  <si>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</si>
  <si>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</si>
  <si>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</si>
  <si>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</si>
  <si>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</si>
  <si>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</si>
  <si>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</si>
  <si>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</si>
  <si>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</si>
  <si>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</si>
  <si>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</si>
  <si>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</si>
  <si>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</si>
  <si>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</si>
  <si>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</si>
  <si>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</si>
  <si>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</si>
  <si>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</si>
  <si>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</si>
  <si>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</si>
  <si>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</si>
  <si>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</si>
  <si>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</si>
  <si>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</si>
  <si>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</si>
  <si>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</si>
  <si>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</si>
  <si>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</si>
  <si>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</si>
  <si>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</si>
  <si>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</si>
  <si>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</si>
  <si>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</si>
  <si>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</si>
  <si>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</si>
  <si>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</si>
  <si>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</si>
  <si>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</si>
  <si>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</si>
  <si>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</si>
  <si>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</si>
  <si>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</si>
  <si>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</si>
  <si>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</si>
  <si>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</si>
  <si>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</si>
  <si>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</si>
  <si>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</si>
  <si>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</si>
  <si>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</si>
  <si>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</si>
  <si>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</si>
  <si>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</si>
  <si>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</si>
  <si>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</si>
  <si>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</si>
  <si>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</si>
  <si>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</si>
  <si>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</si>
  <si>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</si>
  <si>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</si>
  <si>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</si>
  <si>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</si>
  <si>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</si>
  <si>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</si>
  <si>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</si>
  <si>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</si>
  <si>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</si>
  <si>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</si>
  <si>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</si>
  <si>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</si>
  <si>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</si>
  <si>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</si>
  <si>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</si>
  <si>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</si>
  <si>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</si>
  <si>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</si>
  <si>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</si>
  <si>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</si>
  <si>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</si>
  <si>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</si>
  <si>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</si>
  <si>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</si>
  <si>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</si>
  <si>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</si>
  <si>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</si>
  <si>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</si>
  <si>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</si>
  <si>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</si>
  <si>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</si>
  <si>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</si>
  <si>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</si>
  <si>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</si>
  <si>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</si>
  <si>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</si>
  <si>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</si>
  <si>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</si>
  <si>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</si>
  <si>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</si>
  <si>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</si>
  <si>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</si>
  <si>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</si>
  <si>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</si>
  <si>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</si>
  <si>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</si>
  <si>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</si>
  <si>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</si>
  <si>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</si>
  <si>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</si>
  <si>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</si>
  <si>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</si>
  <si>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</si>
  <si>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</si>
  <si>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</si>
  <si>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</si>
  <si>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</si>
  <si>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</si>
  <si>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</si>
  <si>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</si>
  <si>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</si>
  <si>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</si>
  <si>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</si>
  <si>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</si>
  <si>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</si>
  <si>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</si>
  <si>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</si>
  <si>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</si>
  <si>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</si>
  <si>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</si>
  <si>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</si>
  <si>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</si>
  <si>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</si>
  <si>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</si>
  <si>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</si>
  <si>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</si>
  <si>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</si>
  <si>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</si>
  <si>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</si>
  <si>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</si>
  <si>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</si>
  <si>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</si>
  <si>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</si>
  <si>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</si>
  <si>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</si>
  <si>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</si>
  <si>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</si>
  <si>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</si>
  <si>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</si>
  <si>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</si>
  <si>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</si>
  <si>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</si>
  <si>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</si>
  <si>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</si>
  <si>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</si>
  <si>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</si>
  <si>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</si>
  <si>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</si>
  <si>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</si>
  <si>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</si>
  <si>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</si>
  <si>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</si>
  <si>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</si>
  <si>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</si>
  <si>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</si>
  <si>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</si>
  <si>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</si>
  <si>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</si>
  <si>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</si>
  <si>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</si>
  <si>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</si>
  <si>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</si>
  <si>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</si>
  <si>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</si>
  <si>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</si>
  <si>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</si>
  <si>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</si>
  <si>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</si>
  <si>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</si>
  <si>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</si>
  <si>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</si>
  <si>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</si>
  <si>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</si>
  <si>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</si>
  <si>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</si>
  <si>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</si>
  <si>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</si>
  <si>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</si>
  <si>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</si>
  <si>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</si>
  <si>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</si>
  <si>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</si>
  <si>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</si>
  <si>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</si>
  <si>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</si>
  <si>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</si>
  <si>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</si>
  <si>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</si>
  <si>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</si>
  <si>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</si>
  <si>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</si>
  <si>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</si>
  <si>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</si>
  <si>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</si>
  <si>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</si>
  <si>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</si>
  <si>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</si>
  <si>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</si>
  <si>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</si>
  <si>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</si>
  <si>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</si>
  <si>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</si>
  <si>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</si>
  <si>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</si>
  <si>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</si>
  <si>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</si>
  <si>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</si>
  <si>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</si>
  <si>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</si>
  <si>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</si>
  <si>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</si>
  <si>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</si>
  <si>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</si>
  <si>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</si>
  <si>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</si>
  <si>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</si>
  <si>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</si>
  <si>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</si>
  <si>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</si>
  <si>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</si>
  <si>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</si>
  <si>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</si>
  <si>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</si>
  <si>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</si>
  <si>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</si>
  <si>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</si>
  <si>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</si>
  <si>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</si>
  <si>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</si>
  <si>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</si>
  <si>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</si>
  <si>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</si>
  <si>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</si>
  <si>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</si>
  <si>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</si>
  <si>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</si>
  <si>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</si>
  <si>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</si>
  <si>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</si>
  <si>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</si>
  <si>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</si>
  <si>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</si>
  <si>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</si>
  <si>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</si>
  <si>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</si>
  <si>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</si>
  <si>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</si>
  <si>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</si>
  <si>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</si>
  <si>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</si>
  <si>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</si>
  <si>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</si>
  <si>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</si>
  <si>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</si>
  <si>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</si>
  <si>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</si>
  <si>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</si>
  <si>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</si>
  <si>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</si>
  <si>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</si>
  <si>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</si>
  <si>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</si>
  <si>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</si>
  <si>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</si>
  <si>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</si>
  <si>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</si>
  <si>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</si>
  <si>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</si>
  <si>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</si>
  <si>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</si>
  <si>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</si>
  <si>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</si>
  <si>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</si>
  <si>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</si>
  <si>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</si>
  <si>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</si>
  <si>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</si>
  <si>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</si>
  <si>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</si>
  <si>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</si>
  <si>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</si>
  <si>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</si>
  <si>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</si>
  <si>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</si>
  <si>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</si>
  <si>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</si>
  <si>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</si>
  <si>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</si>
  <si>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</si>
  <si>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</si>
  <si>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</si>
  <si>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</si>
  <si>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</si>
  <si>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</si>
  <si>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</si>
  <si>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</si>
  <si>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</si>
  <si>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</si>
  <si>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</si>
  <si>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</si>
  <si>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</si>
  <si>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</si>
  <si>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</si>
  <si>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</si>
  <si>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</si>
  <si>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</si>
  <si>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</si>
  <si>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</si>
  <si>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</si>
  <si>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</si>
  <si>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</si>
  <si>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</si>
  <si>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</si>
  <si>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</si>
  <si>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</si>
  <si>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</si>
  <si>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</si>
  <si>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</si>
  <si>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</si>
  <si>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</si>
  <si>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</si>
  <si>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</si>
  <si>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</si>
  <si>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</si>
  <si>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</si>
  <si>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</si>
  <si>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</si>
  <si>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</si>
  <si>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</si>
  <si>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</si>
  <si>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</si>
  <si>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</si>
  <si>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</si>
  <si>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</si>
  <si>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</si>
  <si>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</si>
  <si>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</si>
  <si>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</si>
  <si>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</si>
  <si>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</si>
  <si>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</si>
  <si>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</si>
  <si>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</si>
  <si>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</si>
  <si>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</si>
  <si>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</si>
  <si>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</si>
  <si>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</si>
  <si>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</si>
  <si>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</si>
  <si>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</si>
  <si>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</si>
  <si>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</si>
  <si>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</si>
  <si>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</si>
  <si>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</si>
  <si>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</si>
  <si>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</si>
  <si>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</si>
  <si>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</si>
  <si>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</si>
  <si>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</si>
  <si>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</si>
  <si>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</si>
  <si>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</si>
  <si>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</si>
  <si>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</si>
  <si>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</si>
  <si>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</si>
  <si>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</si>
  <si>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</si>
  <si>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</si>
  <si>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</si>
  <si>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</si>
  <si>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</si>
  <si>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</si>
  <si>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</si>
  <si>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</si>
  <si>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</si>
  <si>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</si>
  <si>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</si>
  <si>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</si>
  <si>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</si>
  <si>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</si>
  <si>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</si>
  <si>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</si>
  <si>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</si>
  <si>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</si>
  <si>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</si>
  <si>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</si>
  <si>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</si>
  <si>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</si>
  <si>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</si>
  <si>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</si>
  <si>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</si>
  <si>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</si>
  <si>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</si>
  <si>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</si>
  <si>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</si>
  <si>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</si>
  <si>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</si>
  <si>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</si>
  <si>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</si>
  <si>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</si>
  <si>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</si>
  <si>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</si>
  <si>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</si>
  <si>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</si>
  <si>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</si>
  <si>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</si>
  <si>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</si>
  <si>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</si>
  <si>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</si>
  <si>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</si>
  <si>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</si>
  <si>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</si>
  <si>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</si>
  <si>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</si>
  <si>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</si>
  <si>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</si>
  <si>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</si>
  <si>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</si>
  <si>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</si>
  <si>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</si>
  <si>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</si>
  <si>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</si>
  <si>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</si>
  <si>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</si>
  <si>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</si>
  <si>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</si>
  <si>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</si>
  <si>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</si>
  <si>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</si>
  <si>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</si>
  <si>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</si>
  <si>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</si>
  <si>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</si>
  <si>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</si>
  <si>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</si>
  <si>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</si>
  <si>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</si>
  <si>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</si>
  <si>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</si>
  <si>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</si>
  <si>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</si>
  <si>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</si>
  <si>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</si>
  <si>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</si>
  <si>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</si>
  <si>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</si>
  <si>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</si>
  <si>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</si>
  <si>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</si>
  <si>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</si>
  <si>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</si>
  <si>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</si>
  <si>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</si>
  <si>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</si>
  <si>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</si>
  <si>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</si>
  <si>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</si>
  <si>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</si>
  <si>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</si>
  <si>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</si>
  <si>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</si>
  <si>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</si>
  <si>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</si>
  <si>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</si>
  <si>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</si>
  <si>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</si>
  <si>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</si>
  <si>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</si>
  <si>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</si>
  <si>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</si>
  <si>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</si>
  <si>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</si>
  <si>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</si>
  <si>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</si>
  <si>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</si>
  <si>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</si>
  <si>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</si>
  <si>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</si>
  <si>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</si>
  <si>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</si>
  <si>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</si>
  <si>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</si>
  <si>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</si>
  <si>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</si>
  <si>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</si>
  <si>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</si>
  <si>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</si>
  <si>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</si>
  <si>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</si>
  <si>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</si>
  <si>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</si>
  <si>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</si>
  <si>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</si>
  <si>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</si>
  <si>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</si>
  <si>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</si>
  <si>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</si>
  <si>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</si>
  <si>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</si>
  <si>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</si>
  <si>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</si>
  <si>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</si>
  <si>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</si>
  <si>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</si>
  <si>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</si>
  <si>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</si>
  <si>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</si>
  <si>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</si>
  <si>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</si>
  <si>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</si>
  <si>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</si>
  <si>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</si>
  <si>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</si>
  <si>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</si>
  <si>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</si>
  <si>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</si>
  <si>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</si>
  <si>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</si>
  <si>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</si>
  <si>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</si>
  <si>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</si>
  <si>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</si>
  <si>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</si>
  <si>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</si>
  <si>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</si>
  <si>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</si>
  <si>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</si>
  <si>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</si>
  <si>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</si>
  <si>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</si>
  <si>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</si>
  <si>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</si>
  <si>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</si>
  <si>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</si>
  <si>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</si>
  <si>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</si>
  <si>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</si>
  <si>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</si>
  <si>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</si>
  <si>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</si>
  <si>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</si>
  <si>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</si>
  <si>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</si>
  <si>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</si>
  <si>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</si>
  <si>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</si>
  <si>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</si>
  <si>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</si>
  <si>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</si>
  <si>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</si>
  <si>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</si>
  <si>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</si>
  <si>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</si>
  <si>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</si>
  <si>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</si>
  <si>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</si>
  <si>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</si>
  <si>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</si>
  <si>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</si>
  <si>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</si>
  <si>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</si>
  <si>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</si>
  <si>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</si>
  <si>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</si>
  <si>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</si>
  <si>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</si>
  <si>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</si>
  <si>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</si>
  <si>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</si>
  <si>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</si>
  <si>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</si>
  <si>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</si>
  <si>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</si>
  <si>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</si>
  <si>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</si>
  <si>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</si>
  <si>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</si>
  <si>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</si>
  <si>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</si>
  <si>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</si>
  <si>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</si>
  <si>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</si>
  <si>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</si>
  <si>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</si>
  <si>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</si>
  <si>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</si>
  <si>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</si>
  <si>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</si>
  <si>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</si>
  <si>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</si>
  <si>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</si>
  <si>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</si>
  <si>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</si>
  <si>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</si>
  <si>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</si>
  <si>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</si>
  <si>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</si>
  <si>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</si>
  <si>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</si>
  <si>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</si>
  <si>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</si>
  <si>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</si>
  <si>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</si>
  <si>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</si>
  <si>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</si>
  <si>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</si>
  <si>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</si>
  <si>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</si>
  <si>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</si>
  <si>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</si>
  <si>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</si>
  <si>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</si>
  <si>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</si>
  <si>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</si>
  <si>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</si>
  <si>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</si>
  <si>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</si>
  <si>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</si>
  <si>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</si>
  <si>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</si>
  <si>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</si>
  <si>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</si>
  <si>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</si>
  <si>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</si>
  <si>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</si>
  <si>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</si>
  <si>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</si>
  <si>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</si>
  <si>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</si>
  <si>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</si>
  <si>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</si>
  <si>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</si>
  <si>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</si>
  <si>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</si>
  <si>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</si>
  <si>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</si>
  <si>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</si>
  <si>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</si>
  <si>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</si>
  <si>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</si>
  <si>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</si>
  <si>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</si>
  <si>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</si>
  <si>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</si>
  <si>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</si>
  <si>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</si>
  <si>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</si>
  <si>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</si>
  <si>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</si>
  <si>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</si>
  <si>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</si>
  <si>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</si>
  <si>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</si>
  <si>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</si>
  <si>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</si>
  <si>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</si>
  <si>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</si>
  <si>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</si>
  <si>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</si>
  <si>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</si>
  <si>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</si>
  <si>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</si>
  <si>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</si>
  <si>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</si>
  <si>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</si>
  <si>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</si>
  <si>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</si>
  <si>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</si>
  <si>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</si>
  <si>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</si>
  <si>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</si>
  <si>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</si>
  <si>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</si>
  <si>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</si>
  <si>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</si>
  <si>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</si>
  <si>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</si>
  <si>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</si>
  <si>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</si>
  <si>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</si>
  <si>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</si>
  <si>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</si>
  <si>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</si>
  <si>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</si>
  <si>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</si>
  <si>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</si>
  <si>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</si>
  <si>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</si>
  <si>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</si>
  <si>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</si>
  <si>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</si>
  <si>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</si>
  <si>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</si>
  <si>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</si>
  <si>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</si>
  <si>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</si>
  <si>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</si>
  <si>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</si>
  <si>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</si>
  <si>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</si>
  <si>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</si>
  <si>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</si>
  <si>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</si>
  <si>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</si>
  <si>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</si>
  <si>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</si>
  <si>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</si>
  <si>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</si>
  <si>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</si>
  <si>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</si>
  <si>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</si>
  <si>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</si>
  <si>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</si>
  <si>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</si>
  <si>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</si>
  <si>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</si>
  <si>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</si>
  <si>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</si>
  <si>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</si>
  <si>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</si>
  <si>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</si>
  <si>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</si>
  <si>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</si>
  <si>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</si>
  <si>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</si>
  <si>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</si>
  <si>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</si>
  <si>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</si>
  <si>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</si>
  <si>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</si>
  <si>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</si>
  <si>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</si>
  <si>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</si>
  <si>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</si>
  <si>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</si>
  <si>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</si>
  <si>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</si>
  <si>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</si>
  <si>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</si>
  <si>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</si>
  <si>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</si>
  <si>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</si>
  <si>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</si>
  <si>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</si>
  <si>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</si>
  <si>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</si>
  <si>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</si>
  <si>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</si>
  <si>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</si>
  <si>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</si>
  <si>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</si>
  <si>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</si>
  <si>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</si>
  <si>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</si>
  <si>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</si>
  <si>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</si>
  <si>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</si>
  <si>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</si>
  <si>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</si>
  <si>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</si>
  <si>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</si>
  <si>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</si>
  <si>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</si>
  <si>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</si>
  <si>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</si>
  <si>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</si>
  <si>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</si>
  <si>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</si>
  <si>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</si>
  <si>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</si>
  <si>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</si>
  <si>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</si>
  <si>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</si>
  <si>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</si>
  <si>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</si>
  <si>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</si>
  <si>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</si>
  <si>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</si>
  <si>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</si>
  <si>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</si>
  <si>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</si>
  <si>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</si>
  <si>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</si>
  <si>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</si>
  <si>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</si>
  <si>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</si>
  <si>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</si>
  <si>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</si>
  <si>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</si>
  <si>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</si>
  <si>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</si>
  <si>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</si>
  <si>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</si>
  <si>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</si>
  <si>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</si>
  <si>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</si>
  <si>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</si>
  <si>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</si>
  <si>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</si>
  <si>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</si>
  <si>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</si>
  <si>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</si>
  <si>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</si>
  <si>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</si>
  <si>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</si>
  <si>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</si>
  <si>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</si>
  <si>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</si>
  <si>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</si>
  <si>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</si>
  <si>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</si>
  <si>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</si>
  <si>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</si>
  <si>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</si>
  <si>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</si>
  <si>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</si>
  <si>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</si>
  <si>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</si>
  <si>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</si>
  <si>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</si>
  <si>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</si>
  <si>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</si>
  <si>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</si>
  <si>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</si>
  <si>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</si>
  <si>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</si>
  <si>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</si>
  <si>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</si>
  <si>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</si>
  <si>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</si>
  <si>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</si>
  <si>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</si>
  <si>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</si>
  <si>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</si>
  <si>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</si>
  <si>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</si>
  <si>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</si>
  <si>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</si>
  <si>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</si>
  <si>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</si>
  <si>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</si>
  <si>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</si>
  <si>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</si>
  <si>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</si>
  <si>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</si>
  <si>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</si>
  <si>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</si>
  <si>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</si>
  <si>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</si>
  <si>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</si>
  <si>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</si>
  <si>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</si>
  <si>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</si>
  <si>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</si>
  <si>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</si>
  <si>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</si>
  <si>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</si>
  <si>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</si>
  <si>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</si>
  <si>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</si>
  <si>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</si>
  <si>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</si>
  <si>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</si>
  <si>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</si>
  <si>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</si>
  <si>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</si>
  <si>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</si>
  <si>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</si>
  <si>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</si>
  <si>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</si>
  <si>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</si>
  <si>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</si>
  <si>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</si>
  <si>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</si>
  <si>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</si>
  <si>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</si>
  <si>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</si>
  <si>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</si>
  <si>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</si>
  <si>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</si>
  <si>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</si>
  <si>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</si>
  <si>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</si>
  <si>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</si>
  <si>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</si>
  <si>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</si>
  <si>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</si>
  <si>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</si>
  <si>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</si>
  <si>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</si>
  <si>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</si>
  <si>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</si>
  <si>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</si>
  <si>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</si>
  <si>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</si>
  <si>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</si>
  <si>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</si>
  <si>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</si>
  <si>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</si>
  <si>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</si>
  <si>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</si>
  <si>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</si>
  <si>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</si>
  <si>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</si>
  <si>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</si>
  <si>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</si>
  <si>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</si>
  <si>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</si>
  <si>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</si>
  <si>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</si>
  <si>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</si>
  <si>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</si>
  <si>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</si>
  <si>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</si>
  <si>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</si>
  <si>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</si>
  <si>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</si>
  <si>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</si>
  <si>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</si>
  <si>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</si>
  <si>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</si>
  <si>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</si>
  <si>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</si>
  <si>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</si>
  <si>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</si>
  <si>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</si>
  <si>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</si>
  <si>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</si>
  <si>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</si>
  <si>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</si>
  <si>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</si>
  <si>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</si>
  <si>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</si>
  <si>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</si>
  <si>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</si>
  <si>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</si>
  <si>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</si>
  <si>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</si>
  <si>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</si>
  <si>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</si>
  <si>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</si>
  <si>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</si>
  <si>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</si>
  <si>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</si>
  <si>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</si>
  <si>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</si>
  <si>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</si>
  <si>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</si>
  <si>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</si>
  <si>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</si>
  <si>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</si>
  <si>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</si>
  <si>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</si>
  <si>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</si>
  <si>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</si>
  <si>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</si>
  <si>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</si>
  <si>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</si>
  <si>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</si>
  <si>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</si>
  <si>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</si>
  <si>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</si>
  <si>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</si>
  <si>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</si>
  <si>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</si>
  <si>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</si>
  <si>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</si>
  <si>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</si>
  <si>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</si>
  <si>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</si>
  <si>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</si>
  <si>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</si>
  <si>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</si>
  <si>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</si>
  <si>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</si>
  <si>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</si>
  <si>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</si>
  <si>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</si>
  <si>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</si>
  <si>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</si>
  <si>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</si>
  <si>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</si>
  <si>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</si>
  <si>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</si>
  <si>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</si>
  <si>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</si>
  <si>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</si>
  <si>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</si>
  <si>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</si>
  <si>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</si>
  <si>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</si>
  <si>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</si>
  <si>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</si>
  <si>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</si>
  <si>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</si>
  <si>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</si>
  <si>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</si>
  <si>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</si>
  <si>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</si>
  <si>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</si>
  <si>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</si>
  <si>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</si>
  <si>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</si>
  <si>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</si>
  <si>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</si>
  <si>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</si>
  <si>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</si>
  <si>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</si>
  <si>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</si>
  <si>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</si>
  <si>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</si>
  <si>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</si>
  <si>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</si>
  <si>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</si>
  <si>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</si>
  <si>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</si>
  <si>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</si>
  <si>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</si>
  <si>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</si>
  <si>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</si>
  <si>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</si>
  <si>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</si>
  <si>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</si>
  <si>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</si>
  <si>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</si>
  <si>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</si>
  <si>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</si>
  <si>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</si>
  <si>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</si>
  <si>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</si>
  <si>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</si>
  <si>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</si>
  <si>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</si>
  <si>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</si>
  <si>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</si>
  <si>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</si>
  <si>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</si>
  <si>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</si>
  <si>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</si>
  <si>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</si>
  <si>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</si>
  <si>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</si>
  <si>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</si>
  <si>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</si>
  <si>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</si>
  <si>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</si>
  <si>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</si>
  <si>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</si>
  <si>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</si>
  <si>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</si>
  <si>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</si>
  <si>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</si>
  <si>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</si>
  <si>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</si>
  <si>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</si>
  <si>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</si>
  <si>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</si>
  <si>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</si>
  <si>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</si>
  <si>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</si>
  <si>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</si>
  <si>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</si>
  <si>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</si>
  <si>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</si>
  <si>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</si>
  <si>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</si>
  <si>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</si>
  <si>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</si>
  <si>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</si>
  <si>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</si>
  <si>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</si>
  <si>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</si>
  <si>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</si>
  <si>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</si>
  <si>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</si>
  <si>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</si>
  <si>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</si>
  <si>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</si>
  <si>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</si>
  <si>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</si>
  <si>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</si>
  <si>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</si>
  <si>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</si>
  <si>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</si>
  <si>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</si>
  <si>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</si>
  <si>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</si>
  <si>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</si>
  <si>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</si>
  <si>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</si>
  <si>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</si>
  <si>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</si>
  <si>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</si>
  <si>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</si>
  <si>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</si>
  <si>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</si>
  <si>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</si>
  <si>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</si>
  <si>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</si>
  <si>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</si>
  <si>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</si>
  <si>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</si>
  <si>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</si>
  <si>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</si>
  <si>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</si>
  <si>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</si>
  <si>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</si>
  <si>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</si>
  <si>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</si>
  <si>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</si>
  <si>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</si>
  <si>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</si>
  <si>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</si>
  <si>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</si>
  <si>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</si>
  <si>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</si>
  <si>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</si>
  <si>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</si>
  <si>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</si>
  <si>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</si>
  <si>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</si>
  <si>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</si>
  <si>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</si>
  <si>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</si>
  <si>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</si>
  <si>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</si>
  <si>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</si>
  <si>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</si>
  <si>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</si>
  <si>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</si>
  <si>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</si>
  <si>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</si>
  <si>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</si>
  <si>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</si>
  <si>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</si>
  <si>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</si>
  <si>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</si>
  <si>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</si>
  <si>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</si>
  <si>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</si>
  <si>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</si>
  <si>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</si>
  <si>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</si>
  <si>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</si>
  <si>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</si>
  <si>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</si>
  <si>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</si>
  <si>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</si>
  <si>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</si>
  <si>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</si>
  <si>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</si>
  <si>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</si>
  <si>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</si>
  <si>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</si>
  <si>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</si>
  <si>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</si>
  <si>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</si>
  <si>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</si>
  <si>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</si>
  <si>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</si>
  <si>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</si>
  <si>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</si>
  <si>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</si>
  <si>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</si>
  <si>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</si>
  <si>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</si>
  <si>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</si>
  <si>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</si>
  <si>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</si>
  <si>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</si>
  <si>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</si>
  <si>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</si>
  <si>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</si>
  <si>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</si>
  <si>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</si>
  <si>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</si>
  <si>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</si>
  <si>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</si>
  <si>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</si>
  <si>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</si>
  <si>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</si>
  <si>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</si>
  <si>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</si>
  <si>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</si>
  <si>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</si>
  <si>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</si>
  <si>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</si>
  <si>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</si>
  <si>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</si>
  <si>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</si>
  <si>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</si>
  <si>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</si>
  <si>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</si>
  <si>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</si>
  <si>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</si>
  <si>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</si>
  <si>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</si>
  <si>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</si>
  <si>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</si>
  <si>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</si>
  <si>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</si>
  <si>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</si>
  <si>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</si>
  <si>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</si>
  <si>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</si>
  <si>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</si>
  <si>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</si>
  <si>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</si>
  <si>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</si>
  <si>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</si>
  <si>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</si>
  <si>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</si>
  <si>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</si>
  <si>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</si>
  <si>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</si>
  <si>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</si>
  <si>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</si>
  <si>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</si>
  <si>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</si>
  <si>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</si>
  <si>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</si>
  <si>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</si>
  <si>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</si>
  <si>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</si>
  <si>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</si>
  <si>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</si>
  <si>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</si>
  <si>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</si>
  <si>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</si>
  <si>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</si>
  <si>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</si>
  <si>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</si>
  <si>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</si>
  <si>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</si>
  <si>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</si>
  <si>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</si>
  <si>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</si>
  <si>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</si>
  <si>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</si>
  <si>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</si>
  <si>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</si>
  <si>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</si>
  <si>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</si>
  <si>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</si>
  <si>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</si>
  <si>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</si>
  <si>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</si>
  <si>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</si>
  <si>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</si>
  <si>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</si>
  <si>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</si>
  <si>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</si>
  <si>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</si>
  <si>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</si>
  <si>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</si>
  <si>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</si>
  <si>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</si>
  <si>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</si>
  <si>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</si>
  <si>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</si>
  <si>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</si>
  <si>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</si>
  <si>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</si>
  <si>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</si>
  <si>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</si>
  <si>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</si>
  <si>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</si>
  <si>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</si>
  <si>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</si>
  <si>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</si>
  <si>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</si>
  <si>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</si>
  <si>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</si>
  <si>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</si>
  <si>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</si>
  <si>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</si>
  <si>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</si>
  <si>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</si>
  <si>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</si>
  <si>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</si>
  <si>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</si>
  <si>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</si>
  <si>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</si>
  <si>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</si>
  <si>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</si>
  <si>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</si>
  <si>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</si>
  <si>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</si>
  <si>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</si>
  <si>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</si>
  <si>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</si>
  <si>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</si>
  <si>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</si>
  <si>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</si>
  <si>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</si>
  <si>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</si>
  <si>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</si>
  <si>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</si>
  <si>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</si>
  <si>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</si>
  <si>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</si>
  <si>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</si>
  <si>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</si>
  <si>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</si>
  <si>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</si>
  <si>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</si>
  <si>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</si>
  <si>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</si>
  <si>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</si>
  <si>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</si>
  <si>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</si>
  <si>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</si>
  <si>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</si>
  <si>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</si>
  <si>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</si>
  <si>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</si>
  <si>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</si>
  <si>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</si>
  <si>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</si>
  <si>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</si>
  <si>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</si>
  <si>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</si>
  <si>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</si>
  <si>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</si>
  <si>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</si>
  <si>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</si>
  <si>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</si>
  <si>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</si>
  <si>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</si>
  <si>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</si>
  <si>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</si>
  <si>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</si>
  <si>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</si>
  <si>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</si>
  <si>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</si>
  <si>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</si>
  <si>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</si>
  <si>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</si>
  <si>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</si>
  <si>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</si>
  <si>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</si>
  <si>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</si>
  <si>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</si>
  <si>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</si>
  <si>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</si>
  <si>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</si>
  <si>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</si>
  <si>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</si>
  <si>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</si>
  <si>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</si>
  <si>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</si>
  <si>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</si>
  <si>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</si>
  <si>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</si>
  <si>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</si>
  <si>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</si>
  <si>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</si>
  <si>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</si>
  <si>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</si>
  <si>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</si>
  <si>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</si>
  <si>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</si>
  <si>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</si>
  <si>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</si>
  <si>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</si>
  <si>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</si>
  <si>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</si>
  <si>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</si>
  <si>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</si>
  <si>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</si>
  <si>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</si>
  <si>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</si>
  <si>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</si>
  <si>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</si>
  <si>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</si>
  <si>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</si>
  <si>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</si>
  <si>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</si>
  <si>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</si>
  <si>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</si>
  <si>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</si>
  <si>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</si>
  <si>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</si>
  <si>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</si>
  <si>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</si>
  <si>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</si>
  <si>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</si>
  <si>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</si>
  <si>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</si>
  <si>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</si>
  <si>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</si>
  <si>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</si>
  <si>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</si>
  <si>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</si>
  <si>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</si>
  <si>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</si>
  <si>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</si>
  <si>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</si>
  <si>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</si>
  <si>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</si>
  <si>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</si>
  <si>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</si>
  <si>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</si>
  <si>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</si>
  <si>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</si>
  <si>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</si>
  <si>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</si>
  <si>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</si>
  <si>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</si>
  <si>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</si>
  <si>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</si>
  <si>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</si>
  <si>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</si>
  <si>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</si>
  <si>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</si>
  <si>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</si>
  <si>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</si>
  <si>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</si>
  <si>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</si>
  <si>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</si>
  <si>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</si>
  <si>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</si>
  <si>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</si>
  <si>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</si>
  <si>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</si>
  <si>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</si>
  <si>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</si>
  <si>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</si>
  <si>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</si>
  <si>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</si>
  <si>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</si>
  <si>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</si>
  <si>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</si>
  <si>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</si>
  <si>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</si>
  <si>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</si>
  <si>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</si>
  <si>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</si>
  <si>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</si>
  <si>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</si>
  <si>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</si>
  <si>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</si>
  <si>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</si>
  <si>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</si>
  <si>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</si>
  <si>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</si>
  <si>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</si>
  <si>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</si>
  <si>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</si>
  <si>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</si>
  <si>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</si>
  <si>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</si>
  <si>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</si>
  <si>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</si>
  <si>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</si>
  <si>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</si>
  <si>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</si>
  <si>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</si>
  <si>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</si>
  <si>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</si>
  <si>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</si>
  <si>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</si>
  <si>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</si>
  <si>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</si>
  <si>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</si>
  <si>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</si>
  <si>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</si>
  <si>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</si>
  <si>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</si>
  <si>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</si>
  <si>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</si>
  <si>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</si>
  <si>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</si>
  <si>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</si>
  <si>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</si>
  <si>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</si>
  <si>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</si>
  <si>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</si>
  <si>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</si>
  <si>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</si>
  <si>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</si>
  <si>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</si>
  <si>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</si>
  <si>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</si>
  <si>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</si>
  <si>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</si>
  <si>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</si>
  <si>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</si>
  <si>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</si>
  <si>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</si>
  <si>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</si>
  <si>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</si>
  <si>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</si>
  <si>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</si>
  <si>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</si>
  <si>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</si>
  <si>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</si>
  <si>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</si>
  <si>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</si>
  <si>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</si>
  <si>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</si>
  <si>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</si>
  <si>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</si>
  <si>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</si>
  <si>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</si>
  <si>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</si>
  <si>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</si>
  <si>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</si>
  <si>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</si>
  <si>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</si>
  <si>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</si>
  <si>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</si>
  <si>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</si>
  <si>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</si>
  <si>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</si>
  <si>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</si>
  <si>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</si>
  <si>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</si>
  <si>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</si>
  <si>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</si>
  <si>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</si>
  <si>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</si>
  <si>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</si>
  <si>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</si>
  <si>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</si>
  <si>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</si>
  <si>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</si>
  <si>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</si>
  <si>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</si>
  <si>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</si>
  <si>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</si>
  <si>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</si>
  <si>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</si>
  <si>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</si>
  <si>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</si>
  <si>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</si>
  <si>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</si>
  <si>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</si>
  <si>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</si>
  <si>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</si>
  <si>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</si>
  <si>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</si>
  <si>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</si>
  <si>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</si>
  <si>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</si>
  <si>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</si>
  <si>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</si>
  <si>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</si>
  <si>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</si>
  <si>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</si>
  <si>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</si>
  <si>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</si>
  <si>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</si>
  <si>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</si>
  <si>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</si>
  <si>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</si>
  <si>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</si>
  <si>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</si>
  <si>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</si>
  <si>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</si>
  <si>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</si>
  <si>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</si>
  <si>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</si>
  <si>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</si>
  <si>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</si>
  <si>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</si>
  <si>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</si>
  <si>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</si>
  <si>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</si>
  <si>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</si>
  <si>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</si>
  <si>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</si>
  <si>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</si>
  <si>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</si>
  <si>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</si>
  <si>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</si>
  <si>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</si>
  <si>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</si>
  <si>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</si>
  <si>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</si>
  <si>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</si>
  <si>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</si>
  <si>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</si>
  <si>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</si>
  <si>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</si>
  <si>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</si>
  <si>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</si>
  <si>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</si>
  <si>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</si>
  <si>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</si>
  <si>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</si>
  <si>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</si>
  <si>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</si>
  <si>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</si>
  <si>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</si>
  <si>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</si>
  <si>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</si>
  <si>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</si>
  <si>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</si>
  <si>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</si>
  <si>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</si>
  <si>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</si>
  <si>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</si>
  <si>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</si>
  <si>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</si>
  <si>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</si>
  <si>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</si>
  <si>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</si>
  <si>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</si>
  <si>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</si>
  <si>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</si>
  <si>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</si>
  <si>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</si>
  <si>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</si>
  <si>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</si>
  <si>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</si>
  <si>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</si>
  <si>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</si>
  <si>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</si>
  <si>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</si>
  <si>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</si>
  <si>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</si>
  <si>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</si>
  <si>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</si>
  <si>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</si>
  <si>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</si>
  <si>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</si>
  <si>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</si>
  <si>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</si>
  <si>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</si>
  <si>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</si>
  <si>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</si>
  <si>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</si>
  <si>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</si>
  <si>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</si>
  <si>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</si>
  <si>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</si>
  <si>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</si>
  <si>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</si>
  <si>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</si>
  <si>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</si>
  <si>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</si>
  <si>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</si>
  <si>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</si>
  <si>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</si>
  <si>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</si>
  <si>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</si>
  <si>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</si>
  <si>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</si>
  <si>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</si>
  <si>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</si>
  <si>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</si>
  <si>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</si>
  <si>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</si>
  <si>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</si>
  <si>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</si>
  <si>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</si>
  <si>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</si>
  <si>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</si>
  <si>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</si>
  <si>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</si>
  <si>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</si>
  <si>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</si>
  <si>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</si>
  <si>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</si>
  <si>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</si>
  <si>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</si>
  <si>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</si>
  <si>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</si>
  <si>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</si>
  <si>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</si>
  <si>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</si>
  <si>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</si>
  <si>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</si>
  <si>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</si>
  <si>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</si>
  <si>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</si>
  <si>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</si>
  <si>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</si>
  <si>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</si>
  <si>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</si>
  <si>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</si>
  <si>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</si>
  <si>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</si>
  <si>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</si>
  <si>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</si>
  <si>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</si>
  <si>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</si>
  <si>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</si>
  <si>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</si>
  <si>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</si>
  <si>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</si>
  <si>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</si>
  <si>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</si>
  <si>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</si>
  <si>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</si>
  <si>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</si>
  <si>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</si>
  <si>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</si>
  <si>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</si>
  <si>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</si>
  <si>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</si>
  <si>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</si>
  <si>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</si>
  <si>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</si>
  <si>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</si>
  <si>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</si>
  <si>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</si>
  <si>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</si>
  <si>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</si>
  <si>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</si>
  <si>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</si>
  <si>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</si>
  <si>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</si>
  <si>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</si>
  <si>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</si>
  <si>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</si>
  <si>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</si>
  <si>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</si>
  <si>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</si>
  <si>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</si>
  <si>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</si>
  <si>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</si>
  <si>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</si>
  <si>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</si>
  <si>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</si>
  <si>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</si>
  <si>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</si>
  <si>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</si>
  <si>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</si>
  <si>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</si>
  <si>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</si>
  <si>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</si>
  <si>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</si>
  <si>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</si>
  <si>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</si>
  <si>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</si>
  <si>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</si>
  <si>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</si>
  <si>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</si>
  <si>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</si>
  <si>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</si>
  <si>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</si>
  <si>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</si>
  <si>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</si>
  <si>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</si>
  <si>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</si>
  <si>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</si>
  <si>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</si>
  <si>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</si>
  <si>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</si>
  <si>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</si>
  <si>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</si>
  <si>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</si>
  <si>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</si>
  <si>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</si>
  <si>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</si>
  <si>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</si>
  <si>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</si>
  <si>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</si>
  <si>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</si>
  <si>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</si>
  <si>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</si>
  <si>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</si>
  <si>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</si>
  <si>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</si>
  <si>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</si>
  <si>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</si>
  <si>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</si>
  <si>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</si>
  <si>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</si>
  <si>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</si>
  <si>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</si>
  <si>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</si>
  <si>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</si>
  <si>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</si>
  <si>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</si>
  <si>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</si>
  <si>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</si>
  <si>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</si>
  <si>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</si>
  <si>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</si>
  <si>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</si>
  <si>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</si>
  <si>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</si>
  <si>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</si>
  <si>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</si>
  <si>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</si>
  <si>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</si>
  <si>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</si>
  <si>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</si>
  <si>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</si>
  <si>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</si>
  <si>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</si>
  <si>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</si>
  <si>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</si>
  <si>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</si>
  <si>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</si>
  <si>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</si>
  <si>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</si>
  <si>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</si>
  <si>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</si>
  <si>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</si>
  <si>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</si>
  <si>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</si>
  <si>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</si>
  <si>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</si>
  <si>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</si>
  <si>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</si>
  <si>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</si>
  <si>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</si>
  <si>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</si>
  <si>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</si>
  <si>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</si>
  <si>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</si>
  <si>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</si>
  <si>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</si>
  <si>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</si>
  <si>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</si>
  <si>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</si>
  <si>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</si>
  <si>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</si>
  <si>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</si>
  <si>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</si>
  <si>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</si>
  <si>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</si>
  <si>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</si>
  <si>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</si>
  <si>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</si>
  <si>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</si>
  <si>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</si>
  <si>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</si>
  <si>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</si>
  <si>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</si>
  <si>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</si>
  <si>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</si>
  <si>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</si>
  <si>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</si>
  <si>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</si>
  <si>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</si>
  <si>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</si>
  <si>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</si>
  <si>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</si>
  <si>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</si>
  <si>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</si>
  <si>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</si>
  <si>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</si>
  <si>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</si>
  <si>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</si>
  <si>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</si>
  <si>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</si>
  <si>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</si>
  <si>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</si>
  <si>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</si>
  <si>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</si>
  <si>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</si>
  <si>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</si>
  <si>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</si>
  <si>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</si>
  <si>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</si>
  <si>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</si>
  <si>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</si>
  <si>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</si>
  <si>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</si>
  <si>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</si>
  <si>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</si>
  <si>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</si>
  <si>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</si>
  <si>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</si>
  <si>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</si>
  <si>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</si>
  <si>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</si>
  <si>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</si>
  <si>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</si>
  <si>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</si>
  <si>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</si>
  <si>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</si>
  <si>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</si>
  <si>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</si>
  <si>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</si>
  <si>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</si>
  <si>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</si>
  <si>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</si>
  <si>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</si>
  <si>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</si>
  <si>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</si>
  <si>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</si>
  <si>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</si>
  <si>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</si>
  <si>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</si>
  <si>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</si>
  <si>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</si>
  <si>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</si>
  <si>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</si>
  <si>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</si>
  <si>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</si>
  <si>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</si>
  <si>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</si>
  <si>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</si>
  <si>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</si>
  <si>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</si>
  <si>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</si>
  <si>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</si>
  <si>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</si>
  <si>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</si>
  <si>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</si>
  <si>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</si>
  <si>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</si>
  <si>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</si>
  <si>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</si>
  <si>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</si>
  <si>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</si>
  <si>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</si>
  <si>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</si>
  <si>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</si>
  <si>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</si>
  <si>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</si>
  <si>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</si>
  <si>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</si>
  <si>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</si>
  <si>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</si>
  <si>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</si>
  <si>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</si>
  <si>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</si>
  <si>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</si>
  <si>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</si>
  <si>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</si>
  <si>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</si>
  <si>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</si>
  <si>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</si>
  <si>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</si>
  <si>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</si>
  <si>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</si>
  <si>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</si>
  <si>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</si>
  <si>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</si>
  <si>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</si>
  <si>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</si>
  <si>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</si>
  <si>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</si>
  <si>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</si>
  <si>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</si>
  <si>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</si>
  <si>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</si>
  <si>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</si>
  <si>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</si>
  <si>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</si>
  <si>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</si>
  <si>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</si>
  <si>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</si>
  <si>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</si>
  <si>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</si>
  <si>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</si>
  <si>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</si>
  <si>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</si>
  <si>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</si>
  <si>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</si>
  <si>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</si>
  <si>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</si>
  <si>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</si>
  <si>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</si>
  <si>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</si>
  <si>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</si>
  <si>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</si>
  <si>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</si>
  <si>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</si>
  <si>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</si>
  <si>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</si>
  <si>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</si>
  <si>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</si>
  <si>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</si>
  <si>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</si>
  <si>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</si>
  <si>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</si>
  <si>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</si>
  <si>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</si>
  <si>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</si>
  <si>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</si>
  <si>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</si>
  <si>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</si>
  <si>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</si>
  <si>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</si>
  <si>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</si>
  <si>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</si>
  <si>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</si>
  <si>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</si>
  <si>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</si>
  <si>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</si>
  <si>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</si>
  <si>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</si>
  <si>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</si>
  <si>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</si>
  <si>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</si>
  <si>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</si>
  <si>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</si>
  <si>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</si>
  <si>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</si>
  <si>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</si>
  <si>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</si>
  <si>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</si>
  <si>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</si>
  <si>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</si>
  <si>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</si>
  <si>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</si>
  <si>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</si>
  <si>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</si>
  <si>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</si>
  <si>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</si>
  <si>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</si>
  <si>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</si>
  <si>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</si>
  <si>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</si>
  <si>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</si>
  <si>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</si>
  <si>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</si>
  <si>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</si>
  <si>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</si>
  <si>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</si>
  <si>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</si>
  <si>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</si>
  <si>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</si>
  <si>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</si>
  <si>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</si>
  <si>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</si>
  <si>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</si>
  <si>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</si>
  <si>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</si>
  <si>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</si>
  <si>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</si>
  <si>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</si>
  <si>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</si>
  <si>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</si>
  <si>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</si>
  <si>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</si>
  <si>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</si>
  <si>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</si>
  <si>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</si>
  <si>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</si>
  <si>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</si>
  <si>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</si>
  <si>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</si>
  <si>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</si>
  <si>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</si>
  <si>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</si>
  <si>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</si>
  <si>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</si>
  <si>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</si>
  <si>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</si>
  <si>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</si>
  <si>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</si>
  <si>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</si>
  <si>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</si>
  <si>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</si>
  <si>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</si>
  <si>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</si>
  <si>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</si>
  <si>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</si>
  <si>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</si>
  <si>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</si>
  <si>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</si>
  <si>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</si>
  <si>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</si>
  <si>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</si>
  <si>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</si>
  <si>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</si>
  <si>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</si>
  <si>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</si>
  <si>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</si>
  <si>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</si>
  <si>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</si>
  <si>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</si>
  <si>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</si>
  <si>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</si>
  <si>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</si>
  <si>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</si>
  <si>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</si>
  <si>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</si>
  <si>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</si>
  <si>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</si>
  <si>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</si>
  <si>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</si>
  <si>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</si>
  <si>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</si>
  <si>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</si>
  <si>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</si>
  <si>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</si>
  <si>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</si>
  <si>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</si>
  <si>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</si>
  <si>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</si>
  <si>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</si>
  <si>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</si>
  <si>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</si>
  <si>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</si>
  <si>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</si>
  <si>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</si>
  <si>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</si>
  <si>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</si>
  <si>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</si>
  <si>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</si>
  <si>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</si>
  <si>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</si>
  <si>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</si>
  <si>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</si>
  <si>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</si>
  <si>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</si>
  <si>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</si>
  <si>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</si>
  <si>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</si>
  <si>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</si>
  <si>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</si>
  <si>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</si>
  <si>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</si>
  <si>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</si>
  <si>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</si>
  <si>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</si>
  <si>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</si>
  <si>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</si>
  <si>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</si>
  <si>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</si>
  <si>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</si>
  <si>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</si>
  <si>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</si>
  <si>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</si>
  <si>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</si>
  <si>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</si>
  <si>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</si>
  <si>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</si>
  <si>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</si>
  <si>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</si>
  <si>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</si>
  <si>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</si>
  <si>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</si>
  <si>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</si>
  <si>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</si>
  <si>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</si>
  <si>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</si>
  <si>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</si>
  <si>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</si>
  <si>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</si>
  <si>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</si>
  <si>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</si>
  <si>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</si>
  <si>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</si>
  <si>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</si>
  <si>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</si>
  <si>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</si>
  <si>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</si>
  <si>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</si>
  <si>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</si>
  <si>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</si>
  <si>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</si>
  <si>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</si>
  <si>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</si>
  <si>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</si>
  <si>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</si>
  <si>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</si>
  <si>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</si>
  <si>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</si>
  <si>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</si>
  <si>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</si>
  <si>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</si>
  <si>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</si>
  <si>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</si>
  <si>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</si>
  <si>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</si>
  <si>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</si>
  <si>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</si>
  <si>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</si>
  <si>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</si>
  <si>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</si>
  <si>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</si>
  <si>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</si>
  <si>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</si>
  <si>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</si>
  <si>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</si>
  <si>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</si>
  <si>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</si>
  <si>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</si>
  <si>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</si>
  <si>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</si>
  <si>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</si>
  <si>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</si>
  <si>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</si>
  <si>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</si>
  <si>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</si>
  <si>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</si>
  <si>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</si>
  <si>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</si>
  <si>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</si>
  <si>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</si>
  <si>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</si>
  <si>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</si>
  <si>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</si>
  <si>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</si>
  <si>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</si>
  <si>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</si>
  <si>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</si>
  <si>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</si>
  <si>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</si>
  <si>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</si>
  <si>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</si>
  <si>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</si>
  <si>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</si>
  <si>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</si>
  <si>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</si>
  <si>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</si>
  <si>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</si>
  <si>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</si>
  <si>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</si>
  <si>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</si>
  <si>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</si>
  <si>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</si>
  <si>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</si>
  <si>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</si>
  <si>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</si>
  <si>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</si>
  <si>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</si>
  <si>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</si>
  <si>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</si>
  <si>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</si>
  <si>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</si>
  <si>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</si>
  <si>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</si>
  <si>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</si>
  <si>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</si>
  <si>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</si>
  <si>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</si>
  <si>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</si>
  <si>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</si>
  <si>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</si>
  <si>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</si>
  <si>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</si>
  <si>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</si>
  <si>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</si>
  <si>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</si>
  <si>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</si>
  <si>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</si>
  <si>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</si>
  <si>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</si>
  <si>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</si>
  <si>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</si>
  <si>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</si>
  <si>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</si>
  <si>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</si>
  <si>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</si>
  <si>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</si>
  <si>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</si>
  <si>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</si>
  <si>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</si>
  <si>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</si>
  <si>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</si>
  <si>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</si>
  <si>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</si>
  <si>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</si>
  <si>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</si>
  <si>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</si>
  <si>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</si>
  <si>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</si>
  <si>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</si>
  <si>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</si>
  <si>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</si>
  <si>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</si>
  <si>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</si>
  <si>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</si>
  <si>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</si>
  <si>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</si>
  <si>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</si>
  <si>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</si>
  <si>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</si>
  <si>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</si>
  <si>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</si>
  <si>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</si>
  <si>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</si>
  <si>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</si>
  <si>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</si>
  <si>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</si>
  <si>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</si>
  <si>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</si>
  <si>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</si>
  <si>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</si>
  <si>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</si>
  <si>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</si>
  <si>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</si>
  <si>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</si>
  <si>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</si>
  <si>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</si>
  <si>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</si>
  <si>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</si>
  <si>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</si>
  <si>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</si>
  <si>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</si>
  <si>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</si>
  <si>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</si>
  <si>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</si>
  <si>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</si>
  <si>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</si>
  <si>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</si>
  <si>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</si>
  <si>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</si>
  <si>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</si>
  <si>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</si>
  <si>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</si>
  <si>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</si>
  <si>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</si>
  <si>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</si>
  <si>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</si>
  <si>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</si>
  <si>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</si>
  <si>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</si>
  <si>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</si>
  <si>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</si>
  <si>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</si>
  <si>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</si>
  <si>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</si>
  <si>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</si>
  <si>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</si>
  <si>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</si>
  <si>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</si>
  <si>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</si>
  <si>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</si>
  <si>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</si>
  <si>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</si>
  <si>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</si>
  <si>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</si>
  <si>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</si>
  <si>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</si>
  <si>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</si>
  <si>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</si>
  <si>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</si>
  <si>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</si>
  <si>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</si>
  <si>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</si>
  <si>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</si>
  <si>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</si>
  <si>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</si>
  <si>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</si>
  <si>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</si>
  <si>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</si>
  <si>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</si>
  <si>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</si>
  <si>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</si>
  <si>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</si>
  <si>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</si>
  <si>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</si>
  <si>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</si>
  <si>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</si>
  <si>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</si>
  <si>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</si>
  <si>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</si>
  <si>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</si>
  <si>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</si>
  <si>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</si>
  <si>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</si>
  <si>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</si>
  <si>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</si>
  <si>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</si>
  <si>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</si>
  <si>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</si>
  <si>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</si>
  <si>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</si>
  <si>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</si>
  <si>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</si>
  <si>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</si>
  <si>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</si>
  <si>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</si>
  <si>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</si>
  <si>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</si>
  <si>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</si>
  <si>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</si>
  <si>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</si>
  <si>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</si>
  <si>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</si>
  <si>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</si>
  <si>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</si>
  <si>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</si>
  <si>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</si>
  <si>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</si>
  <si>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</si>
  <si>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</si>
  <si>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</si>
  <si>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</si>
  <si>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</si>
  <si>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</si>
  <si>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</si>
  <si>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</si>
  <si>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</si>
  <si>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</si>
  <si>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</si>
  <si>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</si>
  <si>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</si>
  <si>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</si>
  <si>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</si>
  <si>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</si>
  <si>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</si>
  <si>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</si>
  <si>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</si>
  <si>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</si>
  <si>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</si>
  <si>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</si>
  <si>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</si>
  <si>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</si>
  <si>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</si>
  <si>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</si>
  <si>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</si>
  <si>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</si>
  <si>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</si>
  <si>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</si>
  <si>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</si>
  <si>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</si>
  <si>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</si>
  <si>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</si>
  <si>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</si>
  <si>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</si>
  <si>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</si>
  <si>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</si>
  <si>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</si>
  <si>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</si>
  <si>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</si>
  <si>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</si>
  <si>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</si>
  <si>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</si>
  <si>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</si>
  <si>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</si>
  <si>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</si>
  <si>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</si>
  <si>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</si>
  <si>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</si>
  <si>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</si>
  <si>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</si>
  <si>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</si>
  <si>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</si>
  <si>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</si>
  <si>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</si>
  <si>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</si>
  <si>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</si>
  <si>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</si>
  <si>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</si>
  <si>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</si>
  <si>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</si>
  <si>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</si>
  <si>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</si>
  <si>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</si>
  <si>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</si>
  <si>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</si>
  <si>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</si>
  <si>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</si>
  <si>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</si>
  <si>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</si>
  <si>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</si>
  <si>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</si>
  <si>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</si>
  <si>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</si>
  <si>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</si>
  <si>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</si>
  <si>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</si>
  <si>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</si>
  <si>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</si>
  <si>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</si>
  <si>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</si>
  <si>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</si>
  <si>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</si>
  <si>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</si>
  <si>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</si>
  <si>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</si>
  <si>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</si>
  <si>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</si>
  <si>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</si>
  <si>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</si>
  <si>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</si>
  <si>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</si>
  <si>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</si>
  <si>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</si>
  <si>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</si>
  <si>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</si>
  <si>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</si>
  <si>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</si>
  <si>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</si>
  <si>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</si>
  <si>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</si>
  <si>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</si>
  <si>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</si>
  <si>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</si>
  <si>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</si>
  <si>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</si>
  <si>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</si>
  <si>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</si>
  <si>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</si>
  <si>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</si>
  <si>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</si>
  <si>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</si>
  <si>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</si>
  <si>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</si>
  <si>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</si>
  <si>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</si>
  <si>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</si>
  <si>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</si>
  <si>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</si>
  <si>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</si>
  <si>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</si>
  <si>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</si>
  <si>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</si>
  <si>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</si>
  <si>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</si>
  <si>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</si>
  <si>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</si>
  <si>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</si>
  <si>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</si>
  <si>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</si>
  <si>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</si>
  <si>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</si>
  <si>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</si>
  <si>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</si>
  <si>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</si>
  <si>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</si>
  <si>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</si>
  <si>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</si>
  <si>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</si>
  <si>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</si>
  <si>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</si>
  <si>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</si>
  <si>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</si>
  <si>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</si>
  <si>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</si>
  <si>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</si>
  <si>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</si>
  <si>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</si>
  <si>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</si>
  <si>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</si>
  <si>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</si>
  <si>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</si>
  <si>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</si>
  <si>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</si>
  <si>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</si>
  <si>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</si>
  <si>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</si>
  <si>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</si>
  <si>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</si>
  <si>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</si>
  <si>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</si>
  <si>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</si>
  <si>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</si>
  <si>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</si>
  <si>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</si>
  <si>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</si>
  <si>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</si>
  <si>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</si>
  <si>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</si>
  <si>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</si>
  <si>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</si>
  <si>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</si>
  <si>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</si>
  <si>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</si>
  <si>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</si>
  <si>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</si>
  <si>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</si>
  <si>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</si>
  <si>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</si>
  <si>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</si>
  <si>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</si>
  <si>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</si>
  <si>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</si>
  <si>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</si>
  <si>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</si>
  <si>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</si>
  <si>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</si>
  <si>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</si>
  <si>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</si>
  <si>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</si>
  <si>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</si>
  <si>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</si>
  <si>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</si>
  <si>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</si>
  <si>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</si>
  <si>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</si>
  <si>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</si>
  <si>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</si>
  <si>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</si>
  <si>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</si>
  <si>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</si>
  <si>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</si>
  <si>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</si>
  <si>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</si>
  <si>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</si>
  <si>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</si>
  <si>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</si>
  <si>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</si>
  <si>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</si>
  <si>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</si>
  <si>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</si>
  <si>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</si>
  <si>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</si>
  <si>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</si>
  <si>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</si>
  <si>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</si>
  <si>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</si>
  <si>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</si>
  <si>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</si>
  <si>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</si>
  <si>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</si>
  <si>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</si>
  <si>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</si>
  <si>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</si>
  <si>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</si>
  <si>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</si>
  <si>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</si>
  <si>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</si>
  <si>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</si>
  <si>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</si>
  <si>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</si>
  <si>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</si>
  <si>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</si>
  <si>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</si>
  <si>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</si>
  <si>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</si>
  <si>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</si>
  <si>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</si>
  <si>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</si>
  <si>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</si>
  <si>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</si>
  <si>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</si>
  <si>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</si>
  <si>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</si>
  <si>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</si>
  <si>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</si>
  <si>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</si>
  <si>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</si>
  <si>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</si>
  <si>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</si>
  <si>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</si>
  <si>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</si>
  <si>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</si>
  <si>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</si>
  <si>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</si>
  <si>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</si>
  <si>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</si>
  <si>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</si>
  <si>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</si>
  <si>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</si>
  <si>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</si>
  <si>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</si>
  <si>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</si>
  <si>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</si>
  <si>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</si>
  <si>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</si>
  <si>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</si>
  <si>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</si>
  <si>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</si>
  <si>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</si>
  <si>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</si>
  <si>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</si>
  <si>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</si>
  <si>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</si>
  <si>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</si>
  <si>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</si>
  <si>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</si>
  <si>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</si>
  <si>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</si>
  <si>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</si>
  <si>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</si>
  <si>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</si>
  <si>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</si>
  <si>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</si>
  <si>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</si>
  <si>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</si>
  <si>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</si>
  <si>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</si>
  <si>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</si>
  <si>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</si>
  <si>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</si>
  <si>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</si>
  <si>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</si>
  <si>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</si>
  <si>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</si>
  <si>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</si>
  <si>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</si>
  <si>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</si>
  <si>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</si>
  <si>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</si>
  <si>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</si>
  <si>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</si>
  <si>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</si>
  <si>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</si>
  <si>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</si>
  <si>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</si>
  <si>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</si>
  <si>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</si>
  <si>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</si>
  <si>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</si>
  <si>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</si>
  <si>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</si>
  <si>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</si>
  <si>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</si>
  <si>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</si>
  <si>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</si>
  <si>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</si>
  <si>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</si>
  <si>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</si>
  <si>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</si>
  <si>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</si>
  <si>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</si>
  <si>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</si>
  <si>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</si>
  <si>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</si>
  <si>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</si>
  <si>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</si>
  <si>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</si>
  <si>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</si>
  <si>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</si>
  <si>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</si>
  <si>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</si>
  <si>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</si>
  <si>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</si>
  <si>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</si>
  <si>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</si>
  <si>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</si>
  <si>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</si>
  <si>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</si>
  <si>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</si>
  <si>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</si>
  <si>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</si>
  <si>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</si>
  <si>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</si>
  <si>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</si>
  <si>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</si>
  <si>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</si>
  <si>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</si>
  <si>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</si>
  <si>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</si>
  <si>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</si>
  <si>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</si>
  <si>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</si>
  <si>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</si>
  <si>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</si>
  <si>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</si>
  <si>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</si>
  <si>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</si>
  <si>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</si>
  <si>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</si>
  <si>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</si>
  <si>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</si>
  <si>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</si>
  <si>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</si>
  <si>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</si>
  <si>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</si>
  <si>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</si>
  <si>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</si>
  <si>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</si>
  <si>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</si>
  <si>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</si>
  <si>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</si>
  <si>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</si>
  <si>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</si>
  <si>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</si>
  <si>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</si>
  <si>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</si>
  <si>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</si>
  <si>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</si>
  <si>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</si>
  <si>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</si>
  <si>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</si>
  <si>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</si>
  <si>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</si>
  <si>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</si>
  <si>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</si>
  <si>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</si>
  <si>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</si>
  <si>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</si>
  <si>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</si>
  <si>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</si>
  <si>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</si>
  <si>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</si>
  <si>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</si>
  <si>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</si>
  <si>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</si>
  <si>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</si>
  <si>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</si>
  <si>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</si>
  <si>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</si>
  <si>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</si>
  <si>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</si>
  <si>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</si>
  <si>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</si>
  <si>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</si>
  <si>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</si>
  <si>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</si>
  <si>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</si>
  <si>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</si>
  <si>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</si>
  <si>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</si>
  <si>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</si>
  <si>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</si>
  <si>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</si>
  <si>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</si>
  <si>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</si>
  <si>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</si>
  <si>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</si>
  <si>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</si>
  <si>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</si>
  <si>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</si>
  <si>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</si>
  <si>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</si>
  <si>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</si>
  <si>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</si>
  <si>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</si>
  <si>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</si>
  <si>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</si>
  <si>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</si>
  <si>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</si>
  <si>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</si>
  <si>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</si>
  <si>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</si>
  <si>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</si>
  <si>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</si>
  <si>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</si>
  <si>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</si>
  <si>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</si>
  <si>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</si>
  <si>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</si>
  <si>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</si>
  <si>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</si>
  <si>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</si>
  <si>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</si>
  <si>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</si>
  <si>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</si>
  <si>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</si>
  <si>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</si>
  <si>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</si>
  <si>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</si>
  <si>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</si>
  <si>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</si>
  <si>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</si>
  <si>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</si>
  <si>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</si>
  <si>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</si>
  <si>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</si>
  <si>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</si>
  <si>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</si>
  <si>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</si>
  <si>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</si>
  <si>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</si>
  <si>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</si>
  <si>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</si>
  <si>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</si>
  <si>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</si>
  <si>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</si>
  <si>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</si>
  <si>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</si>
  <si>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</si>
  <si>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</si>
  <si>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</si>
  <si>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</si>
  <si>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</si>
  <si>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</si>
  <si>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</si>
  <si>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</si>
  <si>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</si>
  <si>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</si>
  <si>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</si>
  <si>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</si>
  <si>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</si>
  <si>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</si>
  <si>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</si>
  <si>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</si>
  <si>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</si>
  <si>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</si>
  <si>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</si>
  <si>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</si>
  <si>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</si>
  <si>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</si>
  <si>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</si>
  <si>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</si>
  <si>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</si>
  <si>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</si>
  <si>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</si>
  <si>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</si>
  <si>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</si>
  <si>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</si>
  <si>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</si>
  <si>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</si>
  <si>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</si>
  <si>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</si>
  <si>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</si>
  <si>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</si>
  <si>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</si>
  <si>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</si>
  <si>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</si>
  <si>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</si>
  <si>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</si>
  <si>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</si>
  <si>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</si>
  <si>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</si>
  <si>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</si>
  <si>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</si>
  <si>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</si>
  <si>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</si>
  <si>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</si>
  <si>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</si>
  <si>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</si>
  <si>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</si>
  <si>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</si>
  <si>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</si>
  <si>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</si>
  <si>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</si>
  <si>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</si>
  <si>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</si>
  <si>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</si>
  <si>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</si>
  <si>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</si>
  <si>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</si>
  <si>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</si>
  <si>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</si>
  <si>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</si>
  <si>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</si>
  <si>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</si>
  <si>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</si>
  <si>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</si>
  <si>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</si>
  <si>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</si>
  <si>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</si>
  <si>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</si>
  <si>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</si>
  <si>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</si>
  <si>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</si>
  <si>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</si>
  <si>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</si>
  <si>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</si>
  <si>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</si>
  <si>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</si>
  <si>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</si>
  <si>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</si>
  <si>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</si>
  <si>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</si>
  <si>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</si>
  <si>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</si>
  <si>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</si>
  <si>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</si>
  <si>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</si>
  <si>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</si>
  <si>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</si>
  <si>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</si>
  <si>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</si>
  <si>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</si>
  <si>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</si>
  <si>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</si>
  <si>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</si>
  <si>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</si>
  <si>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</si>
  <si>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</si>
  <si>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</si>
  <si>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</si>
  <si>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</si>
  <si>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</si>
  <si>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</si>
  <si>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</si>
  <si>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</si>
  <si>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</si>
  <si>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</si>
  <si>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</si>
  <si>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</si>
  <si>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</si>
  <si>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</si>
  <si>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</si>
  <si>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</si>
  <si>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</si>
  <si>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</si>
  <si>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</si>
  <si>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</si>
  <si>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</si>
  <si>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</si>
  <si>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</si>
  <si>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</si>
  <si>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</si>
  <si>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</si>
  <si>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</si>
  <si>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</si>
  <si>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</si>
  <si>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</si>
  <si>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</si>
  <si>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</si>
  <si>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</si>
  <si>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</si>
  <si>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</si>
  <si>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</si>
  <si>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</si>
  <si>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</si>
  <si>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</si>
  <si>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</si>
  <si>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</si>
  <si>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</si>
  <si>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</si>
  <si>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</si>
  <si>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</si>
  <si>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</si>
  <si>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</si>
  <si>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</si>
  <si>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</si>
  <si>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</si>
  <si>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</si>
  <si>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</si>
  <si>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</si>
  <si>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</si>
  <si>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</si>
  <si>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</si>
  <si>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</si>
  <si>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</si>
  <si>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</si>
  <si>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</si>
  <si>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</si>
  <si>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</si>
  <si>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</si>
  <si>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</si>
  <si>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</si>
  <si>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</si>
  <si>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</si>
  <si>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</si>
  <si>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</si>
  <si>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</si>
  <si>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</si>
  <si>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</si>
  <si>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</si>
  <si>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</si>
  <si>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</si>
  <si>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</si>
  <si>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</si>
  <si>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</si>
  <si>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</si>
  <si>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</si>
  <si>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</si>
  <si>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</si>
  <si>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</si>
  <si>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</si>
  <si>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</si>
  <si>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</si>
  <si>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</si>
  <si>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</si>
  <si>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</si>
  <si>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</si>
  <si>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</si>
  <si>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</si>
  <si>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</si>
  <si>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</si>
  <si>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</si>
  <si>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</si>
  <si>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</si>
  <si>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</si>
  <si>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</si>
  <si>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</si>
  <si>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</si>
  <si>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</si>
  <si>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</si>
  <si>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</si>
  <si>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</si>
  <si>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</si>
  <si>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</si>
  <si>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</si>
  <si>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</si>
  <si>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</si>
  <si>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</si>
  <si>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</si>
  <si>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</si>
  <si>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</si>
  <si>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</si>
  <si>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</si>
  <si>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</si>
  <si>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</si>
  <si>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</si>
  <si>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</si>
  <si>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</si>
  <si>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</si>
  <si>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</si>
  <si>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</si>
  <si>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</si>
  <si>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</si>
  <si>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</si>
  <si>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</si>
  <si>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</si>
  <si>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</si>
  <si>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</si>
  <si>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</si>
  <si>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</si>
  <si>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</si>
  <si>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</si>
  <si>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</si>
  <si>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</si>
  <si>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</si>
  <si>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</si>
  <si>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</si>
  <si>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</si>
  <si>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</si>
  <si>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</si>
  <si>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</si>
  <si>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</si>
  <si>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</si>
  <si>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</si>
  <si>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</si>
  <si>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</si>
  <si>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</si>
  <si>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</si>
  <si>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</si>
  <si>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</si>
  <si>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</si>
  <si>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</si>
  <si>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</si>
  <si>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</si>
  <si>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</si>
  <si>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</si>
  <si>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</si>
  <si>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</si>
  <si>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</si>
  <si>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</si>
  <si>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</si>
  <si>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</si>
  <si>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</si>
  <si>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</si>
  <si>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</si>
  <si>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</si>
  <si>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</si>
  <si>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</si>
  <si>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</si>
  <si>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</si>
  <si>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</si>
  <si>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</si>
  <si>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</si>
  <si>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</si>
  <si>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</si>
  <si>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</si>
  <si>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</si>
  <si>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</si>
  <si>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</si>
  <si>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</si>
  <si>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</si>
  <si>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</si>
  <si>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</si>
  <si>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</si>
  <si>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</si>
  <si>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</si>
  <si>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</si>
  <si>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</si>
  <si>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</si>
  <si>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</si>
  <si>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</si>
  <si>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</si>
  <si>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</si>
  <si>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</si>
  <si>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</si>
  <si>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</si>
  <si>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</si>
  <si>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</si>
  <si>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</si>
  <si>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</si>
  <si>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</si>
  <si>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</si>
  <si>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</si>
  <si>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</si>
  <si>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</si>
  <si>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</si>
  <si>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</si>
  <si>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</si>
  <si>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</si>
  <si>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</si>
  <si>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</si>
  <si>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</si>
  <si>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</si>
  <si>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</si>
  <si>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</si>
  <si>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</si>
  <si>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</si>
  <si>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</si>
  <si>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</si>
  <si>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</si>
  <si>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</si>
  <si>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</si>
  <si>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</si>
  <si>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</si>
  <si>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</si>
  <si>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</si>
  <si>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</si>
  <si>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</si>
  <si>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</si>
  <si>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</si>
  <si>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</si>
  <si>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</si>
  <si>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</si>
  <si>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</si>
  <si>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</si>
  <si>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</si>
  <si>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</si>
  <si>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</si>
  <si>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</si>
  <si>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</si>
  <si>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</si>
  <si>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</si>
  <si>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</si>
  <si>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</si>
  <si>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</si>
  <si>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</si>
  <si>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</si>
  <si>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</si>
  <si>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</si>
  <si>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</si>
  <si>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</si>
  <si>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</si>
  <si>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</si>
  <si>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</si>
  <si>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</si>
  <si>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</si>
  <si>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</si>
  <si>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</si>
  <si>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</si>
  <si>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</si>
  <si>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</si>
  <si>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</si>
  <si>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</si>
  <si>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</si>
  <si>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</si>
  <si>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</si>
  <si>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</si>
  <si>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</si>
  <si>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</si>
  <si>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</si>
  <si>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</si>
  <si>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</si>
  <si>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</si>
  <si>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</si>
  <si>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</si>
  <si>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</si>
  <si>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</si>
  <si>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</si>
  <si>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</si>
  <si>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</si>
  <si>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</si>
  <si>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</si>
  <si>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</si>
  <si>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</si>
  <si>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</si>
  <si>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</si>
  <si>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</si>
  <si>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</si>
  <si>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</si>
  <si>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</si>
  <si>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</si>
  <si>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</si>
  <si>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</si>
  <si>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</si>
  <si>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</si>
  <si>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</si>
  <si>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</si>
  <si>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</si>
  <si>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</si>
  <si>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</si>
  <si>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</si>
  <si>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</si>
  <si>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</si>
  <si>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</si>
  <si>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</si>
  <si>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</si>
  <si>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</si>
  <si>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</si>
  <si>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</si>
  <si>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</si>
  <si>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</si>
  <si>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</si>
  <si>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</si>
  <si>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</si>
  <si>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</si>
  <si>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</si>
  <si>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</si>
  <si>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</si>
  <si>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</si>
  <si>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</si>
  <si>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</si>
  <si>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</si>
  <si>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</si>
  <si>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</si>
  <si>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</si>
  <si>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</si>
  <si>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</si>
  <si>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</si>
  <si>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</si>
  <si>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</si>
  <si>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</si>
  <si>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</si>
  <si>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</si>
  <si>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</si>
  <si>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</si>
  <si>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</si>
  <si>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</si>
  <si>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</si>
  <si>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</si>
  <si>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</si>
  <si>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</si>
  <si>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</si>
  <si>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</si>
  <si>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</si>
  <si>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</si>
  <si>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</si>
  <si>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</si>
  <si>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</si>
  <si>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</si>
  <si>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</si>
  <si>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</si>
  <si>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</si>
  <si>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</si>
  <si>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</si>
  <si>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</si>
  <si>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</si>
  <si>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</si>
  <si>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</si>
  <si>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</si>
  <si>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</si>
  <si>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</si>
  <si>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</si>
  <si>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</si>
  <si>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</si>
  <si>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</si>
  <si>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</si>
  <si>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</si>
  <si>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</si>
  <si>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</si>
  <si>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</si>
  <si>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</si>
  <si>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</si>
  <si>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</si>
  <si>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</si>
  <si>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</si>
  <si>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</si>
  <si>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</si>
  <si>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</si>
  <si>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</si>
  <si>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</si>
  <si>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</si>
  <si>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</si>
  <si>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</si>
  <si>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</si>
  <si>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</si>
  <si>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</si>
  <si>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</si>
  <si>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</si>
  <si>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</si>
  <si>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</si>
  <si>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</si>
  <si>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</si>
  <si>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</si>
  <si>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</si>
  <si>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</si>
  <si>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</si>
  <si>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</si>
  <si>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</si>
  <si>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</si>
  <si>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</si>
  <si>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</si>
  <si>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</si>
  <si>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</si>
  <si>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</si>
  <si>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</si>
  <si>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</si>
  <si>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</si>
  <si>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</si>
  <si>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</si>
  <si>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</si>
  <si>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</si>
  <si>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</si>
  <si>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</si>
  <si>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</si>
  <si>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</si>
  <si>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</si>
  <si>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</si>
  <si>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</si>
  <si>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</si>
  <si>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</si>
  <si>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</si>
  <si>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</si>
  <si>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</si>
  <si>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</si>
  <si>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</si>
  <si>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</si>
  <si>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</si>
  <si>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</si>
  <si>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</si>
  <si>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</si>
  <si>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</si>
  <si>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</si>
  <si>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</si>
  <si>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</si>
  <si>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</si>
  <si>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</si>
  <si>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</si>
  <si>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</si>
  <si>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</si>
  <si>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</si>
  <si>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</si>
  <si>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</si>
  <si>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</si>
  <si>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</si>
  <si>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</si>
  <si>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</si>
  <si>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</si>
  <si>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</si>
  <si>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</si>
  <si>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</si>
  <si>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</si>
  <si>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</si>
  <si>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</si>
  <si>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</si>
  <si>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</si>
  <si>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</si>
  <si>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</si>
  <si>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</si>
  <si>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</si>
  <si>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</si>
  <si>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</si>
  <si>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</si>
  <si>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</si>
  <si>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</si>
  <si>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</si>
  <si>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</si>
  <si>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</si>
  <si>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</si>
  <si>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</si>
  <si>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</si>
  <si>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</si>
  <si>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</si>
  <si>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</si>
  <si>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</si>
  <si>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</si>
  <si>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</si>
  <si>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</si>
  <si>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</si>
  <si>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</si>
  <si>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</si>
  <si>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</si>
  <si>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</si>
  <si>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</si>
  <si>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</si>
  <si>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</si>
  <si>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</si>
  <si>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</si>
  <si>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</si>
  <si>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</si>
  <si>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</si>
  <si>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</si>
  <si>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</si>
  <si>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</si>
  <si>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</si>
  <si>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</si>
  <si>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</si>
  <si>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</si>
  <si>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</si>
  <si>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</si>
  <si>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</si>
  <si>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</si>
  <si>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</si>
  <si>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</si>
  <si>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</si>
  <si>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</si>
  <si>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</si>
  <si>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</si>
  <si>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</si>
  <si>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</si>
  <si>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</si>
  <si>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</si>
  <si>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</si>
  <si>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</si>
  <si>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</si>
  <si>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</si>
  <si>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</si>
  <si>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</si>
  <si>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</si>
  <si>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</si>
  <si>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</si>
  <si>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</si>
  <si>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</si>
  <si>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</si>
  <si>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</si>
  <si>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</si>
  <si>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</si>
  <si>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</si>
  <si>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</si>
  <si>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</si>
  <si>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</si>
  <si>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</si>
  <si>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</si>
  <si>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</si>
  <si>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</si>
  <si>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</si>
  <si>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</si>
  <si>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</si>
  <si>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</si>
  <si>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</si>
  <si>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</si>
  <si>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</si>
  <si>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</si>
  <si>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</si>
  <si>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</si>
  <si>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</si>
  <si>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</si>
  <si>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</si>
  <si>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</si>
  <si>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</si>
  <si>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</si>
  <si>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</si>
  <si>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</si>
  <si>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</si>
  <si>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</si>
  <si>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</si>
  <si>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</si>
  <si>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</si>
  <si>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</si>
  <si>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</si>
  <si>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</si>
  <si>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</si>
  <si>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</si>
  <si>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</si>
  <si>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</si>
  <si>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</si>
  <si>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</si>
  <si>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</si>
  <si>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</si>
  <si>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</si>
  <si>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</si>
  <si>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</si>
  <si>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</si>
  <si>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</si>
  <si>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</si>
  <si>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</si>
  <si>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</si>
  <si>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</si>
  <si>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</si>
  <si>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</si>
  <si>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</si>
  <si>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</si>
  <si>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</si>
  <si>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</si>
  <si>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</si>
  <si>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</si>
  <si>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</si>
  <si>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</si>
  <si>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</si>
  <si>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</si>
  <si>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</si>
  <si>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</si>
  <si>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</si>
  <si>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</si>
  <si>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</si>
  <si>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</si>
  <si>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</si>
  <si>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</si>
  <si>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</si>
  <si>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</si>
  <si>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</si>
  <si>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</si>
  <si>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</si>
  <si>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</si>
  <si>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</si>
  <si>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</si>
  <si>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</si>
  <si>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</si>
  <si>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</si>
  <si>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</si>
  <si>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</si>
  <si>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</si>
  <si>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</si>
  <si>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</si>
  <si>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</si>
  <si>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</si>
  <si>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</si>
  <si>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</si>
  <si>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</si>
  <si>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</si>
  <si>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</si>
  <si>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</si>
  <si>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</si>
  <si>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</si>
  <si>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</si>
  <si>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</si>
  <si>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</si>
  <si>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</si>
  <si>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</si>
  <si>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</si>
  <si>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</si>
  <si>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</si>
  <si>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</si>
  <si>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</si>
  <si>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</si>
  <si>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</si>
  <si>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</si>
  <si>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</si>
  <si>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</si>
  <si>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</si>
  <si>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</si>
  <si>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</si>
  <si>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</si>
  <si>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</si>
  <si>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</si>
  <si>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</si>
  <si>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</si>
  <si>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</si>
  <si>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</si>
  <si>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</si>
  <si>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</si>
  <si>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</si>
  <si>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</si>
  <si>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</si>
  <si>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</si>
  <si>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</si>
  <si>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</si>
  <si>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</si>
  <si>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</si>
  <si>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</si>
  <si>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</si>
  <si>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</si>
  <si>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</si>
  <si>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</si>
  <si>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</si>
  <si>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</si>
  <si>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</si>
  <si>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</si>
  <si>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</si>
  <si>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</si>
  <si>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</si>
  <si>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</si>
  <si>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</si>
  <si>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</si>
  <si>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</si>
  <si>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</si>
  <si>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</si>
  <si>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</si>
  <si>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</si>
  <si>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</si>
  <si>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</si>
  <si>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</si>
  <si>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</si>
  <si>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</si>
  <si>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</si>
  <si>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</si>
  <si>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</si>
  <si>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</si>
  <si>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</si>
  <si>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</si>
  <si>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</si>
  <si>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</si>
  <si>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</si>
  <si>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</si>
  <si>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</si>
  <si>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</si>
  <si>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</si>
  <si>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</si>
  <si>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</si>
  <si>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</si>
  <si>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</si>
  <si>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</si>
  <si>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</si>
  <si>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</si>
  <si>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</si>
  <si>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</si>
  <si>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</si>
  <si>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</si>
  <si>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</si>
  <si>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</si>
  <si>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</si>
  <si>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</si>
  <si>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</si>
  <si>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</si>
  <si>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</si>
  <si>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</si>
  <si>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</si>
  <si>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</si>
  <si>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</si>
  <si>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</si>
  <si>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</si>
  <si>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</si>
  <si>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</si>
  <si>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</si>
  <si>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</si>
  <si>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</si>
  <si>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</si>
  <si>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</si>
  <si>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</si>
  <si>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</si>
  <si>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</si>
  <si>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</si>
  <si>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</si>
  <si>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</si>
  <si>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</si>
  <si>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</si>
  <si>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</si>
  <si>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</si>
  <si>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</si>
  <si>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</si>
  <si>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</si>
  <si>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</si>
  <si>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</si>
  <si>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</si>
  <si>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</si>
  <si>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</si>
  <si>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</si>
  <si>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</si>
  <si>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</si>
  <si>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</si>
  <si>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</si>
  <si>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</si>
  <si>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</si>
  <si>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</si>
  <si>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</si>
  <si>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</si>
  <si>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</si>
  <si>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</si>
  <si>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</si>
  <si>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</si>
  <si>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</si>
  <si>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</si>
  <si>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</si>
  <si>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</si>
  <si>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</si>
  <si>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</si>
  <si>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</si>
  <si>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</si>
  <si>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</si>
  <si>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</si>
  <si>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</si>
  <si>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</si>
  <si>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</si>
  <si>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</si>
  <si>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</si>
  <si>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</si>
  <si>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</si>
  <si>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</si>
  <si>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</si>
  <si>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</si>
  <si>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</si>
  <si>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</si>
  <si>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</si>
  <si>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</si>
  <si>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</si>
  <si>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</si>
  <si>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</si>
  <si>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</si>
  <si>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</si>
  <si>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</si>
  <si>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</si>
  <si>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</si>
  <si>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</si>
  <si>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</si>
  <si>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</si>
  <si>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</si>
  <si>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</si>
  <si>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</si>
  <si>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</si>
  <si>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</si>
  <si>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</si>
  <si>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</si>
  <si>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</si>
  <si>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</si>
  <si>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</si>
  <si>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</si>
  <si>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</si>
  <si>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</si>
  <si>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</si>
  <si>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</si>
  <si>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</si>
  <si>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</si>
  <si>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</si>
  <si>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</si>
  <si>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</si>
  <si>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</si>
  <si>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</si>
  <si>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</si>
  <si>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</si>
  <si>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</si>
  <si>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</si>
  <si>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</si>
  <si>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</si>
  <si>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</si>
  <si>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</si>
  <si>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</si>
  <si>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</si>
  <si>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</si>
  <si>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</si>
  <si>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</si>
  <si>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</si>
  <si>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</si>
  <si>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</si>
  <si>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</si>
  <si>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</si>
  <si>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</si>
  <si>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</si>
  <si>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</si>
  <si>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</si>
  <si>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</si>
  <si>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</si>
  <si>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</si>
  <si>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</si>
  <si>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</si>
  <si>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</si>
  <si>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</si>
  <si>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</si>
  <si>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</si>
  <si>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</si>
  <si>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</si>
  <si>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</si>
  <si>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</si>
  <si>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</si>
  <si>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</si>
  <si>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</si>
  <si>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</si>
  <si>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</si>
  <si>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</si>
  <si>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</si>
  <si>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</si>
  <si>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</si>
  <si>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</si>
  <si>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</si>
  <si>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</si>
  <si>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</si>
  <si>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</si>
  <si>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</si>
  <si>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</si>
  <si>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</si>
  <si>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</si>
  <si>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</si>
  <si>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</si>
  <si>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</si>
  <si>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</si>
  <si>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</si>
  <si>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</si>
  <si>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</si>
  <si>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</si>
  <si>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</si>
  <si>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</si>
  <si>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</si>
  <si>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</si>
  <si>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</si>
  <si>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</si>
  <si>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</si>
  <si>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</si>
  <si>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</si>
  <si>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</si>
  <si>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</si>
  <si>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</si>
  <si>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</si>
  <si>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</si>
  <si>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</si>
  <si>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</si>
  <si>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</si>
  <si>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</si>
  <si>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</si>
  <si>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</si>
  <si>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</si>
  <si>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</si>
  <si>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</si>
  <si>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</si>
  <si>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</si>
  <si>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</si>
  <si>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</si>
  <si>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</si>
  <si>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</si>
  <si>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</si>
  <si>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</si>
  <si>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</si>
  <si>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</si>
  <si>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</si>
  <si>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</si>
  <si>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</si>
  <si>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</si>
  <si>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</si>
  <si>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</si>
  <si>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</si>
  <si>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</si>
  <si>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</si>
  <si>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</si>
  <si>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</si>
  <si>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</si>
  <si>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</si>
  <si>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</si>
  <si>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</si>
  <si>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</si>
  <si>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</si>
  <si>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</si>
  <si>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</si>
  <si>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</si>
  <si>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</si>
  <si>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</si>
  <si>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</si>
  <si>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</si>
  <si>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</si>
  <si>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</si>
  <si>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</si>
  <si>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</si>
  <si>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</si>
  <si>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</si>
  <si>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</si>
  <si>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</si>
  <si>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</si>
  <si>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</si>
  <si>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</si>
  <si>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</si>
  <si>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</si>
  <si>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</si>
  <si>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</si>
  <si>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</si>
  <si>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</si>
  <si>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</si>
  <si>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</si>
  <si>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</si>
  <si>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</si>
  <si>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</si>
  <si>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</si>
  <si>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</si>
  <si>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</si>
  <si>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</si>
  <si>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</si>
  <si>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</si>
  <si>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</si>
  <si>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</si>
  <si>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</si>
  <si>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</si>
  <si>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</si>
  <si>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</si>
  <si>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</si>
  <si>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</si>
  <si>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</si>
  <si>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</si>
  <si>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</si>
  <si>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</si>
  <si>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</si>
  <si>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</si>
  <si>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</si>
  <si>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</si>
  <si>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</si>
  <si>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</si>
  <si>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</si>
  <si>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</si>
  <si>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</si>
  <si>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</si>
  <si>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</si>
  <si>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</si>
  <si>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</si>
  <si>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</si>
  <si>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</si>
  <si>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</si>
  <si>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</si>
  <si>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</si>
  <si>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</si>
  <si>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</si>
  <si>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</si>
  <si>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</si>
  <si>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</si>
  <si>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</si>
  <si>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</si>
  <si>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</si>
  <si>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</si>
  <si>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</si>
  <si>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</si>
  <si>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</si>
  <si>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</si>
  <si>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</si>
  <si>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</si>
  <si>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</si>
  <si>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</si>
  <si>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</si>
  <si>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</si>
  <si>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</si>
  <si>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</si>
  <si>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</si>
  <si>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</si>
  <si>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</si>
  <si>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</si>
  <si>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</si>
  <si>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</si>
  <si>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</si>
  <si>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</si>
  <si>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</si>
  <si>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</si>
  <si>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</si>
  <si>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</si>
  <si>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</si>
  <si>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</si>
  <si>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</si>
  <si>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</si>
  <si>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</si>
  <si>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</si>
  <si>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</si>
  <si>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</si>
  <si>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</si>
  <si>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</si>
  <si>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</si>
  <si>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</si>
  <si>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</si>
  <si>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</si>
  <si>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</si>
  <si>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</si>
  <si>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</si>
  <si>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</si>
  <si>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</si>
  <si>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</si>
  <si>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</si>
  <si>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</si>
  <si>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</si>
  <si>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</si>
  <si>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</si>
  <si>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</si>
  <si>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</si>
  <si>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</si>
  <si>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</si>
  <si>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</si>
  <si>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</si>
  <si>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</si>
  <si>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</si>
  <si>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</si>
  <si>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</si>
  <si>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</si>
  <si>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</si>
  <si>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</si>
  <si>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</si>
  <si>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</si>
  <si>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</si>
  <si>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</si>
  <si>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</si>
  <si>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</si>
  <si>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</si>
  <si>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</si>
  <si>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</si>
  <si>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</si>
  <si>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</si>
  <si>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</si>
  <si>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</si>
  <si>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</si>
  <si>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</si>
  <si>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</si>
  <si>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</si>
  <si>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</si>
  <si>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</si>
  <si>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</si>
  <si>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</si>
  <si>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</si>
  <si>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</si>
  <si>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</si>
  <si>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</si>
  <si>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</si>
  <si>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</si>
  <si>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</si>
  <si>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</si>
  <si>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</si>
  <si>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</si>
  <si>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</si>
  <si>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</si>
  <si>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</si>
  <si>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</si>
  <si>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</si>
  <si>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</si>
  <si>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</si>
  <si>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</si>
  <si>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</si>
  <si>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</si>
  <si>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</si>
  <si>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</si>
  <si>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</si>
  <si>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</si>
  <si>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</si>
  <si>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</si>
  <si>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</si>
  <si>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</si>
  <si>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</si>
  <si>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</si>
  <si>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</si>
  <si>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</si>
  <si>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</si>
  <si>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</si>
  <si>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</si>
  <si>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</si>
  <si>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</si>
  <si>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</si>
  <si>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</si>
  <si>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</si>
  <si>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</si>
  <si>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</si>
  <si>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</si>
  <si>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</si>
  <si>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</si>
  <si>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</si>
  <si>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</si>
  <si>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</si>
  <si>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</si>
  <si>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</si>
  <si>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</si>
  <si>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</si>
  <si>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</si>
  <si>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</si>
  <si>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</si>
  <si>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</si>
  <si>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</si>
  <si>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</si>
  <si>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</si>
  <si>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</si>
  <si>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</si>
  <si>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</si>
  <si>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</si>
  <si>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</si>
  <si>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</si>
  <si>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</si>
  <si>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</si>
  <si>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</si>
  <si>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</si>
  <si>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</si>
  <si>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</si>
  <si>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</si>
  <si>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</si>
  <si>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</si>
  <si>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</si>
  <si>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</si>
  <si>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</si>
  <si>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</si>
  <si>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</si>
  <si>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</si>
  <si>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</si>
  <si>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</si>
  <si>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</si>
  <si>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</si>
  <si>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</si>
  <si>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</si>
  <si>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</si>
  <si>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</si>
  <si>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</si>
  <si>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</si>
  <si>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</si>
  <si>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</si>
  <si>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</si>
  <si>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</si>
  <si>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</si>
  <si>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</si>
  <si>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</si>
  <si>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</si>
  <si>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</si>
  <si>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</si>
  <si>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</si>
  <si>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</si>
  <si>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</si>
  <si>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</si>
  <si>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</si>
  <si>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</si>
  <si>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</si>
  <si>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</si>
  <si>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</si>
  <si>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</si>
  <si>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</si>
  <si>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</si>
  <si>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</si>
  <si>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</si>
  <si>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</si>
  <si>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</si>
  <si>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</si>
  <si>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</si>
  <si>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</si>
  <si>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</si>
  <si>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</si>
  <si>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</si>
  <si>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</si>
  <si>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</si>
  <si>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</si>
  <si>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</si>
  <si>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</si>
  <si>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</si>
  <si>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</si>
  <si>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</si>
  <si>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</si>
  <si>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</si>
  <si>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</si>
  <si>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</si>
  <si>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</si>
  <si>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</si>
  <si>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</si>
  <si>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</si>
  <si>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</si>
  <si>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</si>
  <si>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</si>
  <si>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</si>
  <si>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</si>
  <si>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</si>
  <si>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</si>
  <si>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</si>
  <si>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</si>
  <si>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</si>
  <si>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</si>
  <si>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</si>
  <si>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</si>
  <si>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</si>
  <si>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</si>
  <si>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</si>
  <si>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</si>
  <si>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</si>
  <si>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</si>
  <si>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</si>
  <si>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</si>
  <si>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</si>
  <si>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</si>
  <si>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</si>
  <si>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</si>
  <si>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</si>
  <si>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</si>
  <si>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</si>
  <si>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</si>
  <si>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</si>
  <si>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</si>
  <si>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</si>
  <si>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</si>
  <si>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</si>
  <si>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</si>
  <si>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</si>
  <si>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</si>
  <si>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</si>
  <si>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</si>
  <si>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</si>
  <si>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</si>
  <si>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</si>
  <si>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</si>
  <si>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</si>
  <si>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</si>
  <si>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</si>
  <si>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</si>
  <si>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</si>
  <si>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</si>
  <si>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</si>
  <si>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</si>
  <si>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</si>
  <si>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</si>
  <si>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</si>
  <si>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</si>
  <si>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</si>
  <si>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</si>
  <si>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</si>
  <si>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</si>
  <si>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</si>
  <si>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</si>
  <si>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</si>
  <si>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</si>
  <si>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</si>
  <si>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</si>
  <si>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</si>
  <si>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</si>
  <si>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</si>
  <si>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</si>
  <si>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</si>
  <si>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</si>
  <si>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</si>
  <si>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</si>
  <si>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</si>
  <si>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</si>
  <si>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</si>
  <si>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</si>
  <si>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</si>
  <si>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</si>
  <si>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</si>
  <si>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</si>
  <si>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</si>
  <si>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</si>
  <si>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</si>
  <si>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</si>
  <si>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</si>
  <si>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</si>
  <si>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</si>
  <si>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</si>
  <si>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</si>
  <si>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</si>
  <si>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</si>
  <si>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</si>
  <si>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</si>
  <si>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</si>
  <si>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</si>
  <si>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</si>
  <si>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</si>
  <si>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</si>
  <si>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</si>
  <si>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</si>
  <si>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</si>
  <si>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</si>
  <si>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</si>
  <si>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</si>
  <si>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</si>
  <si>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</si>
  <si>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</si>
  <si>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</si>
  <si>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</si>
  <si>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</si>
  <si>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</si>
  <si>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</si>
  <si>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</si>
  <si>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</si>
  <si>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</si>
  <si>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</si>
  <si>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</si>
  <si>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</si>
  <si>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</si>
  <si>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</si>
  <si>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</si>
  <si>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</si>
  <si>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</si>
  <si>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</si>
  <si>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</si>
  <si>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</si>
  <si>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</si>
  <si>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</si>
  <si>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</si>
  <si>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</si>
  <si>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</si>
  <si>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</si>
  <si>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</si>
  <si>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</si>
  <si>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</si>
  <si>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</si>
  <si>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</si>
  <si>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</si>
  <si>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</si>
  <si>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</si>
  <si>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</si>
  <si>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</si>
  <si>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</si>
  <si>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</si>
  <si>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</si>
  <si>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</si>
  <si>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</si>
  <si>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</si>
  <si>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</si>
  <si>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</si>
  <si>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</si>
  <si>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</si>
  <si>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</si>
  <si>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</si>
  <si>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</si>
  <si>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</si>
  <si>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</si>
  <si>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</si>
  <si>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</si>
  <si>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</si>
  <si>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</si>
  <si>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</si>
  <si>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</si>
  <si>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</si>
  <si>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</si>
  <si>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</si>
  <si>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</si>
  <si>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</si>
  <si>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</si>
  <si>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</si>
  <si>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</si>
  <si>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</si>
  <si>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</si>
  <si>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</si>
  <si>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</si>
  <si>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</si>
  <si>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</si>
  <si>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</si>
  <si>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</si>
  <si>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</si>
  <si>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</si>
  <si>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</si>
  <si>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</si>
  <si>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</si>
  <si>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</si>
  <si>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</si>
  <si>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</si>
  <si>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</si>
  <si>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</si>
  <si>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</si>
  <si>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</si>
  <si>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</si>
  <si>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</si>
  <si>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</si>
  <si>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</si>
  <si>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</si>
  <si>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</si>
  <si>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</si>
  <si>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</si>
  <si>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</si>
  <si>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</si>
  <si>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</si>
  <si>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</si>
  <si>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</si>
  <si>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</si>
  <si>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</si>
  <si>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</si>
  <si>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</si>
  <si>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</si>
  <si>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</si>
  <si>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</si>
  <si>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</si>
  <si>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</si>
  <si>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</si>
  <si>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</si>
  <si>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</si>
  <si>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</si>
  <si>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</si>
  <si>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</si>
  <si>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</si>
  <si>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</si>
  <si>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</si>
  <si>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</si>
  <si>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</si>
  <si>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</si>
  <si>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</si>
  <si>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</si>
  <si>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</si>
  <si>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</si>
  <si>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</si>
  <si>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</si>
  <si>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</si>
  <si>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</si>
  <si>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</si>
  <si>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</si>
  <si>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</si>
  <si>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</si>
  <si>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</si>
  <si>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</si>
  <si>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</si>
  <si>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</si>
  <si>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</si>
  <si>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</si>
  <si>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</si>
  <si>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</si>
  <si>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</si>
  <si>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</si>
  <si>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</si>
  <si>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</si>
  <si>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</si>
  <si>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</si>
  <si>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</si>
  <si>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</si>
  <si>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</si>
  <si>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</si>
  <si>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</si>
  <si>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</si>
  <si>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</si>
  <si>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</si>
  <si>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</si>
  <si>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</si>
  <si>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</si>
  <si>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</si>
  <si>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</si>
  <si>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</si>
  <si>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</si>
  <si>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</si>
  <si>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</si>
  <si>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</si>
  <si>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</si>
  <si>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</si>
  <si>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</si>
  <si>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</si>
  <si>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</si>
  <si>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</si>
  <si>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</si>
  <si>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</si>
  <si>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</si>
  <si>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</si>
  <si>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</si>
  <si>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</si>
  <si>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</si>
  <si>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</si>
  <si>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</si>
  <si>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</si>
  <si>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</si>
  <si>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</si>
  <si>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</si>
  <si>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</si>
  <si>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</si>
  <si>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</si>
  <si>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</si>
  <si>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</si>
  <si>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</si>
  <si>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</si>
  <si>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</si>
  <si>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</si>
  <si>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</si>
  <si>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</si>
  <si>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</si>
  <si>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</si>
  <si>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</si>
  <si>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</si>
  <si>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</si>
  <si>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</si>
  <si>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</si>
  <si>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</si>
  <si>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</si>
  <si>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</si>
  <si>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</si>
  <si>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</si>
  <si>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</si>
  <si>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</si>
  <si>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</si>
  <si>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</si>
  <si>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</si>
  <si>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</si>
  <si>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</si>
  <si>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</si>
  <si>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</si>
  <si>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</si>
  <si>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</si>
  <si>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</si>
  <si>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</si>
  <si>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</si>
  <si>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</si>
  <si>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</si>
  <si>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</si>
  <si>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</si>
  <si>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</si>
  <si>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</si>
  <si>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</si>
  <si>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</si>
  <si>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</si>
  <si>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</si>
  <si>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</si>
  <si>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</si>
  <si>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</si>
  <si>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</si>
  <si>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</si>
  <si>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</si>
  <si>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</si>
  <si>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</si>
  <si>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</si>
  <si>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</si>
  <si>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</si>
  <si>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</si>
  <si>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</si>
  <si>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</si>
  <si>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</si>
  <si>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</si>
  <si>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</si>
  <si>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</si>
  <si>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</si>
  <si>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</si>
  <si>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</si>
  <si>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</si>
  <si>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</si>
  <si>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</si>
  <si>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</si>
  <si>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</si>
  <si>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</si>
  <si>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</si>
  <si>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</si>
  <si>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</si>
  <si>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</si>
  <si>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</si>
  <si>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</si>
  <si>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</si>
  <si>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</si>
  <si>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</si>
  <si>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</si>
  <si>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</si>
  <si>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</si>
  <si>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</si>
  <si>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</si>
  <si>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</si>
  <si>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</si>
  <si>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</si>
  <si>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</si>
  <si>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</si>
  <si>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</si>
  <si>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</si>
  <si>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</si>
  <si>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</si>
  <si>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</si>
  <si>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</si>
  <si>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</si>
  <si>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</si>
  <si>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</si>
  <si>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</si>
  <si>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</si>
  <si>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</si>
  <si>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</si>
  <si>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</si>
  <si>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</si>
  <si>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</si>
  <si>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</si>
  <si>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</si>
  <si>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</si>
  <si>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</si>
  <si>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</si>
  <si>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</si>
  <si>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</si>
  <si>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</si>
  <si>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</si>
  <si>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</si>
  <si>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</si>
  <si>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</si>
  <si>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</si>
  <si>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</si>
  <si>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</si>
  <si>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</si>
  <si>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</si>
  <si>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</si>
  <si>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</si>
  <si>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</si>
  <si>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</si>
  <si>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</si>
  <si>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</si>
  <si>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</si>
  <si>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</si>
  <si>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</si>
  <si>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</si>
  <si>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</si>
  <si>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</si>
  <si>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</si>
  <si>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</si>
  <si>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</si>
  <si>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</si>
  <si>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</si>
  <si>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</si>
  <si>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</si>
  <si>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</si>
  <si>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</si>
  <si>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</si>
  <si>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</si>
  <si>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</si>
  <si>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</si>
  <si>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</si>
  <si>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</si>
  <si>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</si>
  <si>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</si>
  <si>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</si>
  <si>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</si>
  <si>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</si>
  <si>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</si>
  <si>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</si>
  <si>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</si>
  <si>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</si>
  <si>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</si>
  <si>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</si>
  <si>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</si>
  <si>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</si>
  <si>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</si>
  <si>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</si>
  <si>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</si>
  <si>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</si>
  <si>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</si>
  <si>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</si>
  <si>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</si>
  <si>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</si>
  <si>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</si>
  <si>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</si>
  <si>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</si>
  <si>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</si>
  <si>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</si>
  <si>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</si>
  <si>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</si>
  <si>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</si>
  <si>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</si>
  <si>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</si>
  <si>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</si>
  <si>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</si>
  <si>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</si>
  <si>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</si>
  <si>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</si>
  <si>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</si>
  <si>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</si>
  <si>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</si>
  <si>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</si>
  <si>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</si>
  <si>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</si>
  <si>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</si>
  <si>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</si>
  <si>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</si>
  <si>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</si>
  <si>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</si>
  <si>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</si>
  <si>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</si>
  <si>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</si>
  <si>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</si>
  <si>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</si>
  <si>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</si>
  <si>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</si>
  <si>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</si>
  <si>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</si>
  <si>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</si>
  <si>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</si>
  <si>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</si>
  <si>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</si>
  <si>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</si>
  <si>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</si>
  <si>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</si>
  <si>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</si>
  <si>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</si>
  <si>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</si>
  <si>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</si>
  <si>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</si>
  <si>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</si>
  <si>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</si>
  <si>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</si>
  <si>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</si>
  <si>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</si>
  <si>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</si>
  <si>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</si>
  <si>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</si>
  <si>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</si>
  <si>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</si>
  <si>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</si>
  <si>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</si>
  <si>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</si>
  <si>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</si>
  <si>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</si>
  <si>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</si>
  <si>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</si>
  <si>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</si>
  <si>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</si>
  <si>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</si>
  <si>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</si>
  <si>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</si>
  <si>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</si>
  <si>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</si>
  <si>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</si>
  <si>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</si>
  <si>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</si>
  <si>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</si>
  <si>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</si>
  <si>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</si>
  <si>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</si>
  <si>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</si>
  <si>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</si>
  <si>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</si>
  <si>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</si>
  <si>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</si>
  <si>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</si>
  <si>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</si>
  <si>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</si>
  <si>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</si>
  <si>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</si>
  <si>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</si>
  <si>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</si>
  <si>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</si>
  <si>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</si>
  <si>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</si>
  <si>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</si>
  <si>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</si>
  <si>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</si>
  <si>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</si>
  <si>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</si>
  <si>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</si>
  <si>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</si>
  <si>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</si>
  <si>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</si>
  <si>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</si>
  <si>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</si>
  <si>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</si>
  <si>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</si>
  <si>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</si>
  <si>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</si>
  <si>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</si>
  <si>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</si>
  <si>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</si>
  <si>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</si>
  <si>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</si>
  <si>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</si>
  <si>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</si>
  <si>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</si>
  <si>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</si>
  <si>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</si>
  <si>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</si>
  <si>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</si>
  <si>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</si>
  <si>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</si>
  <si>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</si>
  <si>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</si>
  <si>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</si>
  <si>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</si>
  <si>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</si>
  <si>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</si>
  <si>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</si>
  <si>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</si>
  <si>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</si>
  <si>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</si>
  <si>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</si>
  <si>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</si>
  <si>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</si>
  <si>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</si>
  <si>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</si>
  <si>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</si>
  <si>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</si>
  <si>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</si>
  <si>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</si>
  <si>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</si>
  <si>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</si>
  <si>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</si>
  <si>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</si>
  <si>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</si>
  <si>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</si>
  <si>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</si>
  <si>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</si>
  <si>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</si>
  <si>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</si>
  <si>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</si>
  <si>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</si>
  <si>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</si>
  <si>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</si>
  <si>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</si>
  <si>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</si>
  <si>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</si>
  <si>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</si>
  <si>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</si>
  <si>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</si>
  <si>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</si>
  <si>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</si>
  <si>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</si>
  <si>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</si>
  <si>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</si>
  <si>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</si>
  <si>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</si>
  <si>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</si>
  <si>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</si>
  <si>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</si>
  <si>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</si>
  <si>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</si>
  <si>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</si>
  <si>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</si>
  <si>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</si>
  <si>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</si>
  <si>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</si>
  <si>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</si>
  <si>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</si>
  <si>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</si>
  <si>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</si>
  <si>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</si>
  <si>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</si>
  <si>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</si>
  <si>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</si>
  <si>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</si>
  <si>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</si>
  <si>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</si>
  <si>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</si>
  <si>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</si>
  <si>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</si>
  <si>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</si>
  <si>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</si>
  <si>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</si>
  <si>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</si>
  <si>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</si>
  <si>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</si>
  <si>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</si>
  <si>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</si>
  <si>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</si>
  <si>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</si>
  <si>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</si>
  <si>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</si>
  <si>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</si>
  <si>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</si>
  <si>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</si>
  <si>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</si>
  <si>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</si>
  <si>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</si>
  <si>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</si>
  <si>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</si>
  <si>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</si>
  <si>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</si>
  <si>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</si>
  <si>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</si>
  <si>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</si>
  <si>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</si>
  <si>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</si>
  <si>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</si>
  <si>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</si>
  <si>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</si>
  <si>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</si>
  <si>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</si>
  <si>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</si>
  <si>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</si>
  <si>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</si>
  <si>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</si>
  <si>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</si>
  <si>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</si>
  <si>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</si>
  <si>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</si>
  <si>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</si>
  <si>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</si>
  <si>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</si>
  <si>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</si>
  <si>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</si>
  <si>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</si>
  <si>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</si>
  <si>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</si>
  <si>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</si>
  <si>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</si>
  <si>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</si>
  <si>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</si>
  <si>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</si>
  <si>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</si>
  <si>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</si>
  <si>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</si>
  <si>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</si>
  <si>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</si>
  <si>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</si>
  <si>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</si>
  <si>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</si>
  <si>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</si>
  <si>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</si>
  <si>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</si>
  <si>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</si>
  <si>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</si>
  <si>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</si>
  <si>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</si>
  <si>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</si>
  <si>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</si>
  <si>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</si>
  <si>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</si>
  <si>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</si>
  <si>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</si>
  <si>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</si>
  <si>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</si>
  <si>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</si>
  <si>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</si>
  <si>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</si>
  <si>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</si>
  <si>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</si>
  <si>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</si>
  <si>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</si>
  <si>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</si>
  <si>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</si>
  <si>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</si>
  <si>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</si>
  <si>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</si>
  <si>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</si>
  <si>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</si>
  <si>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</si>
  <si>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</si>
  <si>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</si>
  <si>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</si>
  <si>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</si>
  <si>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</si>
  <si>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</si>
  <si>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</si>
  <si>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</si>
  <si>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</si>
  <si>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</si>
  <si>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</si>
  <si>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</si>
  <si>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</si>
  <si>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</si>
  <si>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</si>
  <si>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</si>
  <si>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</si>
  <si>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</si>
  <si>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</si>
  <si>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</si>
  <si>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</si>
  <si>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</si>
  <si>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</si>
  <si>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</si>
  <si>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</si>
  <si>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</si>
  <si>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</si>
  <si>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</si>
  <si>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</si>
  <si>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</si>
  <si>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</si>
  <si>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</si>
  <si>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</si>
  <si>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</si>
  <si>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</si>
  <si>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</si>
  <si>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</si>
  <si>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</si>
  <si>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</si>
  <si>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</si>
  <si>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</si>
  <si>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</si>
  <si>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</si>
  <si>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</si>
  <si>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</si>
  <si>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</si>
  <si>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</si>
  <si>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</si>
  <si>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</si>
  <si>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</si>
  <si>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</si>
  <si>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</si>
  <si>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</si>
  <si>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</si>
  <si>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</si>
  <si>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</si>
  <si>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</si>
  <si>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</si>
  <si>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</si>
  <si>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</si>
  <si>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</si>
  <si>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</si>
  <si>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</si>
  <si>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</si>
  <si>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</si>
  <si>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</si>
  <si>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</si>
  <si>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</si>
  <si>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</si>
  <si>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</si>
  <si>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</si>
  <si>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</si>
  <si>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</si>
  <si>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</si>
  <si>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</si>
  <si>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</si>
  <si>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</si>
  <si>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</si>
  <si>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</si>
  <si>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</si>
  <si>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</si>
  <si>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</si>
  <si>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</si>
  <si>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</si>
  <si>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</si>
  <si>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</si>
  <si>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</si>
  <si>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</si>
  <si>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</si>
  <si>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</si>
  <si>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</si>
  <si>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</si>
  <si>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</si>
  <si>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</si>
  <si>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</si>
  <si>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</si>
  <si>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</si>
  <si>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</si>
  <si>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</si>
  <si>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</si>
  <si>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</si>
  <si>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</si>
  <si>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</si>
  <si>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</si>
  <si>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</si>
  <si>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</si>
  <si>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</si>
  <si>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</si>
  <si>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</si>
  <si>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</si>
  <si>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</si>
  <si>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</si>
  <si>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</si>
  <si>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</si>
  <si>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</si>
  <si>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</si>
  <si>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</si>
  <si>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</si>
  <si>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</si>
  <si>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</si>
  <si>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</si>
  <si>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</si>
  <si>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</si>
  <si>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</si>
  <si>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</si>
  <si>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</si>
  <si>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</si>
  <si>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</si>
  <si>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</si>
  <si>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</si>
  <si>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</si>
  <si>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</si>
  <si>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</si>
  <si>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</si>
  <si>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</si>
  <si>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</si>
  <si>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</si>
  <si>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</si>
  <si>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</si>
  <si>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</si>
  <si>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</si>
  <si>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</si>
  <si>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</si>
  <si>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</si>
  <si>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</si>
  <si>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</si>
  <si>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</si>
  <si>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</si>
  <si>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</si>
  <si>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</si>
  <si>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</si>
  <si>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</si>
  <si>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</si>
  <si>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</si>
  <si>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</si>
  <si>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</si>
  <si>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</si>
  <si>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</si>
  <si>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</si>
  <si>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</si>
  <si>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</si>
  <si>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</si>
  <si>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</si>
  <si>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</si>
  <si>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</si>
  <si>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</si>
  <si>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</si>
  <si>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</si>
  <si>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</si>
  <si>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</si>
  <si>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</si>
  <si>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</si>
  <si>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</si>
  <si>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</si>
  <si>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</si>
  <si>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</si>
  <si>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</si>
  <si>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</si>
  <si>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</si>
  <si>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</si>
  <si>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</si>
  <si>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</si>
  <si>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</si>
  <si>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</si>
  <si>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</si>
  <si>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</si>
  <si>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</si>
  <si>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</si>
  <si>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</si>
  <si>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</si>
  <si>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</si>
  <si>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</si>
  <si>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</si>
  <si>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</si>
  <si>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</si>
  <si>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</si>
  <si>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</si>
  <si>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</si>
  <si>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</si>
  <si>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</si>
  <si>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</si>
  <si>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</si>
  <si>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</si>
  <si>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</si>
  <si>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</si>
  <si>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</si>
  <si>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</si>
  <si>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</si>
  <si>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</si>
  <si>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</si>
  <si>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</si>
  <si>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</si>
  <si>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</si>
  <si>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</si>
  <si>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</si>
  <si>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</si>
  <si>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</si>
  <si>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</si>
  <si>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</si>
  <si>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</si>
  <si>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</si>
  <si>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</si>
  <si>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</si>
  <si>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</si>
  <si>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</si>
  <si>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</si>
  <si>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</si>
  <si>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</si>
  <si>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</si>
  <si>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</si>
  <si>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</si>
  <si>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</si>
  <si>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</si>
  <si>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</si>
  <si>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</si>
  <si>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</si>
  <si>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</si>
  <si>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</si>
  <si>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</si>
  <si>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</si>
  <si>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</si>
  <si>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</si>
  <si>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</si>
  <si>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</si>
  <si>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</si>
  <si>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</si>
  <si>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</si>
  <si>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</si>
  <si>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</si>
  <si>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</si>
  <si>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</si>
  <si>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</si>
  <si>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</si>
  <si>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</si>
  <si>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</si>
  <si>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</si>
  <si>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</si>
  <si>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</si>
  <si>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</si>
  <si>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</si>
  <si>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</si>
  <si>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</si>
  <si>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</si>
  <si>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</si>
  <si>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</si>
  <si>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</si>
  <si>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</si>
  <si>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</si>
  <si>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</si>
  <si>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</si>
  <si>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</si>
  <si>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</si>
  <si>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</si>
  <si>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</si>
  <si>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</si>
  <si>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</si>
  <si>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</si>
  <si>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</si>
  <si>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</si>
  <si>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</si>
  <si>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</si>
  <si>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</si>
  <si>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</si>
  <si>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</si>
  <si>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</si>
  <si>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</si>
  <si>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</si>
  <si>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</si>
  <si>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</si>
  <si>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</si>
  <si>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</si>
  <si>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</si>
  <si>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</si>
  <si>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</si>
  <si>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</si>
  <si>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</si>
  <si>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</si>
  <si>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</si>
  <si>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</si>
  <si>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</si>
  <si>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</si>
  <si>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</si>
  <si>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</si>
  <si>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</si>
  <si>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</si>
  <si>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</si>
  <si>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</si>
  <si>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</si>
  <si>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</si>
  <si>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</si>
  <si>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</si>
  <si>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</si>
  <si>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</si>
  <si>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</si>
  <si>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</si>
  <si>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</si>
  <si>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</si>
  <si>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</si>
  <si>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</si>
  <si>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</si>
  <si>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</si>
  <si>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</si>
  <si>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</si>
  <si>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</si>
  <si>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</si>
  <si>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</si>
  <si>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</si>
  <si>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</si>
  <si>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</si>
  <si>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</si>
  <si>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</si>
  <si>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</si>
  <si>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</si>
  <si>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</si>
  <si>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</si>
  <si>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</si>
  <si>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</si>
  <si>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</si>
  <si>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</si>
  <si>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</si>
  <si>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</si>
  <si>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</si>
  <si>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</si>
  <si>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</si>
  <si>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</si>
  <si>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</si>
  <si>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</si>
  <si>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</si>
  <si>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</si>
  <si>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</si>
  <si>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</si>
  <si>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</si>
  <si>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</si>
  <si>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</si>
  <si>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</si>
  <si>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</si>
  <si>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</si>
  <si>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</si>
  <si>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</si>
  <si>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</si>
  <si>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</si>
  <si>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</si>
  <si>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</si>
  <si>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</si>
  <si>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</si>
  <si>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</si>
  <si>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</si>
  <si>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</si>
  <si>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</si>
  <si>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</si>
  <si>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</si>
  <si>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</si>
  <si>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</si>
  <si>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</si>
  <si>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</si>
  <si>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</si>
  <si>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</si>
  <si>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</si>
  <si>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</si>
  <si>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</si>
  <si>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</si>
  <si>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</si>
  <si>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</si>
  <si>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</si>
  <si>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</si>
  <si>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</si>
  <si>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</si>
  <si>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</si>
  <si>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</si>
  <si>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</si>
  <si>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</si>
  <si>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</si>
  <si>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</si>
  <si>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</si>
  <si>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</si>
  <si>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</si>
  <si>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</si>
  <si>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</si>
  <si>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</si>
  <si>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</si>
  <si>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</si>
  <si>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</si>
  <si>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</si>
  <si>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</si>
  <si>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</si>
  <si>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</si>
  <si>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</si>
  <si>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</si>
  <si>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</si>
  <si>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</si>
  <si>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</si>
  <si>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</si>
  <si>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</si>
  <si>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</si>
  <si>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</si>
  <si>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</si>
  <si>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</si>
  <si>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</si>
  <si>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</si>
  <si>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</si>
  <si>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</si>
  <si>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</si>
  <si>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</si>
  <si>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</si>
  <si>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</si>
  <si>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</si>
  <si>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</si>
  <si>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</si>
  <si>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</si>
  <si>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</si>
  <si>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</si>
  <si>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</si>
  <si>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</si>
  <si>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</si>
  <si>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</si>
  <si>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</si>
  <si>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</si>
  <si>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</si>
  <si>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</si>
  <si>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</si>
  <si>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</si>
  <si>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</si>
  <si>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</si>
  <si>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</si>
  <si>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</si>
  <si>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</si>
  <si>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</si>
  <si>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</si>
  <si>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</si>
  <si>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</si>
  <si>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</si>
  <si>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</si>
  <si>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</si>
  <si>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</si>
  <si>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</si>
  <si>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</si>
  <si>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</si>
  <si>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</si>
  <si>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</si>
  <si>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</si>
  <si>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</si>
  <si>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</si>
  <si>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</si>
  <si>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</si>
  <si>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</si>
  <si>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</si>
  <si>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</si>
  <si>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</si>
  <si>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</si>
  <si>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</si>
  <si>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</si>
  <si>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</si>
  <si>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</si>
  <si>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</si>
  <si>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</si>
  <si>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</si>
  <si>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</si>
  <si>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</si>
  <si>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</si>
  <si>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</si>
  <si>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</si>
  <si>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</si>
  <si>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</si>
  <si>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</si>
  <si>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</si>
  <si>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</si>
  <si>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</si>
  <si>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</si>
  <si>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</si>
  <si>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</si>
  <si>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</si>
  <si>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</si>
  <si>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</si>
  <si>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</si>
  <si>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</si>
  <si>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</si>
  <si>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</si>
  <si>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</si>
  <si>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</si>
  <si>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</si>
  <si>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</si>
  <si>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</si>
  <si>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</si>
  <si>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</si>
  <si>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</si>
  <si>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</si>
  <si>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</si>
  <si>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</si>
  <si>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</si>
  <si>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</si>
  <si>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</si>
  <si>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</si>
  <si>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</si>
  <si>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</si>
  <si>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</si>
  <si>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</si>
  <si>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</si>
  <si>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</si>
  <si>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</si>
  <si>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</si>
  <si>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</si>
  <si>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</si>
  <si>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</si>
  <si>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</si>
  <si>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</si>
  <si>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</si>
  <si>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</si>
  <si>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</si>
  <si>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</si>
  <si>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</si>
  <si>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</si>
  <si>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</si>
  <si>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</si>
  <si>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</si>
  <si>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</si>
  <si>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</si>
  <si>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</si>
  <si>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</si>
  <si>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</si>
  <si>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</si>
  <si>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</si>
  <si>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</si>
  <si>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</si>
  <si>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</si>
  <si>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</si>
  <si>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</si>
  <si>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</si>
  <si>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</si>
  <si>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</si>
  <si>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</si>
  <si>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</si>
  <si>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</si>
  <si>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</si>
  <si>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</si>
  <si>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</si>
  <si>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</si>
  <si>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</si>
  <si>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</si>
  <si>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</si>
  <si>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</si>
  <si>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</si>
  <si>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</si>
  <si>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</si>
  <si>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</si>
  <si>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</si>
  <si>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</si>
  <si>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</si>
  <si>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</si>
  <si>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</si>
  <si>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</si>
  <si>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</si>
  <si>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</si>
  <si>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</si>
  <si>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</si>
  <si>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</si>
  <si>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</si>
  <si>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</si>
  <si>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</si>
  <si>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</si>
  <si>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</si>
  <si>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</si>
  <si>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</si>
  <si>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</si>
  <si>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</si>
  <si>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</si>
  <si>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</si>
  <si>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</si>
  <si>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</si>
  <si>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</si>
  <si>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</si>
  <si>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</si>
  <si>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</si>
  <si>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</si>
  <si>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</si>
  <si>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</si>
  <si>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</si>
  <si>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</si>
  <si>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</si>
  <si>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</si>
  <si>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</si>
  <si>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</si>
  <si>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</si>
  <si>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</si>
  <si>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</si>
  <si>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</si>
  <si>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</si>
  <si>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</si>
  <si>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</si>
  <si>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</si>
  <si>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</si>
  <si>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</si>
  <si>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</si>
  <si>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</si>
  <si>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</si>
  <si>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</si>
  <si>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</si>
  <si>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</si>
  <si>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</si>
  <si>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</si>
  <si>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</si>
  <si>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</si>
  <si>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</si>
  <si>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</si>
  <si>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</si>
  <si>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</si>
  <si>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</si>
  <si>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</si>
  <si>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</si>
  <si>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</si>
  <si>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</si>
  <si>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</si>
  <si>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</si>
  <si>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</si>
  <si>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</si>
  <si>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</si>
  <si>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</si>
  <si>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</si>
  <si>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</si>
  <si>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</si>
  <si>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</si>
  <si>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</si>
  <si>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</si>
  <si>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</si>
  <si>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</si>
  <si>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</si>
  <si>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</si>
  <si>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</si>
  <si>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</si>
  <si>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</si>
  <si>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</si>
  <si>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</si>
  <si>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</si>
  <si>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</si>
  <si>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</si>
  <si>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</si>
  <si>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</si>
  <si>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</si>
  <si>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</si>
  <si>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</si>
  <si>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</si>
  <si>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</si>
  <si>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</si>
  <si>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</si>
  <si>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</si>
  <si>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</si>
  <si>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</si>
  <si>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</si>
  <si>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</si>
  <si>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</si>
  <si>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</si>
  <si>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</si>
  <si>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</si>
  <si>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</si>
  <si>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</si>
  <si>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</si>
  <si>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</si>
  <si>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</si>
  <si>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</si>
  <si>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</si>
  <si>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</si>
  <si>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</si>
  <si>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</si>
  <si>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</si>
  <si>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</si>
  <si>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</si>
  <si>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</si>
  <si>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</si>
  <si>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</si>
  <si>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</si>
  <si>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</si>
  <si>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</si>
  <si>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</si>
  <si>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</si>
  <si>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</si>
  <si>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</si>
  <si>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</si>
  <si>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</si>
  <si>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</si>
  <si>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</si>
  <si>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</si>
  <si>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</si>
  <si>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</si>
  <si>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</si>
  <si>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</si>
  <si>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</si>
  <si>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</si>
  <si>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</si>
  <si>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</si>
  <si>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</si>
  <si>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</si>
  <si>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</si>
  <si>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</si>
  <si>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</si>
  <si>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</si>
  <si>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</si>
  <si>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</si>
  <si>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</si>
  <si>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</si>
  <si>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</si>
  <si>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</si>
  <si>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</si>
  <si>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</si>
  <si>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</si>
  <si>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</si>
  <si>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</si>
  <si>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</si>
  <si>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</si>
  <si>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</si>
  <si>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</si>
  <si>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</si>
  <si>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</si>
  <si>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</si>
  <si>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</si>
  <si>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</si>
  <si>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</si>
  <si>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</si>
  <si>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</si>
  <si>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</si>
  <si>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</si>
  <si>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</si>
  <si>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</si>
  <si>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</si>
  <si>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</si>
  <si>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</si>
  <si>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</si>
  <si>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</si>
  <si>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</si>
  <si>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</si>
  <si>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</si>
  <si>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</si>
  <si>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</si>
  <si>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</si>
  <si>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</si>
  <si>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</si>
  <si>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</si>
  <si>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</si>
  <si>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</si>
  <si>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</si>
  <si>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</si>
  <si>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</si>
  <si>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</si>
  <si>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</si>
  <si>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</si>
  <si>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</si>
  <si>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</si>
  <si>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</si>
  <si>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</si>
  <si>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</si>
  <si>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</si>
  <si>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</si>
  <si>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</si>
  <si>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</si>
  <si>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</si>
  <si>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</si>
  <si>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</si>
  <si>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</si>
  <si>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</si>
  <si>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</si>
  <si>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</si>
  <si>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</si>
  <si>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</si>
  <si>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</si>
  <si>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</si>
  <si>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</si>
  <si>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</si>
  <si>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</si>
  <si>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</si>
  <si>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</si>
  <si>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</si>
  <si>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</si>
  <si>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</si>
  <si>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</si>
  <si>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</si>
  <si>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</si>
  <si>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</si>
  <si>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</si>
  <si>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</si>
  <si>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</si>
  <si>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</si>
  <si>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</si>
  <si>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</si>
  <si>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</si>
  <si>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</si>
  <si>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</si>
  <si>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</si>
  <si>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</si>
  <si>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</si>
  <si>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</si>
  <si>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</si>
  <si>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</si>
  <si>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</si>
  <si>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</si>
  <si>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</si>
  <si>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</si>
  <si>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</si>
  <si>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</si>
  <si>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</si>
  <si>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</si>
  <si>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</si>
  <si>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</si>
  <si>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</si>
  <si>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</si>
  <si>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</si>
  <si>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</si>
  <si>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</si>
  <si>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</si>
  <si>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</si>
  <si>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</si>
  <si>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</si>
  <si>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</si>
  <si>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</si>
  <si>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</si>
  <si>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</si>
  <si>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</si>
  <si>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</si>
  <si>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</si>
  <si>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</si>
  <si>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</si>
  <si>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</si>
  <si>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</si>
  <si>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</si>
  <si>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</si>
  <si>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</si>
  <si>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</si>
  <si>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</si>
  <si>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</si>
  <si>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</si>
  <si>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</si>
  <si>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</si>
  <si>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</si>
  <si>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</si>
  <si>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</si>
  <si>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</si>
  <si>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</si>
  <si>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</si>
  <si>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</si>
  <si>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</si>
  <si>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</si>
  <si>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</si>
  <si>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</si>
  <si>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</si>
  <si>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</si>
  <si>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</si>
  <si>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</si>
  <si>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</si>
  <si>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</si>
  <si>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</si>
  <si>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</si>
  <si>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</si>
  <si>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</si>
  <si>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</si>
  <si>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</si>
  <si>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</si>
  <si>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</si>
  <si>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</si>
  <si>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</si>
  <si>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</si>
  <si>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</si>
  <si>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</si>
  <si>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</si>
  <si>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</si>
  <si>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</si>
  <si>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</si>
  <si>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</si>
  <si>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</si>
  <si>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</si>
  <si>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</si>
  <si>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</si>
  <si>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</si>
  <si>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</si>
  <si>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</si>
  <si>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</si>
  <si>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</si>
  <si>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</si>
  <si>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</si>
  <si>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</si>
  <si>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</si>
  <si>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</si>
  <si>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</si>
  <si>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</si>
  <si>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</si>
  <si>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</si>
  <si>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</si>
  <si>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</si>
  <si>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</si>
  <si>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</si>
  <si>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</si>
  <si>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</si>
  <si>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</si>
  <si>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</si>
  <si>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</si>
  <si>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</si>
  <si>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</si>
  <si>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</si>
  <si>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</si>
  <si>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</si>
  <si>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</si>
  <si>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</si>
  <si>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</si>
  <si>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</si>
  <si>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</si>
  <si>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</si>
  <si>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</si>
  <si>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</si>
  <si>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</si>
  <si>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</si>
  <si>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</si>
  <si>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</si>
  <si>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</si>
  <si>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</si>
  <si>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</si>
  <si>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</si>
  <si>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</si>
  <si>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</si>
  <si>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</si>
  <si>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</si>
  <si>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</si>
  <si>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</si>
  <si>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</si>
  <si>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</si>
  <si>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</si>
  <si>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</si>
  <si>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</si>
  <si>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</si>
  <si>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</si>
  <si>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</si>
  <si>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</si>
  <si>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</si>
  <si>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</si>
  <si>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</si>
  <si>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</si>
  <si>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</si>
  <si>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</si>
  <si>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</si>
  <si>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</si>
  <si>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</si>
  <si>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</si>
  <si>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</si>
  <si>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</si>
  <si>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</si>
  <si>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</si>
  <si>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</si>
  <si>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</si>
  <si>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</si>
  <si>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</si>
  <si>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</si>
  <si>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</si>
  <si>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</si>
  <si>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</si>
  <si>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</si>
  <si>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</si>
  <si>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</si>
  <si>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</si>
  <si>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</si>
  <si>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</si>
  <si>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</si>
  <si>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</si>
  <si>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</si>
  <si>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</si>
  <si>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</si>
  <si>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</si>
  <si>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</si>
  <si>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</si>
  <si>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</si>
  <si>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</si>
  <si>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</si>
  <si>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</si>
  <si>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</si>
  <si>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</si>
  <si>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</si>
  <si>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</si>
  <si>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</si>
  <si>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</si>
  <si>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</si>
  <si>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</si>
  <si>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</si>
  <si>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</si>
  <si>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</si>
  <si>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</si>
  <si>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</si>
  <si>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</si>
  <si>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</si>
  <si>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</si>
  <si>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</si>
  <si>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</si>
  <si>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</si>
  <si>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</si>
  <si>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</si>
  <si>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</si>
  <si>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</si>
  <si>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</si>
  <si>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</si>
  <si>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</si>
  <si>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</si>
  <si>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</si>
  <si>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</si>
  <si>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</si>
  <si>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</si>
  <si>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</si>
  <si>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</si>
  <si>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</si>
  <si>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</si>
  <si>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</si>
  <si>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</si>
  <si>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</si>
  <si>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</si>
  <si>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</si>
  <si>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</si>
  <si>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</si>
  <si>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</si>
  <si>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</si>
  <si>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</si>
  <si>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</si>
  <si>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</si>
  <si>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</si>
  <si>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</si>
  <si>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</si>
  <si>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</si>
  <si>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</si>
  <si>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</si>
  <si>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</si>
  <si>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</si>
  <si>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</si>
  <si>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</si>
  <si>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</si>
  <si>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</si>
  <si>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</si>
  <si>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</si>
  <si>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</si>
  <si>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</si>
  <si>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</si>
  <si>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</si>
  <si>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</si>
  <si>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</si>
  <si>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</si>
  <si>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</si>
  <si>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</si>
  <si>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</si>
  <si>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</si>
  <si>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</si>
  <si>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</si>
  <si>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</si>
  <si>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</si>
  <si>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</si>
  <si>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</si>
  <si>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</si>
  <si>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</si>
  <si>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</si>
  <si>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</si>
  <si>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</si>
  <si>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</si>
  <si>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</si>
  <si>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</si>
  <si>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</si>
  <si>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</si>
  <si>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</si>
  <si>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</si>
  <si>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</si>
  <si>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</si>
  <si>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</si>
  <si>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</si>
  <si>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</si>
  <si>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</si>
  <si>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</si>
  <si>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</si>
  <si>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</si>
  <si>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</si>
  <si>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</si>
  <si>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</si>
  <si>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</si>
  <si>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</si>
  <si>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</si>
  <si>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</si>
  <si>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</si>
  <si>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</si>
  <si>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</si>
  <si>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</si>
  <si>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</si>
  <si>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</si>
  <si>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</si>
  <si>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</si>
  <si>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</si>
  <si>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</si>
  <si>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</si>
  <si>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</si>
  <si>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</si>
  <si>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</si>
  <si>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</si>
  <si>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</si>
  <si>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</si>
  <si>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</si>
  <si>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</si>
  <si>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</si>
  <si>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</si>
  <si>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</si>
  <si>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</si>
  <si>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</si>
  <si>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</si>
  <si>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</si>
  <si>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</si>
  <si>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</si>
  <si>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</si>
  <si>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</si>
  <si>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</si>
  <si>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</si>
  <si>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</si>
  <si>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</si>
  <si>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</si>
  <si>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</si>
  <si>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</si>
  <si>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</si>
  <si>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</si>
  <si>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</si>
  <si>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</si>
  <si>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</si>
  <si>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</si>
  <si>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</si>
  <si>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</si>
  <si>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</si>
  <si>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</si>
  <si>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</si>
  <si>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</si>
  <si>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</si>
  <si>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</si>
  <si>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</si>
  <si>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</si>
  <si>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</si>
  <si>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</si>
  <si>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</si>
  <si>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</si>
  <si>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</si>
  <si>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</si>
  <si>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</si>
  <si>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</si>
  <si>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</si>
  <si>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</si>
  <si>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</si>
  <si>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</si>
  <si>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</si>
  <si>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</si>
  <si>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</si>
  <si>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</si>
  <si>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</si>
  <si>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</si>
  <si>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</si>
  <si>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</si>
  <si>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</si>
  <si>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</si>
  <si>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</si>
  <si>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</si>
  <si>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</si>
  <si>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</si>
  <si>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</si>
  <si>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</si>
  <si>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</si>
  <si>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</si>
  <si>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</si>
  <si>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</si>
  <si>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</si>
  <si>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</si>
  <si>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</si>
  <si>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</si>
  <si>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</si>
  <si>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</si>
  <si>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</si>
  <si>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</si>
  <si>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</si>
  <si>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</si>
  <si>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</si>
  <si>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</si>
  <si>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</si>
  <si>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</si>
  <si>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</si>
  <si>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</si>
  <si>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</si>
  <si>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</si>
  <si>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</si>
  <si>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</si>
  <si>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</si>
  <si>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</si>
  <si>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</si>
  <si>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</si>
  <si>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</si>
  <si>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</si>
  <si>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</si>
  <si>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</si>
  <si>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</si>
  <si>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</si>
  <si>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</si>
  <si>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</si>
  <si>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</si>
  <si>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</si>
  <si>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</si>
  <si>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</si>
  <si>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</si>
  <si>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</si>
  <si>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</si>
  <si>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</si>
  <si>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</si>
  <si>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</si>
  <si>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</si>
  <si>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</si>
  <si>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</si>
  <si>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</si>
  <si>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</si>
  <si>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</si>
  <si>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</si>
  <si>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</si>
  <si>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</si>
  <si>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</si>
  <si>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</si>
  <si>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</si>
  <si>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</si>
  <si>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</si>
  <si>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</si>
  <si>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</si>
  <si>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</si>
  <si>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</si>
  <si>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</si>
  <si>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</si>
  <si>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</si>
  <si>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</si>
  <si>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</si>
  <si>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</si>
  <si>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</si>
  <si>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</si>
  <si>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</si>
  <si>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</si>
  <si>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</si>
  <si>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</si>
  <si>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</si>
  <si>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</si>
  <si>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</si>
  <si>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</si>
  <si>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</si>
  <si>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</si>
  <si>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</si>
  <si>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</si>
  <si>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</si>
  <si>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</si>
  <si>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</si>
  <si>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</si>
  <si>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</si>
  <si>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</si>
  <si>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</si>
  <si>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</si>
  <si>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</si>
  <si>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</si>
  <si>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</si>
  <si>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</si>
  <si>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</si>
  <si>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</si>
  <si>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</si>
  <si>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</si>
  <si>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</si>
  <si>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</si>
  <si>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</si>
  <si>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</si>
  <si>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</si>
  <si>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</si>
  <si>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</si>
  <si>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</si>
  <si>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</si>
  <si>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</si>
  <si>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</si>
  <si>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</si>
  <si>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</si>
  <si>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</si>
  <si>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</si>
  <si>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</si>
  <si>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</si>
  <si>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</si>
  <si>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</si>
  <si>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</si>
  <si>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</si>
  <si>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</si>
  <si>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</si>
  <si>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</si>
  <si>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</si>
  <si>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</si>
  <si>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</si>
  <si>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</si>
  <si>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</si>
  <si>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</si>
  <si>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</si>
  <si>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</si>
  <si>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</si>
  <si>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</si>
  <si>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</si>
  <si>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</si>
  <si>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</si>
  <si>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</si>
  <si>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</si>
  <si>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</si>
  <si>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</si>
  <si>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</si>
  <si>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</si>
  <si>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</si>
  <si>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</si>
  <si>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</si>
  <si>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</si>
  <si>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</si>
  <si>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</si>
  <si>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</si>
  <si>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</si>
  <si>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</si>
  <si>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</si>
  <si>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</si>
  <si>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</si>
  <si>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</si>
  <si>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</si>
  <si>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</si>
  <si>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</si>
  <si>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</si>
  <si>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</si>
  <si>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</si>
  <si>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</si>
  <si>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</si>
  <si>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</si>
  <si>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</si>
  <si>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</si>
  <si>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</si>
  <si>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</si>
  <si>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</si>
  <si>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</si>
  <si>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</si>
  <si>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</si>
  <si>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</si>
  <si>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</si>
  <si>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</si>
  <si>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</si>
  <si>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</si>
  <si>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</si>
  <si>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</si>
  <si>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</si>
  <si>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</si>
  <si>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</si>
  <si>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</si>
  <si>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</si>
  <si>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</si>
  <si>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</si>
  <si>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</si>
  <si>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</si>
  <si>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</si>
  <si>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</si>
  <si>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</si>
  <si>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</si>
  <si>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</si>
  <si>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</si>
  <si>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</si>
  <si>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</si>
  <si>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</si>
  <si>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</si>
  <si>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</si>
  <si>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</si>
  <si>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</si>
  <si>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</si>
  <si>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</si>
  <si>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</si>
  <si>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</si>
  <si>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</si>
  <si>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</si>
  <si>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</si>
  <si>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</si>
  <si>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</si>
  <si>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</si>
  <si>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</si>
  <si>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</si>
  <si>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</si>
  <si>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</si>
  <si>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</si>
  <si>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</si>
  <si>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</si>
  <si>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</si>
  <si>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</si>
  <si>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</si>
  <si>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</si>
  <si>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</si>
  <si>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</si>
  <si>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</si>
  <si>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</si>
  <si>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</si>
  <si>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</si>
  <si>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</si>
  <si>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</si>
  <si>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</si>
  <si>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</si>
  <si>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</si>
  <si>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</si>
  <si>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</si>
  <si>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</si>
  <si>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</si>
  <si>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</si>
  <si>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</si>
  <si>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</si>
  <si>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</si>
  <si>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</si>
  <si>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</si>
  <si>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</si>
  <si>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</si>
  <si>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</si>
  <si>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</si>
  <si>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</si>
  <si>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</si>
  <si>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</si>
  <si>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</si>
  <si>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</si>
  <si>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</si>
  <si>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</si>
  <si>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</si>
  <si>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</si>
  <si>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</si>
  <si>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</si>
  <si>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</si>
  <si>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</si>
  <si>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</si>
  <si>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</si>
  <si>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</si>
  <si>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</si>
  <si>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</si>
  <si>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</si>
  <si>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</si>
  <si>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</si>
  <si>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</si>
  <si>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</si>
  <si>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</si>
  <si>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</si>
  <si>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</si>
  <si>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</si>
  <si>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</si>
  <si>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</si>
  <si>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</si>
  <si>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</si>
  <si>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</si>
  <si>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</si>
  <si>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</si>
  <si>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</si>
  <si>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</si>
  <si>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</si>
  <si>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</si>
  <si>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</si>
  <si>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</si>
  <si>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</si>
  <si>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</si>
  <si>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</si>
  <si>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</si>
  <si>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</si>
  <si>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</si>
  <si>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</si>
  <si>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</si>
  <si>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</si>
  <si>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</si>
  <si>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</si>
  <si>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</si>
  <si>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</si>
  <si>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</si>
  <si>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</si>
  <si>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</si>
  <si>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</si>
  <si>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</si>
  <si>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</si>
  <si>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</si>
  <si>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</si>
  <si>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</si>
  <si>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</si>
  <si>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</si>
  <si>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</si>
  <si>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</si>
  <si>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</si>
  <si>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</si>
  <si>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</si>
  <si>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</si>
  <si>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</si>
  <si>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</si>
  <si>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</si>
  <si>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</si>
  <si>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</si>
  <si>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</si>
  <si>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</si>
  <si>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</si>
  <si>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</si>
  <si>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</si>
  <si>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</si>
  <si>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</si>
  <si>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</si>
  <si>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</si>
  <si>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</si>
  <si>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</si>
  <si>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</si>
  <si>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</si>
  <si>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</si>
  <si>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</si>
  <si>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</si>
  <si>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</si>
  <si>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</si>
  <si>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</si>
  <si>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</si>
  <si>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</si>
  <si>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</si>
  <si>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</si>
  <si>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</si>
  <si>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</si>
  <si>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</si>
  <si>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</si>
  <si>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</si>
  <si>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</si>
  <si>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</si>
  <si>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</si>
  <si>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</si>
  <si>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</si>
  <si>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</si>
  <si>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</si>
  <si>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</si>
  <si>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</si>
  <si>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</si>
  <si>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</si>
  <si>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</si>
  <si>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</si>
  <si>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</si>
  <si>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</si>
  <si>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</si>
  <si>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</si>
  <si>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</si>
  <si>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</si>
  <si>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</si>
  <si>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</si>
  <si>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</si>
  <si>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</si>
  <si>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</si>
  <si>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</si>
  <si>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</si>
  <si>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</si>
  <si>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</si>
  <si>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</si>
  <si>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</si>
  <si>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</si>
  <si>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</si>
  <si>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</si>
  <si>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</si>
  <si>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</si>
  <si>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</si>
  <si>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</si>
  <si>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</si>
  <si>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</si>
  <si>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</si>
  <si>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</si>
  <si>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</si>
  <si>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</si>
  <si>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</si>
  <si>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</si>
  <si>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</si>
  <si>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</si>
  <si>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</si>
  <si>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</si>
  <si>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</si>
  <si>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</si>
  <si>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</si>
  <si>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</si>
  <si>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</si>
  <si>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</si>
  <si>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</si>
  <si>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</si>
  <si>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</si>
  <si>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</si>
  <si>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</si>
  <si>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</si>
  <si>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</si>
  <si>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</si>
  <si>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</si>
  <si>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</si>
  <si>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</si>
  <si>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</si>
  <si>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</si>
  <si>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</si>
  <si>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</si>
  <si>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</si>
  <si>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</si>
  <si>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</si>
  <si>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</si>
  <si>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</si>
  <si>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</si>
  <si>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</si>
  <si>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</si>
  <si>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</si>
  <si>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</si>
  <si>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</si>
  <si>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</si>
  <si>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</si>
  <si>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</si>
  <si>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</si>
  <si>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</si>
  <si>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</si>
  <si>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</si>
  <si>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</si>
  <si>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</si>
  <si>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</si>
  <si>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</si>
  <si>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</si>
  <si>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</si>
  <si>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</si>
  <si>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</si>
  <si>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</si>
  <si>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</si>
  <si>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</si>
  <si>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</si>
  <si>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</si>
  <si>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</si>
  <si>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</si>
  <si>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</si>
  <si>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</si>
  <si>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</si>
  <si>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</si>
  <si>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</si>
  <si>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</si>
  <si>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</si>
  <si>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</si>
  <si>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</si>
  <si>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</si>
  <si>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</si>
  <si>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</si>
  <si>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</si>
  <si>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</si>
  <si>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</si>
  <si>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</si>
  <si>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</si>
  <si>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</si>
  <si>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</si>
  <si>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</si>
  <si>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</si>
  <si>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</si>
  <si>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</si>
  <si>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</si>
  <si>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</si>
  <si>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</si>
  <si>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</si>
  <si>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</si>
  <si>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</si>
  <si>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</si>
  <si>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</si>
  <si>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</si>
  <si>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</si>
  <si>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</si>
  <si>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</si>
  <si>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</si>
  <si>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</si>
  <si>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</si>
  <si>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</si>
  <si>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</si>
  <si>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</si>
  <si>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</si>
  <si>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</si>
  <si>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</si>
  <si>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</si>
  <si>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</si>
  <si>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</si>
  <si>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</si>
  <si>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</si>
  <si>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</si>
  <si>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</si>
  <si>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</si>
  <si>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</si>
  <si>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</si>
  <si>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</si>
  <si>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</si>
  <si>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</si>
  <si>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</si>
  <si>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</si>
  <si>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</si>
  <si>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</si>
  <si>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</si>
  <si>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</si>
  <si>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</si>
  <si>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</si>
  <si>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</si>
  <si>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</si>
  <si>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</si>
  <si>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</si>
  <si>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</si>
  <si>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</si>
  <si>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</si>
  <si>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</si>
  <si>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</si>
  <si>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</si>
  <si>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</si>
  <si>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</si>
  <si>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</si>
  <si>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</si>
  <si>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</si>
  <si>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</si>
  <si>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</si>
  <si>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</si>
  <si>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</si>
  <si>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</si>
  <si>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</si>
  <si>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</si>
  <si>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</si>
  <si>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</si>
  <si>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</si>
  <si>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</si>
  <si>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</si>
  <si>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</si>
  <si>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</si>
  <si>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</si>
  <si>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</si>
  <si>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</si>
  <si>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</si>
  <si>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</si>
  <si>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</si>
  <si>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</si>
  <si>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</si>
  <si>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</si>
  <si>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</si>
  <si>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</si>
  <si>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</si>
  <si>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</si>
  <si>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</si>
  <si>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</si>
  <si>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</si>
  <si>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</si>
  <si>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</si>
  <si>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</si>
  <si>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</si>
  <si>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</si>
  <si>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</si>
  <si>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</si>
  <si>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</si>
  <si>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</si>
  <si>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</si>
  <si>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</si>
  <si>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</si>
  <si>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</si>
  <si>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</si>
  <si>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</si>
  <si>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</si>
  <si>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</si>
  <si>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</si>
  <si>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</si>
  <si>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</si>
  <si>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</si>
  <si>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</si>
  <si>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</si>
  <si>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</si>
  <si>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</si>
  <si>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</si>
  <si>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</si>
  <si>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</si>
  <si>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</si>
  <si>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</si>
  <si>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</si>
  <si>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</si>
  <si>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</si>
  <si>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</si>
  <si>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</si>
  <si>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</si>
  <si>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</si>
  <si>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</si>
  <si>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</si>
  <si>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</si>
  <si>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</si>
  <si>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</si>
  <si>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</si>
  <si>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</si>
  <si>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</si>
  <si>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</si>
  <si>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</si>
  <si>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</si>
  <si>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</si>
  <si>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</si>
  <si>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</si>
  <si>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</si>
  <si>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</si>
  <si>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</si>
  <si>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</si>
  <si>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</si>
  <si>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</si>
  <si>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</si>
  <si>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</si>
  <si>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</si>
  <si>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</si>
  <si>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</si>
  <si>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</si>
  <si>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</si>
  <si>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</si>
  <si>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</si>
  <si>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</si>
  <si>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</si>
  <si>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</si>
  <si>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</si>
  <si>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</si>
  <si>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</si>
  <si>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</si>
  <si>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</si>
  <si>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</si>
  <si>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</si>
  <si>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</si>
  <si>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</si>
  <si>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</si>
  <si>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</si>
  <si>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</si>
  <si>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</si>
  <si>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</si>
  <si>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</si>
  <si>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</si>
  <si>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</si>
  <si>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</si>
  <si>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</si>
  <si>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</si>
  <si>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</si>
  <si>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</si>
  <si>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</si>
  <si>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</si>
  <si>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</si>
  <si>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</si>
  <si>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</si>
  <si>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</si>
  <si>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</si>
  <si>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</si>
  <si>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</si>
  <si>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</si>
  <si>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</si>
  <si>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</si>
  <si>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</si>
  <si>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</si>
  <si>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</si>
  <si>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</si>
  <si>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</si>
  <si>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</si>
  <si>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</si>
  <si>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</si>
  <si>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</si>
  <si>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</si>
  <si>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</si>
  <si>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</si>
  <si>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</si>
  <si>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</si>
  <si>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</si>
  <si>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</si>
  <si>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</si>
  <si>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</si>
  <si>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</si>
  <si>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</si>
  <si>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</si>
  <si>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</si>
  <si>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</si>
  <si>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</si>
  <si>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</si>
  <si>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</si>
  <si>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</si>
  <si>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</si>
  <si>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</si>
  <si>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</si>
  <si>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</si>
  <si>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</si>
  <si>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</si>
  <si>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</si>
  <si>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</si>
  <si>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</si>
  <si>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</si>
  <si>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</si>
  <si>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</si>
  <si>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</si>
  <si>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</si>
  <si>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</si>
  <si>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</si>
  <si>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</si>
  <si>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</si>
  <si>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</si>
  <si>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</si>
  <si>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</si>
  <si>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</si>
  <si>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</si>
  <si>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</si>
  <si>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</si>
  <si>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</si>
  <si>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</si>
  <si>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</si>
  <si>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</si>
  <si>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</si>
  <si>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</si>
  <si>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</si>
  <si>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</si>
  <si>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</si>
  <si>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</si>
  <si>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</si>
  <si>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</si>
  <si>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</si>
  <si>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</si>
  <si>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</si>
  <si>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</si>
  <si>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</si>
  <si>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</si>
  <si>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</si>
  <si>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</si>
  <si>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</si>
  <si>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</si>
  <si>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</si>
  <si>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</si>
  <si>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</si>
  <si>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</si>
  <si>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</si>
  <si>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</si>
  <si>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</si>
  <si>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</si>
  <si>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</si>
  <si>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</si>
  <si>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</si>
  <si>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</si>
  <si>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</si>
  <si>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</si>
  <si>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</si>
  <si>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</si>
  <si>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</si>
  <si>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</si>
  <si>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</si>
  <si>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</si>
  <si>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</si>
  <si>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</si>
  <si>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</si>
  <si>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</si>
  <si>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</si>
  <si>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</si>
  <si>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</si>
  <si>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</si>
  <si>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</si>
  <si>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</si>
  <si>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</si>
  <si>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</si>
  <si>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</si>
  <si>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</si>
  <si>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</si>
  <si>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</si>
  <si>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</si>
  <si>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</si>
  <si>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</si>
  <si>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</si>
  <si>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</si>
  <si>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</si>
  <si>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</si>
  <si>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</si>
  <si>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</si>
  <si>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</si>
  <si>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</si>
  <si>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</si>
  <si>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</si>
  <si>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</si>
  <si>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</si>
  <si>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</si>
  <si>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</si>
  <si>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</si>
  <si>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</si>
  <si>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</si>
  <si>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</si>
  <si>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</si>
  <si>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</si>
  <si>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</si>
  <si>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</si>
  <si>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</si>
  <si>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</si>
  <si>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</si>
  <si>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</si>
  <si>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</si>
  <si>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</si>
  <si>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</si>
  <si>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</si>
  <si>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</si>
  <si>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</si>
  <si>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</si>
  <si>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</si>
  <si>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</si>
  <si>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</si>
  <si>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</si>
  <si>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</si>
  <si>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</si>
  <si>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</si>
  <si>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</si>
  <si>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</si>
  <si>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</si>
  <si>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</si>
  <si>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</si>
  <si>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</si>
  <si>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</si>
  <si>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</si>
  <si>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</si>
  <si>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</si>
  <si>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</si>
  <si>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</si>
  <si>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</si>
  <si>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</si>
  <si>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</si>
  <si>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</si>
  <si>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</si>
  <si>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</si>
  <si>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</si>
  <si>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</si>
  <si>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</si>
  <si>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</si>
  <si>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</si>
  <si>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</si>
  <si>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</si>
  <si>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</si>
  <si>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</si>
  <si>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</si>
  <si>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</si>
  <si>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</si>
  <si>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</si>
  <si>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</si>
  <si>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</si>
  <si>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</si>
  <si>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</si>
  <si>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</si>
  <si>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</si>
  <si>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</si>
  <si>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</si>
  <si>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</si>
  <si>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</si>
  <si>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</si>
  <si>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</si>
  <si>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</si>
  <si>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</si>
  <si>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</si>
  <si>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</si>
  <si>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</si>
  <si>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</si>
  <si>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</si>
  <si>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</si>
  <si>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</si>
  <si>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</si>
  <si>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</si>
  <si>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</si>
  <si>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</si>
  <si>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</si>
  <si>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</si>
  <si>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</si>
  <si>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</si>
  <si>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</si>
  <si>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</si>
  <si>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</si>
  <si>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</si>
  <si>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</si>
  <si>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</si>
  <si>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</si>
  <si>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</si>
  <si>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</si>
  <si>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</si>
  <si>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</si>
  <si>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</si>
  <si>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</si>
  <si>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</si>
  <si>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</si>
  <si>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</si>
  <si>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</si>
  <si>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</si>
  <si>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</si>
  <si>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</si>
  <si>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</si>
  <si>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</si>
  <si>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</si>
  <si>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</si>
  <si>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</si>
  <si>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</si>
  <si>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</si>
  <si>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</si>
  <si>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</si>
  <si>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</si>
  <si>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</si>
  <si>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</si>
  <si>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</si>
  <si>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</si>
  <si>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</si>
  <si>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</si>
  <si>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</si>
  <si>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</si>
  <si>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</si>
  <si>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</si>
  <si>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</si>
  <si>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</si>
  <si>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</si>
  <si>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</si>
  <si>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</si>
  <si>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</si>
  <si>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</si>
  <si>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</si>
  <si>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</si>
  <si>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</si>
  <si>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</si>
  <si>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</si>
  <si>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</si>
  <si>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</si>
  <si>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</si>
  <si>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</si>
  <si>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</si>
  <si>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</si>
  <si>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</si>
  <si>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</si>
  <si>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</si>
  <si>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</si>
  <si>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</si>
  <si>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</si>
  <si>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</si>
  <si>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</si>
  <si>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</si>
  <si>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</si>
  <si>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</si>
  <si>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</si>
  <si>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</si>
  <si>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</si>
  <si>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</si>
  <si>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</si>
  <si>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</si>
  <si>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</si>
  <si>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</si>
  <si>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</si>
  <si>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</si>
  <si>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</si>
  <si>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</si>
  <si>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</si>
  <si>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</si>
  <si>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</si>
  <si>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</si>
  <si>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</si>
  <si>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</si>
  <si>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</si>
  <si>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</si>
  <si>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</si>
  <si>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</si>
  <si>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</si>
  <si>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</si>
  <si>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</si>
  <si>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</si>
  <si>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</si>
  <si>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</si>
  <si>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</si>
  <si>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</si>
  <si>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</si>
  <si>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</si>
  <si>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</si>
  <si>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</si>
  <si>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</si>
  <si>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</si>
  <si>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</si>
  <si>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</si>
  <si>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</si>
  <si>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</si>
  <si>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</si>
  <si>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</si>
  <si>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</si>
  <si>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</si>
  <si>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</si>
  <si>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</si>
  <si>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</si>
  <si>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</si>
  <si>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</si>
  <si>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</si>
  <si>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</si>
  <si>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</si>
  <si>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</si>
  <si>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</si>
  <si>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</si>
  <si>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</si>
  <si>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</si>
  <si>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</si>
  <si>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</si>
  <si>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</si>
  <si>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</si>
  <si>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</si>
  <si>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</si>
  <si>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</si>
  <si>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</si>
  <si>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</si>
  <si>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</si>
  <si>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</si>
  <si>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</si>
  <si>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</si>
  <si>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</si>
  <si>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</si>
  <si>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</si>
  <si>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</si>
  <si>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</si>
  <si>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</si>
  <si>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</si>
  <si>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</si>
  <si>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</si>
  <si>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</si>
  <si>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</si>
  <si>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</si>
  <si>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</si>
  <si>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</si>
  <si>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</si>
  <si>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</si>
  <si>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</si>
  <si>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</si>
  <si>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</si>
  <si>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</si>
  <si>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</si>
  <si>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</si>
  <si>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</si>
  <si>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</si>
  <si>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</si>
  <si>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</si>
  <si>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</si>
  <si>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</si>
  <si>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</si>
  <si>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</si>
  <si>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</si>
  <si>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</si>
  <si>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</si>
  <si>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</si>
  <si>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</si>
  <si>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</si>
  <si>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</si>
  <si>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</si>
  <si>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</si>
  <si>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</si>
  <si>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</si>
  <si>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</si>
  <si>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</si>
  <si>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</si>
  <si>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</si>
  <si>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</si>
  <si>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</si>
  <si>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</si>
  <si>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</si>
  <si>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</si>
  <si>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</si>
  <si>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</si>
  <si>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</si>
  <si>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</si>
  <si>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</si>
  <si>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</si>
  <si>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</si>
  <si>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</si>
  <si>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</si>
  <si>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</si>
  <si>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</si>
  <si>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</si>
  <si>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</si>
  <si>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</si>
  <si>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</si>
  <si>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</si>
  <si>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</si>
  <si>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</si>
  <si>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</si>
  <si>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</si>
  <si>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</si>
  <si>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</si>
  <si>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</si>
  <si>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</si>
  <si>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</si>
  <si>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</si>
  <si>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</si>
  <si>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</si>
  <si>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</si>
  <si>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</si>
  <si>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</si>
  <si>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</si>
  <si>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</si>
  <si>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</si>
  <si>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</si>
  <si>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</si>
  <si>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</si>
  <si>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</si>
  <si>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</si>
  <si>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</si>
  <si>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</si>
  <si>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</si>
  <si>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</si>
  <si>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</si>
  <si>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</si>
  <si>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</si>
  <si>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</si>
  <si>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</si>
  <si>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</si>
  <si>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</si>
  <si>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</si>
  <si>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</si>
  <si>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</si>
  <si>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</si>
  <si>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</si>
  <si>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</si>
  <si>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</si>
  <si>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</si>
  <si>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</si>
  <si>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</si>
  <si>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</si>
  <si>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</si>
  <si>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</si>
  <si>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</si>
  <si>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</si>
  <si>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</si>
  <si>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</si>
  <si>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</si>
  <si>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</si>
  <si>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</si>
  <si>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</si>
  <si>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</si>
  <si>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</si>
  <si>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</si>
  <si>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</si>
  <si>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</si>
  <si>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</si>
  <si>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</si>
  <si>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</si>
  <si>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</si>
  <si>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</si>
  <si>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</si>
  <si>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</si>
  <si>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</si>
  <si>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</si>
  <si>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</si>
  <si>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</si>
  <si>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</si>
  <si>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</si>
  <si>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</si>
  <si>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</si>
  <si>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</si>
  <si>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</si>
  <si>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</si>
  <si>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</si>
  <si>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</si>
  <si>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</si>
  <si>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</si>
  <si>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</si>
  <si>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</si>
  <si>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</si>
  <si>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</si>
  <si>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</si>
  <si>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</si>
  <si>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</si>
  <si>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</si>
  <si>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</si>
  <si>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</si>
  <si>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</si>
  <si>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</si>
  <si>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</si>
  <si>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</si>
  <si>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</si>
  <si>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</si>
  <si>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</si>
  <si>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</si>
  <si>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</si>
  <si>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</si>
  <si>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</si>
  <si>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</si>
  <si>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</si>
  <si>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</si>
  <si>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</si>
  <si>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</si>
  <si>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</si>
  <si>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</si>
  <si>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</si>
  <si>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</si>
  <si>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</si>
  <si>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</si>
  <si>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</si>
  <si>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</si>
  <si>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</si>
  <si>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</si>
  <si>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</si>
  <si>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</si>
  <si>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</si>
  <si>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</si>
  <si>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</si>
  <si>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</si>
  <si>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</si>
  <si>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</si>
  <si>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</si>
  <si>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</si>
  <si>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</si>
  <si>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</si>
  <si>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</si>
  <si>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</si>
  <si>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</si>
  <si>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</si>
  <si>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</si>
  <si>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</si>
  <si>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</si>
  <si>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</si>
  <si>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</si>
  <si>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</si>
  <si>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</si>
  <si>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</si>
  <si>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</si>
  <si>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</si>
  <si>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</si>
  <si>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</si>
  <si>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</si>
  <si>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</si>
  <si>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</si>
  <si>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</si>
  <si>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</si>
  <si>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</si>
  <si>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</si>
  <si>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</si>
  <si>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</si>
  <si>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</si>
  <si>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</si>
  <si>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</si>
  <si>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</si>
  <si>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</si>
  <si>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</si>
  <si>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</si>
  <si>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</si>
  <si>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</si>
  <si>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</si>
  <si>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</si>
  <si>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</si>
  <si>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</si>
  <si>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</si>
  <si>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</si>
  <si>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</si>
  <si>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</si>
  <si>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</si>
  <si>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</si>
  <si>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</si>
  <si>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</si>
  <si>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</si>
  <si>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</si>
  <si>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</si>
  <si>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</si>
  <si>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</si>
  <si>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</si>
  <si>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</si>
  <si>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</si>
  <si>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</si>
  <si>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</si>
  <si>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</si>
  <si>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</si>
  <si>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</si>
  <si>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</si>
  <si>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</si>
  <si>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</si>
  <si>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</si>
  <si>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</si>
  <si>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</si>
  <si>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</si>
  <si>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</si>
  <si>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</si>
  <si>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</si>
  <si>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</si>
  <si>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</si>
  <si>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</si>
  <si>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</si>
  <si>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</si>
  <si>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</si>
  <si>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</si>
  <si>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</si>
  <si>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</si>
  <si>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</si>
  <si>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</si>
  <si>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</si>
  <si>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</si>
  <si>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</si>
  <si>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</si>
  <si>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</si>
  <si>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</si>
  <si>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</si>
  <si>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</si>
  <si>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</si>
  <si>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</si>
  <si>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</si>
  <si>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</si>
  <si>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</si>
  <si>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</si>
  <si>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</si>
  <si>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</si>
  <si>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</si>
  <si>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</si>
  <si>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</si>
  <si>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</si>
  <si>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</si>
  <si>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</si>
  <si>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</si>
  <si>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</si>
  <si>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</si>
  <si>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</si>
  <si>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</si>
  <si>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</si>
  <si>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</si>
  <si>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</si>
  <si>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</si>
  <si>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</si>
  <si>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</si>
  <si>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</si>
  <si>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</si>
  <si>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</si>
  <si>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</si>
  <si>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</si>
  <si>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</si>
  <si>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</si>
  <si>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</si>
  <si>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</si>
  <si>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</si>
  <si>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</si>
  <si>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</si>
  <si>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</si>
  <si>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</si>
  <si>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</si>
  <si>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</si>
  <si>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</si>
  <si>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</si>
  <si>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</si>
  <si>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</si>
  <si>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</si>
  <si>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</si>
  <si>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</si>
  <si>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</si>
  <si>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</si>
  <si>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</si>
  <si>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</si>
  <si>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</si>
  <si>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</si>
  <si>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</si>
  <si>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</si>
  <si>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</si>
  <si>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</si>
  <si>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</si>
  <si>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</si>
  <si>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</si>
  <si>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</si>
  <si>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</si>
  <si>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</si>
  <si>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</si>
  <si>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</si>
  <si>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</si>
  <si>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</si>
  <si>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</si>
  <si>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</si>
  <si>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</si>
  <si>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</si>
  <si>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</si>
  <si>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</si>
  <si>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</si>
  <si>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</si>
  <si>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</si>
  <si>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</si>
  <si>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</si>
  <si>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</si>
  <si>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</si>
  <si>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</si>
  <si>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</si>
  <si>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</si>
  <si>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</si>
  <si>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</si>
  <si>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</si>
  <si>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</si>
  <si>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</si>
  <si>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</si>
  <si>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</si>
  <si>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</si>
  <si>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</si>
  <si>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</si>
  <si>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</si>
  <si>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</si>
  <si>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</si>
  <si>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</si>
  <si>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</si>
  <si>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</si>
  <si>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</si>
  <si>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</si>
  <si>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</si>
  <si>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</si>
  <si>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</si>
  <si>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</si>
  <si>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</si>
  <si>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</si>
  <si>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</si>
  <si>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</si>
  <si>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</si>
  <si>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</si>
  <si>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</si>
  <si>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</si>
  <si>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</si>
  <si>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</si>
  <si>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</si>
  <si>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</si>
  <si>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</si>
  <si>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</si>
  <si>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</si>
  <si>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</si>
  <si>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</si>
  <si>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</si>
  <si>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</si>
  <si>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</si>
  <si>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</si>
  <si>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</si>
  <si>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</si>
  <si>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</si>
  <si>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</si>
  <si>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</si>
  <si>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</si>
  <si>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</si>
  <si>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</si>
  <si>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</si>
  <si>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</si>
  <si>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</si>
  <si>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</si>
  <si>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</si>
  <si>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</si>
  <si>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</si>
  <si>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</si>
  <si>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</si>
  <si>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</si>
  <si>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</si>
  <si>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</si>
  <si>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</si>
  <si>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</si>
  <si>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</si>
  <si>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</si>
  <si>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</si>
  <si>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</si>
  <si>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</si>
  <si>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</si>
  <si>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</si>
  <si>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</si>
  <si>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</si>
  <si>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</si>
  <si>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</si>
  <si>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</si>
  <si>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</si>
  <si>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</si>
  <si>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</si>
  <si>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</si>
  <si>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</si>
  <si>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</si>
  <si>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</si>
  <si>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</si>
  <si>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</si>
  <si>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</si>
  <si>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</si>
  <si>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</si>
  <si>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</si>
  <si>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</si>
  <si>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</si>
  <si>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</si>
  <si>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</si>
  <si>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</si>
  <si>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</si>
  <si>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</si>
  <si>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</si>
  <si>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</si>
  <si>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</si>
  <si>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</si>
  <si>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</si>
  <si>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</si>
  <si>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</si>
  <si>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</si>
  <si>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</si>
  <si>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</si>
  <si>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</si>
  <si>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</si>
  <si>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</si>
  <si>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</si>
  <si>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</si>
  <si>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</si>
  <si>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</si>
  <si>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</si>
  <si>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</si>
  <si>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</si>
  <si>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</si>
  <si>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</si>
  <si>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</si>
  <si>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</si>
  <si>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</si>
  <si>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</si>
  <si>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</si>
  <si>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</si>
  <si>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</si>
  <si>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</si>
  <si>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</si>
  <si>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</si>
  <si>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</si>
  <si>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</si>
  <si>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</si>
  <si>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</si>
  <si>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</si>
  <si>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</si>
  <si>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</si>
  <si>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</si>
  <si>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</si>
  <si>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</si>
  <si>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</si>
  <si>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</si>
  <si>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</si>
  <si>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</si>
  <si>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</si>
  <si>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</si>
  <si>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</si>
  <si>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</si>
  <si>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</si>
  <si>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</si>
  <si>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</si>
  <si>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</si>
  <si>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</si>
  <si>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</si>
  <si>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</si>
  <si>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</si>
  <si>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</si>
  <si>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</si>
  <si>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</si>
  <si>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</si>
  <si>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</si>
  <si>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</si>
  <si>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</si>
  <si>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</si>
  <si>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</si>
  <si>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</si>
  <si>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</si>
  <si>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</si>
  <si>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</si>
  <si>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</si>
  <si>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</si>
  <si>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</si>
  <si>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</si>
  <si>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</si>
  <si>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</si>
  <si>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</si>
  <si>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</si>
  <si>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</si>
  <si>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</si>
  <si>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</si>
  <si>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</si>
  <si>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</si>
  <si>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</si>
  <si>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</si>
  <si>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</si>
  <si>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</si>
  <si>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</si>
  <si>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</si>
  <si>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</si>
  <si>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</si>
  <si>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</si>
  <si>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</si>
  <si>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</si>
  <si>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</si>
  <si>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</si>
  <si>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</si>
  <si>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</si>
  <si>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</si>
  <si>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</si>
  <si>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</si>
  <si>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</si>
  <si>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</si>
  <si>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</si>
  <si>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</si>
  <si>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</si>
  <si>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</si>
  <si>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</si>
  <si>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</si>
  <si>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</si>
  <si>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</si>
  <si>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</si>
  <si>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</si>
  <si>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</si>
  <si>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</si>
  <si>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</si>
  <si>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</si>
  <si>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</si>
  <si>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</si>
  <si>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</si>
  <si>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</si>
  <si>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</si>
  <si>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</si>
  <si>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</si>
  <si>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</si>
  <si>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</si>
  <si>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</si>
  <si>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</si>
  <si>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</si>
  <si>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</si>
  <si>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</si>
  <si>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</si>
  <si>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</si>
  <si>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</si>
  <si>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</si>
  <si>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</si>
  <si>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</si>
  <si>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</si>
  <si>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</si>
  <si>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</si>
  <si>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</si>
  <si>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</si>
  <si>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</si>
  <si>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</si>
  <si>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</si>
  <si>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</si>
  <si>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</si>
  <si>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</si>
  <si>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</si>
  <si>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</si>
  <si>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</si>
  <si>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</si>
  <si>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</si>
  <si>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</si>
  <si>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</si>
  <si>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</si>
  <si>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</si>
  <si>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</si>
  <si>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</si>
  <si>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</si>
  <si>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</si>
  <si>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</si>
  <si>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</si>
  <si>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</si>
  <si>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</si>
  <si>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</si>
  <si>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</si>
  <si>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</si>
  <si>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</si>
  <si>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</si>
  <si>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</si>
  <si>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</si>
  <si>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</si>
  <si>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</si>
  <si>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</si>
  <si>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</si>
  <si>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</si>
  <si>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</si>
  <si>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</si>
  <si>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</si>
  <si>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</si>
  <si>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</si>
  <si>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</si>
  <si>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</si>
  <si>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</si>
  <si>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</si>
  <si>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</si>
  <si>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</si>
  <si>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</si>
  <si>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</si>
  <si>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</si>
  <si>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</si>
  <si>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</si>
  <si>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</si>
  <si>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</si>
  <si>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</si>
  <si>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</si>
  <si>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</si>
  <si>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</si>
  <si>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</si>
  <si>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</si>
  <si>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</si>
  <si>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</si>
  <si>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</si>
  <si>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</si>
  <si>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</si>
  <si>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</si>
  <si>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</si>
  <si>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</si>
  <si>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</si>
  <si>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</si>
  <si>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</si>
  <si>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</si>
  <si>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</si>
  <si>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</si>
  <si>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</si>
  <si>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</si>
  <si>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</si>
  <si>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</si>
  <si>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</si>
  <si>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</si>
  <si>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</si>
  <si>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</si>
  <si>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</si>
  <si>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</si>
  <si>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</si>
  <si>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</si>
  <si>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</si>
  <si>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</si>
  <si>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</si>
  <si>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</si>
  <si>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</si>
  <si>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</si>
  <si>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</si>
  <si>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</si>
  <si>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</si>
  <si>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</si>
  <si>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</si>
  <si>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</si>
  <si>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</si>
  <si>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</si>
  <si>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</si>
  <si>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</si>
  <si>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</si>
  <si>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</si>
  <si>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</si>
  <si>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</si>
  <si>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</si>
  <si>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</si>
  <si>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</si>
  <si>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</si>
  <si>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</si>
  <si>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</si>
  <si>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</si>
  <si>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</si>
  <si>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</si>
  <si>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</si>
  <si>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</si>
  <si>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</si>
  <si>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</si>
  <si>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</si>
  <si>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</si>
  <si>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</si>
  <si>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</si>
  <si>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</si>
  <si>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</si>
  <si>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</si>
  <si>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</si>
  <si>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</si>
  <si>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</si>
  <si>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</si>
  <si>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</si>
  <si>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</si>
  <si>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</si>
  <si>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</si>
  <si>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</si>
  <si>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</si>
  <si>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</si>
  <si>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</si>
  <si>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</si>
  <si>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</si>
  <si>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</si>
  <si>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</si>
  <si>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</si>
  <si>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</si>
  <si>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</si>
  <si>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</si>
  <si>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</si>
  <si>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</si>
  <si>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</si>
  <si>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</si>
  <si>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</si>
  <si>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</si>
  <si>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</si>
  <si>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</si>
  <si>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</si>
  <si>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</si>
  <si>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</si>
  <si>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</si>
  <si>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</si>
  <si>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</si>
  <si>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</si>
  <si>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</si>
  <si>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</si>
  <si>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</si>
  <si>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</si>
  <si>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</si>
  <si>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</si>
  <si>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</si>
  <si>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</si>
  <si>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</si>
  <si>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</si>
  <si>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</si>
  <si>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</si>
  <si>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</si>
  <si>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</si>
  <si>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</si>
  <si>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</si>
  <si>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</si>
  <si>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</si>
  <si>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</si>
  <si>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</si>
  <si>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</si>
  <si>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</si>
  <si>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</si>
  <si>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</si>
  <si>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</si>
  <si>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</si>
  <si>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</si>
  <si>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</si>
  <si>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</si>
  <si>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</si>
  <si>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</si>
  <si>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</si>
  <si>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</si>
  <si>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</si>
  <si>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</si>
  <si>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</si>
  <si>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</si>
  <si>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</si>
  <si>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</si>
  <si>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</si>
  <si>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</si>
  <si>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</si>
  <si>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</si>
  <si>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</si>
  <si>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</si>
  <si>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</si>
  <si>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</si>
  <si>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</si>
  <si>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</si>
  <si>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</si>
  <si>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</si>
  <si>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</si>
  <si>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</si>
  <si>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</si>
  <si>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</si>
  <si>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</si>
  <si>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</si>
  <si>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</si>
  <si>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</si>
  <si>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</si>
  <si>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</si>
  <si>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</si>
  <si>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</si>
  <si>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</si>
  <si>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</si>
  <si>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</si>
  <si>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</si>
  <si>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</si>
  <si>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</si>
  <si>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</si>
  <si>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</si>
  <si>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</si>
  <si>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</si>
  <si>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</si>
  <si>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</si>
  <si>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</si>
  <si>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</si>
  <si>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</si>
  <si>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</si>
  <si>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</si>
  <si>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</si>
  <si>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</si>
  <si>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</si>
  <si>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</si>
  <si>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</si>
  <si>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</si>
  <si>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</si>
  <si>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</si>
  <si>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</si>
  <si>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</si>
  <si>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</si>
  <si>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</si>
  <si>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</si>
  <si>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</si>
  <si>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</si>
  <si>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</si>
  <si>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</si>
  <si>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</si>
  <si>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</si>
  <si>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</si>
  <si>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</si>
  <si>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</si>
  <si>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</si>
  <si>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</si>
  <si>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</si>
  <si>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</si>
  <si>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</si>
  <si>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</si>
  <si>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</si>
  <si>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</si>
  <si>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</si>
  <si>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</si>
  <si>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</si>
  <si>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</si>
  <si>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</si>
  <si>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</si>
  <si>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</si>
  <si>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</si>
  <si>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</si>
  <si>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</si>
  <si>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</si>
  <si>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</si>
  <si>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</si>
  <si>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</si>
  <si>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</si>
  <si>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</si>
  <si>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</si>
  <si>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</si>
  <si>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</si>
  <si>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</si>
  <si>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</si>
  <si>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</si>
  <si>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</si>
  <si>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</si>
  <si>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</si>
  <si>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</si>
  <si>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</si>
  <si>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</si>
  <si>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</si>
  <si>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</si>
  <si>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</si>
  <si>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</si>
  <si>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</si>
  <si>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</si>
  <si>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</si>
  <si>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</si>
  <si>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</si>
  <si>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</si>
  <si>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</si>
  <si>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</si>
  <si>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</si>
  <si>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</si>
  <si>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</si>
  <si>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</si>
  <si>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</si>
  <si>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</si>
  <si>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</si>
  <si>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</si>
  <si>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</si>
  <si>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</si>
  <si>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</si>
  <si>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</si>
  <si>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</si>
  <si>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</si>
  <si>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</si>
  <si>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</si>
  <si>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</si>
  <si>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</si>
  <si>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</si>
  <si>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</si>
  <si>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</si>
  <si>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</si>
  <si>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</si>
  <si>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</si>
  <si>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</si>
  <si>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</si>
  <si>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</si>
  <si>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</si>
  <si>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</si>
  <si>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</si>
  <si>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</si>
  <si>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</si>
  <si>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</si>
  <si>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</si>
  <si>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</si>
  <si>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</si>
  <si>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</si>
  <si>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</si>
  <si>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</si>
  <si>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</si>
  <si>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</si>
  <si>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</si>
  <si>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</si>
  <si>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</si>
  <si>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</si>
  <si>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</si>
  <si>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</si>
  <si>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</si>
  <si>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</si>
  <si>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</si>
  <si>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</si>
  <si>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</si>
  <si>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</si>
  <si>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</si>
  <si>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</si>
  <si>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</si>
  <si>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</si>
  <si>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</si>
  <si>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</si>
  <si>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</si>
  <si>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</si>
  <si>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</si>
  <si>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</si>
  <si>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</si>
  <si>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</si>
  <si>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</si>
  <si>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</si>
  <si>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</si>
  <si>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</si>
  <si>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</si>
  <si>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</si>
  <si>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</si>
  <si>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</si>
  <si>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</si>
  <si>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</si>
  <si>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</si>
  <si>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</si>
  <si>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</si>
  <si>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</si>
  <si>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</si>
  <si>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</si>
  <si>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</si>
  <si>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</si>
  <si>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</si>
  <si>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</si>
  <si>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</si>
  <si>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</si>
  <si>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</si>
  <si>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</si>
  <si>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</si>
  <si>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</si>
  <si>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</si>
  <si>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</si>
  <si>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</si>
  <si>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</si>
  <si>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</si>
  <si>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</si>
  <si>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</si>
  <si>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</si>
  <si>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</si>
  <si>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</si>
  <si>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</si>
  <si>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</si>
  <si>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</si>
  <si>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</si>
  <si>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</si>
  <si>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</si>
  <si>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</si>
  <si>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</si>
  <si>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</si>
  <si>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</si>
  <si>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</si>
  <si>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</si>
  <si>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</si>
  <si>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</si>
  <si>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</si>
  <si>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</si>
  <si>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</si>
  <si>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</si>
  <si>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</si>
  <si>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</si>
  <si>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</si>
  <si>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</si>
  <si>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</si>
  <si>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</si>
  <si>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</si>
  <si>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</si>
  <si>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</si>
  <si>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</si>
  <si>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</si>
  <si>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</si>
  <si>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</si>
  <si>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</si>
  <si>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</si>
  <si>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</si>
  <si>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</si>
  <si>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</si>
  <si>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</si>
  <si>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</si>
  <si>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</si>
  <si>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</si>
  <si>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</si>
  <si>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</si>
  <si>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</si>
  <si>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</si>
  <si>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</si>
  <si>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</si>
  <si>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</si>
  <si>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</si>
  <si>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</si>
  <si>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</si>
  <si>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</si>
  <si>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</si>
  <si>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</si>
  <si>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</si>
  <si>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</si>
  <si>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</si>
  <si>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</si>
  <si>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</si>
  <si>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</si>
  <si>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</si>
  <si>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</si>
  <si>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</si>
  <si>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</si>
  <si>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</si>
  <si>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</si>
  <si>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</si>
  <si>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</si>
  <si>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</si>
  <si>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</si>
  <si>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</si>
  <si>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</si>
  <si>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</si>
  <si>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</si>
  <si>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</si>
  <si>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</si>
  <si>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</si>
  <si>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</si>
  <si>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</si>
  <si>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</si>
  <si>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</si>
  <si>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</si>
  <si>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</si>
  <si>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</si>
  <si>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</si>
  <si>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</si>
  <si>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</si>
  <si>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</si>
  <si>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</si>
  <si>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</si>
  <si>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</si>
  <si>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</si>
  <si>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</si>
  <si>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</si>
  <si>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</si>
  <si>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</si>
  <si>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</si>
  <si>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</si>
  <si>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</si>
  <si>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</si>
  <si>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</si>
  <si>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</si>
  <si>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</si>
  <si>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</si>
  <si>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</si>
  <si>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</si>
  <si>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</si>
  <si>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</si>
  <si>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</si>
  <si>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</si>
  <si>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</si>
  <si>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</si>
  <si>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</si>
  <si>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</si>
  <si>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</si>
  <si>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</si>
  <si>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</si>
  <si>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</si>
  <si>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</si>
  <si>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</si>
  <si>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</si>
  <si>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</si>
  <si>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</si>
  <si>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</si>
  <si>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</si>
  <si>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</si>
  <si>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</si>
  <si>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</si>
  <si>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</si>
  <si>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</si>
  <si>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</si>
  <si>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</si>
  <si>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</si>
  <si>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</si>
  <si>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</si>
  <si>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</si>
  <si>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</si>
  <si>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</si>
  <si>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</si>
  <si>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</si>
  <si>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</si>
  <si>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</si>
  <si>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</si>
  <si>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</si>
  <si>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</si>
  <si>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</si>
  <si>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</si>
  <si>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</si>
  <si>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</si>
  <si>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</si>
  <si>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</si>
  <si>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</si>
  <si>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</si>
  <si>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</si>
  <si>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</si>
  <si>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</si>
  <si>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</si>
  <si>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</si>
  <si>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</si>
  <si>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</si>
  <si>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</si>
  <si>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</si>
  <si>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</si>
  <si>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</si>
  <si>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</si>
  <si>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</si>
  <si>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</si>
  <si>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</si>
  <si>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</si>
  <si>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</si>
  <si>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</si>
  <si>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</si>
  <si>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</si>
  <si>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</si>
  <si>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</si>
  <si>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</si>
  <si>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</si>
  <si>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</si>
  <si>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</si>
  <si>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</si>
  <si>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</si>
  <si>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</si>
  <si>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</si>
  <si>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</si>
  <si>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</si>
  <si>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</si>
  <si>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</si>
  <si>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</si>
  <si>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</si>
  <si>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</si>
  <si>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</si>
  <si>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</si>
  <si>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</si>
  <si>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</si>
  <si>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</si>
  <si>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</si>
  <si>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</si>
  <si>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</si>
  <si>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</si>
  <si>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</si>
  <si>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</si>
  <si>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</si>
  <si>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</si>
  <si>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</si>
  <si>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</si>
  <si>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</si>
  <si>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</si>
  <si>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</si>
  <si>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</si>
  <si>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</si>
  <si>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</si>
  <si>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</si>
  <si>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</si>
  <si>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</si>
  <si>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</si>
  <si>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</si>
  <si>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</si>
  <si>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</si>
  <si>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</si>
  <si>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</si>
  <si>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</si>
  <si>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</si>
  <si>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</si>
  <si>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</si>
  <si>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</si>
  <si>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</si>
  <si>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</si>
  <si>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</si>
  <si>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</si>
  <si>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</si>
  <si>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</si>
  <si>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</si>
  <si>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</si>
  <si>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</si>
  <si>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</si>
  <si>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</si>
  <si>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</si>
  <si>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</si>
  <si>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</si>
  <si>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</si>
  <si>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</si>
  <si>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</si>
  <si>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</si>
  <si>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</si>
  <si>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</si>
  <si>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</si>
  <si>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</si>
  <si>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</si>
  <si>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</si>
  <si>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</si>
  <si>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</si>
  <si>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</si>
  <si>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</si>
  <si>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</si>
  <si>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</si>
  <si>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</si>
  <si>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</si>
  <si>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</si>
  <si>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</si>
  <si>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</si>
  <si>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</si>
  <si>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</si>
  <si>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</si>
  <si>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</si>
  <si>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</si>
  <si>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</si>
  <si>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</si>
  <si>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</si>
  <si>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</si>
  <si>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</si>
  <si>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</si>
  <si>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</si>
  <si>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</si>
  <si>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</si>
  <si>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</si>
  <si>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</si>
  <si>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</si>
  <si>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</si>
  <si>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</si>
  <si>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</si>
  <si>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</si>
  <si>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</si>
  <si>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</si>
  <si>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</si>
  <si>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</si>
  <si>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</si>
  <si>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</si>
  <si>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</si>
  <si>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</si>
  <si>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</si>
  <si>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</si>
  <si>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</si>
  <si>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</si>
  <si>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</si>
  <si>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</si>
  <si>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</si>
  <si>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</si>
  <si>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</si>
  <si>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</si>
  <si>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</si>
  <si>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</si>
  <si>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</si>
  <si>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</si>
  <si>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</si>
  <si>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</si>
  <si>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</si>
  <si>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</si>
  <si>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</si>
  <si>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</si>
  <si>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</si>
  <si>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</si>
  <si>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</si>
  <si>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</si>
  <si>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</si>
  <si>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</si>
  <si>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</si>
  <si>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</si>
  <si>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</si>
  <si>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</si>
  <si>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</si>
  <si>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</si>
  <si>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</si>
  <si>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</si>
  <si>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</si>
  <si>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</si>
  <si>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</si>
  <si>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</si>
  <si>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</si>
  <si>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</si>
  <si>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</si>
  <si>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</si>
  <si>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</si>
  <si>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</si>
  <si>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</si>
  <si>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</si>
  <si>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</si>
  <si>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</si>
  <si>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</si>
  <si>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</si>
  <si>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</si>
  <si>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</si>
  <si>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</si>
  <si>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</si>
  <si>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</si>
  <si>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</si>
  <si>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</si>
  <si>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</si>
  <si>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</si>
  <si>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</si>
  <si>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</si>
  <si>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</si>
  <si>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</si>
  <si>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</si>
  <si>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</si>
  <si>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</si>
  <si>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</si>
  <si>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</si>
  <si>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</si>
  <si>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</si>
  <si>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</si>
  <si>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</si>
  <si>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</si>
  <si>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</si>
  <si>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</si>
  <si>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</si>
  <si>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</si>
  <si>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</si>
  <si>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</si>
  <si>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</si>
  <si>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</si>
  <si>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</si>
  <si>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</si>
  <si>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</si>
  <si>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</si>
  <si>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</si>
  <si>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</si>
  <si>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</si>
  <si>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</si>
  <si>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</si>
  <si>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</si>
  <si>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</si>
  <si>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</si>
  <si>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</si>
  <si>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</si>
  <si>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</si>
  <si>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</si>
  <si>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</si>
  <si>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</si>
  <si>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</si>
  <si>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</si>
  <si>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</si>
  <si>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</si>
  <si>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</si>
  <si>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</si>
  <si>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</si>
  <si>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</si>
  <si>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</si>
  <si>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</si>
  <si>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</si>
  <si>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</si>
  <si>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</si>
  <si>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</si>
  <si>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</si>
  <si>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</si>
  <si>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</si>
  <si>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</si>
  <si>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</si>
  <si>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</si>
  <si>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</si>
  <si>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</si>
  <si>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</si>
  <si>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</si>
  <si>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</si>
  <si>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</si>
  <si>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</si>
  <si>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</si>
  <si>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</si>
  <si>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</si>
  <si>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</si>
  <si>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</si>
  <si>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</si>
  <si>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</si>
  <si>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</si>
  <si>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</si>
  <si>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</si>
  <si>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</si>
  <si>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</si>
  <si>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</si>
  <si>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</si>
  <si>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</si>
  <si>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</si>
  <si>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</si>
  <si>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</si>
  <si>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</si>
  <si>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</si>
  <si>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</si>
  <si>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</si>
  <si>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</si>
  <si>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</si>
  <si>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</si>
  <si>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</si>
  <si>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</si>
  <si>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</si>
  <si>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</si>
  <si>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</si>
  <si>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</si>
  <si>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</si>
  <si>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</si>
  <si>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</si>
  <si>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</si>
  <si>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</si>
  <si>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</si>
  <si>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</si>
  <si>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</si>
  <si>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</si>
  <si>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</si>
  <si>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</si>
  <si>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</si>
  <si>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</si>
  <si>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</si>
  <si>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</si>
  <si>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</si>
  <si>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</si>
  <si>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</si>
  <si>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</si>
  <si>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</si>
  <si>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</si>
  <si>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</si>
  <si>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</si>
  <si>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</si>
  <si>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</si>
  <si>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</si>
  <si>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</si>
  <si>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</si>
  <si>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</si>
  <si>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</si>
  <si>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</si>
  <si>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</si>
  <si>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</si>
  <si>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</si>
  <si>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</si>
  <si>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</si>
  <si>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</si>
  <si>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</si>
  <si>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</si>
  <si>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</si>
  <si>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</si>
  <si>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</si>
  <si>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</si>
  <si>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</si>
  <si>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</si>
  <si>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</si>
  <si>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</si>
  <si>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</si>
  <si>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</si>
  <si>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</si>
  <si>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</si>
  <si>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</si>
  <si>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</si>
  <si>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</si>
  <si>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</si>
  <si>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</si>
  <si>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</si>
  <si>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</si>
  <si>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</si>
  <si>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</si>
  <si>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</si>
  <si>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</si>
  <si>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</si>
  <si>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</si>
  <si>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</si>
  <si>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</si>
  <si>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</si>
  <si>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</si>
  <si>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</si>
  <si>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</si>
  <si>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</si>
  <si>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</si>
  <si>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</si>
  <si>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</si>
  <si>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</si>
  <si>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</si>
  <si>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</si>
  <si>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</si>
  <si>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</si>
  <si>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</si>
  <si>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</si>
  <si>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</si>
  <si>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</si>
  <si>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</si>
  <si>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</si>
  <si>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</si>
  <si>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</si>
  <si>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</si>
  <si>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</si>
  <si>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</si>
  <si>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</si>
  <si>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</si>
  <si>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</si>
  <si>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</si>
  <si>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</si>
  <si>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</si>
  <si>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</si>
  <si>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</si>
  <si>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</si>
  <si>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</si>
  <si>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</si>
  <si>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</si>
  <si>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</si>
  <si>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</si>
  <si>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</si>
  <si>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</si>
  <si>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</si>
  <si>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</si>
  <si>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</si>
  <si>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</si>
  <si>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</si>
  <si>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</si>
  <si>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</si>
  <si>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</si>
  <si>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</si>
  <si>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</si>
  <si>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</si>
  <si>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</si>
  <si>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</si>
  <si>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</si>
  <si>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</si>
  <si>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</si>
  <si>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</si>
  <si>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</si>
  <si>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</si>
  <si>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</si>
  <si>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</si>
  <si>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</si>
  <si>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</si>
  <si>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</si>
  <si>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</si>
  <si>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</si>
  <si>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</si>
  <si>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</si>
  <si>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</si>
  <si>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</si>
  <si>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</si>
  <si>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</si>
  <si>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</si>
  <si>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</si>
  <si>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</si>
  <si>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</si>
  <si>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</si>
  <si>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</si>
  <si>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</si>
  <si>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</si>
  <si>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</si>
  <si>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</si>
  <si>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</si>
  <si>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</si>
  <si>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</si>
  <si>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</si>
  <si>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</si>
  <si>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</si>
  <si>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</si>
  <si>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</si>
  <si>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</si>
  <si>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</si>
  <si>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</si>
  <si>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</si>
  <si>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</si>
  <si>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</si>
  <si>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</si>
  <si>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</si>
  <si>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</si>
  <si>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</si>
  <si>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</si>
  <si>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</si>
  <si>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</si>
  <si>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</si>
  <si>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</si>
  <si>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</si>
  <si>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</si>
  <si>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</si>
  <si>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</si>
  <si>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</si>
  <si>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</si>
  <si>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</si>
  <si>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</si>
  <si>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</si>
  <si>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</si>
  <si>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</si>
  <si>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</si>
  <si>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</si>
  <si>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</si>
  <si>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</si>
  <si>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</si>
  <si>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</si>
  <si>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</si>
  <si>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</si>
  <si>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</si>
  <si>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</si>
  <si>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</si>
  <si>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</si>
  <si>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</si>
  <si>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</si>
  <si>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</si>
  <si>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</si>
  <si>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</si>
  <si>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</si>
  <si>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</si>
  <si>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</si>
  <si>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</si>
  <si>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</si>
  <si>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</si>
  <si>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</si>
  <si>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</si>
  <si>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</si>
  <si>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</si>
  <si>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</si>
  <si>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</si>
  <si>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</si>
  <si>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</si>
  <si>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</si>
  <si>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</si>
  <si>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</si>
  <si>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</si>
  <si>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</si>
  <si>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</si>
  <si>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</si>
  <si>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</si>
  <si>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</si>
  <si>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</si>
  <si>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</si>
  <si>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</si>
  <si>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</si>
  <si>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</si>
  <si>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</si>
  <si>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</si>
  <si>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</si>
  <si>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</si>
  <si>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</si>
  <si>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</si>
  <si>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</si>
  <si>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</si>
  <si>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</si>
  <si>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</si>
  <si>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</si>
  <si>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</si>
  <si>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</si>
  <si>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</si>
  <si>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</si>
  <si>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</si>
  <si>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</si>
  <si>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</si>
  <si>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</si>
  <si>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</si>
  <si>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</si>
  <si>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</si>
  <si>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</si>
  <si>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</si>
  <si>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</si>
  <si>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</si>
  <si>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</si>
  <si>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</si>
  <si>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</si>
  <si>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</si>
  <si>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</si>
  <si>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</si>
  <si>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</si>
  <si>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</si>
  <si>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</si>
  <si>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</si>
  <si>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</si>
  <si>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</si>
  <si>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</si>
  <si>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</si>
  <si>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</si>
  <si>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</si>
  <si>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</si>
  <si>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</si>
  <si>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</si>
  <si>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</si>
  <si>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</si>
  <si>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</si>
  <si>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</si>
  <si>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</si>
  <si>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</si>
  <si>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</si>
  <si>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</si>
  <si>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</si>
  <si>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</si>
  <si>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</si>
  <si>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</si>
  <si>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</si>
  <si>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</si>
  <si>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</si>
  <si>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</si>
  <si>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</si>
  <si>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</si>
  <si>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</si>
  <si>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</si>
  <si>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</si>
  <si>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</si>
  <si>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</si>
  <si>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</si>
  <si>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</si>
  <si>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</si>
  <si>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</si>
  <si>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</si>
  <si>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</si>
  <si>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</si>
  <si>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</si>
  <si>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</si>
  <si>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</si>
  <si>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</si>
  <si>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</si>
  <si>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</si>
  <si>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</si>
  <si>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</si>
  <si>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</si>
  <si>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</si>
  <si>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</si>
  <si>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</si>
  <si>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</si>
  <si>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</si>
  <si>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</si>
  <si>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</si>
  <si>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</si>
  <si>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</si>
  <si>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</si>
  <si>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</si>
  <si>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</si>
  <si>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</si>
  <si>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</si>
  <si>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</si>
  <si>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</si>
  <si>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</si>
  <si>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</si>
  <si>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</si>
  <si>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</si>
  <si>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</si>
  <si>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</si>
  <si>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</si>
  <si>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</si>
  <si>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</si>
  <si>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</si>
  <si>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</si>
  <si>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</si>
  <si>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</si>
  <si>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</si>
  <si>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</si>
  <si>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</si>
  <si>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</si>
  <si>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</si>
  <si>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</si>
  <si>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</si>
  <si>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</si>
  <si>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</si>
  <si>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</si>
  <si>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</si>
  <si>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</si>
  <si>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</si>
  <si>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</si>
  <si>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</si>
  <si>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</si>
  <si>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</si>
  <si>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</si>
  <si>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</si>
  <si>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</si>
  <si>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</si>
  <si>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</si>
  <si>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</si>
  <si>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</si>
  <si>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</si>
  <si>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</si>
  <si>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</si>
  <si>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</si>
  <si>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</si>
  <si>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</si>
  <si>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</si>
  <si>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</si>
  <si>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</si>
  <si>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</si>
  <si>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</si>
  <si>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</si>
  <si>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</si>
  <si>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</si>
  <si>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</si>
  <si>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</si>
  <si>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</si>
  <si>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</si>
  <si>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</si>
  <si>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</si>
  <si>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</si>
  <si>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</si>
  <si>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</si>
  <si>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</si>
  <si>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</si>
  <si>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</si>
  <si>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</si>
  <si>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</si>
  <si>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</si>
  <si>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</si>
  <si>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</si>
  <si>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</si>
  <si>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</si>
  <si>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</si>
  <si>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</si>
  <si>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</si>
  <si>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</si>
  <si>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</si>
  <si>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</si>
  <si>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</si>
  <si>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</si>
  <si>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</si>
  <si>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</si>
  <si>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</si>
  <si>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</si>
  <si>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</si>
  <si>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</si>
  <si>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</si>
  <si>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</si>
  <si>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</si>
  <si>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</si>
  <si>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</si>
  <si>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</si>
  <si>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</si>
  <si>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</si>
  <si>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</si>
  <si>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</si>
  <si>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</si>
  <si>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</si>
  <si>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</si>
  <si>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</si>
  <si>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</si>
  <si>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</si>
  <si>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</si>
  <si>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</si>
  <si>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</si>
  <si>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</si>
  <si>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</si>
  <si>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</si>
  <si>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</si>
  <si>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</si>
  <si>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</si>
  <si>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</si>
  <si>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</si>
  <si>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</si>
  <si>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</si>
  <si>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</si>
  <si>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</si>
  <si>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</si>
  <si>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</si>
  <si>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</si>
  <si>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</si>
  <si>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</si>
  <si>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</si>
  <si>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</si>
  <si>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</si>
  <si>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</si>
  <si>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</si>
  <si>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</si>
  <si>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</si>
  <si>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</si>
  <si>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</si>
  <si>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</si>
  <si>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</si>
  <si>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</si>
  <si>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</si>
  <si>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</si>
  <si>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</si>
  <si>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</si>
  <si>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</si>
  <si>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</si>
  <si>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</si>
  <si>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</si>
  <si>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</si>
  <si>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</si>
  <si>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</si>
  <si>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</si>
  <si>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</si>
  <si>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</si>
  <si>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</si>
  <si>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</si>
  <si>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</si>
  <si>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</si>
  <si>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</si>
  <si>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</si>
  <si>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</si>
  <si>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</si>
  <si>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</si>
  <si>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</si>
  <si>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</si>
  <si>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</si>
  <si>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</si>
  <si>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</si>
  <si>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</si>
  <si>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</si>
  <si>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</si>
  <si>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</si>
  <si>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</si>
  <si>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</si>
  <si>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</si>
  <si>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</si>
  <si>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</si>
  <si>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</si>
  <si>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</si>
  <si>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</si>
  <si>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</si>
  <si>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</si>
  <si>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</si>
  <si>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</si>
  <si>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</si>
  <si>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</si>
  <si>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</si>
  <si>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</si>
  <si>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</si>
  <si>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</si>
  <si>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</si>
  <si>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</si>
  <si>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</si>
  <si>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</si>
  <si>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</si>
  <si>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</si>
  <si>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</si>
  <si>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</si>
  <si>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</si>
  <si>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</si>
  <si>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</si>
  <si>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</si>
  <si>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</si>
  <si>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</si>
  <si>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</si>
  <si>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</si>
  <si>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</si>
  <si>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</si>
  <si>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</si>
  <si>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</si>
  <si>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</si>
  <si>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</si>
  <si>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</si>
  <si>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</si>
  <si>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</si>
  <si>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</si>
  <si>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</si>
  <si>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</si>
  <si>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</si>
  <si>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</si>
  <si>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</si>
  <si>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</si>
  <si>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</si>
  <si>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</si>
  <si>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</si>
  <si>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</si>
  <si>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</si>
  <si>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</si>
  <si>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</si>
  <si>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</si>
  <si>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</si>
  <si>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</si>
  <si>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</si>
  <si>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</si>
  <si>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</si>
  <si>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</si>
  <si>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</si>
  <si>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</si>
  <si>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</si>
  <si>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</si>
  <si>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</si>
  <si>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</si>
  <si>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</si>
  <si>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</si>
  <si>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</si>
  <si>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</si>
  <si>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</si>
  <si>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</si>
  <si>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</si>
  <si>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</si>
  <si>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</si>
  <si>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</si>
  <si>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</si>
  <si>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</si>
  <si>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</si>
  <si>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</si>
  <si>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</si>
  <si>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</si>
  <si>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</si>
  <si>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</si>
  <si>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</si>
  <si>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</si>
  <si>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</si>
  <si>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</si>
  <si>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</si>
  <si>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</si>
  <si>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</si>
  <si>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</si>
  <si>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</si>
  <si>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</si>
  <si>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</si>
  <si>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</si>
  <si>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</si>
  <si>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</si>
  <si>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</si>
  <si>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</si>
  <si>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</si>
  <si>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</si>
  <si>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</si>
  <si>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</si>
  <si>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</si>
  <si>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</si>
  <si>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</si>
  <si>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</si>
  <si>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</si>
  <si>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</si>
  <si>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</si>
  <si>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</si>
  <si>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</si>
  <si>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</si>
  <si>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</si>
  <si>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</si>
  <si>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</si>
  <si>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</si>
  <si>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</si>
  <si>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</si>
  <si>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</si>
  <si>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</si>
  <si>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</si>
  <si>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</si>
  <si>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</si>
  <si>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</si>
  <si>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</si>
  <si>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</si>
  <si>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</si>
  <si>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</si>
  <si>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</si>
  <si>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</si>
  <si>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</si>
  <si>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</si>
  <si>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</si>
  <si>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</si>
  <si>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</si>
  <si>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</si>
  <si>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</si>
  <si>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</si>
  <si>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</si>
  <si>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</si>
  <si>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</si>
  <si>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</si>
  <si>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</si>
  <si>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</si>
  <si>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</si>
  <si>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</si>
  <si>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</si>
  <si>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</si>
  <si>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</si>
  <si>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</si>
  <si>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</si>
  <si>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</si>
  <si>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</si>
  <si>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</si>
  <si>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</si>
  <si>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</si>
  <si>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</si>
  <si>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</si>
  <si>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</si>
  <si>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</si>
  <si>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</si>
  <si>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</si>
  <si>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</si>
  <si>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</si>
  <si>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</si>
  <si>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</si>
  <si>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</si>
  <si>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</si>
  <si>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</si>
  <si>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</si>
  <si>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</si>
  <si>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</si>
  <si>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</si>
  <si>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</si>
  <si>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</si>
  <si>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</si>
  <si>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</si>
  <si>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</si>
  <si>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</si>
  <si>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</si>
  <si>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</si>
  <si>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</si>
  <si>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</si>
  <si>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</si>
  <si>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</si>
  <si>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</si>
  <si>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</si>
  <si>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</si>
  <si>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</si>
  <si>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</si>
  <si>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</si>
  <si>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</si>
  <si>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</si>
  <si>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</si>
  <si>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</si>
  <si>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</si>
  <si>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</si>
  <si>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</si>
  <si>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</si>
  <si>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</si>
  <si>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</si>
  <si>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</si>
  <si>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</si>
  <si>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</si>
  <si>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</si>
  <si>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</si>
  <si>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</si>
  <si>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</si>
  <si>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</si>
  <si>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</si>
  <si>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</si>
  <si>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</si>
  <si>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</si>
  <si>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</si>
  <si>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</si>
  <si>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</si>
  <si>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</si>
  <si>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</si>
  <si>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</si>
  <si>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</si>
  <si>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</si>
  <si>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</si>
  <si>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</si>
  <si>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</si>
  <si>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</si>
  <si>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</si>
  <si>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</si>
  <si>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</si>
  <si>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</si>
  <si>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</si>
  <si>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</si>
  <si>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</si>
  <si>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</si>
  <si>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</si>
  <si>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</si>
  <si>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</si>
  <si>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</si>
  <si>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</si>
  <si>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</si>
  <si>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</si>
  <si>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</si>
  <si>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</si>
  <si>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</si>
  <si>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</si>
  <si>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</si>
  <si>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</si>
  <si>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</si>
  <si>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</si>
  <si>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</si>
  <si>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</si>
  <si>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</si>
  <si>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</si>
  <si>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</si>
  <si>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</si>
  <si>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</si>
  <si>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</si>
  <si>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</si>
  <si>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</si>
  <si>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</si>
  <si>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</si>
  <si>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</si>
  <si>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</si>
  <si>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</si>
  <si>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</si>
  <si>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</si>
  <si>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</si>
  <si>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</si>
  <si>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</si>
  <si>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</si>
  <si>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</si>
  <si>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</si>
  <si>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</si>
  <si>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</si>
  <si>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</si>
  <si>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</si>
  <si>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</si>
  <si>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</si>
  <si>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</si>
  <si>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</si>
  <si>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</si>
  <si>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</si>
  <si>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</si>
  <si>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</si>
  <si>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</si>
  <si>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</si>
  <si>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</si>
  <si>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</si>
  <si>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</si>
  <si>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</si>
  <si>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</si>
  <si>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</si>
  <si>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</si>
  <si>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</si>
  <si>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</si>
  <si>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</si>
  <si>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</si>
  <si>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</si>
  <si>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</si>
  <si>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</si>
  <si>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</si>
  <si>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</si>
  <si>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</si>
  <si>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</si>
  <si>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</si>
  <si>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</si>
  <si>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</si>
  <si>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</si>
  <si>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</si>
  <si>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</si>
  <si>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</si>
  <si>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</si>
  <si>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</si>
  <si>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</si>
  <si>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</si>
  <si>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</si>
  <si>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</si>
  <si>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</si>
  <si>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</si>
  <si>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</si>
  <si>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</si>
  <si>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</si>
  <si>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</si>
  <si>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</si>
  <si>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</si>
  <si>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</si>
  <si>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</si>
  <si>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</si>
  <si>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</si>
  <si>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</si>
  <si>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</si>
  <si>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</si>
  <si>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</si>
  <si>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</si>
  <si>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</si>
  <si>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</si>
  <si>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</si>
  <si>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</si>
  <si>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</si>
  <si>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</si>
  <si>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</si>
  <si>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</si>
  <si>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</si>
  <si>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</si>
  <si>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</si>
  <si>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</si>
  <si>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</si>
  <si>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</si>
  <si>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</si>
  <si>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</si>
  <si>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</si>
  <si>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</si>
  <si>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</si>
  <si>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</si>
  <si>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</si>
  <si>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</si>
  <si>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</si>
  <si>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</si>
  <si>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</si>
  <si>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</si>
  <si>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</si>
  <si>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</si>
  <si>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</si>
  <si>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</si>
  <si>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</si>
  <si>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</si>
  <si>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</si>
  <si>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</si>
  <si>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</si>
  <si>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</si>
  <si>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</si>
  <si>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</si>
  <si>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</si>
  <si>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</si>
  <si>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</si>
  <si>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</si>
  <si>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</si>
  <si>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</si>
  <si>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</si>
  <si>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</si>
  <si>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</si>
  <si>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</si>
  <si>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</si>
  <si>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</si>
  <si>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</si>
  <si>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</si>
  <si>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</si>
  <si>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</si>
  <si>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</si>
  <si>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</si>
  <si>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</si>
  <si>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</si>
  <si>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</si>
  <si>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</si>
  <si>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</si>
  <si>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</si>
  <si>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</si>
  <si>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</si>
  <si>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</si>
  <si>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</si>
  <si>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</si>
  <si>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</si>
  <si>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</si>
  <si>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</si>
  <si>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</si>
  <si>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</si>
  <si>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</si>
  <si>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</si>
  <si>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</si>
  <si>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</si>
  <si>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</si>
  <si>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</si>
  <si>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</si>
  <si>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</si>
  <si>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</si>
  <si>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</si>
  <si>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</si>
  <si>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</si>
  <si>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</si>
  <si>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</si>
  <si>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</si>
  <si>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</si>
  <si>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</si>
  <si>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</si>
  <si>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</si>
  <si>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</si>
  <si>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</si>
  <si>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</si>
  <si>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</si>
  <si>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</si>
  <si>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</si>
  <si>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</si>
  <si>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</si>
  <si>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</si>
  <si>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</si>
  <si>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</si>
  <si>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</si>
  <si>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</si>
  <si>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</si>
  <si>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</si>
  <si>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</si>
  <si>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</si>
  <si>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</si>
  <si>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</si>
  <si>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</si>
  <si>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</si>
  <si>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</si>
  <si>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</si>
  <si>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</si>
  <si>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</si>
  <si>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</si>
  <si>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</si>
  <si>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</si>
  <si>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</si>
  <si>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</si>
  <si>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</si>
  <si>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</si>
  <si>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</si>
  <si>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</si>
  <si>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</si>
  <si>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</si>
  <si>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</si>
  <si>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</si>
  <si>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</si>
  <si>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</si>
  <si>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</si>
  <si>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</si>
  <si>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</si>
  <si>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</si>
  <si>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</si>
  <si>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</si>
  <si>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</si>
  <si>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</si>
  <si>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</si>
  <si>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</si>
  <si>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</si>
  <si>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</si>
  <si>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</si>
  <si>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</si>
  <si>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</si>
  <si>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</si>
  <si>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</si>
  <si>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</si>
  <si>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</si>
  <si>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</si>
  <si>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</si>
  <si>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</si>
  <si>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</si>
  <si>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</si>
  <si>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</si>
  <si>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</si>
  <si>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</si>
  <si>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</si>
  <si>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</si>
  <si>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</si>
  <si>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</si>
  <si>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</si>
  <si>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</si>
  <si>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</si>
  <si>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</si>
  <si>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</si>
  <si>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</si>
  <si>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</si>
  <si>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</si>
  <si>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</si>
  <si>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</si>
  <si>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</si>
  <si>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</si>
  <si>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</si>
  <si>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</si>
  <si>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</si>
  <si>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</si>
  <si>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</si>
  <si>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</si>
  <si>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</si>
  <si>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</si>
  <si>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</si>
  <si>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</si>
  <si>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</si>
  <si>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</si>
  <si>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</si>
  <si>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</si>
  <si>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</si>
  <si>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</si>
  <si>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</si>
  <si>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</si>
  <si>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</si>
  <si>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</si>
  <si>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</si>
  <si>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</si>
  <si>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</si>
  <si>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</si>
  <si>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</si>
  <si>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</si>
  <si>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</si>
  <si>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</si>
  <si>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</si>
  <si>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</si>
  <si>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</si>
  <si>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</si>
  <si>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</si>
  <si>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</si>
  <si>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</si>
  <si>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</si>
  <si>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</si>
  <si>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</si>
  <si>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</si>
  <si>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</si>
  <si>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</si>
  <si>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</si>
  <si>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</si>
  <si>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</si>
  <si>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</si>
  <si>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</si>
  <si>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</si>
  <si>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</si>
  <si>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</si>
  <si>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</si>
  <si>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</si>
  <si>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</si>
  <si>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</si>
  <si>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</si>
  <si>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</si>
  <si>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</si>
  <si>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</si>
  <si>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</si>
  <si>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</si>
  <si>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</si>
  <si>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</si>
  <si>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</si>
  <si>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</si>
  <si>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</si>
  <si>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</si>
  <si>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</si>
  <si>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</si>
  <si>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</si>
  <si>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</si>
  <si>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</si>
  <si>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</si>
  <si>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</si>
  <si>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</si>
  <si>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</si>
  <si>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</si>
  <si>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</si>
  <si>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</si>
  <si>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</si>
  <si>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</si>
  <si>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</si>
  <si>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</si>
  <si>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</si>
  <si>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</si>
  <si>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</si>
  <si>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</si>
  <si>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</si>
  <si>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</si>
  <si>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</si>
  <si>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</si>
  <si>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</si>
  <si>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</si>
  <si>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</si>
  <si>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</si>
  <si>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</si>
  <si>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</si>
  <si>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</si>
  <si>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</si>
  <si>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</si>
  <si>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</si>
  <si>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</si>
  <si>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</si>
  <si>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</si>
  <si>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</si>
  <si>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</si>
  <si>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</si>
  <si>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</si>
  <si>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</si>
  <si>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</si>
  <si>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</si>
  <si>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</si>
  <si>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</si>
  <si>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</si>
  <si>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</si>
  <si>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</si>
  <si>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</si>
  <si>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</si>
  <si>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</si>
  <si>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</si>
  <si>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</si>
  <si>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</si>
  <si>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</si>
  <si>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</si>
  <si>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</si>
  <si>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</si>
  <si>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</si>
  <si>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</si>
  <si>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</si>
  <si>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</si>
  <si>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</si>
  <si>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</si>
  <si>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</si>
  <si>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</si>
  <si>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</si>
  <si>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</si>
  <si>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</si>
  <si>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</si>
  <si>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</si>
  <si>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</si>
  <si>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</si>
  <si>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</si>
  <si>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</si>
  <si>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</si>
  <si>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</si>
  <si>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</si>
  <si>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</si>
  <si>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</si>
  <si>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</si>
  <si>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</si>
  <si>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</si>
  <si>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</si>
  <si>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</si>
  <si>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</si>
  <si>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</si>
  <si>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</si>
  <si>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</si>
  <si>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</si>
  <si>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</si>
  <si>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</si>
  <si>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</si>
  <si>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</si>
  <si>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</si>
  <si>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</si>
  <si>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</si>
  <si>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</si>
  <si>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</si>
  <si>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</si>
  <si>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</si>
  <si>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</si>
  <si>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</si>
  <si>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</si>
  <si>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</si>
  <si>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</si>
  <si>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</si>
  <si>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</si>
  <si>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</si>
  <si>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</si>
  <si>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</si>
  <si>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</si>
  <si>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</si>
  <si>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</si>
  <si>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</si>
  <si>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</si>
  <si>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</si>
  <si>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</si>
  <si>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</si>
  <si>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</si>
  <si>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</si>
  <si>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</si>
  <si>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</si>
  <si>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</si>
  <si>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</si>
  <si>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</si>
  <si>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</si>
  <si>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</si>
  <si>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</si>
  <si>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</si>
  <si>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</si>
  <si>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</si>
  <si>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</si>
  <si>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</si>
  <si>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</si>
  <si>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</si>
  <si>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</si>
  <si>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</si>
  <si>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</si>
  <si>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</si>
  <si>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</si>
  <si>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</si>
  <si>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</si>
  <si>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</si>
  <si>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</si>
  <si>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</si>
  <si>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</si>
  <si>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</si>
  <si>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</si>
  <si>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</si>
  <si>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</si>
  <si>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</si>
  <si>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</si>
  <si>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</si>
  <si>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</si>
  <si>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</si>
  <si>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</si>
  <si>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</si>
  <si>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</si>
  <si>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</si>
  <si>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</si>
  <si>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</si>
  <si>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</si>
  <si>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</si>
  <si>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</si>
  <si>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</si>
  <si>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</si>
  <si>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</si>
  <si>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</si>
  <si>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</si>
  <si>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</si>
  <si>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</si>
  <si>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</si>
  <si>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</si>
  <si>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</si>
  <si>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</si>
  <si>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</si>
  <si>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</si>
  <si>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</si>
  <si>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</si>
  <si>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</si>
  <si>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</si>
  <si>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</si>
  <si>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</si>
  <si>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</si>
  <si>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</si>
  <si>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</si>
  <si>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</si>
  <si>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</si>
  <si>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</si>
  <si>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</si>
  <si>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</si>
  <si>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</si>
  <si>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</si>
  <si>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</si>
  <si>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</si>
  <si>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</si>
  <si>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</si>
  <si>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</si>
  <si>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</si>
  <si>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</si>
  <si>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</si>
  <si>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</si>
  <si>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</si>
  <si>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</si>
  <si>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</si>
  <si>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</si>
  <si>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</si>
  <si>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</si>
  <si>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</si>
  <si>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</si>
  <si>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</si>
  <si>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</si>
  <si>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</si>
  <si>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</si>
  <si>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</si>
  <si>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</si>
  <si>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</si>
  <si>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</si>
  <si>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</si>
  <si>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</si>
  <si>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</si>
  <si>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</si>
  <si>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</si>
  <si>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</si>
  <si>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</si>
  <si>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</si>
  <si>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</si>
  <si>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</si>
  <si>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</si>
  <si>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</si>
  <si>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</si>
  <si>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</si>
  <si>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</si>
  <si>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</si>
  <si>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</si>
  <si>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</si>
  <si>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</si>
  <si>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</si>
  <si>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</si>
  <si>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</si>
  <si>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</si>
  <si>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</si>
  <si>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</si>
  <si>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</si>
  <si>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</si>
  <si>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</si>
  <si>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</si>
  <si>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</si>
  <si>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</si>
  <si>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</si>
  <si>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</si>
  <si>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</si>
  <si>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</si>
  <si>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</si>
  <si>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</si>
  <si>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</si>
  <si>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</si>
  <si>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</si>
  <si>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</si>
  <si>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</si>
  <si>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</si>
  <si>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</si>
  <si>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</si>
  <si>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</si>
  <si>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</si>
  <si>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</si>
  <si>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</si>
  <si>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</si>
  <si>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</si>
  <si>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</si>
  <si>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</si>
  <si>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</si>
  <si>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</si>
  <si>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</si>
  <si>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</si>
  <si>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</si>
  <si>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</si>
  <si>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</si>
  <si>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</si>
  <si>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</si>
  <si>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</si>
  <si>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</si>
  <si>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</si>
  <si>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</si>
  <si>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</si>
  <si>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</si>
  <si>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</si>
  <si>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</si>
  <si>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</si>
  <si>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</si>
  <si>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</si>
  <si>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</si>
  <si>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</si>
  <si>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</si>
  <si>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</si>
  <si>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</si>
  <si>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</si>
  <si>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</si>
  <si>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</si>
  <si>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</si>
  <si>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</si>
  <si>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</si>
  <si>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</si>
  <si>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</si>
  <si>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</si>
  <si>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</si>
  <si>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</si>
  <si>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</si>
  <si>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</si>
  <si>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</si>
  <si>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</si>
  <si>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</si>
  <si>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</si>
  <si>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</si>
  <si>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</si>
  <si>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</si>
  <si>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</si>
  <si>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</si>
  <si>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</si>
  <si>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</si>
  <si>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</si>
  <si>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</si>
  <si>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</si>
  <si>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</si>
  <si>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</si>
  <si>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</si>
  <si>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</si>
  <si>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</si>
  <si>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</si>
  <si>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</si>
  <si>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</si>
  <si>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</si>
  <si>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</si>
  <si>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</si>
  <si>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</si>
  <si>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</si>
  <si>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</si>
  <si>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</si>
  <si>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</si>
  <si>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</si>
  <si>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</si>
  <si>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</si>
  <si>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</si>
  <si>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</si>
  <si>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</si>
  <si>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</si>
  <si>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</si>
  <si>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</si>
  <si>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</si>
  <si>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</si>
  <si>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</si>
  <si>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</si>
  <si>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</si>
  <si>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</si>
  <si>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</si>
  <si>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</si>
  <si>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</si>
  <si>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</si>
  <si>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</si>
  <si>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</si>
  <si>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</si>
  <si>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</si>
  <si>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</si>
  <si>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</si>
  <si>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</si>
  <si>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</si>
  <si>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</si>
  <si>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</si>
  <si>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</si>
  <si>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</si>
  <si>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</si>
  <si>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</si>
  <si>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</si>
  <si>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</si>
  <si>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</si>
  <si>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</si>
  <si>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</si>
  <si>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</si>
  <si>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</si>
  <si>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</si>
  <si>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</si>
  <si>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</si>
  <si>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</si>
  <si>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</si>
  <si>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</si>
  <si>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</si>
  <si>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</si>
  <si>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</si>
  <si>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</si>
  <si>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</si>
  <si>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</si>
  <si>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</si>
  <si>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</si>
  <si>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</si>
  <si>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</si>
  <si>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</si>
  <si>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</si>
  <si>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</si>
  <si>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</si>
  <si>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</si>
  <si>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</si>
  <si>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</si>
  <si>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</si>
  <si>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</si>
  <si>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</si>
  <si>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</si>
  <si>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</si>
  <si>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</si>
  <si>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</si>
  <si>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</si>
  <si>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</si>
  <si>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</si>
  <si>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</si>
  <si>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</si>
  <si>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</si>
  <si>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</si>
  <si>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</si>
  <si>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</si>
  <si>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</si>
  <si>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</si>
  <si>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</si>
  <si>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</si>
  <si>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</si>
  <si>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</si>
  <si>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</si>
  <si>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</si>
  <si>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</si>
  <si>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</si>
  <si>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</si>
  <si>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</si>
  <si>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</si>
  <si>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</si>
  <si>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</si>
  <si>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</si>
  <si>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</si>
  <si>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</si>
  <si>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</si>
  <si>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</si>
  <si>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</si>
  <si>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</si>
  <si>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</si>
  <si>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</si>
  <si>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</si>
  <si>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</si>
  <si>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</si>
  <si>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</si>
  <si>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</si>
  <si>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</si>
  <si>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</si>
  <si>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</si>
  <si>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</si>
  <si>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</si>
  <si>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</si>
  <si>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</si>
  <si>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</si>
  <si>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</si>
  <si>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</si>
  <si>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</si>
  <si>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</si>
  <si>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</si>
  <si>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</si>
  <si>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</si>
  <si>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</si>
  <si>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</si>
  <si>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</si>
  <si>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</si>
  <si>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</si>
  <si>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</si>
  <si>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</si>
  <si>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</si>
  <si>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</si>
  <si>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</si>
  <si>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</si>
  <si>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</si>
  <si>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</si>
  <si>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</si>
  <si>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</si>
  <si>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</si>
  <si>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</si>
  <si>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</si>
  <si>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</si>
  <si>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</si>
  <si>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</si>
  <si>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</si>
  <si>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</si>
  <si>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</si>
  <si>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</si>
  <si>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</si>
  <si>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</si>
  <si>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</si>
  <si>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</si>
  <si>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</si>
  <si>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</si>
  <si>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</si>
  <si>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</si>
  <si>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</si>
  <si>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</si>
  <si>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</si>
  <si>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</si>
  <si>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</si>
  <si>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</si>
  <si>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</si>
  <si>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</si>
  <si>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</si>
  <si>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</si>
  <si>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</si>
  <si>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</si>
  <si>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</si>
  <si>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</si>
  <si>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</si>
  <si>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</si>
  <si>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</si>
  <si>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</si>
  <si>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</si>
  <si>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</si>
  <si>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</si>
  <si>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</si>
  <si>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</si>
  <si>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</si>
  <si>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</si>
  <si>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</si>
  <si>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</si>
  <si>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</si>
  <si>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</si>
  <si>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</si>
  <si>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</si>
  <si>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</si>
  <si>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</si>
  <si>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</si>
  <si>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</si>
  <si>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</si>
  <si>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</si>
  <si>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</si>
  <si>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</si>
  <si>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</si>
  <si>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</si>
  <si>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</si>
  <si>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</si>
  <si>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</si>
  <si>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</si>
  <si>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</si>
  <si>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</si>
  <si>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</si>
  <si>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</si>
  <si>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</si>
  <si>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</si>
  <si>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</si>
  <si>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</si>
  <si>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</si>
  <si>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</si>
  <si>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</si>
  <si>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</si>
  <si>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</si>
  <si>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</si>
  <si>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</si>
  <si>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</si>
  <si>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</si>
  <si>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</si>
  <si>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</si>
  <si>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</si>
  <si>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</si>
  <si>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</si>
  <si>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</si>
  <si>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</si>
  <si>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</si>
  <si>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</si>
  <si>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</si>
  <si>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</si>
  <si>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</si>
  <si>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</si>
  <si>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</si>
  <si>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</si>
  <si>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</si>
  <si>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</si>
  <si>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</si>
  <si>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</si>
  <si>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</si>
  <si>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</si>
  <si>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</si>
  <si>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</si>
  <si>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</si>
  <si>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</si>
  <si>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</si>
  <si>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</si>
  <si>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</si>
  <si>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</si>
  <si>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</si>
  <si>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</si>
  <si>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</si>
  <si>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</si>
  <si>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</si>
  <si>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</si>
  <si>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</si>
  <si>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</si>
  <si>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</si>
  <si>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</si>
  <si>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</si>
  <si>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</si>
  <si>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</si>
  <si>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</si>
  <si>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</si>
  <si>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</si>
  <si>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</si>
  <si>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</si>
  <si>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</si>
  <si>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</si>
  <si>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</si>
  <si>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</si>
  <si>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</si>
  <si>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</si>
  <si>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</si>
  <si>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</si>
  <si>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</si>
  <si>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</si>
  <si>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</si>
  <si>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</si>
  <si>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</si>
  <si>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</si>
  <si>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</si>
  <si>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</si>
  <si>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</si>
  <si>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</si>
  <si>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</si>
  <si>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</si>
  <si>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</si>
  <si>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</si>
  <si>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</si>
  <si>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</si>
  <si>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</si>
  <si>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</si>
  <si>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</si>
  <si>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</si>
  <si>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</si>
  <si>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</si>
  <si>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</si>
  <si>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</si>
  <si>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</si>
  <si>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</si>
  <si>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</si>
  <si>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</si>
  <si>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</si>
  <si>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</si>
  <si>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</si>
  <si>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</si>
  <si>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</si>
  <si>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</si>
  <si>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</si>
  <si>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</si>
  <si>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</si>
  <si>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</si>
  <si>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</si>
  <si>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</si>
  <si>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</si>
  <si>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</si>
  <si>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</si>
  <si>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</si>
  <si>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</si>
  <si>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</si>
  <si>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</si>
  <si>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</si>
  <si>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</si>
  <si>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</si>
  <si>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</si>
  <si>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</si>
  <si>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</si>
  <si>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</si>
  <si>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</si>
  <si>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</si>
  <si>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</si>
  <si>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</si>
  <si>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</si>
  <si>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</si>
  <si>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</si>
  <si>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</si>
  <si>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</si>
  <si>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</si>
  <si>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</si>
  <si>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</si>
  <si>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</si>
  <si>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</si>
  <si>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</si>
  <si>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</si>
  <si>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</si>
  <si>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</si>
  <si>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</si>
  <si>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</si>
  <si>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</si>
  <si>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</si>
  <si>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</si>
  <si>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</si>
  <si>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</si>
  <si>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</si>
  <si>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</si>
  <si>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</si>
  <si>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</si>
  <si>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</si>
  <si>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</si>
  <si>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</si>
  <si>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</si>
  <si>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</si>
  <si>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</si>
  <si>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</si>
  <si>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</si>
  <si>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</si>
  <si>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</si>
  <si>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</si>
  <si>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</si>
  <si>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</si>
  <si>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</si>
  <si>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</si>
  <si>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</si>
  <si>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</si>
  <si>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</si>
  <si>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</si>
  <si>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</si>
  <si>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</si>
  <si>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</si>
  <si>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</si>
  <si>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</si>
  <si>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</si>
  <si>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</si>
  <si>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</si>
  <si>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</si>
  <si>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</si>
  <si>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</si>
  <si>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</si>
  <si>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</si>
  <si>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</si>
  <si>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</si>
  <si>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</si>
  <si>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</si>
  <si>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</si>
  <si>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</si>
  <si>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</si>
  <si>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</si>
  <si>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</si>
  <si>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</si>
  <si>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</si>
  <si>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</si>
  <si>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</si>
  <si>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</si>
  <si>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</si>
  <si>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</si>
  <si>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</si>
  <si>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</si>
  <si>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</si>
  <si>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</si>
  <si>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</si>
  <si>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</si>
  <si>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</si>
  <si>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</si>
  <si>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</si>
  <si>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</si>
  <si>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</si>
  <si>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</si>
  <si>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</si>
  <si>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</si>
  <si>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</si>
  <si>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</si>
  <si>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</si>
  <si>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</si>
  <si>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</si>
  <si>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</si>
  <si>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</si>
  <si>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</si>
  <si>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</si>
  <si>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</si>
  <si>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</si>
  <si>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</si>
  <si>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</si>
  <si>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</si>
  <si>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</si>
  <si>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</si>
  <si>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</si>
  <si>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</si>
  <si>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</si>
  <si>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</si>
  <si>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</si>
  <si>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</si>
  <si>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</si>
  <si>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</si>
  <si>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</si>
  <si>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</si>
  <si>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</si>
  <si>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</si>
  <si>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</si>
  <si>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</si>
  <si>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</si>
  <si>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</si>
  <si>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</si>
  <si>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</si>
  <si>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</si>
  <si>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</si>
  <si>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</si>
  <si>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</si>
  <si>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</si>
  <si>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</si>
  <si>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</si>
  <si>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</si>
  <si>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</si>
  <si>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</si>
  <si>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</si>
  <si>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</si>
  <si>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</si>
  <si>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</si>
  <si>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</si>
  <si>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</si>
  <si>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</si>
  <si>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</si>
  <si>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</si>
  <si>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</si>
  <si>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</si>
  <si>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</si>
  <si>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</si>
  <si>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</si>
  <si>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</si>
  <si>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</si>
  <si>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</si>
  <si>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</si>
  <si>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</si>
  <si>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</si>
  <si>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</si>
  <si>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</si>
  <si>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</si>
  <si>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</si>
  <si>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</si>
  <si>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</si>
  <si>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</si>
  <si>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</si>
  <si>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</si>
  <si>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</si>
  <si>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</si>
  <si>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</si>
  <si>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</si>
  <si>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</si>
  <si>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</si>
  <si>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</si>
  <si>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</si>
  <si>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</si>
  <si>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</si>
  <si>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</si>
  <si>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</si>
  <si>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</si>
  <si>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</si>
  <si>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</si>
  <si>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</si>
  <si>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</si>
  <si>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</si>
  <si>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</si>
  <si>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</si>
  <si>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</si>
  <si>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</si>
  <si>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</si>
  <si>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</si>
  <si>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</si>
  <si>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</si>
  <si>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</si>
  <si>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</si>
  <si>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</si>
  <si>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</si>
  <si>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</si>
  <si>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</si>
  <si>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</si>
  <si>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</si>
  <si>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</si>
  <si>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</si>
  <si>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</si>
  <si>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</si>
  <si>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</si>
  <si>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</si>
  <si>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</si>
  <si>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</si>
  <si>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</si>
  <si>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</si>
  <si>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</si>
  <si>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</si>
  <si>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</si>
  <si>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</si>
  <si>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</si>
  <si>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</si>
  <si>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</si>
  <si>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</si>
  <si>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</si>
  <si>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</si>
  <si>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</si>
  <si>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</si>
  <si>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</si>
  <si>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</si>
  <si>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</si>
  <si>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</si>
  <si>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</si>
  <si>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</si>
  <si>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</si>
  <si>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</si>
  <si>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</si>
  <si>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</si>
  <si>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</si>
  <si>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</si>
  <si>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</si>
  <si>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</si>
  <si>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</si>
  <si>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</si>
  <si>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</si>
  <si>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</si>
  <si>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</si>
  <si>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</si>
  <si>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</si>
  <si>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</si>
  <si>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</si>
  <si>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</si>
  <si>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</si>
  <si>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</si>
  <si>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</si>
  <si>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</si>
  <si>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</si>
  <si>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</si>
  <si>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</si>
  <si>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</si>
  <si>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</si>
  <si>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</si>
  <si>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</si>
  <si>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</si>
  <si>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</si>
  <si>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</si>
  <si>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</si>
  <si>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</si>
  <si>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</si>
  <si>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</si>
  <si>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</si>
  <si>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</si>
  <si>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</si>
  <si>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</si>
  <si>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</si>
  <si>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</si>
  <si>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</si>
  <si>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</si>
  <si>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</si>
  <si>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</si>
  <si>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</si>
  <si>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</si>
  <si>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</si>
  <si>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</si>
  <si>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</si>
  <si>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</si>
  <si>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</si>
  <si>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</si>
  <si>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</si>
  <si>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</si>
  <si>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</si>
  <si>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</si>
  <si>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</si>
  <si>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</si>
  <si>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</si>
  <si>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</si>
  <si>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</si>
  <si>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</si>
  <si>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</si>
  <si>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</si>
  <si>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</si>
  <si>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</si>
  <si>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</si>
  <si>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</si>
  <si>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</si>
  <si>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</si>
  <si>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</si>
  <si>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</si>
  <si>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</si>
  <si>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</si>
  <si>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</si>
  <si>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</si>
  <si>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</si>
  <si>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</si>
  <si>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</si>
  <si>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</si>
  <si>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</si>
  <si>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</si>
  <si>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</si>
  <si>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</si>
  <si>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</si>
  <si>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</si>
  <si>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</si>
  <si>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</si>
  <si>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</si>
  <si>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</si>
  <si>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</si>
  <si>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</si>
  <si>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</si>
  <si>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</si>
  <si>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</si>
  <si>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</si>
  <si>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</si>
  <si>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</si>
  <si>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</si>
  <si>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</si>
  <si>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</si>
  <si>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</si>
  <si>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</si>
  <si>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</si>
  <si>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</si>
  <si>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</si>
  <si>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</si>
  <si>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</si>
  <si>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</si>
  <si>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</si>
  <si>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</si>
  <si>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</si>
  <si>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</si>
  <si>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</si>
  <si>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</si>
  <si>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</si>
  <si>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</si>
  <si>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</si>
  <si>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</si>
  <si>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</si>
  <si>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</si>
  <si>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</si>
  <si>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</si>
  <si>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</si>
  <si>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</si>
  <si>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</si>
  <si>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</si>
  <si>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</si>
  <si>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</si>
  <si>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</si>
  <si>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</si>
  <si>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</si>
  <si>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</si>
  <si>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</si>
  <si>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</si>
  <si>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</si>
  <si>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</si>
  <si>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</si>
  <si>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</si>
  <si>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</si>
  <si>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</si>
  <si>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</si>
  <si>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</si>
  <si>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</si>
  <si>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</si>
  <si>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</si>
  <si>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</si>
  <si>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</si>
  <si>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</si>
  <si>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</si>
  <si>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</si>
  <si>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</si>
  <si>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</si>
  <si>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</si>
  <si>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</si>
  <si>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</si>
  <si>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</si>
  <si>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</si>
  <si>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</si>
  <si>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</si>
  <si>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</si>
  <si>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</si>
  <si>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</si>
  <si>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</si>
  <si>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</si>
  <si>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</si>
  <si>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</si>
  <si>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</si>
  <si>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</si>
  <si>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</si>
  <si>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</si>
  <si>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</si>
  <si>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</si>
  <si>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</si>
  <si>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</si>
  <si>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</si>
  <si>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</si>
  <si>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</si>
  <si>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</si>
  <si>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</si>
  <si>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</si>
  <si>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</si>
  <si>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</si>
  <si>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</si>
  <si>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</si>
  <si>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</si>
  <si>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</si>
  <si>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</si>
  <si>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</si>
  <si>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</si>
  <si>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</si>
  <si>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</si>
  <si>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</si>
  <si>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</si>
  <si>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</si>
  <si>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</si>
  <si>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</si>
  <si>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</si>
  <si>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</si>
  <si>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</si>
  <si>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</si>
  <si>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</si>
  <si>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</si>
  <si>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</si>
  <si>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</si>
  <si>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</si>
  <si>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</si>
  <si>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</si>
  <si>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</si>
  <si>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</si>
  <si>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</si>
  <si>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</si>
  <si>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</si>
  <si>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</si>
  <si>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</si>
  <si>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</si>
  <si>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</si>
  <si>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</si>
  <si>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</si>
  <si>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</si>
  <si>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</si>
  <si>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</si>
  <si>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</si>
  <si>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</si>
  <si>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</si>
  <si>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</si>
  <si>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</si>
  <si>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</si>
  <si>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</si>
  <si>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</si>
  <si>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</si>
  <si>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</si>
  <si>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</si>
  <si>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</si>
  <si>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</si>
  <si>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</si>
  <si>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</si>
  <si>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</si>
  <si>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</si>
  <si>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</si>
  <si>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</si>
  <si>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</si>
  <si>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</si>
  <si>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</si>
  <si>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</si>
  <si>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</si>
  <si>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</si>
  <si>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</si>
  <si>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</si>
  <si>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</si>
  <si>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</si>
  <si>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</si>
  <si>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</si>
  <si>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</si>
  <si>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</si>
  <si>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</si>
  <si>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</si>
  <si>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</si>
  <si>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</si>
  <si>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</si>
  <si>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</si>
  <si>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</si>
  <si>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</si>
  <si>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</si>
  <si>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</si>
  <si>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</si>
  <si>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</si>
  <si>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</si>
  <si>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</si>
  <si>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</si>
  <si>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</si>
  <si>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</si>
  <si>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</si>
  <si>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</si>
  <si>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</si>
  <si>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</si>
  <si>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</si>
  <si>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</si>
  <si>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</si>
  <si>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</si>
  <si>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</si>
  <si>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</si>
  <si>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</si>
  <si>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</si>
  <si>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</si>
  <si>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</si>
  <si>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</si>
  <si>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</si>
  <si>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</si>
  <si>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</si>
  <si>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</si>
  <si>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</si>
  <si>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</si>
  <si>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</si>
  <si>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</si>
  <si>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</si>
  <si>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</si>
  <si>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</si>
  <si>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</si>
  <si>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</si>
  <si>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</si>
  <si>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</si>
  <si>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</si>
  <si>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</si>
  <si>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</si>
  <si>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</si>
  <si>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</si>
  <si>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</si>
  <si>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</si>
  <si>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</si>
  <si>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</si>
  <si>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</si>
  <si>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</si>
  <si>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</si>
  <si>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</si>
  <si>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</si>
  <si>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</si>
  <si>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</si>
  <si>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</si>
  <si>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</si>
  <si>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</si>
  <si>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</si>
  <si>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</si>
  <si>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</si>
  <si>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</si>
  <si>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</si>
  <si>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</si>
  <si>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</si>
  <si>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</si>
  <si>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</si>
  <si>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</si>
  <si>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</si>
  <si>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</si>
  <si>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</si>
  <si>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</si>
  <si>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</si>
  <si>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</si>
  <si>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</si>
  <si>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</si>
  <si>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</si>
  <si>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</si>
  <si>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</si>
  <si>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</si>
  <si>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</si>
  <si>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</si>
  <si>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</si>
  <si>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</si>
  <si>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</si>
  <si>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</si>
  <si>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</si>
  <si>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</si>
  <si>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</si>
  <si>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</si>
  <si>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</si>
  <si>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</si>
  <si>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</si>
  <si>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</si>
  <si>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</si>
  <si>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</si>
  <si>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</si>
  <si>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</si>
  <si>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</si>
  <si>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</si>
  <si>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</si>
  <si>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</si>
  <si>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</si>
  <si>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</si>
  <si>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</si>
  <si>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</si>
  <si>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</si>
  <si>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</si>
  <si>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</si>
  <si>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</si>
  <si>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</si>
  <si>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</si>
  <si>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</si>
  <si>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</si>
  <si>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</si>
  <si>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</si>
  <si>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</si>
  <si>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</si>
  <si>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</si>
  <si>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</si>
  <si>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</si>
  <si>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</si>
  <si>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</si>
  <si>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</si>
  <si>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</si>
  <si>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</si>
  <si>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</si>
  <si>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</si>
  <si>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</si>
  <si>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</si>
  <si>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</si>
  <si>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</si>
  <si>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</si>
  <si>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</si>
  <si>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</si>
  <si>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</si>
  <si>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</si>
  <si>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</si>
  <si>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</si>
  <si>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</si>
  <si>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</si>
  <si>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</si>
  <si>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</si>
  <si>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</si>
  <si>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</si>
  <si>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</si>
  <si>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</si>
  <si>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</si>
  <si>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</si>
  <si>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</si>
  <si>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</si>
  <si>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</si>
  <si>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</si>
  <si>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</si>
  <si>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</si>
  <si>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</si>
  <si>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</si>
  <si>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</si>
  <si>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</si>
  <si>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</si>
  <si>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</si>
  <si>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</si>
  <si>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</si>
  <si>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</si>
  <si>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</si>
  <si>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</si>
  <si>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</si>
  <si>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</si>
  <si>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</si>
  <si>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</si>
  <si>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</si>
  <si>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</si>
  <si>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</si>
  <si>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</si>
  <si>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</si>
  <si>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</si>
  <si>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</si>
  <si>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</si>
  <si>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</si>
  <si>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</si>
  <si>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</si>
  <si>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</si>
  <si>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</si>
  <si>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</si>
  <si>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</si>
  <si>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</si>
  <si>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</si>
  <si>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</si>
  <si>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</si>
  <si>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</si>
  <si>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</si>
  <si>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</si>
  <si>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</si>
  <si>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</si>
  <si>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</si>
  <si>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</si>
  <si>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</si>
  <si>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</si>
  <si>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</si>
  <si>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</si>
  <si>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</si>
  <si>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</si>
  <si>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</si>
  <si>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</si>
  <si>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</si>
  <si>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</si>
  <si>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</si>
  <si>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</si>
  <si>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</si>
  <si>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</si>
  <si>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</si>
  <si>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</si>
  <si>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</si>
  <si>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</si>
  <si>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</si>
  <si>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</si>
  <si>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</si>
  <si>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</si>
  <si>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</si>
  <si>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</si>
  <si>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</si>
  <si>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</si>
  <si>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</si>
  <si>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</si>
  <si>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</si>
  <si>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</si>
  <si>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</si>
  <si>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</si>
  <si>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</si>
  <si>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</si>
  <si>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</si>
  <si>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</si>
  <si>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</si>
  <si>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</si>
  <si>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</si>
  <si>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</si>
  <si>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</si>
  <si>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</si>
  <si>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</si>
  <si>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</si>
  <si>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</si>
  <si>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</si>
  <si>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</si>
  <si>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</si>
  <si>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</si>
  <si>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</si>
  <si>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</si>
  <si>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</si>
  <si>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</si>
  <si>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</si>
  <si>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</si>
  <si>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</si>
  <si>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</si>
  <si>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</si>
  <si>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</si>
  <si>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</si>
  <si>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</si>
  <si>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</si>
  <si>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</si>
  <si>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</si>
  <si>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</si>
  <si>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</si>
  <si>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</si>
  <si>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</si>
  <si>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</si>
  <si>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</si>
  <si>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</si>
  <si>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</si>
  <si>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</si>
  <si>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</si>
  <si>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</si>
  <si>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</si>
  <si>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</si>
  <si>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</si>
  <si>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</si>
  <si>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</si>
  <si>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</si>
  <si>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</si>
  <si>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</si>
  <si>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</si>
  <si>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</si>
  <si>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</si>
  <si>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</si>
  <si>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</si>
  <si>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</si>
  <si>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</si>
  <si>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</si>
  <si>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</si>
  <si>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</si>
  <si>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</si>
  <si>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</si>
  <si>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</si>
  <si>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</si>
  <si>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</si>
  <si>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</si>
  <si>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</si>
  <si>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</si>
  <si>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</si>
  <si>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</si>
  <si>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</si>
  <si>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</si>
  <si>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</si>
  <si>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</si>
  <si>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</si>
  <si>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</si>
  <si>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</si>
  <si>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</si>
  <si>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</si>
  <si>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</si>
  <si>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</si>
  <si>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</si>
  <si>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</si>
  <si>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</si>
  <si>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</si>
  <si>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</si>
  <si>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</si>
  <si>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</si>
  <si>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</si>
  <si>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</si>
  <si>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</si>
  <si>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</si>
  <si>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</si>
  <si>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</si>
  <si>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</si>
  <si>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</si>
  <si>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</si>
  <si>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</si>
  <si>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</si>
  <si>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</si>
  <si>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</si>
  <si>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</si>
  <si>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</si>
  <si>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</si>
  <si>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</si>
  <si>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</si>
  <si>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</si>
  <si>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</si>
  <si>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</si>
  <si>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</si>
  <si>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</si>
  <si>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</si>
  <si>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</si>
  <si>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</si>
  <si>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</si>
  <si>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</si>
  <si>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</si>
  <si>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</si>
  <si>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</si>
  <si>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</si>
  <si>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</si>
  <si>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</si>
  <si>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</si>
  <si>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</si>
  <si>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</si>
  <si>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</si>
  <si>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</si>
  <si>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</si>
  <si>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</si>
  <si>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</si>
  <si>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</si>
  <si>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</si>
  <si>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</si>
  <si>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</si>
  <si>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</si>
  <si>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</si>
  <si>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</si>
  <si>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</si>
  <si>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</si>
  <si>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</si>
  <si>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</si>
  <si>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</si>
  <si>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</si>
  <si>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</si>
  <si>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</si>
  <si>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</si>
  <si>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</si>
  <si>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</si>
  <si>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</si>
  <si>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</si>
  <si>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</si>
  <si>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</si>
  <si>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</si>
  <si>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</si>
  <si>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</si>
  <si>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</si>
  <si>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</si>
  <si>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</si>
  <si>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</si>
  <si>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</si>
  <si>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</si>
  <si>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</si>
  <si>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</si>
  <si>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</si>
  <si>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</si>
  <si>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</si>
  <si>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</si>
  <si>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</si>
  <si>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</si>
  <si>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</si>
  <si>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</si>
  <si>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</si>
  <si>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</si>
  <si>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</si>
  <si>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</si>
  <si>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</si>
  <si>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</si>
  <si>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</si>
  <si>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</si>
  <si>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</si>
  <si>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</si>
  <si>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</si>
  <si>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</si>
  <si>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</si>
  <si>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</si>
  <si>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</si>
  <si>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</si>
  <si>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</si>
  <si>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</si>
  <si>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</si>
  <si>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</si>
  <si>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</si>
  <si>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</si>
  <si>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</si>
  <si>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</si>
  <si>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</si>
  <si>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</si>
  <si>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</si>
  <si>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</si>
  <si>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</si>
  <si>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</si>
  <si>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</si>
  <si>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</si>
  <si>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</si>
  <si>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</si>
  <si>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</si>
  <si>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</si>
  <si>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</si>
  <si>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</si>
  <si>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</si>
  <si>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</si>
  <si>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</si>
  <si>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</si>
  <si>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</si>
  <si>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</si>
  <si>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</si>
  <si>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</si>
  <si>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</si>
  <si>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</si>
  <si>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</si>
  <si>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</si>
  <si>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</si>
  <si>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</si>
  <si>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</si>
  <si>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</si>
  <si>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</si>
  <si>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</si>
  <si>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</si>
  <si>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</si>
  <si>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</si>
  <si>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</si>
  <si>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</si>
  <si>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</si>
  <si>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</si>
  <si>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</si>
  <si>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</si>
  <si>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</si>
  <si>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</si>
  <si>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</si>
  <si>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</si>
  <si>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</si>
  <si>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</si>
  <si>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</si>
  <si>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</si>
  <si>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</si>
  <si>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</si>
  <si>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</si>
  <si>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</si>
  <si>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</si>
  <si>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</si>
  <si>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</si>
  <si>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</si>
  <si>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</si>
  <si>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</si>
  <si>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</si>
  <si>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</si>
  <si>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</si>
  <si>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</si>
  <si>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</si>
  <si>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</si>
  <si>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</si>
  <si>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</si>
  <si>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</si>
  <si>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</si>
  <si>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</si>
  <si>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</si>
  <si>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</si>
  <si>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</si>
  <si>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</si>
  <si>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</si>
  <si>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</si>
  <si>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</si>
  <si>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</si>
  <si>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</si>
  <si>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</si>
  <si>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</si>
  <si>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</si>
  <si>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</si>
  <si>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</si>
  <si>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</si>
  <si>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</si>
  <si>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</si>
  <si>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</si>
  <si>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</si>
  <si>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</si>
  <si>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</si>
  <si>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</si>
  <si>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</si>
  <si>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</si>
  <si>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</si>
  <si>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</si>
  <si>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</si>
  <si>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</si>
  <si>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</si>
  <si>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</si>
  <si>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</si>
  <si>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</si>
  <si>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</si>
  <si>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</si>
  <si>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</si>
  <si>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</si>
  <si>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</si>
  <si>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</si>
  <si>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</si>
  <si>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</si>
  <si>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</si>
  <si>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</si>
  <si>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</si>
  <si>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</si>
  <si>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</si>
  <si>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</si>
  <si>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</si>
  <si>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</si>
  <si>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</si>
  <si>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</si>
  <si>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</si>
  <si>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</si>
  <si>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</si>
  <si>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</si>
  <si>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</si>
  <si>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</si>
  <si>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</si>
  <si>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</si>
  <si>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</si>
  <si>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</si>
  <si>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</si>
  <si>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</si>
  <si>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</si>
  <si>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</si>
  <si>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</si>
  <si>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</si>
  <si>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</si>
  <si>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</si>
  <si>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</si>
  <si>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</si>
  <si>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</si>
  <si>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</si>
  <si>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</si>
  <si>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</si>
  <si>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</si>
  <si>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</si>
  <si>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</si>
  <si>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</si>
  <si>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</si>
  <si>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</si>
  <si>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</si>
  <si>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</si>
  <si>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</si>
  <si>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</si>
  <si>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</si>
  <si>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</si>
  <si>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</si>
  <si>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</si>
  <si>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</si>
  <si>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</si>
  <si>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</si>
  <si>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</si>
  <si>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</si>
  <si>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</si>
  <si>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</si>
  <si>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</si>
  <si>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</si>
  <si>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</si>
  <si>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</si>
  <si>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</si>
  <si>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</si>
  <si>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</si>
  <si>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</si>
  <si>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</si>
  <si>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</si>
  <si>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</si>
  <si>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</si>
  <si>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</si>
  <si>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</si>
  <si>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</si>
  <si>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</si>
  <si>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</si>
  <si>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</si>
  <si>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</si>
  <si>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</si>
  <si>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</si>
  <si>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</si>
  <si>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</si>
  <si>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</si>
  <si>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</si>
  <si>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</si>
  <si>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</si>
  <si>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</si>
  <si>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</si>
  <si>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</si>
  <si>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</si>
  <si>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</si>
  <si>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</si>
  <si>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</si>
  <si>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</si>
  <si>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</si>
  <si>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</si>
  <si>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</si>
  <si>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</si>
  <si>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</si>
  <si>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</si>
  <si>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</si>
  <si>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</si>
  <si>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</si>
  <si>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</si>
  <si>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</si>
  <si>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</si>
  <si>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</si>
  <si>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</si>
  <si>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</si>
  <si>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</si>
  <si>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</si>
  <si>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</si>
  <si>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</si>
  <si>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</si>
  <si>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</si>
  <si>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</si>
  <si>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</si>
  <si>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</si>
  <si>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</si>
  <si>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</si>
  <si>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</si>
  <si>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</si>
  <si>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</si>
  <si>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</si>
  <si>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</si>
  <si>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</si>
  <si>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</si>
  <si>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</si>
  <si>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</si>
  <si>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</si>
  <si>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</si>
  <si>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</si>
  <si>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</si>
  <si>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</si>
  <si>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</si>
  <si>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</si>
  <si>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</si>
  <si>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</si>
  <si>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</si>
  <si>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</si>
  <si>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</si>
  <si>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</si>
  <si>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</si>
  <si>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</si>
  <si>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</si>
  <si>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</si>
  <si>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</si>
  <si>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</si>
  <si>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</si>
  <si>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</si>
  <si>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</si>
  <si>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</si>
  <si>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</si>
  <si>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</si>
  <si>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</si>
  <si>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</si>
  <si>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</si>
  <si>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</si>
  <si>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</si>
  <si>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</si>
  <si>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</si>
  <si>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</si>
  <si>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</si>
  <si>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</si>
  <si>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</si>
  <si>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</si>
  <si>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</si>
  <si>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</si>
  <si>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</si>
  <si>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</si>
  <si>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</si>
  <si>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</si>
  <si>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</si>
  <si>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</si>
  <si>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</si>
  <si>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</si>
  <si>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</si>
  <si>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</si>
  <si>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</si>
  <si>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</si>
  <si>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</si>
  <si>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</si>
  <si>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</si>
  <si>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</si>
  <si>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</si>
  <si>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</si>
  <si>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</si>
  <si>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</si>
  <si>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</si>
  <si>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</si>
  <si>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</si>
  <si>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</si>
  <si>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</si>
  <si>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</si>
  <si>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</si>
  <si>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</si>
  <si>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</si>
  <si>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</si>
  <si>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</si>
  <si>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</si>
  <si>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</si>
  <si>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</si>
  <si>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</si>
  <si>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</si>
  <si>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</si>
  <si>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</si>
  <si>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</si>
  <si>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</si>
  <si>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</si>
  <si>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</si>
  <si>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</si>
  <si>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</si>
  <si>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</si>
  <si>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</si>
  <si>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</si>
  <si>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</si>
  <si>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</si>
  <si>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</si>
  <si>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</si>
  <si>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</si>
  <si>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</si>
  <si>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</si>
  <si>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</si>
  <si>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</si>
  <si>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</si>
  <si>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</si>
  <si>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</si>
  <si>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</si>
  <si>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</si>
  <si>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</si>
  <si>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</si>
  <si>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</si>
  <si>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</si>
  <si>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</si>
  <si>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</si>
  <si>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</si>
  <si>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</si>
  <si>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</si>
  <si>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</si>
  <si>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</si>
  <si>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</si>
  <si>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</si>
  <si>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</si>
  <si>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</si>
  <si>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</si>
  <si>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</si>
  <si>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</si>
  <si>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</si>
  <si>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</si>
  <si>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</si>
  <si>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</si>
  <si>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</si>
  <si>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</si>
  <si>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</si>
  <si>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</si>
  <si>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</si>
  <si>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</si>
  <si>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</si>
  <si>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</si>
  <si>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</si>
  <si>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</si>
  <si>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</si>
  <si>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</si>
  <si>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</si>
  <si>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</si>
  <si>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</si>
  <si>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</si>
  <si>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</si>
  <si>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</si>
  <si>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</si>
  <si>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</si>
  <si>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</si>
  <si>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</si>
  <si>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</si>
  <si>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</si>
  <si>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</si>
  <si>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</si>
  <si>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</si>
  <si>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</si>
  <si>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</si>
  <si>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</si>
  <si>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</si>
  <si>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</si>
  <si>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</si>
  <si>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</si>
  <si>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</si>
  <si>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</si>
  <si>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</si>
  <si>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</si>
  <si>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</si>
  <si>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</si>
  <si>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</si>
  <si>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</si>
  <si>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</si>
  <si>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</si>
  <si>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</si>
  <si>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</si>
  <si>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</si>
  <si>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</si>
  <si>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</si>
  <si>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</si>
  <si>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</si>
  <si>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</si>
  <si>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</si>
  <si>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</si>
  <si>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</si>
  <si>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</si>
  <si>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</si>
  <si>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</si>
  <si>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</si>
  <si>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</si>
  <si>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</si>
  <si>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</si>
  <si>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</si>
  <si>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</si>
  <si>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</si>
  <si>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</si>
  <si>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</si>
  <si>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</si>
  <si>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</si>
  <si>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</si>
  <si>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</si>
  <si>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</si>
  <si>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</si>
  <si>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</si>
  <si>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</si>
  <si>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</si>
  <si>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</si>
  <si>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</si>
  <si>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</si>
  <si>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</si>
  <si>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</si>
  <si>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</si>
  <si>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</si>
  <si>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</si>
  <si>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</si>
  <si>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</si>
  <si>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</si>
  <si>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</si>
  <si>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</si>
  <si>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</si>
  <si>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</si>
  <si>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</si>
  <si>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</si>
  <si>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</si>
  <si>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</si>
  <si>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</si>
  <si>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</si>
  <si>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</si>
  <si>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</si>
  <si>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</si>
  <si>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</si>
  <si>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</si>
  <si>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</si>
  <si>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</si>
  <si>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</si>
  <si>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</si>
  <si>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</si>
  <si>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</si>
  <si>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</si>
  <si>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</si>
  <si>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</si>
  <si>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</si>
  <si>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</si>
  <si>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</si>
  <si>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</si>
  <si>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</si>
  <si>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</si>
  <si>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</si>
  <si>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</si>
  <si>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</si>
  <si>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</si>
  <si>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</si>
  <si>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</si>
  <si>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</si>
  <si>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</si>
  <si>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</si>
  <si>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</si>
  <si>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</si>
  <si>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</si>
  <si>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</si>
  <si>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</si>
  <si>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</si>
  <si>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</si>
  <si>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</si>
  <si>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</si>
  <si>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</si>
  <si>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</si>
  <si>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</si>
  <si>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</si>
  <si>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</si>
  <si>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</si>
  <si>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</si>
  <si>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</si>
  <si>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</si>
  <si>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</si>
  <si>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</si>
  <si>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</si>
  <si>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</si>
  <si>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</si>
  <si>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</si>
  <si>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</si>
  <si>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</si>
  <si>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</si>
  <si>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</si>
  <si>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</si>
  <si>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</si>
  <si>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</si>
  <si>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</si>
  <si>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</si>
  <si>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</si>
  <si>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</si>
  <si>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</si>
  <si>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</si>
  <si>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</si>
  <si>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</si>
  <si>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</si>
  <si>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</si>
  <si>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</si>
  <si>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</si>
  <si>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</si>
  <si>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</si>
  <si>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</si>
  <si>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</si>
  <si>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</si>
  <si>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</si>
  <si>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</si>
  <si>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</si>
  <si>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</si>
  <si>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</si>
  <si>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</si>
  <si>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</si>
  <si>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</si>
  <si>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</si>
  <si>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</si>
  <si>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</si>
  <si>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</si>
  <si>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</si>
  <si>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</si>
  <si>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</si>
  <si>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</si>
  <si>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</si>
  <si>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</si>
  <si>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</si>
  <si>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</si>
  <si>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</si>
  <si>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</si>
  <si>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</si>
  <si>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</si>
  <si>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</si>
  <si>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</si>
  <si>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</si>
  <si>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</si>
  <si>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</si>
  <si>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</si>
  <si>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</si>
  <si>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</si>
  <si>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</si>
  <si>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</si>
  <si>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</si>
  <si>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</si>
  <si>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</si>
  <si>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</si>
  <si>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</si>
  <si>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</si>
  <si>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</si>
  <si>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</si>
  <si>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</si>
  <si>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</si>
  <si>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</si>
  <si>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</si>
  <si>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</si>
  <si>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</si>
  <si>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</si>
  <si>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</si>
  <si>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</si>
  <si>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</si>
  <si>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</si>
  <si>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</si>
  <si>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</si>
  <si>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</si>
  <si>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</si>
  <si>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</si>
  <si>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</si>
  <si>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</si>
  <si>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</si>
  <si>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</si>
  <si>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</si>
  <si>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</si>
  <si>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</si>
  <si>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</si>
  <si>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</si>
  <si>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</si>
  <si>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</si>
  <si>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</si>
  <si>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</si>
  <si>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</si>
  <si>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</si>
  <si>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</si>
  <si>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</si>
  <si>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</si>
  <si>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</si>
  <si>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</si>
  <si>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</si>
  <si>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</si>
  <si>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</si>
  <si>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</si>
  <si>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</si>
  <si>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</si>
  <si>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</si>
  <si>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</si>
  <si>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</si>
  <si>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</si>
  <si>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</si>
  <si>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</si>
  <si>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</si>
  <si>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</si>
  <si>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</si>
  <si>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</si>
  <si>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</si>
  <si>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</si>
  <si>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</si>
  <si>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</si>
  <si>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</si>
  <si>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</si>
  <si>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</si>
  <si>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</si>
  <si>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</si>
  <si>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</si>
  <si>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</si>
  <si>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</si>
  <si>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</si>
  <si>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</si>
  <si>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</si>
  <si>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</si>
  <si>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</si>
  <si>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</si>
  <si>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</si>
  <si>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</si>
  <si>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</si>
  <si>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</si>
  <si>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</si>
  <si>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</si>
  <si>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</si>
  <si>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</si>
  <si>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</si>
  <si>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</si>
  <si>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</si>
  <si>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</si>
  <si>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</si>
  <si>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</si>
  <si>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</si>
  <si>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</si>
  <si>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</si>
  <si>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</si>
  <si>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</si>
  <si>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</si>
  <si>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</si>
  <si>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</si>
  <si>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</si>
  <si>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</si>
  <si>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</si>
  <si>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</si>
  <si>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</si>
  <si>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</si>
  <si>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</si>
  <si>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</si>
  <si>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</si>
  <si>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</si>
  <si>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</si>
  <si>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</si>
  <si>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</si>
  <si>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</si>
  <si>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</si>
  <si>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</si>
  <si>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</si>
  <si>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</si>
  <si>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</si>
  <si>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</si>
  <si>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</si>
  <si>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</si>
  <si>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</si>
  <si>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</si>
  <si>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</si>
  <si>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</si>
  <si>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</si>
  <si>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</si>
  <si>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</si>
  <si>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</si>
  <si>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</si>
  <si>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</si>
  <si>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</si>
  <si>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</si>
  <si>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</si>
  <si>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</si>
  <si>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</si>
  <si>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</si>
  <si>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</si>
  <si>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</si>
  <si>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</si>
  <si>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</si>
  <si>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</si>
  <si>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</si>
  <si>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</si>
  <si>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</si>
  <si>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</si>
  <si>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</si>
  <si>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</si>
  <si>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</si>
  <si>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</si>
  <si>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</si>
  <si>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</si>
  <si>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</si>
  <si>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</si>
  <si>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</si>
  <si>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</si>
  <si>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</si>
  <si>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</si>
  <si>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</si>
  <si>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</si>
  <si>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</si>
  <si>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</si>
  <si>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</si>
  <si>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</si>
  <si>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</si>
  <si>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</si>
  <si>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</si>
  <si>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</si>
  <si>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</si>
  <si>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</si>
  <si>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</si>
  <si>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</si>
  <si>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</si>
  <si>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</si>
  <si>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</si>
  <si>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</si>
  <si>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</si>
  <si>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</si>
  <si>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</si>
  <si>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</si>
  <si>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</si>
  <si>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</si>
  <si>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</si>
  <si>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</si>
  <si>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</si>
  <si>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</si>
  <si>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</si>
  <si>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</si>
  <si>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</si>
  <si>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</si>
  <si>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</si>
  <si>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</si>
  <si>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</si>
  <si>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</si>
  <si>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</si>
  <si>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</si>
  <si>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</si>
  <si>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</si>
  <si>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</si>
  <si>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</si>
  <si>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</si>
  <si>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</si>
  <si>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</si>
  <si>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</si>
  <si>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</si>
  <si>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</si>
  <si>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</si>
  <si>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</si>
  <si>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</si>
  <si>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</si>
  <si>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</si>
  <si>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</si>
  <si>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</si>
  <si>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</si>
  <si>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</si>
  <si>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</si>
  <si>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</si>
  <si>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</si>
  <si>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</si>
  <si>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</si>
  <si>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</si>
  <si>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</si>
  <si>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</si>
  <si>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</si>
  <si>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</si>
  <si>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</si>
  <si>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</si>
  <si>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</si>
  <si>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</si>
  <si>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</si>
  <si>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</si>
  <si>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</si>
  <si>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</si>
  <si>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</si>
  <si>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</si>
  <si>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</si>
  <si>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</si>
  <si>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</si>
  <si>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</si>
  <si>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</si>
  <si>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</si>
  <si>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</si>
  <si>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</si>
  <si>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</si>
  <si>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</si>
  <si>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</si>
  <si>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</si>
  <si>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</si>
  <si>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</si>
  <si>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</si>
  <si>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</si>
  <si>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</si>
  <si>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</si>
  <si>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</si>
  <si>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</si>
  <si>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</si>
  <si>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</si>
  <si>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</si>
  <si>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</si>
  <si>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</si>
  <si>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</si>
  <si>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</si>
  <si>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</si>
  <si>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</si>
  <si>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</si>
  <si>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</si>
  <si>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</si>
  <si>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</si>
  <si>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</si>
  <si>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</si>
  <si>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</si>
  <si>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</si>
  <si>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</si>
  <si>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</si>
  <si>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</si>
  <si>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</si>
  <si>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</si>
  <si>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</si>
  <si>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</si>
  <si>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</si>
  <si>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</si>
  <si>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</si>
  <si>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</si>
  <si>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</si>
  <si>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</si>
  <si>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</si>
  <si>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</si>
  <si>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</si>
  <si>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</si>
  <si>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</si>
  <si>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</si>
  <si>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</si>
  <si>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</si>
  <si>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</si>
  <si>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</si>
  <si>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</si>
  <si>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</si>
  <si>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</si>
  <si>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</si>
  <si>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</si>
  <si>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</si>
  <si>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</si>
  <si>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</si>
  <si>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</si>
  <si>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</si>
  <si>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</si>
  <si>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</si>
  <si>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</si>
  <si>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</si>
  <si>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</si>
  <si>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</si>
  <si>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</si>
  <si>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</si>
  <si>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</si>
  <si>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</si>
  <si>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</si>
  <si>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</si>
  <si>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</si>
  <si>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</si>
  <si>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</si>
  <si>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</si>
  <si>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</si>
  <si>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</si>
  <si>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</si>
  <si>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</si>
  <si>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</si>
  <si>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</si>
  <si>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</si>
  <si>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</si>
  <si>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</si>
  <si>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</si>
  <si>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</si>
  <si>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</si>
  <si>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</si>
  <si>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</si>
  <si>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</si>
  <si>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</si>
  <si>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</si>
  <si>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</si>
  <si>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</si>
  <si>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</si>
  <si>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</si>
  <si>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</si>
  <si>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</si>
  <si>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</si>
  <si>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</si>
  <si>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</si>
  <si>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</si>
  <si>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</si>
  <si>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</si>
  <si>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</si>
  <si>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</si>
  <si>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</si>
  <si>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</si>
  <si>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</si>
  <si>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</si>
  <si>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</si>
  <si>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</si>
  <si>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</si>
  <si>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</si>
  <si>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</si>
  <si>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</si>
  <si>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</si>
  <si>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</si>
  <si>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</si>
  <si>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</si>
  <si>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</si>
  <si>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</si>
  <si>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</si>
  <si>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</si>
  <si>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</si>
  <si>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</si>
  <si>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</si>
  <si>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</si>
  <si>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</si>
  <si>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</si>
  <si>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</si>
  <si>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</si>
  <si>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</si>
  <si>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</si>
  <si>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</si>
  <si>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</si>
  <si>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</si>
  <si>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</si>
  <si>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</si>
  <si>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</si>
  <si>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</si>
  <si>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</si>
  <si>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</si>
  <si>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</si>
  <si>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</si>
  <si>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</si>
  <si>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</si>
  <si>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</si>
  <si>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</si>
  <si>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</si>
  <si>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</si>
  <si>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</si>
  <si>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</si>
  <si>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</si>
  <si>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</si>
  <si>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</si>
  <si>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</si>
  <si>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</si>
  <si>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</si>
  <si>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</si>
  <si>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</si>
  <si>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</si>
  <si>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</si>
  <si>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</si>
  <si>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</si>
  <si>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</si>
  <si>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</si>
  <si>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</si>
  <si>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</si>
  <si>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</si>
  <si>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</si>
  <si>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</si>
  <si>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</si>
  <si>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</si>
  <si>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</si>
  <si>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</si>
  <si>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</si>
  <si>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</si>
  <si>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</si>
  <si>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</si>
  <si>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</si>
  <si>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</si>
  <si>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</si>
  <si>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</si>
  <si>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</si>
  <si>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</si>
  <si>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</si>
  <si>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</si>
  <si>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</si>
  <si>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</si>
  <si>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</si>
  <si>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</si>
  <si>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</si>
  <si>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</si>
  <si>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</si>
  <si>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</si>
  <si>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</si>
  <si>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</si>
  <si>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</si>
  <si>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</si>
  <si>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</si>
  <si>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</si>
  <si>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</si>
  <si>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</si>
  <si>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</si>
  <si>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</si>
  <si>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</si>
  <si>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</si>
  <si>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</si>
  <si>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</si>
  <si>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</si>
  <si>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</si>
  <si>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</si>
  <si>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</si>
  <si>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</si>
  <si>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</si>
  <si>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</si>
  <si>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</si>
  <si>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</si>
  <si>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</si>
  <si>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</si>
  <si>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</si>
  <si>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</si>
  <si>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</si>
  <si>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</si>
  <si>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</si>
  <si>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</si>
  <si>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</si>
  <si>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</si>
  <si>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</si>
  <si>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</si>
  <si>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</si>
  <si>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</si>
  <si>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</si>
  <si>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</si>
  <si>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</si>
  <si>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</si>
  <si>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</si>
  <si>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</si>
  <si>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</si>
  <si>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</si>
  <si>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</si>
  <si>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</si>
  <si>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</si>
  <si>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</si>
  <si>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</si>
  <si>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</si>
  <si>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</si>
  <si>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</si>
  <si>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</si>
  <si>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</si>
  <si>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</si>
  <si>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</si>
  <si>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</si>
  <si>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</si>
  <si>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</si>
  <si>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</si>
  <si>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</si>
  <si>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</si>
  <si>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</si>
  <si>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</si>
  <si>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</si>
  <si>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</si>
  <si>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</si>
  <si>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</si>
  <si>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</si>
  <si>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</si>
  <si>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</si>
  <si>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</si>
  <si>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</si>
  <si>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</si>
  <si>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</si>
  <si>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</si>
  <si>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</si>
  <si>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</si>
  <si>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</si>
  <si>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</si>
  <si>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</si>
  <si>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</si>
  <si>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</si>
  <si>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</si>
  <si>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</si>
  <si>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</si>
  <si>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</si>
  <si>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</si>
  <si>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</si>
  <si>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</si>
  <si>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</si>
  <si>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</si>
  <si>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</si>
  <si>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</si>
  <si>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</si>
  <si>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</si>
  <si>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</si>
  <si>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</si>
  <si>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</si>
  <si>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</si>
  <si>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</si>
  <si>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</si>
  <si>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</si>
  <si>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</si>
  <si>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</si>
  <si>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</si>
  <si>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</si>
  <si>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</si>
  <si>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</si>
  <si>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</si>
  <si>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</si>
  <si>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</si>
  <si>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</si>
  <si>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</si>
  <si>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</si>
  <si>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</si>
  <si>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</si>
  <si>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</si>
  <si>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</si>
  <si>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</si>
  <si>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</si>
  <si>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</si>
  <si>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</si>
  <si>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</si>
  <si>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</si>
  <si>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</si>
  <si>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</si>
  <si>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</si>
  <si>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</si>
  <si>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</si>
  <si>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</si>
  <si>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</si>
  <si>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</si>
  <si>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</si>
  <si>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</si>
  <si>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</si>
  <si>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</si>
  <si>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</si>
  <si>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</si>
  <si>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</si>
  <si>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</si>
  <si>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</si>
  <si>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</si>
  <si>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</si>
  <si>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</si>
  <si>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</si>
  <si>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</si>
  <si>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</si>
  <si>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</si>
  <si>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</si>
  <si>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</si>
  <si>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</si>
  <si>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</si>
  <si>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</si>
  <si>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</si>
  <si>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</si>
  <si>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</si>
  <si>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</si>
  <si>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</si>
  <si>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</si>
  <si>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</si>
  <si>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</si>
  <si>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</si>
  <si>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</si>
  <si>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</si>
  <si>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</si>
  <si>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</si>
  <si>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</si>
  <si>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</si>
  <si>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</si>
  <si>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</si>
  <si>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</si>
  <si>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</si>
  <si>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</si>
  <si>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</si>
  <si>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</si>
  <si>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</si>
  <si>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</si>
  <si>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</si>
  <si>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</si>
  <si>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</si>
  <si>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</si>
  <si>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</si>
  <si>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</si>
  <si>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</si>
  <si>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</si>
  <si>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</si>
  <si>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</si>
  <si>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</si>
  <si>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</si>
  <si>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</si>
  <si>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</si>
  <si>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</si>
  <si>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</si>
  <si>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</si>
  <si>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</si>
  <si>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</si>
  <si>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</si>
  <si>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</si>
  <si>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</si>
  <si>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</si>
  <si>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</si>
  <si>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</si>
  <si>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</si>
  <si>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</si>
  <si>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</si>
  <si>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</si>
  <si>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</si>
  <si>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</si>
  <si>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</si>
  <si>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</si>
  <si>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</si>
  <si>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</si>
  <si>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</si>
  <si>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</si>
  <si>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</si>
  <si>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</si>
  <si>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</si>
  <si>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</si>
  <si>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</si>
  <si>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</si>
  <si>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</si>
  <si>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</si>
  <si>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</si>
  <si>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</si>
  <si>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</si>
  <si>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</si>
  <si>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</si>
  <si>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</si>
  <si>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</si>
  <si>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</si>
  <si>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</si>
  <si>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</si>
  <si>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</si>
  <si>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</si>
  <si>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</si>
  <si>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</si>
  <si>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</si>
  <si>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</si>
  <si>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</si>
  <si>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</si>
  <si>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</si>
  <si>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</si>
  <si>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</si>
  <si>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</si>
  <si>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</si>
  <si>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</si>
  <si>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</si>
  <si>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</si>
  <si>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</si>
  <si>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</si>
  <si>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</si>
  <si>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</si>
  <si>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</si>
  <si>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</si>
  <si>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</si>
  <si>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</si>
  <si>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</si>
  <si>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</si>
  <si>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</si>
  <si>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</si>
  <si>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</si>
  <si>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</si>
  <si>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</si>
  <si>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</si>
  <si>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</si>
  <si>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</si>
  <si>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</si>
  <si>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</si>
  <si>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</si>
  <si>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</si>
  <si>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</si>
  <si>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</si>
  <si>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</si>
  <si>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</si>
  <si>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</si>
  <si>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</si>
  <si>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</si>
  <si>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</si>
  <si>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</si>
  <si>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</si>
  <si>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</si>
  <si>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</si>
  <si>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</si>
  <si>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</si>
  <si>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</si>
  <si>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</si>
  <si>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</si>
  <si>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</si>
  <si>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</si>
  <si>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</si>
  <si>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</si>
  <si>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</si>
  <si>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</si>
  <si>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</si>
  <si>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</si>
  <si>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</si>
  <si>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</si>
  <si>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</si>
  <si>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</si>
  <si>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</si>
  <si>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</si>
  <si>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</si>
  <si>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</si>
  <si>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</si>
  <si>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</si>
  <si>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</si>
  <si>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</si>
  <si>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</si>
  <si>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</si>
  <si>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</si>
  <si>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</si>
  <si>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</si>
  <si>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</si>
  <si>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</si>
  <si>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</si>
  <si>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</si>
  <si>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</si>
  <si>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</si>
  <si>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</si>
  <si>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</si>
  <si>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</si>
  <si>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</si>
  <si>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</si>
  <si>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</si>
  <si>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</si>
  <si>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</si>
  <si>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</si>
  <si>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</si>
  <si>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</si>
  <si>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</si>
  <si>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</si>
  <si>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</si>
  <si>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</si>
  <si>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</si>
  <si>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</si>
  <si>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</si>
  <si>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</si>
  <si>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</si>
  <si>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</si>
  <si>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</si>
  <si>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</si>
  <si>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</si>
  <si>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</si>
  <si>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</si>
  <si>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</si>
  <si>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</si>
  <si>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</si>
  <si>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</si>
  <si>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</si>
  <si>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</si>
  <si>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</si>
  <si>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</si>
  <si>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</si>
  <si>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</si>
  <si>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</si>
  <si>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</si>
  <si>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</si>
  <si>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</si>
  <si>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</si>
  <si>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</si>
  <si>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</si>
  <si>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</si>
  <si>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</si>
  <si>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</si>
  <si>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</si>
  <si>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</si>
  <si>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</si>
  <si>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</si>
  <si>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</si>
  <si>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</si>
  <si>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</si>
  <si>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</si>
  <si>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</si>
  <si>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</si>
  <si>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</si>
  <si>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</si>
  <si>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</si>
  <si>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</si>
  <si>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</si>
  <si>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</si>
  <si>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</si>
  <si>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</si>
  <si>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</si>
  <si>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</si>
  <si>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</si>
  <si>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</si>
  <si>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</si>
  <si>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</si>
  <si>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</si>
  <si>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</si>
  <si>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</si>
  <si>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</si>
  <si>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</si>
  <si>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</si>
  <si>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</si>
  <si>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</si>
  <si>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</si>
  <si>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</si>
  <si>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</si>
  <si>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</si>
  <si>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</si>
  <si>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</si>
  <si>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</si>
  <si>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</si>
  <si>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</si>
  <si>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</si>
  <si>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</si>
  <si>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</si>
  <si>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</si>
  <si>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</si>
  <si>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</si>
  <si>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</si>
  <si>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</si>
  <si>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</si>
  <si>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</si>
  <si>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</si>
  <si>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</si>
  <si>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</si>
  <si>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</si>
  <si>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</si>
  <si>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</si>
  <si>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</si>
  <si>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</si>
  <si>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</si>
  <si>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</si>
  <si>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</si>
  <si>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</si>
  <si>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</si>
  <si>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</si>
  <si>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</si>
  <si>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</si>
  <si>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</si>
  <si>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</si>
  <si>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</si>
  <si>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</si>
  <si>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</si>
  <si>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</si>
  <si>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</si>
  <si>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</si>
  <si>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</si>
  <si>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</si>
  <si>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</si>
  <si>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</si>
  <si>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</si>
  <si>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</si>
  <si>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</si>
  <si>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</si>
  <si>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</si>
  <si>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</si>
  <si>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</si>
  <si>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</si>
  <si>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</si>
  <si>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</si>
  <si>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</si>
  <si>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</si>
  <si>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</si>
  <si>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</si>
  <si>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</si>
  <si>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</si>
  <si>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</si>
  <si>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</si>
  <si>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</si>
  <si>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</si>
  <si>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</si>
  <si>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</si>
  <si>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</si>
  <si>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</si>
  <si>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</si>
  <si>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</si>
  <si>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</si>
  <si>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</si>
  <si>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</si>
  <si>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</si>
  <si>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</si>
  <si>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</si>
  <si>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</si>
  <si>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</si>
  <si>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</si>
  <si>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</si>
  <si>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</si>
  <si>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</si>
  <si>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</si>
  <si>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</si>
  <si>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</si>
  <si>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</si>
  <si>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</si>
  <si>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</si>
  <si>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</si>
  <si>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</si>
  <si>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</si>
  <si>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</si>
  <si>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</si>
  <si>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</si>
  <si>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</si>
  <si>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</si>
  <si>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</si>
  <si>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</si>
  <si>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</si>
  <si>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</si>
  <si>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</si>
  <si>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</si>
  <si>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</si>
  <si>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</si>
  <si>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</si>
  <si>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</si>
  <si>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</si>
  <si>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</si>
  <si>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</si>
  <si>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</si>
  <si>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</si>
  <si>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</si>
  <si>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</si>
  <si>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</si>
  <si>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</si>
  <si>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</si>
  <si>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</si>
  <si>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</si>
  <si>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</si>
  <si>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</si>
  <si>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</si>
  <si>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</si>
  <si>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</si>
  <si>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</si>
  <si>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</si>
  <si>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</si>
  <si>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</si>
  <si>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</si>
  <si>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</si>
  <si>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</si>
  <si>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</si>
  <si>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</si>
  <si>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</si>
  <si>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</si>
  <si>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</si>
  <si>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</si>
  <si>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</si>
  <si>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</si>
  <si>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</si>
  <si>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</si>
  <si>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</si>
  <si>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</si>
  <si>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</si>
  <si>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</si>
  <si>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</si>
  <si>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</si>
  <si>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</si>
  <si>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</si>
  <si>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</si>
  <si>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</si>
  <si>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</si>
  <si>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</si>
  <si>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</si>
  <si>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</si>
  <si>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</si>
  <si>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</si>
  <si>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</si>
  <si>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</si>
  <si>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</si>
  <si>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</si>
  <si>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</si>
  <si>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</si>
  <si>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</si>
  <si>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</si>
  <si>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</si>
  <si>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</si>
  <si>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</si>
  <si>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</si>
  <si>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</si>
  <si>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</si>
  <si>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</si>
  <si>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</si>
  <si>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</si>
  <si>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</si>
  <si>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</si>
  <si>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</si>
  <si>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</si>
  <si>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</si>
  <si>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</si>
  <si>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</si>
  <si>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</si>
  <si>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</si>
  <si>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</si>
  <si>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</si>
  <si>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</si>
  <si>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</si>
  <si>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</si>
  <si>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</si>
  <si>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</si>
  <si>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</si>
  <si>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</si>
  <si>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</si>
  <si>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</si>
  <si>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</si>
  <si>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</si>
  <si>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</si>
  <si>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</si>
  <si>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</si>
  <si>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</si>
  <si>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</si>
  <si>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</si>
  <si>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</si>
  <si>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</si>
  <si>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</si>
  <si>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</si>
  <si>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</si>
  <si>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</si>
  <si>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</si>
  <si>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</si>
  <si>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</si>
  <si>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</si>
  <si>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</si>
  <si>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</si>
  <si>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</si>
  <si>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</si>
  <si>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</si>
  <si>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</si>
  <si>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</si>
  <si>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</si>
  <si>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</si>
  <si>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</si>
  <si>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</si>
  <si>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</si>
  <si>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</si>
  <si>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</si>
  <si>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</si>
  <si>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</si>
  <si>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</si>
  <si>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</si>
  <si>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</si>
  <si>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</si>
  <si>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</si>
  <si>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</si>
  <si>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</si>
  <si>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</si>
  <si>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</si>
  <si>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</si>
  <si>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</si>
  <si>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</si>
  <si>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</si>
  <si>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</si>
  <si>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</si>
  <si>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</si>
  <si>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</si>
  <si>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</si>
  <si>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</si>
  <si>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</si>
  <si>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</si>
  <si>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</si>
  <si>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</si>
  <si>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</si>
  <si>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</si>
  <si>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</si>
  <si>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</si>
  <si>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</si>
  <si>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</si>
  <si>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</si>
  <si>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</si>
  <si>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</si>
  <si>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</si>
  <si>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</si>
  <si>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</si>
  <si>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</si>
  <si>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</si>
  <si>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</si>
  <si>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</si>
  <si>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</si>
  <si>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</si>
  <si>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</si>
  <si>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</si>
  <si>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</si>
  <si>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</si>
  <si>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</si>
  <si>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</si>
  <si>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</si>
  <si>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</si>
  <si>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</si>
  <si>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</si>
  <si>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</si>
  <si>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</si>
  <si>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</si>
  <si>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</si>
  <si>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</si>
  <si>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</si>
  <si>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</si>
  <si>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</si>
  <si>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</si>
  <si>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</si>
  <si>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</si>
  <si>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</si>
  <si>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</si>
  <si>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</si>
  <si>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</si>
  <si>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</si>
  <si>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</si>
  <si>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</si>
  <si>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</si>
  <si>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</si>
  <si>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</si>
  <si>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</si>
  <si>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</si>
  <si>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</si>
  <si>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</si>
  <si>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</si>
  <si>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</si>
  <si>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</si>
  <si>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</si>
  <si>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</si>
  <si>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</si>
  <si>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</si>
  <si>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</si>
  <si>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</si>
  <si>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</si>
  <si>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</si>
  <si>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</si>
  <si>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</si>
  <si>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</si>
  <si>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</si>
  <si>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</si>
  <si>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</si>
  <si>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</si>
  <si>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</si>
  <si>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</si>
  <si>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</si>
  <si>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</si>
  <si>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</si>
  <si>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</si>
  <si>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</si>
  <si>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</si>
  <si>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</si>
  <si>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</si>
  <si>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</si>
  <si>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</si>
  <si>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</si>
  <si>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</si>
  <si>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</si>
  <si>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</si>
  <si>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</si>
  <si>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</si>
  <si>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</si>
  <si>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</si>
  <si>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</si>
  <si>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</si>
  <si>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</si>
  <si>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</si>
  <si>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</si>
  <si>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</si>
  <si>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</si>
  <si>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</si>
  <si>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</si>
  <si>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</si>
  <si>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</si>
  <si>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</si>
  <si>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</si>
  <si>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</si>
  <si>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</si>
  <si>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</si>
  <si>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</si>
  <si>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</si>
  <si>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</si>
  <si>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</si>
  <si>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</si>
  <si>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</si>
  <si>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</si>
  <si>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</si>
  <si>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</si>
  <si>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</si>
  <si>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</si>
  <si>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</si>
  <si>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</si>
  <si>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</si>
  <si>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</si>
  <si>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</si>
  <si>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</si>
  <si>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</si>
  <si>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</si>
  <si>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</si>
  <si>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</si>
  <si>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</si>
  <si>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</si>
  <si>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</si>
  <si>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</si>
  <si>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</si>
  <si>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</si>
  <si>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</si>
  <si>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</si>
  <si>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</si>
  <si>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</si>
  <si>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</si>
  <si>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</si>
  <si>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</si>
  <si>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</si>
  <si>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</si>
  <si>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</si>
  <si>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</si>
  <si>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</si>
  <si>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</si>
  <si>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</si>
  <si>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</si>
  <si>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</si>
  <si>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</si>
  <si>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</si>
  <si>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</si>
  <si>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</si>
  <si>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</si>
  <si>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</si>
  <si>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</si>
  <si>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</si>
  <si>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</si>
  <si>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</si>
  <si>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</si>
  <si>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</si>
  <si>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</si>
  <si>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</si>
  <si>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</si>
  <si>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</si>
  <si>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</si>
  <si>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</si>
  <si>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</si>
  <si>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</si>
  <si>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</si>
  <si>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</si>
  <si>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</si>
  <si>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</si>
  <si>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</si>
  <si>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</si>
  <si>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</si>
  <si>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</si>
  <si>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</si>
  <si>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</si>
  <si>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</si>
  <si>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</si>
  <si>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</si>
  <si>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</si>
  <si>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</si>
  <si>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</si>
  <si>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</si>
  <si>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</si>
  <si>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</si>
  <si>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</si>
  <si>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</si>
  <si>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</si>
  <si>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</si>
  <si>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</si>
  <si>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</si>
  <si>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</si>
  <si>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</si>
  <si>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</si>
  <si>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</si>
  <si>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</si>
  <si>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</si>
  <si>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</si>
  <si>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</si>
  <si>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</si>
  <si>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</si>
  <si>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</si>
  <si>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</si>
  <si>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</si>
  <si>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</si>
  <si>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</si>
  <si>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</si>
  <si>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</si>
  <si>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</si>
  <si>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</si>
  <si>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</si>
  <si>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</si>
  <si>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</si>
  <si>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</si>
  <si>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</si>
  <si>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</si>
  <si>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</si>
  <si>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</si>
  <si>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</si>
  <si>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</si>
  <si>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</si>
  <si>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</si>
  <si>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</si>
  <si>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</si>
  <si>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</si>
  <si>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</si>
  <si>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</si>
  <si>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</si>
  <si>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</si>
  <si>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</si>
  <si>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</si>
  <si>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</si>
  <si>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</si>
  <si>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</si>
  <si>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</si>
  <si>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</si>
  <si>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</si>
  <si>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</si>
  <si>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</si>
  <si>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</si>
  <si>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</si>
  <si>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</si>
  <si>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</si>
  <si>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</si>
  <si>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</si>
  <si>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</si>
  <si>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</si>
  <si>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</si>
  <si>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</si>
  <si>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</si>
  <si>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</si>
  <si>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</si>
  <si>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</si>
  <si>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</si>
  <si>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</si>
  <si>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</si>
  <si>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</si>
  <si>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</si>
  <si>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</si>
  <si>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</si>
  <si>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</si>
  <si>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</si>
  <si>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</si>
  <si>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</si>
  <si>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</si>
  <si>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</si>
  <si>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</si>
  <si>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</si>
  <si>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</si>
  <si>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</si>
  <si>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</si>
  <si>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</si>
  <si>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</si>
  <si>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</si>
  <si>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</si>
  <si>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</si>
  <si>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</si>
  <si>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</si>
  <si>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</si>
  <si>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</si>
  <si>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</si>
  <si>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</si>
  <si>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</si>
  <si>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</si>
  <si>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</si>
  <si>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</si>
  <si>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</si>
  <si>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</si>
  <si>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</si>
  <si>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</si>
  <si>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</si>
  <si>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</si>
  <si>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</si>
  <si>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</si>
  <si>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</si>
  <si>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</si>
  <si>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</si>
  <si>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</si>
  <si>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</si>
  <si>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</si>
  <si>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</si>
  <si>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</si>
  <si>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</si>
  <si>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</si>
  <si>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</si>
  <si>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</si>
  <si>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</si>
  <si>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</si>
  <si>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</si>
  <si>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</si>
  <si>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</si>
  <si>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</si>
  <si>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</si>
  <si>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</si>
  <si>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</si>
  <si>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</si>
  <si>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</si>
  <si>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</si>
  <si>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</si>
  <si>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</si>
  <si>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</si>
  <si>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</si>
  <si>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</si>
  <si>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</si>
  <si>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</si>
  <si>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</si>
  <si>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</si>
  <si>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</si>
  <si>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</si>
  <si>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</si>
  <si>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</si>
  <si>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</si>
  <si>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</si>
  <si>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</si>
  <si>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</si>
  <si>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</si>
  <si>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</si>
  <si>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</si>
  <si>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</si>
  <si>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</si>
  <si>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</si>
  <si>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</si>
  <si>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</si>
  <si>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</si>
  <si>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</si>
  <si>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</si>
  <si>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</si>
  <si>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</si>
  <si>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</si>
  <si>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</si>
  <si>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</si>
  <si>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</si>
  <si>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</si>
  <si>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</si>
  <si>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</si>
  <si>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</si>
  <si>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</si>
  <si>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</si>
  <si>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</si>
  <si>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</si>
  <si>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</si>
  <si>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</si>
  <si>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</si>
  <si>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</si>
  <si>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</si>
  <si>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</si>
  <si>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</si>
  <si>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</si>
  <si>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</si>
  <si>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</si>
  <si>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</si>
  <si>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</si>
  <si>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</si>
  <si>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</si>
  <si>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</si>
  <si>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</si>
  <si>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</si>
  <si>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</si>
  <si>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</si>
  <si>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</si>
  <si>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</si>
  <si>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</si>
  <si>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</si>
  <si>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</si>
  <si>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</si>
  <si>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</si>
  <si>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</si>
  <si>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</si>
  <si>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</si>
  <si>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</si>
  <si>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</si>
  <si>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</si>
  <si>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</si>
  <si>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</si>
  <si>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</si>
  <si>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</si>
  <si>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</si>
  <si>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</si>
  <si>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</si>
  <si>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</si>
  <si>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</si>
  <si>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</si>
  <si>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</si>
  <si>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</si>
  <si>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</si>
  <si>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</si>
  <si>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</si>
  <si>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</si>
  <si>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</si>
  <si>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</si>
  <si>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</si>
  <si>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</si>
  <si>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</si>
  <si>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</si>
  <si>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</si>
  <si>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</si>
  <si>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</si>
  <si>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</si>
  <si>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</si>
  <si>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</si>
  <si>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</si>
  <si>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</si>
  <si>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</si>
  <si>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</si>
  <si>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</si>
  <si>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</si>
  <si>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</si>
  <si>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</si>
  <si>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</si>
  <si>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</si>
  <si>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</si>
  <si>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</si>
  <si>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</si>
  <si>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</si>
  <si>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</si>
  <si>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</si>
  <si>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</si>
  <si>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</si>
  <si>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</si>
  <si>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</si>
  <si>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</si>
  <si>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</si>
  <si>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</si>
  <si>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</si>
  <si>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</si>
  <si>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</si>
  <si>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</si>
  <si>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</si>
  <si>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</si>
  <si>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</si>
  <si>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</si>
  <si>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</si>
  <si>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</si>
  <si>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</si>
  <si>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</si>
  <si>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</si>
  <si>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</si>
  <si>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</si>
  <si>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</si>
  <si>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</si>
  <si>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</si>
  <si>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</si>
  <si>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</si>
  <si>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</si>
  <si>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</si>
  <si>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</si>
  <si>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</si>
  <si>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</si>
  <si>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</si>
  <si>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</si>
  <si>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</si>
  <si>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</si>
  <si>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</si>
  <si>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</si>
  <si>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</si>
  <si>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</si>
  <si>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</si>
  <si>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</si>
  <si>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</si>
  <si>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</si>
  <si>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</si>
  <si>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</si>
  <si>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</si>
  <si>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</si>
  <si>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</si>
  <si>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</si>
  <si>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</si>
  <si>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</si>
  <si>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</si>
  <si>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</si>
  <si>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</si>
  <si>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</si>
  <si>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</si>
  <si>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</si>
  <si>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</si>
  <si>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</si>
  <si>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</si>
  <si>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</si>
  <si>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</si>
  <si>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</si>
  <si>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</si>
  <si>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</si>
  <si>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</si>
  <si>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</si>
  <si>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</si>
  <si>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</si>
  <si>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</si>
  <si>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</si>
  <si>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</si>
  <si>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</si>
  <si>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</si>
  <si>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</si>
  <si>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</si>
  <si>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</si>
  <si>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</si>
  <si>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</si>
  <si>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</si>
  <si>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</si>
  <si>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</si>
  <si>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</si>
  <si>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</si>
  <si>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</si>
  <si>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</si>
  <si>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</si>
  <si>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</si>
  <si>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</si>
  <si>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</si>
  <si>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</si>
  <si>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</si>
  <si>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</si>
  <si>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</si>
  <si>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</si>
  <si>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</si>
  <si>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</si>
  <si>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</si>
  <si>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</si>
  <si>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</si>
  <si>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</si>
  <si>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</si>
  <si>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</si>
  <si>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</si>
  <si>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</si>
  <si>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</si>
  <si>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</si>
  <si>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</si>
  <si>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</si>
  <si>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</si>
  <si>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</si>
  <si>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</si>
  <si>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</si>
  <si>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</si>
  <si>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</si>
  <si>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</si>
  <si>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</si>
  <si>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</si>
  <si>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</si>
  <si>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</si>
  <si>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</si>
  <si>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</si>
  <si>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</si>
  <si>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</si>
  <si>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</si>
  <si>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</si>
  <si>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</si>
  <si>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</si>
  <si>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</si>
  <si>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</si>
  <si>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</si>
  <si>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</si>
  <si>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</si>
  <si>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</si>
  <si>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</si>
  <si>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</si>
  <si>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</si>
  <si>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</si>
  <si>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</si>
  <si>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</si>
  <si>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</si>
  <si>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</si>
  <si>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</si>
  <si>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</si>
  <si>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</si>
  <si>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</si>
  <si>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</si>
  <si>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</si>
  <si>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</si>
  <si>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</si>
  <si>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</si>
  <si>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</si>
  <si>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</si>
  <si>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</si>
  <si>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</si>
  <si>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</si>
  <si>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</si>
  <si>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</si>
  <si>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</si>
  <si>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</si>
  <si>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</si>
  <si>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</si>
  <si>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</si>
  <si>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</si>
  <si>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</si>
  <si>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</si>
  <si>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</si>
  <si>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</si>
  <si>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</si>
  <si>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</si>
  <si>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</si>
  <si>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</si>
  <si>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</si>
  <si>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</si>
  <si>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</si>
  <si>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</si>
  <si>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</si>
  <si>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</si>
  <si>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</si>
  <si>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</si>
  <si>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</si>
  <si>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</si>
  <si>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</si>
  <si>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</si>
  <si>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</si>
  <si>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</si>
  <si>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</si>
  <si>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</si>
  <si>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</si>
  <si>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</si>
  <si>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</si>
  <si>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</si>
  <si>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</si>
  <si>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</si>
  <si>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</si>
  <si>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</si>
  <si>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</si>
  <si>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</si>
  <si>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</si>
  <si>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</si>
  <si>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</si>
  <si>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</si>
  <si>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</si>
  <si>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</si>
  <si>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</si>
  <si>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</si>
  <si>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</si>
  <si>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</si>
  <si>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</si>
  <si>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</si>
  <si>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</si>
  <si>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</si>
  <si>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</si>
  <si>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</si>
  <si>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</si>
  <si>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</si>
  <si>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</si>
  <si>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</si>
  <si>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</si>
  <si>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</si>
  <si>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</si>
  <si>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</si>
  <si>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</si>
  <si>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</si>
  <si>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</si>
  <si>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</si>
  <si>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</si>
  <si>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</si>
  <si>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</si>
  <si>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</si>
  <si>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</si>
  <si>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</si>
  <si>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</si>
  <si>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</si>
  <si>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</si>
  <si>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</si>
  <si>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</si>
  <si>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</si>
  <si>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</si>
  <si>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</si>
  <si>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</si>
  <si>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</si>
  <si>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</si>
  <si>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</si>
  <si>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</si>
  <si>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</si>
  <si>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</si>
  <si>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</si>
  <si>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</si>
  <si>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</si>
  <si>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</si>
  <si>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</si>
  <si>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</si>
  <si>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</si>
  <si>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</si>
  <si>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</si>
  <si>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</si>
  <si>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</si>
  <si>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</si>
  <si>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</si>
  <si>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</si>
  <si>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</si>
  <si>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</si>
  <si>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</si>
  <si>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</si>
  <si>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</si>
  <si>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</si>
  <si>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</si>
  <si>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</si>
  <si>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</si>
  <si>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</si>
  <si>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</si>
  <si>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</si>
  <si>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</si>
  <si>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</si>
  <si>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</si>
  <si>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</si>
  <si>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</si>
  <si>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</si>
  <si>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</si>
  <si>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</si>
  <si>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</si>
  <si>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</si>
  <si>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</si>
  <si>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</si>
  <si>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</si>
  <si>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</si>
  <si>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</si>
  <si>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</si>
  <si>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</si>
  <si>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</si>
  <si>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</si>
  <si>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</si>
  <si>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</si>
  <si>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</si>
  <si>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</si>
  <si>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</si>
  <si>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</si>
  <si>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</si>
  <si>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</si>
  <si>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</si>
  <si>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</si>
  <si>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</si>
  <si>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</si>
  <si>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</si>
  <si>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</si>
  <si>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</si>
  <si>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</si>
  <si>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</si>
  <si>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</si>
  <si>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</si>
  <si>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</si>
  <si>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</si>
  <si>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</si>
  <si>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</si>
  <si>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</si>
  <si>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</si>
  <si>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</si>
  <si>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</si>
  <si>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</si>
  <si>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</si>
  <si>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</si>
  <si>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</si>
  <si>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</si>
  <si>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</si>
  <si>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</si>
  <si>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</si>
  <si>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</si>
  <si>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</si>
  <si>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</si>
  <si>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</si>
  <si>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</si>
  <si>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</si>
  <si>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</si>
  <si>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</si>
  <si>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</si>
  <si>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</si>
  <si>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</si>
  <si>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</si>
  <si>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</si>
  <si>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</si>
  <si>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</si>
  <si>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</si>
  <si>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</si>
  <si>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</si>
  <si>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</si>
  <si>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</si>
  <si>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</si>
  <si>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</si>
  <si>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</si>
  <si>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</si>
  <si>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</si>
  <si>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</si>
  <si>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</si>
  <si>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</si>
  <si>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</si>
  <si>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</si>
  <si>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</si>
  <si>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</si>
  <si>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</si>
  <si>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</si>
  <si>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</si>
  <si>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</si>
  <si>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</si>
  <si>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</si>
  <si>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</si>
  <si>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</si>
  <si>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</si>
  <si>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</si>
  <si>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</si>
  <si>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</si>
  <si>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</si>
  <si>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</si>
  <si>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</si>
  <si>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</si>
  <si>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</si>
  <si>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</si>
  <si>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</si>
  <si>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</si>
  <si>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</si>
  <si>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</si>
  <si>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</si>
  <si>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</si>
  <si>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</si>
  <si>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</si>
  <si>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</si>
  <si>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</si>
  <si>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</si>
  <si>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</si>
  <si>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</si>
  <si>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</si>
  <si>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</si>
  <si>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</si>
  <si>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</si>
  <si>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</si>
  <si>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</si>
  <si>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</si>
  <si>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</si>
  <si>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</si>
  <si>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</si>
  <si>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</si>
  <si>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</si>
  <si>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</si>
  <si>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</si>
  <si>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</si>
  <si>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</si>
  <si>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</si>
  <si>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</si>
  <si>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</si>
  <si>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</si>
  <si>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</si>
  <si>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</si>
  <si>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</si>
  <si>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</si>
  <si>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</si>
  <si>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</si>
  <si>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</si>
  <si>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</si>
  <si>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</si>
  <si>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</si>
  <si>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</si>
  <si>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</si>
  <si>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</si>
  <si>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</si>
  <si>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</si>
  <si>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</si>
  <si>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</si>
  <si>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</si>
  <si>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</si>
  <si>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</si>
  <si>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</si>
  <si>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</si>
  <si>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</si>
  <si>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</si>
  <si>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</si>
  <si>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</si>
  <si>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</si>
  <si>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</si>
  <si>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</si>
  <si>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</si>
  <si>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</si>
  <si>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</si>
  <si>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</si>
  <si>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</si>
  <si>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</si>
  <si>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</si>
  <si>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</si>
  <si>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</si>
  <si>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</si>
  <si>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</si>
  <si>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</si>
  <si>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</si>
  <si>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</si>
  <si>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</si>
  <si>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</si>
  <si>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</si>
  <si>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</si>
  <si>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</si>
  <si>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</si>
  <si>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</si>
  <si>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</si>
  <si>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</si>
  <si>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</si>
  <si>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</si>
  <si>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</si>
  <si>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</si>
  <si>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</si>
  <si>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</si>
  <si>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</si>
  <si>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</si>
  <si>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</si>
  <si>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</si>
  <si>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</si>
  <si>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</si>
  <si>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</si>
  <si>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</si>
  <si>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</si>
  <si>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</si>
  <si>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</si>
  <si>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</si>
  <si>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</si>
  <si>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</si>
  <si>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</si>
  <si>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</si>
  <si>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</si>
  <si>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</si>
  <si>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</si>
  <si>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</si>
  <si>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</si>
  <si>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</si>
  <si>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</si>
  <si>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</si>
  <si>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</si>
  <si>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</si>
  <si>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</si>
  <si>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</si>
  <si>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</si>
  <si>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</si>
  <si>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</si>
  <si>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</si>
  <si>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</si>
  <si>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</si>
  <si>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</si>
  <si>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</si>
  <si>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</si>
  <si>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</si>
  <si>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</si>
  <si>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</si>
  <si>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</si>
  <si>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</si>
  <si>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</si>
  <si>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</si>
  <si>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</si>
  <si>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</si>
  <si>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</si>
  <si>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</si>
  <si>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</si>
  <si>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</si>
  <si>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</si>
  <si>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</si>
  <si>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</si>
  <si>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</si>
  <si>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</si>
  <si>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</si>
  <si>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</si>
  <si>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</si>
  <si>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</si>
  <si>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</si>
  <si>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</si>
  <si>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</si>
  <si>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</si>
  <si>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</si>
  <si>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</si>
  <si>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</si>
  <si>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</si>
  <si>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</si>
  <si>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</si>
  <si>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</si>
  <si>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</si>
  <si>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</si>
  <si>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</si>
  <si>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</si>
  <si>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</si>
  <si>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</si>
  <si>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</si>
  <si>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</si>
  <si>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</si>
  <si>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</si>
  <si>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</si>
  <si>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</si>
  <si>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</si>
  <si>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</si>
  <si>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</si>
  <si>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</si>
  <si>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</si>
  <si>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</si>
  <si>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</si>
  <si>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</si>
  <si>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</si>
  <si>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</si>
  <si>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</si>
  <si>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</si>
  <si>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</si>
  <si>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</si>
  <si>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</si>
  <si>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</si>
  <si>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</si>
  <si>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</si>
  <si>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</si>
  <si>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</si>
  <si>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</si>
  <si>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</si>
  <si>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</si>
  <si>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</si>
  <si>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</si>
  <si>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</si>
  <si>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</si>
  <si>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</si>
  <si>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</si>
  <si>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</si>
  <si>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</si>
  <si>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</si>
  <si>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</si>
  <si>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</si>
  <si>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</si>
  <si>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</si>
  <si>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</si>
  <si>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</si>
  <si>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</si>
  <si>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</si>
  <si>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</si>
  <si>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</si>
  <si>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</si>
  <si>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</si>
  <si>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</si>
  <si>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</si>
  <si>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</si>
  <si>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</si>
  <si>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</si>
  <si>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</si>
  <si>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</si>
  <si>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</si>
  <si>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</si>
  <si>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</si>
  <si>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</si>
  <si>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</si>
  <si>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</si>
  <si>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</si>
  <si>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</si>
  <si>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</si>
  <si>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</si>
  <si>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</si>
  <si>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</si>
  <si>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</si>
  <si>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</si>
  <si>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</si>
  <si>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</si>
  <si>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</si>
  <si>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</si>
  <si>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</si>
  <si>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</si>
  <si>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</si>
  <si>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</si>
  <si>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</si>
  <si>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</si>
  <si>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</si>
  <si>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</si>
  <si>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</si>
  <si>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</si>
  <si>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</si>
  <si>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</si>
  <si>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</si>
  <si>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</si>
  <si>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</si>
  <si>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</si>
  <si>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</si>
  <si>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</si>
  <si>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</si>
  <si>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</si>
  <si>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</si>
  <si>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</si>
  <si>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</si>
  <si>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</si>
  <si>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</si>
  <si>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</si>
  <si>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</si>
  <si>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</si>
  <si>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</si>
  <si>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</si>
  <si>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</si>
  <si>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</si>
  <si>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</si>
  <si>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</si>
  <si>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</si>
  <si>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</si>
  <si>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</si>
  <si>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</si>
  <si>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</si>
  <si>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</si>
  <si>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</si>
  <si>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</si>
  <si>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</si>
  <si>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</si>
  <si>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</si>
  <si>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</si>
  <si>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</si>
  <si>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</si>
  <si>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</si>
  <si>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</si>
  <si>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</si>
  <si>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</si>
  <si>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</si>
  <si>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</si>
  <si>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</si>
  <si>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</si>
  <si>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</si>
  <si>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</si>
  <si>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</si>
  <si>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</si>
  <si>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</si>
  <si>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</si>
  <si>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</si>
  <si>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</si>
  <si>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</si>
  <si>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</si>
  <si>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</si>
  <si>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</si>
  <si>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</si>
  <si>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</si>
  <si>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</si>
  <si>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</si>
  <si>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</si>
  <si>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</si>
  <si>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</si>
  <si>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</si>
  <si>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</si>
  <si>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</si>
  <si>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</si>
  <si>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</si>
  <si>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</si>
  <si>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</si>
  <si>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</si>
  <si>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</si>
  <si>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</si>
  <si>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</si>
  <si>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</si>
  <si>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</si>
  <si>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</si>
  <si>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</si>
  <si>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</si>
  <si>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</si>
  <si>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</si>
  <si>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</si>
  <si>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</si>
  <si>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</si>
  <si>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</si>
  <si>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</si>
  <si>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</si>
  <si>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</si>
  <si>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</si>
  <si>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</si>
  <si>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</si>
  <si>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</si>
  <si>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</si>
  <si>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</si>
  <si>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</si>
  <si>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</si>
  <si>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</si>
  <si>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</si>
  <si>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</si>
  <si>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</si>
  <si>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</si>
  <si>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</si>
  <si>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</si>
  <si>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</si>
  <si>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</si>
  <si>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</si>
  <si>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</si>
  <si>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</si>
  <si>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</si>
  <si>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</si>
  <si>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</si>
  <si>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</si>
  <si>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</si>
  <si>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</si>
  <si>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</si>
  <si>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</si>
  <si>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</si>
  <si>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</si>
  <si>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</si>
  <si>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</si>
  <si>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</si>
  <si>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</si>
  <si>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</si>
  <si>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</si>
  <si>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</si>
  <si>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</si>
  <si>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</si>
  <si>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</si>
  <si>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</si>
  <si>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</si>
  <si>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</si>
  <si>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</si>
  <si>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</si>
  <si>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</si>
  <si>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</si>
  <si>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</si>
  <si>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</si>
  <si>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</si>
  <si>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</si>
  <si>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</si>
  <si>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</si>
  <si>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</si>
  <si>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</si>
  <si>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</si>
  <si>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</si>
  <si>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</si>
  <si>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</si>
  <si>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</si>
  <si>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</si>
  <si>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</si>
  <si>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</si>
  <si>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</si>
  <si>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</si>
  <si>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</si>
  <si>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</si>
  <si>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</si>
  <si>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</si>
  <si>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</si>
  <si>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</si>
  <si>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</si>
  <si>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</si>
  <si>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</si>
  <si>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</si>
  <si>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</si>
  <si>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</si>
  <si>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</si>
  <si>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</si>
  <si>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</si>
  <si>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</si>
  <si>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</si>
  <si>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</si>
  <si>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</si>
  <si>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</si>
  <si>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</si>
  <si>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</si>
  <si>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</si>
  <si>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</si>
  <si>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</si>
  <si>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</si>
  <si>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</si>
  <si>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</si>
  <si>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</si>
  <si>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</si>
  <si>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</si>
  <si>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</si>
  <si>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</si>
  <si>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</si>
  <si>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</si>
  <si>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</si>
  <si>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</si>
  <si>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</si>
  <si>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</si>
  <si>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</si>
  <si>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</si>
  <si>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</si>
  <si>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</si>
  <si>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</si>
  <si>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</si>
  <si>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</si>
  <si>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</si>
  <si>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</si>
  <si>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</si>
  <si>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</si>
  <si>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</si>
  <si>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</si>
  <si>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</si>
  <si>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</si>
  <si>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</si>
  <si>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</si>
  <si>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</si>
  <si>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</si>
  <si>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</si>
  <si>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</si>
  <si>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</si>
  <si>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</si>
  <si>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</si>
  <si>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</si>
  <si>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</si>
  <si>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</si>
  <si>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</si>
  <si>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</si>
  <si>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</si>
  <si>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</si>
  <si>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</si>
  <si>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</si>
  <si>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</si>
  <si>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</si>
  <si>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</si>
  <si>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</si>
  <si>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</si>
  <si>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</si>
  <si>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</si>
  <si>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</si>
  <si>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</si>
  <si>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</si>
  <si>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</si>
  <si>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</si>
  <si>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</si>
  <si>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</si>
  <si>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</si>
  <si>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</si>
  <si>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</si>
  <si>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</si>
  <si>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</si>
  <si>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</si>
  <si>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</si>
  <si>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</si>
  <si>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</si>
  <si>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</si>
  <si>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</si>
  <si>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</si>
  <si>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</si>
  <si>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</si>
  <si>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</si>
  <si>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</si>
  <si>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</si>
  <si>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</si>
  <si>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</si>
  <si>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</si>
  <si>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</si>
  <si>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</si>
  <si>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</si>
  <si>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</si>
  <si>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</si>
  <si>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</si>
  <si>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</si>
  <si>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</si>
  <si>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</si>
  <si>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</si>
  <si>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</si>
  <si>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</si>
  <si>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</si>
  <si>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</si>
  <si>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</si>
  <si>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</si>
  <si>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</si>
  <si>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</si>
  <si>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</si>
  <si>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</si>
  <si>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</si>
  <si>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</si>
  <si>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</si>
  <si>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</si>
  <si>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</si>
  <si>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</si>
  <si>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</si>
  <si>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</si>
  <si>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</si>
  <si>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</si>
  <si>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</si>
  <si>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</si>
  <si>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</si>
  <si>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</si>
  <si>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</si>
  <si>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</si>
  <si>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</si>
  <si>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</si>
  <si>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</si>
  <si>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</si>
  <si>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</si>
  <si>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</si>
  <si>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</si>
  <si>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</si>
  <si>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</si>
  <si>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</si>
  <si>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</si>
  <si>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</si>
  <si>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</si>
  <si>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</si>
  <si>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</si>
  <si>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</si>
  <si>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</si>
  <si>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</si>
  <si>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</si>
  <si>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</si>
  <si>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</si>
  <si>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</si>
  <si>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</si>
  <si>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</si>
  <si>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</si>
  <si>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</si>
  <si>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</si>
  <si>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</si>
  <si>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</si>
  <si>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</si>
  <si>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</si>
  <si>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</si>
  <si>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</si>
  <si>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</si>
  <si>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</si>
  <si>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</si>
  <si>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</si>
  <si>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</si>
  <si>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</si>
  <si>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</si>
  <si>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</si>
  <si>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</si>
  <si>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</si>
  <si>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</si>
  <si>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</si>
  <si>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</si>
  <si>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</si>
  <si>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</si>
  <si>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</si>
  <si>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</si>
  <si>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</si>
  <si>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</si>
  <si>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</si>
  <si>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</si>
  <si>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</si>
  <si>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</si>
  <si>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</si>
  <si>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</si>
  <si>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</si>
  <si>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</si>
  <si>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</si>
  <si>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</si>
  <si>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</si>
  <si>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</si>
  <si>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</si>
  <si>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</si>
  <si>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</si>
  <si>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</si>
  <si>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</si>
  <si>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</si>
  <si>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</si>
  <si>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</si>
  <si>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</si>
  <si>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</si>
  <si>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</si>
  <si>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</si>
  <si>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</si>
  <si>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</si>
  <si>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</si>
  <si>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</si>
  <si>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</si>
  <si>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</si>
  <si>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</si>
  <si>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</si>
  <si>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</si>
  <si>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</si>
  <si>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</si>
  <si>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</si>
  <si>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</si>
  <si>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</si>
  <si>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</si>
  <si>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</si>
  <si>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</si>
  <si>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</si>
  <si>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</si>
  <si>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</si>
  <si>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</si>
  <si>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</si>
  <si>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</si>
  <si>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</si>
  <si>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</si>
  <si>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</si>
  <si>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</si>
  <si>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</si>
  <si>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</si>
  <si>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</si>
  <si>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</si>
  <si>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</si>
  <si>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</si>
  <si>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</si>
  <si>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</si>
  <si>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</si>
  <si>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</si>
  <si>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</si>
  <si>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</si>
  <si>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</si>
  <si>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</si>
  <si>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</si>
  <si>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</si>
  <si>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</si>
  <si>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</si>
  <si>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</si>
  <si>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</si>
  <si>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</si>
  <si>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</si>
  <si>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</si>
  <si>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</si>
  <si>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</si>
  <si>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</si>
  <si>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</si>
  <si>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</si>
  <si>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</si>
  <si>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</si>
  <si>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</si>
  <si>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</si>
  <si>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</si>
  <si>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</si>
  <si>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</si>
  <si>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</si>
  <si>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</si>
  <si>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</si>
  <si>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</si>
  <si>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</si>
  <si>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</si>
  <si>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</si>
  <si>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</si>
  <si>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</si>
  <si>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</si>
  <si>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</si>
  <si>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</si>
  <si>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</si>
  <si>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</si>
  <si>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</si>
  <si>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</si>
  <si>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</si>
  <si>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</si>
  <si>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</si>
  <si>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</si>
  <si>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</si>
  <si>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</si>
  <si>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</si>
  <si>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</si>
  <si>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</si>
  <si>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</si>
  <si>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</si>
  <si>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</si>
  <si>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</si>
  <si>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</si>
  <si>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</si>
  <si>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</si>
  <si>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</si>
  <si>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</si>
  <si>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</si>
  <si>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</si>
  <si>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</si>
  <si>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</si>
  <si>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</si>
  <si>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</si>
  <si>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</si>
  <si>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</si>
  <si>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</si>
  <si>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</si>
  <si>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</si>
  <si>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</si>
  <si>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</si>
  <si>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</si>
  <si>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</si>
  <si>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</si>
  <si>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</si>
  <si>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</si>
  <si>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</si>
  <si>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</si>
  <si>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</si>
  <si>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</si>
  <si>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</si>
  <si>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</si>
  <si>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</si>
  <si>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</si>
  <si>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</si>
  <si>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</si>
  <si>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</si>
  <si>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</si>
  <si>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</si>
  <si>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</si>
  <si>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</si>
  <si>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</si>
  <si>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</si>
  <si>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</si>
  <si>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</si>
  <si>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</si>
  <si>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</si>
  <si>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</si>
  <si>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</si>
  <si>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</si>
  <si>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</si>
  <si>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</si>
  <si>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</si>
  <si>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</si>
  <si>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</si>
  <si>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</si>
  <si>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</si>
  <si>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</si>
  <si>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</si>
  <si>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</si>
  <si>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</si>
  <si>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</si>
  <si>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</si>
  <si>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</si>
  <si>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</si>
  <si>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</si>
  <si>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</si>
  <si>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</si>
  <si>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</si>
  <si>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</si>
  <si>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</si>
  <si>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</si>
  <si>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</si>
  <si>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</si>
  <si>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</si>
  <si>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</si>
  <si>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</si>
  <si>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</si>
  <si>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</si>
  <si>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</si>
  <si>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</si>
  <si>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</si>
  <si>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</si>
  <si>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</si>
  <si>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</si>
  <si>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</si>
  <si>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</si>
  <si>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</si>
  <si>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</si>
  <si>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</si>
  <si>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</si>
  <si>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</si>
  <si>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</si>
  <si>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</si>
  <si>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</si>
  <si>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</si>
  <si>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</si>
  <si>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</si>
  <si>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</si>
  <si>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</si>
  <si>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</si>
  <si>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</si>
  <si>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</si>
  <si>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</si>
  <si>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</si>
  <si>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</si>
  <si>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</si>
  <si>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</si>
  <si>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</si>
  <si>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</si>
  <si>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</si>
  <si>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</si>
  <si>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</si>
  <si>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</si>
  <si>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</si>
  <si>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</si>
  <si>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</si>
  <si>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</si>
  <si>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</si>
  <si>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</si>
  <si>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</si>
  <si>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</si>
  <si>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</si>
  <si>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</si>
  <si>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</si>
  <si>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</si>
  <si>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</si>
  <si>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</si>
  <si>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</si>
  <si>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</si>
  <si>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</si>
  <si>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</si>
  <si>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</si>
  <si>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</si>
  <si>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</si>
  <si>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</si>
  <si>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</si>
  <si>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</si>
  <si>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</si>
  <si>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</si>
  <si>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</si>
  <si>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</si>
  <si>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</si>
  <si>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</si>
  <si>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</si>
  <si>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</si>
  <si>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</si>
  <si>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</si>
  <si>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</si>
  <si>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</si>
  <si>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</si>
  <si>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</si>
  <si>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</si>
  <si>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</si>
  <si>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</si>
  <si>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</si>
  <si>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</si>
  <si>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</si>
  <si>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</si>
  <si>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</si>
  <si>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</si>
  <si>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</si>
  <si>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</si>
  <si>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</si>
  <si>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</si>
  <si>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</si>
  <si>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</si>
  <si>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</si>
  <si>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</si>
  <si>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</si>
  <si>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</si>
  <si>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</si>
  <si>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</si>
  <si>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</si>
  <si>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</si>
  <si>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</si>
  <si>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</si>
  <si>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</si>
  <si>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</si>
  <si>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</si>
  <si>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</si>
  <si>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</si>
  <si>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</si>
  <si>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</si>
  <si>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</si>
  <si>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</si>
  <si>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</si>
  <si>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</si>
  <si>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</si>
  <si>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</si>
  <si>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</si>
  <si>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</si>
  <si>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</si>
  <si>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</si>
  <si>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</si>
  <si>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</si>
  <si>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</si>
  <si>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</si>
  <si>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</si>
  <si>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</si>
  <si>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</si>
  <si>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</si>
  <si>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</si>
  <si>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</si>
  <si>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</si>
  <si>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</si>
  <si>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</si>
  <si>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</si>
  <si>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</si>
  <si>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</si>
  <si>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</si>
  <si>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</si>
  <si>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</si>
  <si>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</si>
  <si>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</si>
  <si>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</si>
  <si>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</si>
  <si>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</si>
  <si>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</si>
  <si>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</si>
  <si>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</si>
  <si>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</si>
  <si>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</si>
  <si>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</si>
  <si>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</si>
  <si>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</si>
  <si>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</si>
  <si>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</si>
  <si>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</si>
  <si>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</si>
  <si>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</si>
  <si>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</si>
  <si>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</si>
  <si>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</si>
  <si>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</si>
  <si>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</si>
  <si>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</si>
  <si>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</si>
  <si>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</si>
  <si>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</si>
  <si>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</si>
  <si>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</si>
  <si>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</si>
  <si>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</si>
  <si>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</si>
  <si>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</si>
  <si>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</si>
  <si>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</si>
  <si>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</si>
  <si>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</si>
  <si>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</si>
  <si>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</si>
  <si>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</si>
  <si>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</si>
  <si>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</si>
  <si>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</si>
  <si>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</si>
  <si>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</si>
  <si>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</si>
  <si>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</si>
  <si>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</si>
  <si>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</si>
  <si>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</si>
  <si>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</si>
  <si>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</si>
  <si>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</si>
  <si>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</si>
  <si>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</si>
  <si>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</si>
  <si>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</si>
  <si>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</si>
  <si>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</si>
  <si>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</si>
  <si>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</si>
  <si>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</si>
  <si>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</si>
  <si>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</si>
  <si>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</si>
  <si>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</si>
  <si>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</si>
  <si>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</si>
  <si>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</si>
  <si>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</si>
  <si>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</si>
  <si>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</si>
  <si>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</si>
  <si>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</si>
  <si>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</si>
  <si>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</si>
  <si>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</si>
  <si>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</si>
  <si>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</si>
  <si>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</si>
  <si>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</si>
  <si>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</si>
  <si>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</si>
  <si>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</si>
  <si>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</si>
  <si>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</si>
  <si>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</si>
  <si>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</si>
  <si>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</si>
  <si>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</si>
  <si>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</si>
  <si>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</si>
  <si>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</si>
  <si>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</si>
  <si>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</si>
  <si>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</si>
  <si>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</si>
  <si>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</si>
  <si>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</si>
  <si>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</si>
  <si>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</si>
  <si>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</si>
  <si>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</si>
  <si>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</si>
  <si>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</si>
  <si>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</si>
  <si>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</si>
  <si>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</si>
  <si>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</si>
  <si>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</si>
  <si>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</si>
  <si>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</si>
  <si>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</si>
  <si>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</si>
  <si>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</si>
  <si>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</si>
  <si>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</si>
  <si>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</si>
  <si>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</si>
  <si>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</si>
  <si>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</si>
  <si>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</si>
  <si>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</si>
  <si>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</si>
  <si>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</si>
  <si>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</si>
  <si>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</si>
  <si>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</si>
  <si>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</si>
  <si>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</si>
  <si>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</si>
  <si>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</si>
  <si>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</si>
  <si>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</si>
  <si>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</si>
  <si>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</si>
  <si>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</si>
  <si>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</si>
  <si>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</si>
  <si>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</si>
  <si>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</si>
  <si>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</si>
  <si>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</si>
  <si>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</si>
  <si>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</si>
  <si>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</si>
  <si>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</si>
  <si>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</si>
  <si>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</si>
  <si>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</si>
  <si>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</si>
  <si>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</si>
  <si>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</si>
  <si>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</si>
  <si>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</si>
  <si>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</si>
  <si>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</si>
  <si>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</si>
  <si>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</si>
  <si>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</si>
  <si>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</si>
  <si>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</si>
  <si>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</si>
  <si>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</si>
  <si>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</si>
  <si>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</si>
  <si>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</si>
  <si>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</si>
  <si>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</si>
  <si>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</si>
  <si>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</si>
  <si>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</si>
  <si>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</si>
  <si>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</si>
  <si>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</si>
  <si>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</si>
  <si>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</si>
  <si>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</si>
  <si>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</si>
  <si>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</si>
  <si>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</si>
  <si>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</si>
  <si>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</si>
  <si>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</si>
  <si>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</si>
  <si>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</si>
  <si>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</si>
  <si>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</si>
  <si>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</si>
  <si>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</si>
  <si>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</si>
  <si>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</si>
  <si>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</si>
  <si>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</si>
  <si>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</si>
  <si>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</si>
  <si>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</si>
  <si>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</si>
  <si>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</si>
  <si>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</si>
  <si>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</si>
  <si>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</si>
  <si>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</si>
  <si>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</si>
  <si>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</si>
  <si>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</si>
  <si>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</si>
  <si>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</si>
  <si>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</si>
  <si>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</si>
  <si>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</si>
  <si>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</si>
  <si>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</si>
  <si>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</si>
  <si>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</si>
  <si>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</si>
  <si>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</si>
  <si>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</si>
  <si>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</si>
  <si>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</si>
  <si>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</si>
  <si>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</si>
  <si>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</si>
  <si>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</si>
  <si>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</si>
  <si>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</si>
  <si>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</si>
  <si>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</si>
  <si>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</si>
  <si>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</si>
  <si>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</si>
  <si>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</si>
  <si>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</si>
  <si>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</si>
  <si>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</si>
  <si>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</si>
  <si>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</si>
  <si>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</si>
  <si>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</si>
  <si>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</si>
  <si>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</si>
  <si>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</si>
  <si>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</si>
  <si>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</si>
  <si>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</si>
  <si>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</si>
  <si>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</si>
  <si>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</si>
  <si>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</si>
  <si>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</si>
  <si>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</si>
  <si>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</si>
  <si>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</si>
  <si>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</si>
  <si>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</si>
  <si>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</si>
  <si>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</si>
  <si>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</si>
  <si>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</si>
  <si>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</si>
  <si>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</si>
  <si>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</si>
  <si>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</si>
  <si>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</si>
  <si>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</si>
  <si>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</si>
  <si>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</si>
  <si>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</si>
  <si>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</si>
  <si>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</si>
  <si>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</si>
  <si>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</si>
  <si>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</si>
  <si>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</si>
  <si>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</si>
  <si>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</si>
  <si>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</si>
  <si>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</si>
  <si>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</si>
  <si>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</si>
  <si>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</si>
  <si>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</si>
  <si>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</si>
  <si>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</si>
  <si>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</si>
  <si>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</si>
  <si>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</si>
  <si>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</si>
  <si>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</si>
  <si>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</si>
  <si>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</si>
  <si>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</si>
  <si>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</si>
  <si>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</si>
  <si>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</si>
  <si>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</si>
  <si>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</si>
  <si>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</si>
  <si>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</si>
  <si>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</si>
  <si>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</si>
  <si>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</si>
  <si>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</si>
  <si>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</si>
  <si>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</si>
  <si>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</si>
  <si>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</si>
  <si>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</si>
  <si>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</si>
  <si>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</si>
  <si>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</si>
  <si>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</si>
  <si>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</si>
  <si>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</si>
  <si>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</si>
  <si>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</si>
  <si>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</si>
  <si>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</si>
  <si>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</si>
  <si>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</si>
  <si>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</si>
  <si>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</si>
  <si>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</si>
  <si>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</si>
  <si>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</si>
  <si>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</si>
  <si>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</si>
  <si>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</si>
  <si>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</si>
  <si>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</si>
  <si>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</si>
  <si>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</si>
  <si>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</si>
  <si>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</si>
  <si>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</si>
  <si>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</si>
  <si>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</si>
  <si>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</si>
  <si>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</si>
  <si>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</si>
  <si>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</si>
  <si>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</si>
  <si>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</si>
  <si>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</si>
  <si>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</si>
  <si>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</si>
  <si>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</si>
  <si>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</si>
  <si>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</si>
  <si>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</si>
  <si>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</si>
  <si>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</si>
  <si>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</si>
  <si>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</si>
  <si>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</si>
  <si>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</si>
  <si>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</si>
  <si>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</si>
  <si>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</si>
  <si>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</si>
  <si>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</si>
  <si>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</si>
  <si>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</si>
  <si>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</si>
  <si>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</si>
  <si>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</si>
  <si>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</si>
  <si>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</si>
  <si>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</si>
  <si>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</si>
  <si>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</si>
  <si>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</si>
  <si>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</si>
  <si>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</si>
  <si>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</si>
  <si>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</si>
  <si>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</si>
  <si>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</si>
  <si>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</si>
  <si>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</si>
  <si>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</si>
  <si>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</si>
  <si>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</si>
  <si>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</si>
  <si>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</si>
  <si>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</si>
  <si>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</si>
  <si>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</si>
  <si>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</si>
  <si>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</si>
  <si>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</si>
  <si>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</si>
  <si>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</si>
  <si>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</si>
  <si>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</si>
  <si>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</si>
  <si>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</si>
  <si>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</si>
  <si>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</si>
  <si>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</si>
  <si>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</si>
  <si>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</si>
  <si>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</si>
  <si>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</si>
  <si>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</si>
  <si>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</si>
  <si>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</si>
  <si>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</si>
  <si>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</si>
  <si>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</si>
  <si>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</si>
  <si>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</si>
  <si>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</si>
  <si>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</si>
  <si>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</si>
  <si>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</si>
  <si>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</si>
  <si>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</si>
  <si>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</si>
  <si>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</si>
  <si>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</si>
  <si>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</si>
  <si>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</si>
  <si>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</si>
  <si>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</si>
  <si>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</si>
  <si>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</si>
  <si>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</si>
  <si>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</si>
  <si>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</si>
  <si>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</si>
  <si>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</si>
  <si>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</si>
  <si>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</si>
  <si>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</si>
  <si>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</si>
  <si>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</si>
  <si>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</si>
  <si>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</si>
  <si>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</si>
  <si>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</si>
  <si>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</si>
  <si>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</si>
  <si>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</si>
  <si>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</si>
  <si>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</si>
  <si>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</si>
  <si>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</si>
  <si>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</si>
  <si>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</si>
  <si>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</si>
  <si>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</si>
  <si>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</si>
  <si>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</si>
  <si>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</si>
  <si>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</si>
  <si>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</si>
  <si>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</si>
  <si>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</si>
  <si>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</si>
  <si>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</si>
  <si>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</si>
  <si>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</si>
  <si>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</si>
  <si>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</si>
  <si>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</si>
  <si>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</si>
  <si>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</si>
  <si>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</si>
  <si>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</si>
  <si>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</si>
  <si>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</si>
  <si>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</si>
  <si>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</si>
  <si>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</si>
  <si>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</si>
  <si>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</si>
  <si>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</si>
  <si>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</si>
  <si>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</si>
  <si>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</si>
  <si>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</si>
  <si>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</si>
  <si>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</si>
  <si>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</si>
  <si>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</si>
  <si>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</si>
  <si>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</si>
  <si>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</si>
  <si>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</si>
  <si>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</si>
  <si>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</si>
  <si>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</si>
  <si>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</si>
  <si>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</si>
  <si>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</si>
  <si>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</si>
  <si>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</si>
  <si>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</si>
  <si>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</si>
  <si>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</si>
  <si>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</si>
  <si>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</si>
  <si>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</si>
  <si>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</si>
  <si>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</si>
  <si>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</si>
  <si>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</si>
  <si>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</si>
  <si>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</si>
  <si>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</si>
  <si>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</si>
  <si>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</si>
  <si>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</si>
  <si>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</si>
  <si>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</si>
  <si>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</si>
  <si>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</si>
  <si>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</si>
  <si>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</si>
  <si>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</si>
  <si>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</si>
  <si>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</si>
  <si>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</si>
  <si>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</si>
  <si>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</si>
  <si>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</si>
  <si>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</si>
  <si>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</si>
  <si>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</si>
  <si>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</si>
  <si>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</si>
  <si>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</si>
  <si>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</si>
  <si>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</si>
  <si>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</si>
  <si>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</si>
  <si>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</si>
  <si>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</si>
  <si>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</si>
  <si>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</si>
  <si>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</si>
  <si>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</si>
  <si>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</si>
  <si>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</si>
  <si>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</si>
  <si>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</si>
  <si>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</si>
  <si>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</si>
  <si>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</si>
  <si>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</si>
  <si>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</si>
  <si>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</si>
  <si>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</si>
  <si>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</si>
  <si>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</si>
  <si>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</si>
  <si>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</si>
  <si>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</si>
  <si>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</si>
  <si>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</si>
  <si>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</si>
  <si>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</si>
  <si>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</si>
  <si>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</si>
  <si>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</si>
  <si>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</si>
  <si>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</si>
  <si>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</si>
  <si>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</si>
  <si>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</si>
  <si>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</si>
  <si>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</si>
  <si>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</si>
  <si>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</si>
  <si>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</si>
  <si>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</si>
  <si>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</si>
  <si>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</si>
  <si>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</si>
  <si>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</si>
  <si>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</si>
  <si>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</si>
  <si>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</si>
  <si>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</si>
  <si>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</si>
  <si>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</si>
  <si>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</si>
  <si>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</si>
  <si>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</si>
  <si>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</si>
  <si>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</si>
  <si>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</si>
  <si>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</si>
  <si>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</si>
  <si>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</si>
  <si>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</si>
  <si>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</si>
  <si>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</si>
  <si>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</si>
  <si>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</si>
  <si>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</si>
  <si>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</si>
  <si>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</si>
  <si>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</si>
  <si>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</si>
  <si>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</si>
  <si>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</si>
  <si>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</si>
  <si>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</si>
  <si>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</si>
  <si>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</si>
  <si>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</si>
  <si>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</si>
  <si>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</si>
  <si>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</si>
  <si>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</si>
  <si>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</si>
  <si>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</si>
  <si>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</si>
  <si>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</si>
  <si>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</si>
  <si>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</si>
  <si>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</si>
  <si>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</si>
  <si>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</si>
  <si>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</si>
  <si>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</si>
  <si>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</si>
  <si>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</si>
  <si>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</si>
  <si>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</si>
  <si>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</si>
  <si>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</si>
  <si>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</si>
  <si>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</si>
  <si>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</si>
  <si>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</si>
  <si>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</si>
  <si>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</si>
  <si>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</si>
  <si>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</si>
  <si>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</si>
  <si>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</si>
  <si>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</si>
  <si>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</si>
  <si>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</si>
  <si>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</si>
  <si>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</si>
  <si>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</si>
  <si>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</si>
  <si>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</si>
  <si>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</si>
  <si>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</si>
  <si>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</si>
  <si>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</si>
  <si>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</si>
  <si>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</si>
  <si>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</si>
  <si>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</si>
  <si>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</si>
  <si>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</si>
  <si>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</si>
  <si>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</si>
  <si>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</si>
  <si>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</si>
  <si>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</si>
  <si>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</si>
  <si>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</si>
  <si>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</si>
  <si>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</si>
  <si>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</si>
  <si>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</si>
  <si>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</si>
  <si>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</si>
  <si>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</si>
  <si>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</si>
  <si>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</si>
  <si>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</si>
  <si>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</si>
  <si>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</si>
  <si>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</si>
  <si>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</si>
  <si>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</si>
  <si>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</si>
  <si>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</si>
  <si>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</si>
  <si>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</si>
  <si>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</si>
  <si>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</si>
  <si>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</si>
  <si>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</si>
  <si>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</si>
  <si>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</si>
  <si>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</si>
  <si>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</si>
  <si>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</si>
  <si>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</si>
  <si>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</si>
  <si>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</si>
  <si>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</si>
  <si>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</si>
  <si>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</si>
  <si>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</si>
  <si>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</si>
  <si>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</si>
  <si>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</si>
  <si>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</si>
  <si>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</si>
  <si>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</si>
  <si>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</si>
  <si>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</si>
  <si>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</si>
  <si>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</si>
  <si>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</si>
  <si>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</si>
  <si>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</si>
  <si>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</si>
  <si>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</si>
  <si>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</si>
  <si>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</si>
  <si>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</si>
  <si>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</si>
  <si>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</si>
  <si>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</si>
  <si>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</si>
  <si>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</si>
  <si>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</si>
  <si>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</si>
  <si>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</si>
  <si>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</si>
  <si>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</si>
  <si>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</si>
  <si>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</si>
  <si>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</si>
  <si>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</si>
  <si>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</si>
  <si>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</si>
  <si>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</si>
  <si>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</si>
  <si>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</si>
  <si>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</si>
  <si>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</si>
  <si>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</si>
  <si>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</si>
  <si>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</si>
  <si>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</si>
  <si>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</si>
  <si>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</si>
  <si>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</si>
  <si>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</si>
  <si>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</si>
  <si>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</si>
  <si>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</si>
  <si>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</si>
  <si>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</si>
  <si>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</si>
  <si>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</si>
  <si>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</si>
  <si>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</si>
  <si>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</si>
  <si>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</si>
  <si>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</si>
  <si>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</si>
  <si>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</si>
  <si>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</si>
  <si>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</si>
  <si>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</si>
  <si>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</si>
  <si>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</si>
  <si>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</si>
  <si>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</si>
  <si>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</si>
  <si>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</si>
  <si>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</si>
  <si>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</si>
  <si>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</si>
  <si>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</si>
  <si>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</si>
  <si>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</si>
  <si>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</si>
  <si>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</si>
  <si>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</si>
  <si>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</si>
  <si>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</si>
  <si>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</si>
  <si>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</si>
  <si>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</si>
  <si>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</si>
  <si>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</si>
  <si>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</si>
  <si>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</si>
  <si>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</si>
  <si>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</si>
  <si>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</si>
  <si>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</si>
  <si>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</si>
  <si>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</si>
  <si>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</si>
  <si>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</si>
  <si>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</si>
  <si>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</si>
  <si>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</si>
  <si>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</si>
  <si>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</si>
  <si>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</si>
  <si>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</si>
  <si>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</si>
  <si>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</si>
  <si>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</si>
  <si>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</si>
  <si>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</si>
  <si>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</si>
  <si>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</si>
  <si>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</si>
  <si>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</si>
  <si>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</si>
  <si>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</si>
  <si>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</si>
  <si>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</si>
  <si>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</si>
  <si>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</si>
  <si>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</si>
  <si>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</si>
  <si>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</si>
  <si>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</si>
  <si>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</si>
  <si>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</si>
  <si>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</si>
  <si>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</si>
  <si>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</si>
  <si>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</si>
  <si>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</si>
  <si>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</si>
  <si>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</si>
  <si>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</si>
  <si>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</si>
  <si>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</si>
  <si>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</si>
  <si>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</si>
  <si>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</si>
  <si>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</si>
  <si>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</si>
  <si>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</si>
  <si>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</si>
  <si>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</si>
  <si>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</si>
  <si>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</si>
  <si>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</si>
  <si>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</si>
  <si>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</si>
  <si>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</si>
  <si>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</si>
  <si>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</si>
  <si>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</si>
  <si>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</si>
  <si>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</si>
  <si>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</si>
  <si>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</si>
  <si>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</si>
  <si>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</si>
  <si>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</si>
  <si>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</si>
  <si>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</si>
  <si>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</si>
  <si>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</si>
  <si>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</si>
  <si>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</si>
  <si>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</si>
  <si>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</si>
  <si>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</si>
  <si>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</si>
  <si>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</si>
  <si>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</si>
  <si>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</si>
  <si>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</si>
  <si>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</si>
  <si>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</si>
  <si>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</si>
  <si>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</si>
  <si>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</si>
  <si>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</si>
  <si>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</si>
  <si>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</si>
  <si>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</si>
  <si>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</si>
  <si>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</si>
  <si>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</si>
  <si>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</si>
  <si>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</si>
  <si>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</si>
  <si>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</si>
  <si>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</si>
  <si>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</si>
  <si>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</si>
  <si>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</si>
  <si>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</si>
  <si>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</si>
  <si>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</si>
  <si>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</si>
  <si>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</si>
  <si>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</si>
  <si>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</si>
  <si>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</si>
  <si>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</si>
  <si>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</si>
  <si>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</si>
  <si>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</si>
  <si>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</si>
  <si>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</si>
  <si>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</si>
  <si>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</si>
  <si>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</si>
  <si>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</si>
  <si>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</si>
  <si>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</si>
  <si>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</si>
  <si>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</si>
  <si>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</si>
  <si>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</si>
  <si>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</si>
  <si>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</si>
  <si>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</si>
  <si>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</si>
  <si>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</si>
  <si>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</si>
  <si>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</si>
  <si>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</si>
  <si>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</si>
  <si>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</si>
  <si>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</si>
  <si>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</si>
  <si>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</si>
  <si>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</si>
  <si>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</si>
  <si>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</si>
  <si>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</si>
  <si>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</si>
  <si>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</si>
  <si>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</si>
  <si>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</si>
  <si>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</si>
  <si>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</si>
  <si>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</si>
  <si>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</si>
  <si>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</si>
  <si>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</si>
  <si>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</si>
  <si>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</si>
  <si>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</si>
  <si>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</si>
  <si>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</si>
  <si>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</si>
  <si>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</si>
  <si>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</si>
  <si>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</si>
  <si>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</si>
  <si>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</si>
  <si>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</si>
  <si>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</si>
  <si>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</si>
  <si>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</si>
  <si>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</si>
  <si>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</si>
  <si>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</si>
  <si>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</si>
  <si>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</si>
  <si>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</si>
  <si>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</si>
  <si>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</si>
  <si>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</si>
  <si>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</si>
  <si>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</si>
  <si>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</si>
  <si>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</si>
  <si>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</si>
  <si>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</si>
  <si>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</si>
  <si>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</si>
  <si>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</si>
  <si>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</si>
  <si>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</si>
  <si>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</si>
  <si>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</si>
  <si>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</si>
  <si>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</si>
  <si>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</si>
  <si>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</si>
  <si>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</si>
  <si>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</si>
  <si>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</si>
  <si>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</si>
  <si>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</si>
  <si>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</si>
  <si>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</si>
  <si>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</si>
  <si>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</si>
  <si>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</si>
  <si>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</si>
  <si>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</si>
  <si>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</si>
  <si>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</si>
  <si>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</si>
  <si>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</si>
  <si>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</si>
  <si>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</si>
  <si>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</si>
  <si>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</si>
  <si>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</si>
  <si>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</si>
  <si>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</si>
  <si>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</si>
  <si>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</si>
  <si>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</si>
  <si>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</si>
  <si>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</si>
  <si>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</si>
  <si>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</si>
  <si>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</si>
  <si>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</si>
  <si>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</si>
  <si>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</si>
  <si>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</si>
  <si>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</si>
  <si>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</si>
  <si>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</si>
  <si>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</si>
  <si>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</si>
  <si>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</si>
  <si>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</si>
  <si>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</si>
  <si>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</si>
  <si>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</si>
  <si>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</si>
  <si>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</si>
  <si>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</si>
  <si>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</si>
  <si>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</si>
  <si>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</si>
  <si>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</si>
  <si>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</si>
  <si>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</si>
  <si>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</si>
  <si>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</si>
  <si>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</si>
  <si>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</si>
  <si>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</si>
  <si>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</si>
  <si>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</si>
  <si>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</si>
  <si>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</si>
  <si>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</si>
  <si>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</si>
  <si>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</si>
  <si>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</si>
  <si>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</si>
  <si>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</si>
  <si>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</si>
  <si>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</si>
  <si>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</si>
  <si>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</si>
  <si>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</si>
  <si>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</si>
  <si>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</si>
  <si>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</si>
  <si>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</si>
  <si>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</si>
  <si>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</si>
  <si>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</si>
  <si>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</si>
  <si>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</si>
  <si>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</si>
  <si>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</si>
  <si>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</si>
  <si>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</si>
  <si>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</si>
  <si>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</si>
  <si>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</si>
  <si>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</si>
  <si>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</si>
  <si>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</si>
  <si>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</si>
  <si>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</si>
  <si>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</si>
  <si>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</si>
  <si>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</si>
  <si>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</si>
  <si>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</si>
  <si>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</si>
  <si>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</si>
  <si>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</si>
  <si>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</si>
  <si>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</si>
  <si>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</si>
  <si>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</si>
  <si>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</si>
  <si>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</si>
  <si>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</si>
  <si>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</si>
  <si>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</si>
  <si>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</si>
  <si>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</si>
  <si>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</si>
  <si>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</si>
  <si>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</si>
  <si>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</si>
  <si>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</si>
  <si>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</si>
  <si>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</si>
  <si>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</si>
  <si>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</si>
  <si>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</si>
  <si>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</si>
  <si>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</si>
  <si>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</si>
  <si>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</si>
  <si>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</si>
  <si>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</si>
  <si>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</si>
  <si>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</si>
  <si>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</si>
  <si>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</si>
  <si>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</si>
  <si>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</si>
  <si>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</si>
  <si>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</si>
  <si>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</si>
  <si>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</si>
  <si>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</si>
  <si>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</si>
  <si>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</si>
  <si>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</si>
  <si>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</si>
  <si>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</si>
  <si>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</si>
  <si>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</si>
  <si>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</si>
  <si>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</si>
  <si>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</si>
  <si>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</si>
  <si>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</si>
  <si>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</si>
  <si>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</si>
  <si>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</si>
  <si>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</si>
  <si>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</si>
  <si>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</si>
  <si>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</si>
  <si>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</si>
  <si>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</si>
  <si>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</si>
  <si>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</si>
  <si>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</si>
  <si>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</si>
  <si>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</si>
  <si>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</si>
  <si>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</si>
  <si>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</si>
  <si>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</si>
  <si>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</si>
  <si>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</si>
  <si>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</si>
  <si>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</si>
  <si>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</si>
  <si>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</si>
  <si>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</si>
  <si>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</si>
  <si>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</si>
  <si>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</si>
  <si>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</si>
  <si>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</si>
  <si>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</si>
  <si>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</si>
  <si>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</si>
  <si>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</si>
  <si>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</si>
  <si>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</si>
  <si>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</si>
  <si>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</si>
  <si>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</si>
  <si>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</si>
  <si>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</si>
  <si>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</si>
  <si>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</si>
  <si>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</si>
  <si>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</si>
  <si>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</si>
  <si>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</si>
  <si>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</si>
  <si>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</si>
  <si>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</si>
  <si>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</si>
  <si>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</si>
  <si>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</si>
  <si>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</si>
  <si>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</si>
  <si>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</si>
  <si>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</si>
  <si>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</si>
  <si>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</si>
  <si>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</si>
  <si>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</si>
  <si>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</si>
  <si>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</si>
  <si>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</si>
  <si>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</si>
  <si>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</si>
  <si>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</si>
  <si>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</si>
  <si>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</si>
  <si>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</si>
  <si>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</si>
  <si>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</si>
  <si>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</si>
  <si>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</si>
  <si>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</si>
  <si>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</si>
  <si>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</si>
  <si>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</si>
  <si>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</si>
  <si>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</si>
  <si>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</si>
  <si>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</si>
  <si>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</si>
  <si>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</si>
  <si>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</si>
  <si>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</si>
  <si>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</si>
  <si>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</si>
  <si>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</si>
  <si>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</si>
  <si>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</si>
  <si>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</si>
  <si>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</si>
  <si>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</si>
  <si>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</si>
  <si>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</si>
  <si>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</si>
  <si>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</si>
  <si>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</si>
  <si>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</si>
  <si>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</si>
  <si>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</si>
  <si>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</si>
  <si>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</si>
  <si>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</si>
  <si>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</si>
  <si>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</si>
  <si>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</si>
  <si>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</si>
  <si>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</si>
  <si>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</si>
  <si>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</si>
  <si>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</si>
  <si>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</si>
  <si>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</si>
  <si>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</si>
  <si>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</si>
  <si>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</si>
  <si>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</si>
  <si>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</si>
  <si>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</si>
  <si>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</si>
  <si>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</si>
  <si>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</si>
  <si>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</si>
  <si>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</si>
  <si>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</si>
  <si>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</si>
  <si>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</si>
  <si>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</si>
  <si>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</si>
  <si>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</si>
  <si>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</si>
  <si>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</si>
  <si>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</si>
  <si>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</si>
  <si>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</si>
  <si>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</si>
  <si>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</si>
  <si>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</si>
  <si>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</si>
  <si>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</si>
  <si>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</si>
  <si>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</si>
  <si>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</si>
  <si>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</si>
  <si>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</si>
  <si>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</si>
  <si>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</si>
  <si>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</si>
  <si>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</si>
  <si>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</si>
  <si>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</si>
  <si>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</si>
  <si>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</si>
  <si>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</si>
  <si>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</si>
  <si>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</si>
  <si>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</si>
  <si>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</si>
  <si>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</si>
  <si>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</si>
  <si>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</si>
  <si>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</si>
  <si>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</si>
  <si>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</si>
  <si>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</si>
  <si>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</si>
  <si>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</si>
  <si>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</si>
  <si>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</si>
  <si>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</si>
  <si>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</si>
  <si>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</si>
  <si>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</si>
  <si>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</si>
  <si>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</si>
  <si>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</si>
  <si>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</si>
  <si>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</si>
  <si>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</si>
  <si>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</si>
  <si>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</si>
  <si>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</si>
  <si>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</si>
  <si>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</si>
  <si>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</si>
  <si>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</si>
  <si>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</si>
  <si>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</si>
  <si>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</si>
  <si>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</si>
  <si>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</si>
  <si>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</si>
  <si>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</si>
  <si>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</si>
  <si>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</si>
  <si>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</si>
  <si>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</si>
  <si>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</si>
  <si>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</si>
  <si>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</si>
  <si>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</si>
  <si>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</si>
  <si>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</si>
  <si>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</si>
  <si>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</si>
  <si>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</si>
  <si>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</si>
  <si>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</si>
  <si>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</si>
  <si>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</si>
  <si>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</si>
  <si>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</si>
  <si>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</si>
  <si>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</si>
  <si>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</si>
  <si>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</si>
  <si>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</si>
  <si>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</si>
  <si>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</si>
  <si>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</si>
  <si>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</si>
  <si>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</si>
  <si>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</si>
  <si>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</si>
  <si>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</si>
  <si>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</si>
  <si>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</si>
  <si>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</si>
  <si>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</si>
  <si>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</si>
  <si>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</si>
  <si>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</si>
  <si>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</si>
  <si>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</si>
  <si>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</si>
  <si>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</si>
  <si>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</si>
  <si>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</si>
  <si>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</si>
  <si>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</si>
  <si>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</si>
  <si>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</si>
  <si>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</si>
  <si>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</si>
  <si>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</si>
  <si>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</si>
  <si>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</si>
  <si>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</si>
  <si>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</si>
  <si>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</si>
  <si>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</si>
  <si>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</si>
  <si>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</si>
  <si>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</si>
  <si>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</si>
  <si>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</si>
  <si>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</si>
  <si>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</si>
  <si>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</si>
  <si>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</si>
  <si>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</si>
  <si>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</si>
  <si>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</si>
  <si>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</si>
  <si>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</si>
  <si>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</si>
  <si>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</si>
  <si>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</si>
  <si>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</si>
  <si>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</si>
  <si>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</si>
  <si>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</si>
  <si>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</si>
  <si>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</si>
  <si>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</si>
  <si>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</si>
  <si>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</si>
  <si>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</si>
  <si>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</si>
  <si>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</si>
  <si>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</si>
  <si>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</si>
  <si>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</si>
  <si>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</si>
  <si>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</si>
  <si>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</si>
  <si>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</si>
  <si>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</si>
  <si>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</si>
  <si>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</si>
  <si>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</si>
  <si>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</si>
  <si>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</si>
  <si>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</si>
  <si>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</si>
  <si>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</si>
  <si>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</si>
  <si>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</si>
  <si>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</si>
  <si>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</si>
  <si>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</si>
  <si>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</si>
  <si>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</si>
  <si>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</si>
  <si>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</si>
  <si>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</si>
  <si>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</si>
  <si>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</si>
  <si>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</si>
  <si>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</si>
  <si>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</si>
  <si>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</si>
  <si>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</si>
  <si>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</si>
  <si>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</si>
  <si>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</si>
  <si>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</si>
  <si>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</si>
  <si>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</si>
  <si>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</si>
  <si>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</si>
  <si>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</si>
  <si>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</si>
  <si>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</si>
  <si>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</si>
  <si>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</si>
  <si>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</si>
  <si>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</si>
  <si>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</si>
  <si>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</si>
  <si>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</si>
  <si>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</si>
  <si>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</si>
  <si>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</si>
  <si>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</si>
  <si>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</si>
  <si>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</si>
  <si>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</si>
  <si>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</si>
  <si>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</si>
  <si>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</si>
  <si>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</si>
  <si>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</si>
  <si>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</si>
  <si>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</si>
  <si>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</si>
  <si>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</si>
  <si>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</si>
  <si>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</si>
  <si>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</si>
  <si>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</si>
  <si>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</si>
  <si>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</si>
  <si>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</si>
  <si>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</si>
  <si>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</si>
  <si>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</si>
  <si>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</si>
  <si>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</si>
  <si>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</si>
  <si>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</si>
  <si>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</si>
  <si>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</si>
  <si>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</si>
  <si>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</si>
  <si>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</si>
  <si>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</si>
  <si>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</si>
  <si>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</si>
  <si>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</si>
  <si>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</si>
  <si>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</si>
  <si>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</si>
  <si>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</si>
  <si>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</si>
  <si>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</si>
  <si>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</si>
  <si>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</si>
  <si>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</si>
  <si>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</si>
  <si>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</si>
  <si>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</si>
  <si>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</si>
  <si>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</si>
  <si>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</si>
  <si>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</si>
  <si>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</si>
  <si>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</si>
  <si>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</si>
  <si>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</si>
  <si>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</si>
  <si>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</si>
  <si>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</si>
  <si>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</si>
  <si>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</si>
  <si>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</si>
  <si>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</si>
  <si>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</si>
  <si>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</si>
  <si>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</si>
  <si>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</si>
  <si>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</si>
  <si>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</si>
  <si>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</si>
  <si>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</si>
  <si>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</si>
  <si>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</si>
  <si>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</si>
  <si>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</si>
  <si>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</si>
  <si>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</si>
  <si>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</si>
  <si>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</si>
  <si>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</si>
  <si>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</si>
  <si>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</si>
  <si>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</si>
  <si>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</si>
  <si>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</si>
  <si>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</si>
  <si>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</si>
  <si>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</si>
  <si>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</si>
  <si>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</si>
  <si>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</si>
  <si>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</si>
  <si>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</si>
  <si>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</si>
  <si>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</si>
  <si>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</si>
  <si>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</si>
  <si>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</si>
  <si>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</si>
  <si>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</si>
  <si>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</si>
  <si>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</si>
  <si>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</si>
  <si>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</si>
  <si>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</si>
  <si>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</si>
  <si>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</si>
  <si>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</si>
  <si>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</si>
  <si>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</si>
  <si>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</si>
  <si>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</si>
  <si>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</si>
  <si>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</si>
  <si>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</si>
  <si>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</si>
  <si>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</si>
  <si>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</si>
  <si>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</si>
  <si>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</si>
  <si>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</si>
  <si>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</si>
  <si>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</si>
  <si>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</si>
  <si>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</si>
  <si>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</si>
  <si>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</si>
  <si>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</si>
  <si>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</si>
  <si>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</si>
  <si>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</si>
  <si>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</si>
  <si>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</si>
  <si>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</si>
  <si>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</si>
  <si>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</si>
  <si>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</si>
  <si>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</si>
  <si>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</si>
  <si>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</si>
  <si>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</si>
  <si>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</si>
  <si>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</si>
  <si>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</si>
  <si>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</si>
  <si>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</si>
  <si>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</si>
  <si>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</si>
  <si>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</si>
  <si>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</si>
  <si>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</si>
  <si>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</si>
  <si>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</si>
  <si>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</si>
  <si>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</si>
  <si>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</si>
  <si>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</si>
  <si>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</si>
  <si>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</si>
  <si>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</si>
  <si>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</si>
  <si>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</si>
  <si>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</si>
  <si>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</si>
  <si>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</si>
  <si>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</si>
  <si>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</si>
  <si>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</si>
  <si>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</si>
  <si>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</si>
  <si>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</si>
  <si>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</si>
  <si>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</si>
  <si>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</si>
  <si>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</si>
  <si>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</si>
  <si>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</si>
  <si>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</si>
  <si>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</si>
  <si>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</si>
  <si>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</si>
  <si>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</si>
  <si>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</si>
  <si>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</si>
  <si>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</si>
  <si>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</si>
  <si>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</si>
  <si>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</si>
  <si>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</si>
  <si>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</si>
  <si>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</si>
  <si>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</si>
  <si>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</si>
  <si>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</si>
  <si>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</si>
  <si>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</si>
  <si>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</si>
  <si>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</si>
  <si>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</si>
  <si>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</si>
  <si>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</si>
  <si>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</si>
  <si>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</si>
  <si>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</si>
  <si>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</si>
  <si>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</si>
  <si>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</si>
  <si>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</si>
  <si>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</si>
  <si>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</si>
  <si>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</si>
  <si>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</si>
  <si>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</si>
  <si>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</si>
  <si>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</si>
  <si>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</si>
  <si>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</si>
  <si>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</si>
  <si>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</si>
  <si>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</si>
  <si>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</si>
  <si>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</si>
  <si>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</si>
  <si>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</si>
  <si>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</si>
  <si>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</si>
  <si>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</si>
  <si>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</si>
  <si>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</si>
  <si>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</si>
  <si>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</si>
  <si>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</si>
  <si>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</si>
  <si>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</si>
  <si>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</si>
  <si>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</si>
  <si>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</si>
  <si>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</si>
  <si>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</si>
  <si>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</si>
  <si>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</si>
  <si>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</si>
  <si>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</si>
  <si>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</si>
  <si>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</si>
  <si>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</si>
  <si>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</si>
  <si>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</si>
  <si>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</si>
  <si>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</si>
  <si>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</si>
  <si>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</si>
  <si>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</si>
  <si>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</si>
  <si>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</si>
  <si>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</si>
  <si>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</si>
  <si>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</si>
  <si>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</si>
  <si>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</si>
  <si>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</si>
  <si>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</si>
  <si>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</si>
  <si>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</si>
  <si>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</si>
  <si>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</si>
  <si>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</si>
  <si>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</si>
  <si>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</si>
  <si>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</si>
  <si>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</si>
  <si>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</si>
  <si>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</si>
  <si>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</si>
  <si>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</si>
  <si>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</si>
  <si>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</si>
  <si>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</si>
  <si>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</si>
  <si>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</si>
  <si>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</si>
  <si>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</si>
  <si>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</si>
  <si>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</si>
  <si>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</si>
  <si>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</si>
  <si>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</si>
  <si>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</si>
  <si>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</si>
  <si>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</si>
  <si>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</si>
  <si>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</si>
  <si>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</si>
  <si>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</si>
  <si>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</si>
  <si>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</si>
  <si>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</si>
  <si>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</si>
  <si>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</si>
  <si>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</si>
  <si>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</si>
  <si>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</si>
  <si>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</si>
  <si>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</si>
  <si>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</si>
  <si>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</si>
  <si>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</si>
  <si>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</si>
  <si>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</si>
  <si>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</si>
  <si>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</si>
  <si>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</si>
  <si>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</si>
  <si>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</si>
  <si>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</si>
  <si>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</si>
  <si>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</si>
  <si>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</si>
  <si>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</si>
  <si>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</si>
  <si>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</si>
  <si>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</si>
  <si>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</si>
  <si>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</si>
  <si>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</si>
  <si>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</si>
  <si>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</si>
  <si>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</si>
  <si>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</si>
  <si>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</si>
  <si>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</si>
  <si>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</si>
  <si>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</si>
  <si>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</si>
  <si>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</si>
  <si>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</si>
  <si>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</si>
  <si>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</si>
  <si>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</si>
  <si>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</si>
  <si>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</si>
  <si>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</si>
  <si>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</si>
  <si>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</si>
  <si>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</si>
  <si>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</si>
  <si>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</si>
  <si>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</si>
  <si>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</si>
  <si>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</si>
  <si>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</si>
  <si>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</si>
  <si>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</si>
  <si>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</si>
  <si>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</si>
  <si>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</si>
  <si>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</si>
  <si>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</si>
  <si>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</si>
  <si>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</si>
  <si>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</si>
  <si>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</si>
  <si>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</si>
  <si>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</si>
  <si>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</si>
  <si>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</si>
  <si>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</si>
  <si>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</si>
  <si>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</si>
  <si>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</si>
  <si>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</si>
  <si>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</si>
  <si>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</si>
  <si>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</si>
  <si>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</si>
  <si>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</si>
  <si>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</si>
  <si>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</si>
  <si>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</si>
  <si>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</si>
  <si>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</si>
  <si>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</si>
  <si>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</si>
  <si>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</si>
  <si>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</si>
  <si>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</si>
  <si>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</si>
  <si>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</si>
  <si>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</si>
  <si>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</si>
  <si>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</si>
  <si>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</si>
  <si>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</si>
  <si>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</si>
  <si>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</si>
  <si>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</si>
  <si>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</si>
  <si>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</si>
  <si>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</si>
  <si>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</si>
  <si>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</si>
  <si>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</si>
  <si>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</si>
  <si>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</si>
  <si>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</si>
  <si>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</si>
  <si>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</si>
  <si>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</si>
  <si>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</si>
  <si>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</si>
  <si>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</si>
  <si>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</si>
  <si>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</si>
  <si>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</si>
  <si>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</si>
  <si>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</si>
  <si>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</si>
  <si>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</si>
  <si>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</si>
  <si>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</si>
  <si>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</si>
  <si>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</si>
  <si>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</si>
  <si>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</si>
  <si>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</si>
  <si>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</si>
  <si>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</si>
  <si>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</si>
  <si>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</si>
  <si>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</si>
  <si>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</si>
  <si>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</si>
  <si>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</si>
  <si>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</si>
  <si>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</si>
  <si>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</si>
  <si>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</si>
  <si>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</si>
  <si>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</si>
  <si>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</si>
  <si>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</si>
  <si>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</si>
  <si>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</si>
  <si>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</si>
  <si>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</si>
  <si>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</si>
  <si>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</si>
  <si>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</si>
  <si>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</si>
  <si>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</si>
  <si>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</si>
  <si>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</si>
  <si>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</si>
  <si>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</si>
  <si>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</si>
  <si>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</si>
  <si>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</si>
  <si>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</si>
  <si>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</si>
  <si>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</si>
  <si>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</si>
  <si>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</si>
  <si>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</si>
  <si>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</si>
  <si>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</si>
  <si>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</si>
  <si>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</si>
  <si>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</si>
  <si>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</si>
  <si>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</si>
  <si>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</si>
  <si>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</si>
  <si>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</si>
  <si>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</si>
  <si>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</si>
  <si>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</si>
  <si>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</si>
  <si>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</si>
  <si>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</si>
  <si>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</si>
  <si>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</si>
  <si>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</si>
  <si>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</si>
  <si>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</si>
  <si>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</si>
  <si>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</si>
  <si>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</si>
  <si>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</si>
  <si>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</si>
  <si>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</si>
  <si>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</si>
  <si>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</si>
  <si>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</si>
  <si>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</si>
  <si>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</si>
  <si>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</si>
  <si>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</si>
  <si>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</si>
  <si>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</si>
  <si>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</si>
  <si>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</si>
  <si>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</si>
  <si>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</si>
  <si>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</si>
  <si>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</si>
  <si>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</si>
  <si>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</si>
  <si>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</si>
  <si>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</si>
  <si>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</si>
  <si>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</si>
  <si>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</si>
  <si>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</si>
  <si>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</si>
  <si>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</si>
  <si>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</si>
  <si>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</si>
  <si>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</si>
  <si>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</si>
  <si>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</si>
  <si>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</si>
  <si>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</si>
  <si>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</si>
  <si>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</si>
  <si>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</si>
  <si>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</si>
  <si>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</si>
  <si>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</si>
  <si>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</si>
  <si>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</si>
  <si>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</si>
  <si>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</si>
  <si>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</si>
  <si>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</si>
  <si>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</si>
  <si>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</si>
  <si>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</si>
  <si>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</si>
  <si>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</si>
  <si>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</si>
  <si>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</si>
  <si>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</si>
  <si>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</si>
  <si>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</si>
  <si>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</si>
  <si>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</si>
  <si>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</si>
  <si>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</si>
  <si>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</si>
  <si>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</si>
  <si>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</si>
  <si>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</si>
  <si>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</si>
  <si>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</si>
  <si>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</si>
  <si>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</si>
  <si>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</si>
  <si>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</si>
  <si>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</si>
  <si>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</si>
  <si>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</si>
  <si>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</si>
  <si>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</si>
  <si>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</si>
  <si>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</si>
  <si>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</si>
  <si>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</si>
  <si>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</si>
  <si>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</si>
  <si>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</si>
  <si>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</si>
  <si>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</si>
  <si>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</si>
  <si>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</si>
  <si>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</si>
  <si>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</si>
  <si>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</si>
  <si>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</si>
  <si>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</si>
  <si>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</si>
  <si>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</si>
  <si>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</si>
  <si>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</si>
  <si>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</si>
  <si>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</si>
  <si>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</si>
  <si>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</si>
  <si>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</si>
  <si>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</si>
  <si>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</si>
  <si>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</si>
  <si>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</si>
  <si>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</si>
  <si>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</si>
  <si>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</si>
  <si>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</si>
  <si>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</si>
  <si>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</si>
  <si>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</si>
  <si>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</si>
  <si>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</si>
  <si>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</si>
  <si>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</si>
  <si>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</si>
  <si>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</si>
  <si>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</si>
  <si>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</si>
  <si>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</si>
  <si>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</si>
  <si>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</si>
  <si>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</si>
  <si>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</si>
  <si>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</si>
  <si>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</si>
  <si>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</si>
  <si>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</si>
  <si>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</si>
  <si>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</si>
  <si>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</si>
  <si>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</si>
  <si>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</si>
  <si>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</si>
  <si>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</si>
  <si>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</si>
  <si>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</si>
  <si>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</si>
  <si>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</si>
  <si>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</si>
  <si>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</si>
  <si>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</si>
  <si>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</si>
  <si>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</si>
  <si>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</si>
  <si>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</si>
  <si>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</si>
  <si>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</si>
  <si>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</si>
  <si>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</si>
  <si>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</si>
  <si>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</si>
  <si>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</si>
  <si>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</si>
  <si>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</si>
  <si>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</si>
  <si>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</si>
  <si>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</si>
  <si>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</si>
  <si>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</si>
  <si>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</si>
  <si>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</si>
  <si>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</si>
  <si>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</si>
  <si>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</si>
  <si>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</si>
  <si>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</si>
  <si>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</si>
  <si>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</si>
  <si>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</si>
  <si>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</si>
  <si>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</si>
  <si>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</si>
  <si>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</si>
  <si>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</si>
  <si>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</si>
  <si>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</si>
  <si>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</si>
  <si>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</si>
  <si>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</si>
  <si>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</si>
  <si>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</si>
  <si>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</si>
  <si>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</si>
  <si>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</si>
  <si>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</si>
  <si>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</si>
  <si>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</si>
  <si>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</si>
  <si>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</si>
  <si>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</si>
  <si>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</si>
  <si>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</si>
  <si>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</si>
  <si>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</si>
  <si>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</si>
  <si>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</si>
  <si>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</si>
  <si>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</si>
  <si>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</si>
  <si>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</si>
  <si>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</si>
  <si>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Midsummer Blvd, Milton Keynes MK9 2EА, United Kingdom</t>
  </si>
  <si>
    <t>96-001-18</t>
  </si>
  <si>
    <t>96-002-06</t>
  </si>
  <si>
    <t>96-003-14</t>
  </si>
  <si>
    <t>96-004-06</t>
  </si>
  <si>
    <t>96-005-17</t>
  </si>
  <si>
    <t>96-006-09</t>
  </si>
  <si>
    <t>96-007-06</t>
  </si>
  <si>
    <t>96-008-13</t>
  </si>
  <si>
    <t>96-009-17</t>
  </si>
  <si>
    <t>96-010-34</t>
  </si>
  <si>
    <t>96-011-03</t>
  </si>
  <si>
    <t>96-012-80</t>
  </si>
  <si>
    <t>96-013-80</t>
  </si>
  <si>
    <t>60222348 Los Angeles Dodgers MLB</t>
  </si>
  <si>
    <t>60222351 New York Yankees MLB</t>
  </si>
  <si>
    <t>60222444 New York Yankees MLB</t>
  </si>
  <si>
    <t>60222456 New York Yankees MLB</t>
  </si>
  <si>
    <t>60222457 New York Yankees MLB</t>
  </si>
  <si>
    <t>60222523 New York Yankees MLB</t>
  </si>
  <si>
    <t>60222525 Los Angeles Dodgers MLB</t>
  </si>
  <si>
    <t>60222546 Los Angeles Dodgers MLB</t>
  </si>
  <si>
    <t>80489231 Los Angeles Dodgers MLB</t>
  </si>
  <si>
    <t>60112610 Los Angeles Dodgers MLB</t>
  </si>
  <si>
    <t>10531954 Los Angeles Dodgers MLB</t>
  </si>
  <si>
    <t>60222282 Los Angeles Dodgers MLB</t>
  </si>
  <si>
    <t>60222321 New York Yankees MLB</t>
  </si>
  <si>
    <t>Бейсболка с прямым козырьком</t>
  </si>
  <si>
    <t>New Era</t>
  </si>
  <si>
    <t>TEAM</t>
  </si>
  <si>
    <t>IRF</t>
  </si>
  <si>
    <t>TOF</t>
  </si>
  <si>
    <t>NVY</t>
  </si>
  <si>
    <t>WHI</t>
  </si>
  <si>
    <t>BLK</t>
  </si>
  <si>
    <t>RGD</t>
  </si>
  <si>
    <t>PNK</t>
  </si>
  <si>
    <t>NOV</t>
  </si>
  <si>
    <t>GRAPNK</t>
  </si>
  <si>
    <t>TOFWHI</t>
  </si>
  <si>
    <t>MLB</t>
  </si>
  <si>
    <t>Los Angeles Dodgers</t>
  </si>
  <si>
    <t>New York Yankees</t>
  </si>
  <si>
    <t>100% Хлопок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</si>
</sst>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35"/>
  <sheetViews>
    <sheetView tabSelected="1" topLeftCell="U1" zoomScaleNormal="100" workbookViewId="0">
      <pane ySplit="1" topLeftCell="A2" activePane="bottomLeft" state="frozen"/>
      <selection pane="bottomLeft" activeCell="AV17" sqref="V17:AV17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15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96-013-80</v>
      </c>
      <c r="B2" s="107" t="str">
        <f ca="1">_xlfn.LET(_xlpm.CAPS,0,_xlpm.Style,TRIM(_xlfn.XLOOKUP($A2,Строчный!$A:$A,Строчный!B:B,"ERR",0)),IF(_xlpm.CAPS=0,_xlpm.Style,UPPER(_xlpm.Style)))</f>
        <v>60112610 Los Angeles Dodgers MLB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tofwhi</v>
      </c>
      <c r="I2" s="81" t="str">
        <f ca="1">LOWER(TRIM(_xlfn.XLOOKUP($A2,Строчный!$A:$A,Строчный!I:I,"ERR",0)))</f>
        <v>серый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Los Angeles Dodgers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1293.46</v>
      </c>
      <c r="R2" s="89" t="str">
        <f ca="1">_xlfn.XLOOKUP($G2,Фабрика!A:A,Фабрика!B:B,"ERR",0)</f>
        <v>Midsummer Blvd, Milton Keynes MK9 2EА,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6</v>
      </c>
      <c r="U2" s="14" t="s">
        <v>265</v>
      </c>
      <c r="V2" s="101" t="str">
        <f ca="1">TRIM(CONCATENATE(AB2," ",G2," арт. ",B2," (",I2,")"))</f>
        <v>Бейсболка NEW ERA арт. 60112610 Los Angeles Dodgers MLB (серый)</v>
      </c>
      <c r="W2" s="100" t="str">
        <f ca="1">TRIM(CONCATENATE(AB2," ",G2," арт. ",B2," (",I2,") {",H2,"}"))</f>
        <v>Бейсболка NEW ERA арт. 60112610 Los Angeles Dodgers MLB (серый) {tofwhi}</v>
      </c>
      <c r="X2" s="18" t="str">
        <f t="shared" ref="X2" ca="1" si="0">IFERROR(MID(I2,FIND("-",I2)+1,LEN(I2)),IFERROR(MID(I2,1,FIND("/",I2)-2),I2))</f>
        <v>серый</v>
      </c>
      <c r="Y2" s="18" t="str">
        <f t="shared" ref="Y2" ca="1" si="1">IFERROR(MID(I2,FIND("-",I2)+1,LEN(I2)),IFERROR(MID(I2,FIND("/",I2)+2,LEN(I2)),I2))</f>
        <v>серый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3" t="str">
        <f ca="1"/>
        <v>96-013-80-00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80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15" ca="1" si="2">LEFT(AA3,9)</f>
        <v>96-012-80</v>
      </c>
      <c r="B3" s="107" t="str">
        <f ca="1">_xlfn.LET(_xlpm.CAPS,0,_xlpm.Style,TRIM(_xlfn.XLOOKUP($A3,Строчный!$A:$A,Строчный!B:B,"ERR",0)),IF(_xlpm.CAPS=0,_xlpm.Style,UPPER(_xlpm.Style)))</f>
        <v>80489231 Los Angeles Dodgers MLB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grapnk</v>
      </c>
      <c r="I3" s="81" t="str">
        <f ca="1">LOWER(TRIM(_xlfn.XLOOKUP($A3,Строчный!$A:$A,Строчный!I:I,"ERR",0)))</f>
        <v>серый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Los Angeles Dodgers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1442.76</v>
      </c>
      <c r="R3" s="89" t="str">
        <f ca="1">_xlfn.XLOOKUP($G3,Фабрика!A:A,Фабрика!B:B,"ERR",0)</f>
        <v>Midsummer Blvd, Milton Keynes MK9 2EА,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</v>
      </c>
      <c r="U3" s="14" t="s">
        <v>265</v>
      </c>
      <c r="V3" s="101" t="str">
        <f t="shared" ref="V3:V15" ca="1" si="3">TRIM(CONCATENATE(AB3," ",G3," арт. ",B3," (",I3,")"))</f>
        <v>Бейсболка NEW ERA арт. 80489231 Los Angeles Dodgers MLB (серый)</v>
      </c>
      <c r="W3" s="100" t="str">
        <f t="shared" ref="W3:W15" ca="1" si="4">TRIM(CONCATENATE(AB3," ",G3," арт. ",B3," (",I3,") {",H3,"}"))</f>
        <v>Бейсболка NEW ERA арт. 80489231 Los Angeles Dodgers MLB (серый) {grapnk}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73" t="str">
        <f ca="1"/>
        <v>96-012-80-00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80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96-011-03</v>
      </c>
      <c r="B4" s="107" t="str">
        <f ca="1">_xlfn.LET(_xlpm.CAPS,0,_xlpm.Style,TRIM(_xlfn.XLOOKUP($A4,Строчный!$A:$A,Строчный!B:B,"ERR",0)),IF(_xlpm.CAPS=0,_xlpm.Style,UPPER(_xlpm.Style)))</f>
        <v>60222546 Los Angeles Dodgers MLB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nov</v>
      </c>
      <c r="I4" s="81" t="str">
        <f ca="1">LOWER(TRIM(_xlfn.XLOOKUP($A4,Строчный!$A:$A,Строчный!I:I,"ERR",0)))</f>
        <v>оливковый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Los Angeles Dodgers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1592.06</v>
      </c>
      <c r="R4" s="89" t="str">
        <f ca="1">_xlfn.XLOOKUP($G4,Фабрика!A:A,Фабрика!B:B,"ERR",0)</f>
        <v>Midsummer Blvd, Milton Keynes MK9 2EА,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10</v>
      </c>
      <c r="U4" s="14" t="s">
        <v>265</v>
      </c>
      <c r="V4" s="101" t="str">
        <f t="shared" ca="1" si="3"/>
        <v>Бейсболка NEW ERA арт. 60222546 Los Angeles Dodgers MLB (оливковый)</v>
      </c>
      <c r="W4" s="100" t="str">
        <f t="shared" ca="1" si="4"/>
        <v>Бейсболка NEW ERA арт. 60222546 Los Angeles Dodgers MLB (оливковый) {nov}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96-011-03-00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96-010-34</v>
      </c>
      <c r="B5" s="107" t="str">
        <f ca="1">_xlfn.LET(_xlpm.CAPS,0,_xlpm.Style,TRIM(_xlfn.XLOOKUP($A5,Строчный!$A:$A,Строчный!B:B,"ERR",0)),IF(_xlpm.CAPS=0,_xlpm.Style,UPPER(_xlpm.Style)))</f>
        <v>60222525 Los Angeles Dodgers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pnk</v>
      </c>
      <c r="I5" s="81" t="str">
        <f ca="1">LOWER(TRIM(_xlfn.XLOOKUP($A5,Строчный!$A:$A,Строчный!I:I,"ERR",0)))</f>
        <v>розовый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Женский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Los Angeles Dodgers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1293.46</v>
      </c>
      <c r="R5" s="89" t="str">
        <f ca="1">_xlfn.XLOOKUP($G5,Фабрика!A:A,Фабрика!B:B,"ERR",0)</f>
        <v>Midsummer Blvd, Milton Keynes MK9 2EА,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6</v>
      </c>
      <c r="U5" s="14" t="s">
        <v>265</v>
      </c>
      <c r="V5" s="101" t="str">
        <f t="shared" ca="1" si="3"/>
        <v>Бейсболка NEW ERA арт. 60222525 Los Angeles Dodgers MLB (розовый)</v>
      </c>
      <c r="W5" s="100" t="str">
        <f t="shared" ca="1" si="4"/>
        <v>Бейсболка NEW ERA арт. 60222525 Los Angeles Dodgers MLB (розовый) {pnk}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розовый</v>
      </c>
      <c r="AA5" s="73" t="str">
        <f ca="1"/>
        <v>96-010-34-00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34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96-009-17</v>
      </c>
      <c r="B6" s="107" t="str">
        <f ca="1">_xlfn.LET(_xlpm.CAPS,0,_xlpm.Style,TRIM(_xlfn.XLOOKUP($A6,Строчный!$A:$A,Строчный!B:B,"ERR",0)),IF(_xlpm.CAPS=0,_xlpm.Style,UPPER(_xlpm.Style)))</f>
        <v>60222523 New York Yankees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whi</v>
      </c>
      <c r="I6" s="81" t="str">
        <f ca="1">LOWER(TRIM(_xlfn.XLOOKUP($A6,Строчный!$A:$A,Строчный!I:I,"ERR",0)))</f>
        <v>белый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Женский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New York Yankees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1293.46</v>
      </c>
      <c r="R6" s="89" t="str">
        <f ca="1">_xlfn.XLOOKUP($G6,Фабрика!A:A,Фабрика!B:B,"ERR",0)</f>
        <v>Midsummer Blvd, Milton Keynes MK9 2EА,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6</v>
      </c>
      <c r="U6" s="14" t="s">
        <v>265</v>
      </c>
      <c r="V6" s="101" t="str">
        <f t="shared" ca="1" si="3"/>
        <v>Бейсболка NEW ERA арт. 60222523 New York Yankees MLB (белый)</v>
      </c>
      <c r="W6" s="100" t="str">
        <f t="shared" ca="1" si="4"/>
        <v>Бейсболка NEW ERA арт. 60222523 New York Yankees MLB (белый) {whi}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белый</v>
      </c>
      <c r="AA6" s="73" t="str">
        <f ca="1"/>
        <v>96-009-17-00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17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96-008-13</v>
      </c>
      <c r="B7" s="107" t="str">
        <f ca="1">_xlfn.LET(_xlpm.CAPS,0,_xlpm.Style,TRIM(_xlfn.XLOOKUP($A7,Строчный!$A:$A,Строчный!B:B,"ERR",0)),IF(_xlpm.CAPS=0,_xlpm.Style,UPPER(_xlpm.Style)))</f>
        <v>60222457 New York Yankees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rgd</v>
      </c>
      <c r="I7" s="81" t="str">
        <f ca="1">LOWER(TRIM(_xlfn.XLOOKUP($A7,Строчный!$A:$A,Строчный!I:I,"ERR",0)))</f>
        <v>оранжевый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New York Yankees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1592.06</v>
      </c>
      <c r="R7" s="89" t="str">
        <f ca="1">_xlfn.XLOOKUP($G7,Фабрика!A:A,Фабрика!B:B,"ERR",0)</f>
        <v>Midsummer Blvd, Milton Keynes MK9 2EА,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Бейсболка NEW ERA арт. 60222457 New York Yankees MLB (оранжевый)</v>
      </c>
      <c r="W7" s="100" t="str">
        <f t="shared" ca="1" si="4"/>
        <v>Бейсболка NEW ERA арт. 60222457 New York Yankees MLB (оранжевый) {rgd}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оранжевый</v>
      </c>
      <c r="AA7" s="73" t="str">
        <f ca="1"/>
        <v>96-008-13-00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13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96-007-06</v>
      </c>
      <c r="B8" s="107" t="str">
        <f ca="1">_xlfn.LET(_xlpm.CAPS,0,_xlpm.Style,TRIM(_xlfn.XLOOKUP($A8,Строчный!$A:$A,Строчный!B:B,"ERR",0)),IF(_xlpm.CAPS=0,_xlpm.Style,UPPER(_xlpm.Style)))</f>
        <v>60222456 New York Yankees MLB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irf</v>
      </c>
      <c r="I8" s="81" t="str">
        <f ca="1">LOWER(TRIM(_xlfn.XLOOKUP($A8,Строчный!$A:$A,Строчный!I:I,"ERR",0)))</f>
        <v>синий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New York Yankees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1592.06</v>
      </c>
      <c r="R8" s="89" t="str">
        <f ca="1">_xlfn.XLOOKUP($G8,Фабрика!A:A,Фабрика!B:B,"ERR",0)</f>
        <v>Midsummer Blvd, Milton Keynes MK9 2EА,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NEW ERA арт. 60222456 New York Yankees MLB (синий)</v>
      </c>
      <c r="W8" s="100" t="str">
        <f t="shared" ca="1" si="4"/>
        <v>Бейсболка NEW ERA арт. 60222456 New York Yankees MLB (синий) {irf}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96-007-06-00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06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96-006-09</v>
      </c>
      <c r="B9" s="107" t="str">
        <f ca="1">_xlfn.LET(_xlpm.CAPS,0,_xlpm.Style,TRIM(_xlfn.XLOOKUP($A9,Строчный!$A:$A,Строчный!B:B,"ERR",0)),IF(_xlpm.CAPS=0,_xlpm.Style,UPPER(_xlpm.Style)))</f>
        <v>60222444 New York Yankees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New Era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NEW ERA</v>
      </c>
      <c r="H9" s="81" t="str">
        <f ca="1">LOWER(TRIM(_xlfn.XLOOKUP($A9,Строчный!$A:$A,Строчный!H:H,"ERR",0)))</f>
        <v>blk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New York Yankees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1442.76</v>
      </c>
      <c r="R9" s="89" t="str">
        <f ca="1">_xlfn.XLOOKUP($G9,Фабрика!A:A,Фабрика!B:B,"ERR",0)</f>
        <v>Midsummer Blvd, Milton Keynes MK9 2EА,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20</v>
      </c>
      <c r="U9" s="14" t="s">
        <v>265</v>
      </c>
      <c r="V9" s="101" t="str">
        <f t="shared" ca="1" si="3"/>
        <v>Бейсболка NEW ERA арт. 60222444 New York Yankees MLB (черный)</v>
      </c>
      <c r="W9" s="100" t="str">
        <f t="shared" ca="1" si="4"/>
        <v>Бейсболка NEW ERA арт. 60222444 New York Yankees MLB (черный) {blk}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3" t="str">
        <f ca="1"/>
        <v>96-006-09-00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96-005-17</v>
      </c>
      <c r="B10" s="107" t="str">
        <f ca="1">_xlfn.LET(_xlpm.CAPS,0,_xlpm.Style,TRIM(_xlfn.XLOOKUP($A10,Строчный!$A:$A,Строчный!B:B,"ERR",0)),IF(_xlpm.CAPS=0,_xlpm.Style,UPPER(_xlpm.Style)))</f>
        <v>60222351 New York Yankees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New Era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NEW ERA</v>
      </c>
      <c r="H10" s="81" t="str">
        <f ca="1">LOWER(TRIM(_xlfn.XLOOKUP($A10,Строчный!$A:$A,Строчный!H:H,"ERR",0)))</f>
        <v>whi</v>
      </c>
      <c r="I10" s="81" t="str">
        <f ca="1">LOWER(TRIM(_xlfn.XLOOKUP($A10,Строчный!$A:$A,Строчный!I:I,"ERR",0)))</f>
        <v>белый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Бангладеш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New York Yankees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1293.46</v>
      </c>
      <c r="R10" s="89" t="str">
        <f ca="1">_xlfn.XLOOKUP($G10,Фабрика!A:A,Фабрика!B:B,"ERR",0)</f>
        <v>Midsummer Blvd, Milton Keynes MK9 2EА,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NEW ERA арт. 60222351 New York Yankees MLB (белый)</v>
      </c>
      <c r="W10" s="100" t="str">
        <f t="shared" ca="1" si="4"/>
        <v>Бейсболка NEW ERA арт. 60222351 New York Yankees MLB (белый) {whi}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белый</v>
      </c>
      <c r="AA10" s="73" t="str">
        <f ca="1"/>
        <v>96-005-17-00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17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96-004-06</v>
      </c>
      <c r="B11" s="107" t="str">
        <f ca="1">_xlfn.LET(_xlpm.CAPS,0,_xlpm.Style,TRIM(_xlfn.XLOOKUP($A11,Строчный!$A:$A,Строчный!B:B,"ERR",0)),IF(_xlpm.CAPS=0,_xlpm.Style,UPPER(_xlpm.Style)))</f>
        <v>60222348 Los Angeles Dodgers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New Era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NEW ERA</v>
      </c>
      <c r="H11" s="81" t="str">
        <f ca="1">LOWER(TRIM(_xlfn.XLOOKUP($A11,Строчный!$A:$A,Строчный!H:H,"ERR",0)))</f>
        <v>nvy</v>
      </c>
      <c r="I11" s="81" t="str">
        <f ca="1">LOWER(TRIM(_xlfn.XLOOKUP($A11,Строчный!$A:$A,Строчный!I:I,"ERR",0)))</f>
        <v>синий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Бангладеш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Los Angeles Dodgers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1592.06</v>
      </c>
      <c r="R11" s="89" t="str">
        <f ca="1">_xlfn.XLOOKUP($G11,Фабрика!A:A,Фабрика!B:B,"ERR",0)</f>
        <v>Midsummer Blvd, Milton Keynes MK9 2EА,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NEW ERA арт. 60222348 Los Angeles Dodgers MLB (синий)</v>
      </c>
      <c r="W11" s="100" t="str">
        <f t="shared" ca="1" si="4"/>
        <v>Бейсболка NEW ERA арт. 60222348 Los Angeles Dodgers MLB (синий) {nvy}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синий</v>
      </c>
      <c r="AA11" s="73" t="str">
        <f ca="1"/>
        <v>96-004-06-00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06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96-003-14</v>
      </c>
      <c r="B12" s="107" t="str">
        <f ca="1">_xlfn.LET(_xlpm.CAPS,0,_xlpm.Style,TRIM(_xlfn.XLOOKUP($A12,Строчный!$A:$A,Строчный!B:B,"ERR",0)),IF(_xlpm.CAPS=0,_xlpm.Style,UPPER(_xlpm.Style)))</f>
        <v>60222321 New York Yankees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New Era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NEW ERA</v>
      </c>
      <c r="H12" s="81" t="str">
        <f ca="1">LOWER(TRIM(_xlfn.XLOOKUP($A12,Строчный!$A:$A,Строчный!H:H,"ERR",0)))</f>
        <v>tof</v>
      </c>
      <c r="I12" s="81" t="str">
        <f ca="1">LOWER(TRIM(_xlfn.XLOOKUP($A12,Строчный!$A:$A,Строчный!I:I,"ERR",0)))</f>
        <v>коричневый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New York Yankees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1293.46</v>
      </c>
      <c r="R12" s="89" t="str">
        <f ca="1">_xlfn.XLOOKUP($G12,Фабрика!A:A,Фабрика!B:B,"ERR",0)</f>
        <v>Midsummer Blvd, Milton Keynes MK9 2EА,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6</v>
      </c>
      <c r="U12" s="14" t="s">
        <v>265</v>
      </c>
      <c r="V12" s="101" t="str">
        <f t="shared" ca="1" si="3"/>
        <v>Бейсболка NEW ERA арт. 60222321 New York Yankees MLB (коричневый)</v>
      </c>
      <c r="W12" s="100" t="str">
        <f t="shared" ca="1" si="4"/>
        <v>Бейсболка NEW ERA арт. 60222321 New York Yankees MLB (коричневый) {tof}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коричневый</v>
      </c>
      <c r="AA12" s="73" t="str">
        <f ca="1"/>
        <v>96-003-14-00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14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96-002-06</v>
      </c>
      <c r="B13" s="107" t="str">
        <f ca="1">_xlfn.LET(_xlpm.CAPS,0,_xlpm.Style,TRIM(_xlfn.XLOOKUP($A13,Строчный!$A:$A,Строчный!B:B,"ERR",0)),IF(_xlpm.CAPS=0,_xlpm.Style,UPPER(_xlpm.Style)))</f>
        <v>60222282 Los Angeles Dodgers MLB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New Era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NEW ERA</v>
      </c>
      <c r="H13" s="81" t="str">
        <f ca="1">LOWER(TRIM(_xlfn.XLOOKUP($A13,Строчный!$A:$A,Строчный!H:H,"ERR",0)))</f>
        <v>irf</v>
      </c>
      <c r="I13" s="81" t="str">
        <f ca="1">LOWER(TRIM(_xlfn.XLOOKUP($A13,Строчный!$A:$A,Строчный!I:I,"ERR",0)))</f>
        <v>синий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Бангладеш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1293.46</v>
      </c>
      <c r="R13" s="89" t="str">
        <f ca="1">_xlfn.XLOOKUP($G13,Фабрика!A:A,Фабрика!B:B,"ERR",0)</f>
        <v>Midsummer Blvd, Milton Keynes MK9 2EА,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Бейсболка NEW ERA арт. 60222282 Los Angeles Dodgers MLB (синий)</v>
      </c>
      <c r="W13" s="100" t="str">
        <f t="shared" ca="1" si="4"/>
        <v>Бейсболка NEW ERA арт. 60222282 Los Angeles Dodgers MLB (синий) {irf}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синий</v>
      </c>
      <c r="AA13" s="73" t="str">
        <f ca="1"/>
        <v>96-002-06-00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06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96-001-18</v>
      </c>
      <c r="B14" s="107" t="str">
        <f ca="1">_xlfn.LET(_xlpm.CAPS,0,_xlpm.Style,TRIM(_xlfn.XLOOKUP($A14,Строчный!$A:$A,Строчный!B:B,"ERR",0)),IF(_xlpm.CAPS=0,_xlpm.Style,UPPER(_xlpm.Style)))</f>
        <v>10531954 Los Angeles Dodgers MLB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прямым козырьком</v>
      </c>
      <c r="E14" s="81" t="str">
        <f ca="1">PROPER(TRIM(_xlfn.XLOOKUP($A14,Строчный!$A:$A,Строчный!E:E,"ERR",0)))</f>
        <v>New Era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NEW ERA</v>
      </c>
      <c r="H14" s="81" t="str">
        <f ca="1">LOWER(TRIM(_xlfn.XLOOKUP($A14,Строчный!$A:$A,Строчный!H:H,"ERR",0)))</f>
        <v>team</v>
      </c>
      <c r="I14" s="81" t="str">
        <f ca="1">LOWER(TRIM(_xlfn.XLOOKUP($A14,Строчный!$A:$A,Строчный!I:I,"ERR",0)))</f>
        <v>красный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Los Angeles Dodgers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1890.67</v>
      </c>
      <c r="R14" s="89" t="str">
        <f ca="1">_xlfn.XLOOKUP($G14,Фабрика!A:A,Фабрика!B:B,"ERR",0)</f>
        <v>Midsummer Blvd, Milton Keynes MK9 2EА, United Kingdom</v>
      </c>
      <c r="S14" s="80" t="str">
        <f ca="1">_xlfn.XLOOKUP(RIGHT(AA14,2),Размеры!D:D,Размеры!A:A,"ERR",0)</f>
        <v>58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Бейсболка NEW ERA арт. 10531954 Los Angeles Dodgers MLB (красный)</v>
      </c>
      <c r="W14" s="100" t="str">
        <f t="shared" ca="1" si="4"/>
        <v>Бейсболка NEW ERA арт. 10531954 Los Angeles Dodgers MLB (красный) {team}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красный</v>
      </c>
      <c r="AA14" s="73" t="str">
        <f ca="1"/>
        <v>96-001-18-58</v>
      </c>
      <c r="AB14" s="75" t="str">
        <f ca="1">VLOOKUP(C14,Группа!A:B,2,FALSE)</f>
        <v>Бейсболка</v>
      </c>
      <c r="AC14" s="97" t="str">
        <f ca="1">IFERROR(VLOOKUP(S14,Размеры!A:C,3,FALSE),"")</f>
        <v>58 M/L</v>
      </c>
      <c r="AD14" s="97" t="str">
        <f ca="1">VLOOKUP(I14,ЦветПолный!A:B,2,FALSE)</f>
        <v>18</v>
      </c>
      <c r="AE14" s="97" t="str">
        <f ca="1">IFERROR(VLOOKUP(S14,Размеры!A:D,4,FALSE),"")</f>
        <v>58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96-001-18</v>
      </c>
      <c r="B15" s="107" t="str">
        <f ca="1">_xlfn.LET(_xlpm.CAPS,0,_xlpm.Style,TRIM(_xlfn.XLOOKUP($A15,Строчный!$A:$A,Строчный!B:B,"ERR",0)),IF(_xlpm.CAPS=0,_xlpm.Style,UPPER(_xlpm.Style)))</f>
        <v>10531954 Los Angeles Dodgers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прямым козырьком</v>
      </c>
      <c r="E15" s="81" t="str">
        <f ca="1">PROPER(TRIM(_xlfn.XLOOKUP($A15,Строчный!$A:$A,Строчный!E:E,"ERR",0)))</f>
        <v>New Era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NEW ERA</v>
      </c>
      <c r="H15" s="81" t="str">
        <f ca="1">LOWER(TRIM(_xlfn.XLOOKUP($A15,Строчный!$A:$A,Строчный!H:H,"ERR",0)))</f>
        <v>team</v>
      </c>
      <c r="I15" s="81" t="str">
        <f ca="1">LOWER(TRIM(_xlfn.XLOOKUP($A15,Строчный!$A:$A,Строчный!I:I,"ERR",0)))</f>
        <v>красный</v>
      </c>
      <c r="J15" s="81" t="str">
        <f ca="1">SUBSTITUTE(LOWER(TRIM(_xlfn.XLOOKUP($A15,Строчный!$A:$A,Строчный!J:J,"ERR",0))),"подклад","Подклад")</f>
        <v>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Los Angeles Dodgers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1890.67</v>
      </c>
      <c r="R15" s="89" t="str">
        <f ca="1">_xlfn.XLOOKUP($G15,Фабрика!A:A,Фабрика!B:B,"ERR",0)</f>
        <v>Midsummer Blvd, Milton Keynes MK9 2EА, United Kingdom</v>
      </c>
      <c r="S15" s="80" t="str">
        <f ca="1">_xlfn.XLOOKUP(RIGHT(AA15,2),Размеры!D:D,Размеры!A:A,"ERR",0)</f>
        <v>56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NEW ERA арт. 10531954 Los Angeles Dodgers MLB (красный)</v>
      </c>
      <c r="W15" s="100" t="str">
        <f t="shared" ca="1" si="4"/>
        <v>Бейсболка NEW ERA арт. 10531954 Los Angeles Dodgers MLB (красный) {team}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красный</v>
      </c>
      <c r="AA15" s="73" t="str">
        <f ca="1"/>
        <v>96-001-18-56</v>
      </c>
      <c r="AB15" s="75" t="str">
        <f ca="1">VLOOKUP(C15,Группа!A:B,2,FALSE)</f>
        <v>Бейсболка</v>
      </c>
      <c r="AC15" s="97" t="str">
        <f ca="1">IFERROR(VLOOKUP(S15,Размеры!A:C,3,FALSE),"")</f>
        <v>56 S/M</v>
      </c>
      <c r="AD15" s="97" t="str">
        <f ca="1">VLOOKUP(I15,ЦветПолный!A:B,2,FALSE)</f>
        <v>18</v>
      </c>
      <c r="AE15" s="97" t="str">
        <f ca="1">IFERROR(VLOOKUP(S15,Размеры!A:D,4,FALSE),"")</f>
        <v>56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</sheetData>
  <autoFilter ref="A1:AW1" xr:uid="{00000000-0001-0000-0000-000000000000}"/>
  <conditionalFormatting sqref="AT2:AT16 AT17:AW35">
    <cfRule type="expression" dxfId="42" priority="36">
      <formula>IFERROR(AT2,TRUE)</formula>
    </cfRule>
  </conditionalFormatting>
  <conditionalFormatting sqref="AU2:AU16">
    <cfRule type="expression" dxfId="41" priority="34">
      <formula>IFERROR(AU2,TRUE)</formula>
    </cfRule>
  </conditionalFormatting>
  <conditionalFormatting sqref="AH2:AH16 AF1:AF1048576 AC17:AS35">
    <cfRule type="cellIs" dxfId="40" priority="32" operator="lessThan">
      <formula>1</formula>
    </cfRule>
  </conditionalFormatting>
  <conditionalFormatting sqref="AC2:AS16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6">
    <cfRule type="expression" dxfId="37" priority="28">
      <formula>IFERROR(AV2,TRUE)</formula>
    </cfRule>
  </conditionalFormatting>
  <conditionalFormatting sqref="AW2:AW16">
    <cfRule type="expression" dxfId="36" priority="26">
      <formula>IFERROR(AW2,TRUE)</formula>
    </cfRule>
  </conditionalFormatting>
  <conditionalFormatting sqref="AE2:AE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29565</v>
      </c>
      <c r="B832" s="125" t="s">
        <v>28276</v>
      </c>
      <c r="C832" s="125">
        <v>1</v>
      </c>
    </row>
    <row r="833" spans="1:3" x14ac:dyDescent="0.25">
      <c r="A833" s="125" t="s">
        <v>29566</v>
      </c>
      <c r="B833" s="125" t="s">
        <v>28269</v>
      </c>
      <c r="C833" s="125">
        <v>1</v>
      </c>
    </row>
    <row r="834" spans="1:3" x14ac:dyDescent="0.25">
      <c r="A834" s="125" t="s">
        <v>29567</v>
      </c>
      <c r="B834" s="125" t="s">
        <v>28353</v>
      </c>
      <c r="C834" s="125">
        <v>1</v>
      </c>
    </row>
    <row r="835" spans="1:3" x14ac:dyDescent="0.25">
      <c r="A835" s="125" t="s">
        <v>29568</v>
      </c>
      <c r="B835" s="125" t="s">
        <v>28395</v>
      </c>
      <c r="C835" s="125">
        <v>1</v>
      </c>
    </row>
    <row r="836" spans="1:3" x14ac:dyDescent="0.25">
      <c r="A836" s="125" t="s">
        <v>29569</v>
      </c>
      <c r="B836" s="125" t="s">
        <v>28232</v>
      </c>
      <c r="C836" s="125">
        <v>1</v>
      </c>
    </row>
    <row r="837" spans="1:3" x14ac:dyDescent="0.25">
      <c r="A837" s="125" t="s">
        <v>29570</v>
      </c>
      <c r="B837" s="125" t="s">
        <v>28272</v>
      </c>
      <c r="C837" s="125">
        <v>1</v>
      </c>
    </row>
    <row r="838" spans="1:3" x14ac:dyDescent="0.25">
      <c r="A838" s="125" t="s">
        <v>29571</v>
      </c>
      <c r="B838" s="125" t="s">
        <v>28354</v>
      </c>
      <c r="C838" s="125">
        <v>1</v>
      </c>
    </row>
    <row r="839" spans="1:3" x14ac:dyDescent="0.25">
      <c r="A839" s="125" t="s">
        <v>29572</v>
      </c>
      <c r="B839" s="125" t="s">
        <v>28236</v>
      </c>
      <c r="C839" s="125">
        <v>1</v>
      </c>
    </row>
    <row r="840" spans="1:3" x14ac:dyDescent="0.25">
      <c r="A840" s="125" t="s">
        <v>29573</v>
      </c>
      <c r="B840" s="125" t="s">
        <v>28399</v>
      </c>
      <c r="C840" s="125">
        <v>1</v>
      </c>
    </row>
    <row r="841" spans="1:3" x14ac:dyDescent="0.25">
      <c r="A841" s="125" t="s">
        <v>29574</v>
      </c>
      <c r="B841" s="125" t="s">
        <v>28283</v>
      </c>
      <c r="C841" s="125">
        <v>1</v>
      </c>
    </row>
    <row r="842" spans="1:3" x14ac:dyDescent="0.25">
      <c r="A842" s="125" t="s">
        <v>29575</v>
      </c>
      <c r="B842" s="125" t="s">
        <v>28258</v>
      </c>
      <c r="C842" s="125">
        <v>1</v>
      </c>
    </row>
    <row r="843" spans="1:3" x14ac:dyDescent="0.25">
      <c r="A843" s="125" t="s">
        <v>29576</v>
      </c>
      <c r="B843" s="125" t="s">
        <v>28317</v>
      </c>
      <c r="C843" s="125">
        <v>1</v>
      </c>
    </row>
    <row r="844" spans="1:3" x14ac:dyDescent="0.25">
      <c r="A844" s="125" t="s">
        <v>29577</v>
      </c>
      <c r="B844" s="125" t="s">
        <v>28382</v>
      </c>
      <c r="C844" s="125">
        <v>1</v>
      </c>
    </row>
    <row r="845" spans="1:3" x14ac:dyDescent="0.25">
      <c r="A845" s="125" t="s">
        <v>29578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29579</v>
      </c>
      <c r="B24" s="135">
        <v>1</v>
      </c>
    </row>
    <row r="25" spans="1:2" x14ac:dyDescent="0.25">
      <c r="A25" s="136" t="s">
        <v>29581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29579</v>
      </c>
      <c r="B23" s="34" t="s">
        <v>29580</v>
      </c>
    </row>
    <row r="24" spans="1:2" x14ac:dyDescent="0.25">
      <c r="A24" s="34" t="s">
        <v>29581</v>
      </c>
      <c r="B24" s="34" t="s">
        <v>29582</v>
      </c>
    </row>
    <row r="25" spans="1:2" x14ac:dyDescent="0.25">
      <c r="A25" s="34" t="s">
        <v>28407</v>
      </c>
      <c r="B25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S2" sqref="S2:S1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29583</v>
      </c>
      <c r="B2" s="80" t="s">
        <v>29606</v>
      </c>
      <c r="C2" s="80" t="s">
        <v>46</v>
      </c>
      <c r="D2" s="80" t="s">
        <v>29609</v>
      </c>
      <c r="E2" s="80" t="s">
        <v>29610</v>
      </c>
      <c r="F2" s="80" t="s">
        <v>91</v>
      </c>
      <c r="G2" s="80" t="s">
        <v>29610</v>
      </c>
      <c r="H2" s="80" t="s">
        <v>29611</v>
      </c>
      <c r="I2" s="80" t="s">
        <v>141</v>
      </c>
      <c r="J2" s="83" t="s">
        <v>29625</v>
      </c>
      <c r="K2" s="80" t="s">
        <v>25686</v>
      </c>
      <c r="L2" s="80" t="s">
        <v>25606</v>
      </c>
      <c r="M2" s="80" t="s">
        <v>26670</v>
      </c>
      <c r="N2" s="80">
        <v>1890.67</v>
      </c>
      <c r="O2" s="80" t="s">
        <v>29622</v>
      </c>
      <c r="P2" s="80" t="s">
        <v>29623</v>
      </c>
      <c r="Q2" s="80"/>
      <c r="R2" s="146"/>
      <c r="S2" s="103" t="str">
        <f>A2&amp;"-"&amp;T2</f>
        <v>96-001-18-</v>
      </c>
      <c r="Z2" s="81">
        <v>3</v>
      </c>
      <c r="AB2" s="81">
        <v>3</v>
      </c>
    </row>
    <row r="3" spans="1:45" ht="15" customHeight="1" x14ac:dyDescent="0.2">
      <c r="A3" s="81" t="s">
        <v>29584</v>
      </c>
      <c r="B3" s="81" t="s">
        <v>29607</v>
      </c>
      <c r="C3" s="81" t="s">
        <v>46</v>
      </c>
      <c r="D3" s="81" t="s">
        <v>47</v>
      </c>
      <c r="E3" s="81" t="s">
        <v>29610</v>
      </c>
      <c r="F3" s="81" t="s">
        <v>91</v>
      </c>
      <c r="G3" s="80" t="s">
        <v>29610</v>
      </c>
      <c r="H3" s="81" t="s">
        <v>29612</v>
      </c>
      <c r="I3" s="81" t="s">
        <v>27</v>
      </c>
      <c r="J3" s="84" t="s">
        <v>29625</v>
      </c>
      <c r="K3" s="81" t="s">
        <v>25686</v>
      </c>
      <c r="L3" s="81" t="s">
        <v>25606</v>
      </c>
      <c r="M3" s="81" t="s">
        <v>26670</v>
      </c>
      <c r="N3" s="81">
        <v>1293.46</v>
      </c>
      <c r="O3" s="81" t="s">
        <v>29622</v>
      </c>
      <c r="P3" s="81" t="s">
        <v>29623</v>
      </c>
      <c r="Q3" s="80"/>
      <c r="R3" s="146"/>
      <c r="S3" s="103" t="str">
        <f t="shared" ref="S3:S14" si="0">A3&amp;"-"&amp;T3</f>
        <v>96-002-06-</v>
      </c>
      <c r="V3" s="81">
        <v>6</v>
      </c>
    </row>
    <row r="4" spans="1:45" ht="15" customHeight="1" x14ac:dyDescent="0.2">
      <c r="A4" s="81" t="s">
        <v>29585</v>
      </c>
      <c r="B4" s="81" t="s">
        <v>29608</v>
      </c>
      <c r="C4" s="81" t="s">
        <v>46</v>
      </c>
      <c r="D4" s="81" t="s">
        <v>47</v>
      </c>
      <c r="E4" s="81" t="s">
        <v>29610</v>
      </c>
      <c r="F4" s="81" t="s">
        <v>91</v>
      </c>
      <c r="G4" s="80" t="s">
        <v>29610</v>
      </c>
      <c r="H4" s="81" t="s">
        <v>29613</v>
      </c>
      <c r="I4" s="81" t="s">
        <v>22</v>
      </c>
      <c r="J4" s="84" t="s">
        <v>29625</v>
      </c>
      <c r="K4" s="81" t="s">
        <v>25686</v>
      </c>
      <c r="L4" s="81" t="s">
        <v>25606</v>
      </c>
      <c r="M4" s="81" t="s">
        <v>26670</v>
      </c>
      <c r="N4" s="81">
        <v>1293.46</v>
      </c>
      <c r="O4" s="81" t="s">
        <v>29622</v>
      </c>
      <c r="P4" s="81" t="s">
        <v>29624</v>
      </c>
      <c r="Q4" s="80"/>
      <c r="R4" s="146"/>
      <c r="S4" s="103" t="str">
        <f t="shared" si="0"/>
        <v>96-003-14-</v>
      </c>
      <c r="V4" s="81">
        <v>6</v>
      </c>
    </row>
    <row r="5" spans="1:45" ht="15" customHeight="1" x14ac:dyDescent="0.2">
      <c r="A5" s="81" t="s">
        <v>29586</v>
      </c>
      <c r="B5" s="81" t="s">
        <v>29596</v>
      </c>
      <c r="C5" s="81" t="s">
        <v>46</v>
      </c>
      <c r="D5" s="81" t="s">
        <v>47</v>
      </c>
      <c r="E5" s="81" t="s">
        <v>29610</v>
      </c>
      <c r="F5" s="81" t="s">
        <v>91</v>
      </c>
      <c r="G5" s="80" t="s">
        <v>29610</v>
      </c>
      <c r="H5" s="81" t="s">
        <v>29614</v>
      </c>
      <c r="I5" s="81" t="s">
        <v>27</v>
      </c>
      <c r="J5" s="84" t="s">
        <v>29625</v>
      </c>
      <c r="K5" s="81" t="s">
        <v>25686</v>
      </c>
      <c r="L5" s="81" t="s">
        <v>25606</v>
      </c>
      <c r="M5" s="81" t="s">
        <v>26670</v>
      </c>
      <c r="N5" s="81">
        <v>1592.06</v>
      </c>
      <c r="O5" s="81" t="s">
        <v>29622</v>
      </c>
      <c r="P5" s="81" t="s">
        <v>29623</v>
      </c>
      <c r="Q5" s="80"/>
      <c r="R5" s="146"/>
      <c r="S5" s="103" t="str">
        <f t="shared" si="0"/>
        <v>96-004-06-</v>
      </c>
      <c r="V5" s="81">
        <v>3</v>
      </c>
    </row>
    <row r="6" spans="1:45" ht="15" customHeight="1" x14ac:dyDescent="0.2">
      <c r="A6" s="81" t="s">
        <v>29587</v>
      </c>
      <c r="B6" s="81" t="s">
        <v>29597</v>
      </c>
      <c r="C6" s="81" t="s">
        <v>46</v>
      </c>
      <c r="D6" s="81" t="s">
        <v>47</v>
      </c>
      <c r="E6" s="81" t="s">
        <v>29610</v>
      </c>
      <c r="F6" s="81" t="s">
        <v>91</v>
      </c>
      <c r="G6" s="80" t="s">
        <v>29610</v>
      </c>
      <c r="H6" s="81" t="s">
        <v>29615</v>
      </c>
      <c r="I6" s="81" t="s">
        <v>100</v>
      </c>
      <c r="J6" s="84" t="s">
        <v>29625</v>
      </c>
      <c r="K6" s="81" t="s">
        <v>25686</v>
      </c>
      <c r="L6" s="81" t="s">
        <v>25604</v>
      </c>
      <c r="M6" s="81" t="s">
        <v>26670</v>
      </c>
      <c r="N6" s="81">
        <v>1293.46</v>
      </c>
      <c r="O6" s="81" t="s">
        <v>29622</v>
      </c>
      <c r="P6" s="81" t="s">
        <v>29624</v>
      </c>
      <c r="Q6" s="80"/>
      <c r="R6" s="146"/>
      <c r="S6" s="103" t="str">
        <f t="shared" si="0"/>
        <v>96-005-17-</v>
      </c>
      <c r="V6" s="81">
        <v>3</v>
      </c>
    </row>
    <row r="7" spans="1:45" ht="15" customHeight="1" x14ac:dyDescent="0.2">
      <c r="A7" s="81" t="s">
        <v>29588</v>
      </c>
      <c r="B7" s="81" t="s">
        <v>29598</v>
      </c>
      <c r="C7" s="81" t="s">
        <v>46</v>
      </c>
      <c r="D7" s="81" t="s">
        <v>47</v>
      </c>
      <c r="E7" s="81" t="s">
        <v>29610</v>
      </c>
      <c r="F7" s="81" t="s">
        <v>91</v>
      </c>
      <c r="G7" s="80" t="s">
        <v>29610</v>
      </c>
      <c r="H7" s="81" t="s">
        <v>29616</v>
      </c>
      <c r="I7" s="81" t="s">
        <v>1</v>
      </c>
      <c r="J7" s="84" t="s">
        <v>29625</v>
      </c>
      <c r="K7" s="81" t="s">
        <v>25686</v>
      </c>
      <c r="L7" s="81" t="s">
        <v>25606</v>
      </c>
      <c r="M7" s="81" t="s">
        <v>26670</v>
      </c>
      <c r="N7" s="81">
        <v>1442.76</v>
      </c>
      <c r="O7" s="81" t="s">
        <v>29622</v>
      </c>
      <c r="P7" s="81" t="s">
        <v>29624</v>
      </c>
      <c r="Q7" s="80"/>
      <c r="R7" s="146"/>
      <c r="S7" s="103" t="str">
        <f t="shared" si="0"/>
        <v>96-006-09-</v>
      </c>
      <c r="V7" s="81">
        <v>20</v>
      </c>
    </row>
    <row r="8" spans="1:45" ht="15" customHeight="1" x14ac:dyDescent="0.2">
      <c r="A8" s="81" t="s">
        <v>29589</v>
      </c>
      <c r="B8" s="81" t="s">
        <v>29599</v>
      </c>
      <c r="C8" s="81" t="s">
        <v>46</v>
      </c>
      <c r="D8" s="81" t="s">
        <v>92</v>
      </c>
      <c r="E8" s="81" t="s">
        <v>29610</v>
      </c>
      <c r="F8" s="81" t="s">
        <v>91</v>
      </c>
      <c r="G8" s="80" t="s">
        <v>29610</v>
      </c>
      <c r="H8" s="81" t="s">
        <v>29612</v>
      </c>
      <c r="I8" s="81" t="s">
        <v>27</v>
      </c>
      <c r="J8" s="84" t="s">
        <v>29625</v>
      </c>
      <c r="K8" s="81" t="s">
        <v>25686</v>
      </c>
      <c r="L8" s="81" t="s">
        <v>25606</v>
      </c>
      <c r="M8" s="81" t="s">
        <v>26670</v>
      </c>
      <c r="N8" s="81">
        <v>1592.06</v>
      </c>
      <c r="O8" s="81" t="s">
        <v>29622</v>
      </c>
      <c r="P8" s="81" t="s">
        <v>29624</v>
      </c>
      <c r="Q8" s="80"/>
      <c r="R8" s="146"/>
      <c r="S8" s="103" t="str">
        <f t="shared" si="0"/>
        <v>96-007-06-</v>
      </c>
      <c r="V8" s="81">
        <v>6</v>
      </c>
    </row>
    <row r="9" spans="1:45" ht="15" customHeight="1" x14ac:dyDescent="0.2">
      <c r="A9" s="81" t="s">
        <v>29590</v>
      </c>
      <c r="B9" s="81" t="s">
        <v>29600</v>
      </c>
      <c r="C9" s="81" t="s">
        <v>46</v>
      </c>
      <c r="D9" s="81" t="s">
        <v>92</v>
      </c>
      <c r="E9" s="81" t="s">
        <v>29610</v>
      </c>
      <c r="F9" s="81" t="s">
        <v>91</v>
      </c>
      <c r="G9" s="80" t="s">
        <v>29610</v>
      </c>
      <c r="H9" s="81" t="s">
        <v>29617</v>
      </c>
      <c r="I9" s="81" t="s">
        <v>123</v>
      </c>
      <c r="J9" s="84" t="s">
        <v>29625</v>
      </c>
      <c r="K9" s="81" t="s">
        <v>25686</v>
      </c>
      <c r="L9" s="81" t="s">
        <v>25606</v>
      </c>
      <c r="M9" s="81" t="s">
        <v>26670</v>
      </c>
      <c r="N9" s="81">
        <v>1592.06</v>
      </c>
      <c r="O9" s="81" t="s">
        <v>29622</v>
      </c>
      <c r="P9" s="81" t="s">
        <v>29624</v>
      </c>
      <c r="Q9" s="80"/>
      <c r="R9" s="146"/>
      <c r="S9" s="103" t="str">
        <f t="shared" si="0"/>
        <v>96-008-13-</v>
      </c>
      <c r="V9" s="81">
        <v>3</v>
      </c>
    </row>
    <row r="10" spans="1:45" ht="15" customHeight="1" x14ac:dyDescent="0.2">
      <c r="A10" s="81" t="s">
        <v>29591</v>
      </c>
      <c r="B10" s="81" t="s">
        <v>29601</v>
      </c>
      <c r="C10" s="81" t="s">
        <v>46</v>
      </c>
      <c r="D10" s="81" t="s">
        <v>47</v>
      </c>
      <c r="E10" s="81" t="s">
        <v>29610</v>
      </c>
      <c r="F10" s="81" t="s">
        <v>91</v>
      </c>
      <c r="G10" s="80" t="s">
        <v>29610</v>
      </c>
      <c r="H10" s="81" t="s">
        <v>29615</v>
      </c>
      <c r="I10" s="81" t="s">
        <v>100</v>
      </c>
      <c r="J10" s="84" t="s">
        <v>29625</v>
      </c>
      <c r="K10" s="81" t="s">
        <v>25686</v>
      </c>
      <c r="L10" s="81" t="s">
        <v>25604</v>
      </c>
      <c r="M10" s="81" t="s">
        <v>26670</v>
      </c>
      <c r="N10" s="81">
        <v>1293.46</v>
      </c>
      <c r="O10" s="81" t="s">
        <v>29622</v>
      </c>
      <c r="P10" s="81" t="s">
        <v>29624</v>
      </c>
      <c r="Q10" s="80"/>
      <c r="R10" s="146"/>
      <c r="S10" s="103" t="str">
        <f t="shared" si="0"/>
        <v>96-009-17-</v>
      </c>
      <c r="V10" s="81">
        <v>6</v>
      </c>
    </row>
    <row r="11" spans="1:45" ht="15" customHeight="1" x14ac:dyDescent="0.2">
      <c r="A11" s="81" t="s">
        <v>29592</v>
      </c>
      <c r="B11" s="81" t="s">
        <v>29602</v>
      </c>
      <c r="C11" s="81" t="s">
        <v>46</v>
      </c>
      <c r="D11" s="81" t="s">
        <v>47</v>
      </c>
      <c r="E11" s="81" t="s">
        <v>29610</v>
      </c>
      <c r="F11" s="81" t="s">
        <v>91</v>
      </c>
      <c r="G11" s="80" t="s">
        <v>29610</v>
      </c>
      <c r="H11" s="81" t="s">
        <v>29618</v>
      </c>
      <c r="I11" s="81" t="s">
        <v>220</v>
      </c>
      <c r="J11" s="84" t="s">
        <v>29625</v>
      </c>
      <c r="K11" s="81" t="s">
        <v>25686</v>
      </c>
      <c r="L11" s="81" t="s">
        <v>25604</v>
      </c>
      <c r="M11" s="81" t="s">
        <v>26670</v>
      </c>
      <c r="N11" s="81">
        <v>1293.46</v>
      </c>
      <c r="O11" s="81" t="s">
        <v>29622</v>
      </c>
      <c r="P11" s="81" t="s">
        <v>29623</v>
      </c>
      <c r="Q11" s="80"/>
      <c r="R11" s="146"/>
      <c r="S11" s="103" t="str">
        <f t="shared" si="0"/>
        <v>96-010-34-</v>
      </c>
      <c r="V11" s="81">
        <v>6</v>
      </c>
    </row>
    <row r="12" spans="1:45" ht="15" customHeight="1" x14ac:dyDescent="0.2">
      <c r="A12" s="81" t="s">
        <v>29593</v>
      </c>
      <c r="B12" s="81" t="s">
        <v>29603</v>
      </c>
      <c r="C12" s="81" t="s">
        <v>46</v>
      </c>
      <c r="D12" s="81" t="s">
        <v>92</v>
      </c>
      <c r="E12" s="81" t="s">
        <v>29610</v>
      </c>
      <c r="F12" s="81" t="s">
        <v>91</v>
      </c>
      <c r="G12" s="80" t="s">
        <v>29610</v>
      </c>
      <c r="H12" s="81" t="s">
        <v>29619</v>
      </c>
      <c r="I12" s="81" t="s">
        <v>58</v>
      </c>
      <c r="J12" s="84" t="s">
        <v>29625</v>
      </c>
      <c r="K12" s="81" t="s">
        <v>25686</v>
      </c>
      <c r="L12" s="81" t="s">
        <v>25606</v>
      </c>
      <c r="M12" s="81" t="s">
        <v>26670</v>
      </c>
      <c r="N12" s="81">
        <v>1592.06</v>
      </c>
      <c r="O12" s="81" t="s">
        <v>29622</v>
      </c>
      <c r="P12" s="81" t="s">
        <v>29623</v>
      </c>
      <c r="Q12" s="80"/>
      <c r="R12" s="146"/>
      <c r="S12" s="103" t="str">
        <f t="shared" si="0"/>
        <v>96-011-03-</v>
      </c>
      <c r="V12" s="81">
        <v>10</v>
      </c>
    </row>
    <row r="13" spans="1:45" ht="15" customHeight="1" x14ac:dyDescent="0.2">
      <c r="A13" s="80" t="s">
        <v>29594</v>
      </c>
      <c r="B13" s="81" t="s">
        <v>29604</v>
      </c>
      <c r="C13" s="81" t="s">
        <v>46</v>
      </c>
      <c r="D13" s="81" t="s">
        <v>47</v>
      </c>
      <c r="E13" s="81" t="s">
        <v>29610</v>
      </c>
      <c r="F13" s="81" t="s">
        <v>91</v>
      </c>
      <c r="G13" s="80" t="s">
        <v>29610</v>
      </c>
      <c r="H13" s="81" t="s">
        <v>29620</v>
      </c>
      <c r="I13" s="80" t="s">
        <v>28</v>
      </c>
      <c r="J13" s="84" t="s">
        <v>29625</v>
      </c>
      <c r="K13" s="81" t="s">
        <v>25686</v>
      </c>
      <c r="L13" s="81" t="s">
        <v>25604</v>
      </c>
      <c r="M13" s="81" t="s">
        <v>12</v>
      </c>
      <c r="N13" s="81">
        <v>1442.76</v>
      </c>
      <c r="O13" s="81" t="s">
        <v>29622</v>
      </c>
      <c r="P13" s="81" t="s">
        <v>29623</v>
      </c>
      <c r="Q13" s="80"/>
      <c r="R13" s="146"/>
      <c r="S13" s="103" t="str">
        <f t="shared" si="0"/>
        <v>96-012-80-</v>
      </c>
      <c r="V13" s="81">
        <v>1</v>
      </c>
    </row>
    <row r="14" spans="1:45" ht="15" customHeight="1" x14ac:dyDescent="0.2">
      <c r="A14" s="81" t="s">
        <v>29595</v>
      </c>
      <c r="B14" s="81" t="s">
        <v>29605</v>
      </c>
      <c r="C14" s="81" t="s">
        <v>46</v>
      </c>
      <c r="D14" s="81" t="s">
        <v>47</v>
      </c>
      <c r="E14" s="81" t="s">
        <v>29610</v>
      </c>
      <c r="F14" s="81" t="s">
        <v>91</v>
      </c>
      <c r="G14" s="80" t="s">
        <v>29610</v>
      </c>
      <c r="H14" s="81" t="s">
        <v>29621</v>
      </c>
      <c r="I14" s="81" t="s">
        <v>28</v>
      </c>
      <c r="J14" s="84" t="s">
        <v>29625</v>
      </c>
      <c r="K14" s="81" t="s">
        <v>25686</v>
      </c>
      <c r="L14" s="81" t="s">
        <v>25606</v>
      </c>
      <c r="M14" s="81" t="s">
        <v>26670</v>
      </c>
      <c r="N14" s="81">
        <v>1293.46</v>
      </c>
      <c r="O14" s="81" t="s">
        <v>29622</v>
      </c>
      <c r="P14" s="81" t="s">
        <v>29623</v>
      </c>
      <c r="Q14" s="80"/>
      <c r="R14" s="146"/>
      <c r="S14" s="103" t="str">
        <f t="shared" si="0"/>
        <v>96-013-80-</v>
      </c>
      <c r="V14" s="81">
        <v>6</v>
      </c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5"/>
  <sheetViews>
    <sheetView topLeftCell="C1" workbookViewId="0">
      <pane ySplit="1" topLeftCell="A2" activePane="bottomLeft" state="frozen"/>
      <selection activeCell="C1" sqref="C1"/>
      <selection pane="bottomLeft" activeCell="A290" sqref="A290:S31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28430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29583</v>
      </c>
      <c r="B2" s="102" t="s">
        <v>29606</v>
      </c>
      <c r="C2" s="102" t="s">
        <v>46</v>
      </c>
      <c r="D2" s="102" t="s">
        <v>29609</v>
      </c>
      <c r="E2" s="102" t="s">
        <v>29610</v>
      </c>
      <c r="F2" s="102" t="s">
        <v>91</v>
      </c>
      <c r="G2" s="102" t="s">
        <v>29610</v>
      </c>
      <c r="H2" s="102" t="s">
        <v>29611</v>
      </c>
      <c r="I2" s="102" t="s">
        <v>141</v>
      </c>
      <c r="J2" s="102" t="s">
        <v>29625</v>
      </c>
      <c r="K2" s="102" t="s">
        <v>25686</v>
      </c>
      <c r="L2" s="102" t="s">
        <v>25606</v>
      </c>
      <c r="M2" s="102" t="s">
        <v>26670</v>
      </c>
      <c r="N2" s="102">
        <v>1890.67</v>
      </c>
      <c r="O2" s="102" t="s">
        <v>29622</v>
      </c>
      <c r="P2" t="s">
        <v>29623</v>
      </c>
      <c r="S2" t="str">
        <f>A2&amp;"-"&amp;T2</f>
        <v>96-001-18-56</v>
      </c>
      <c r="T2" s="129" t="s">
        <v>28269</v>
      </c>
      <c r="U2" s="112">
        <v>3</v>
      </c>
    </row>
    <row r="3" spans="1:21" x14ac:dyDescent="0.2">
      <c r="A3" s="102" t="s">
        <v>29583</v>
      </c>
      <c r="B3" s="102" t="s">
        <v>29606</v>
      </c>
      <c r="C3" s="102" t="s">
        <v>46</v>
      </c>
      <c r="D3" s="102" t="s">
        <v>29609</v>
      </c>
      <c r="E3" s="102" t="s">
        <v>29610</v>
      </c>
      <c r="F3" s="102" t="s">
        <v>91</v>
      </c>
      <c r="G3" s="102" t="s">
        <v>29610</v>
      </c>
      <c r="H3" s="102" t="s">
        <v>29611</v>
      </c>
      <c r="I3" s="102" t="s">
        <v>141</v>
      </c>
      <c r="J3" s="102" t="s">
        <v>29625</v>
      </c>
      <c r="K3" s="102" t="s">
        <v>25686</v>
      </c>
      <c r="L3" s="102" t="s">
        <v>25606</v>
      </c>
      <c r="M3" s="102" t="s">
        <v>26670</v>
      </c>
      <c r="N3" s="102">
        <v>1890.67</v>
      </c>
      <c r="O3" s="102" t="s">
        <v>29622</v>
      </c>
      <c r="P3" t="s">
        <v>29623</v>
      </c>
      <c r="S3" t="str">
        <f>A3&amp;"-"&amp;T3</f>
        <v>96-001-18-58</v>
      </c>
      <c r="T3" s="129" t="s">
        <v>28395</v>
      </c>
      <c r="U3" s="112">
        <v>3</v>
      </c>
    </row>
    <row r="4" spans="1:21" x14ac:dyDescent="0.2">
      <c r="A4" s="102" t="s">
        <v>29584</v>
      </c>
      <c r="B4" s="102" t="s">
        <v>29607</v>
      </c>
      <c r="C4" s="102" t="s">
        <v>46</v>
      </c>
      <c r="D4" s="102" t="s">
        <v>47</v>
      </c>
      <c r="E4" s="102" t="s">
        <v>29610</v>
      </c>
      <c r="F4" s="102" t="s">
        <v>91</v>
      </c>
      <c r="G4" s="102" t="s">
        <v>29610</v>
      </c>
      <c r="H4" s="102" t="s">
        <v>29612</v>
      </c>
      <c r="I4" s="102" t="s">
        <v>27</v>
      </c>
      <c r="J4" s="102" t="s">
        <v>29625</v>
      </c>
      <c r="K4" s="102" t="s">
        <v>25686</v>
      </c>
      <c r="L4" s="102" t="s">
        <v>25606</v>
      </c>
      <c r="M4" s="102" t="s">
        <v>26670</v>
      </c>
      <c r="N4" s="102">
        <v>1293.46</v>
      </c>
      <c r="O4" s="102" t="s">
        <v>29622</v>
      </c>
      <c r="P4" t="s">
        <v>29623</v>
      </c>
      <c r="S4" t="str">
        <f t="shared" ref="S4:S6" si="0">A4&amp;"-"&amp;T4</f>
        <v>96-002-06-00</v>
      </c>
      <c r="T4" s="129" t="s">
        <v>25307</v>
      </c>
      <c r="U4" s="112">
        <v>6</v>
      </c>
    </row>
    <row r="5" spans="1:21" x14ac:dyDescent="0.2">
      <c r="A5" s="102" t="s">
        <v>29585</v>
      </c>
      <c r="B5" s="102" t="s">
        <v>29608</v>
      </c>
      <c r="C5" s="102" t="s">
        <v>46</v>
      </c>
      <c r="D5" s="102" t="s">
        <v>47</v>
      </c>
      <c r="E5" s="102" t="s">
        <v>29610</v>
      </c>
      <c r="F5" s="102" t="s">
        <v>91</v>
      </c>
      <c r="G5" s="102" t="s">
        <v>29610</v>
      </c>
      <c r="H5" s="102" t="s">
        <v>29613</v>
      </c>
      <c r="I5" s="102" t="s">
        <v>22</v>
      </c>
      <c r="J5" s="102" t="s">
        <v>29625</v>
      </c>
      <c r="K5" s="102" t="s">
        <v>25686</v>
      </c>
      <c r="L5" s="102" t="s">
        <v>25606</v>
      </c>
      <c r="M5" s="102" t="s">
        <v>26670</v>
      </c>
      <c r="N5" s="102">
        <v>1293.46</v>
      </c>
      <c r="O5" s="102" t="s">
        <v>29622</v>
      </c>
      <c r="P5" t="s">
        <v>29624</v>
      </c>
      <c r="S5" t="str">
        <f t="shared" si="0"/>
        <v>96-003-14-00</v>
      </c>
      <c r="T5" s="129" t="s">
        <v>25307</v>
      </c>
      <c r="U5" s="112">
        <v>6</v>
      </c>
    </row>
    <row r="6" spans="1:21" x14ac:dyDescent="0.2">
      <c r="A6" s="102" t="s">
        <v>29586</v>
      </c>
      <c r="B6" s="102" t="s">
        <v>29596</v>
      </c>
      <c r="C6" s="102" t="s">
        <v>46</v>
      </c>
      <c r="D6" s="102" t="s">
        <v>47</v>
      </c>
      <c r="E6" s="102" t="s">
        <v>29610</v>
      </c>
      <c r="F6" s="102" t="s">
        <v>91</v>
      </c>
      <c r="G6" s="102" t="s">
        <v>29610</v>
      </c>
      <c r="H6" s="102" t="s">
        <v>29614</v>
      </c>
      <c r="I6" s="102" t="s">
        <v>27</v>
      </c>
      <c r="J6" s="102" t="s">
        <v>29625</v>
      </c>
      <c r="K6" s="102" t="s">
        <v>25686</v>
      </c>
      <c r="L6" s="102" t="s">
        <v>25606</v>
      </c>
      <c r="M6" s="102" t="s">
        <v>26670</v>
      </c>
      <c r="N6" s="102">
        <v>1592.06</v>
      </c>
      <c r="O6" s="102" t="s">
        <v>29622</v>
      </c>
      <c r="P6" t="s">
        <v>29623</v>
      </c>
      <c r="S6" t="str">
        <f t="shared" si="0"/>
        <v>96-004-06-00</v>
      </c>
      <c r="T6" s="129" t="s">
        <v>25307</v>
      </c>
      <c r="U6" s="112">
        <v>3</v>
      </c>
    </row>
    <row r="7" spans="1:21" x14ac:dyDescent="0.2">
      <c r="A7" s="102" t="s">
        <v>29587</v>
      </c>
      <c r="B7" s="102" t="s">
        <v>29597</v>
      </c>
      <c r="C7" s="102" t="s">
        <v>46</v>
      </c>
      <c r="D7" s="102" t="s">
        <v>47</v>
      </c>
      <c r="E7" s="102" t="s">
        <v>29610</v>
      </c>
      <c r="F7" s="102" t="s">
        <v>91</v>
      </c>
      <c r="G7" s="102" t="s">
        <v>29610</v>
      </c>
      <c r="H7" s="102" t="s">
        <v>29615</v>
      </c>
      <c r="I7" s="102" t="s">
        <v>100</v>
      </c>
      <c r="J7" s="102" t="s">
        <v>29625</v>
      </c>
      <c r="K7" s="102" t="s">
        <v>25686</v>
      </c>
      <c r="L7" s="102" t="s">
        <v>25604</v>
      </c>
      <c r="M7" s="102" t="s">
        <v>26670</v>
      </c>
      <c r="N7" s="102">
        <v>1293.46</v>
      </c>
      <c r="O7" s="102" t="s">
        <v>29622</v>
      </c>
      <c r="P7" t="s">
        <v>29624</v>
      </c>
      <c r="S7" t="str">
        <f t="shared" ref="S7:S9" si="1">A7&amp;"-"&amp;T7</f>
        <v>96-005-17-00</v>
      </c>
      <c r="T7" s="129" t="s">
        <v>25307</v>
      </c>
      <c r="U7" s="112">
        <v>3</v>
      </c>
    </row>
    <row r="8" spans="1:21" x14ac:dyDescent="0.2">
      <c r="A8" s="102" t="s">
        <v>29588</v>
      </c>
      <c r="B8" s="102" t="s">
        <v>29598</v>
      </c>
      <c r="C8" s="102" t="s">
        <v>46</v>
      </c>
      <c r="D8" s="102" t="s">
        <v>47</v>
      </c>
      <c r="E8" s="102" t="s">
        <v>29610</v>
      </c>
      <c r="F8" s="102" t="s">
        <v>91</v>
      </c>
      <c r="G8" s="102" t="s">
        <v>29610</v>
      </c>
      <c r="H8" s="102" t="s">
        <v>29616</v>
      </c>
      <c r="I8" s="102" t="s">
        <v>1</v>
      </c>
      <c r="J8" s="102" t="s">
        <v>29625</v>
      </c>
      <c r="K8" s="102" t="s">
        <v>25686</v>
      </c>
      <c r="L8" s="102" t="s">
        <v>25606</v>
      </c>
      <c r="M8" s="102" t="s">
        <v>26670</v>
      </c>
      <c r="N8" s="102">
        <v>1442.76</v>
      </c>
      <c r="O8" s="102" t="s">
        <v>29622</v>
      </c>
      <c r="P8" t="s">
        <v>29624</v>
      </c>
      <c r="S8" t="str">
        <f t="shared" si="1"/>
        <v>96-006-09-00</v>
      </c>
      <c r="T8" s="129" t="s">
        <v>25307</v>
      </c>
      <c r="U8" s="112">
        <v>20</v>
      </c>
    </row>
    <row r="9" spans="1:21" x14ac:dyDescent="0.2">
      <c r="A9" s="102" t="s">
        <v>29589</v>
      </c>
      <c r="B9" s="102" t="s">
        <v>29599</v>
      </c>
      <c r="C9" s="102" t="s">
        <v>46</v>
      </c>
      <c r="D9" s="102" t="s">
        <v>92</v>
      </c>
      <c r="E9" s="102" t="s">
        <v>29610</v>
      </c>
      <c r="F9" s="102" t="s">
        <v>91</v>
      </c>
      <c r="G9" s="102" t="s">
        <v>29610</v>
      </c>
      <c r="H9" s="102" t="s">
        <v>29612</v>
      </c>
      <c r="I9" s="102" t="s">
        <v>27</v>
      </c>
      <c r="J9" s="102" t="s">
        <v>29625</v>
      </c>
      <c r="K9" s="102" t="s">
        <v>25686</v>
      </c>
      <c r="L9" s="102" t="s">
        <v>25606</v>
      </c>
      <c r="M9" s="102" t="s">
        <v>26670</v>
      </c>
      <c r="N9" s="102">
        <v>1592.06</v>
      </c>
      <c r="O9" s="102" t="s">
        <v>29622</v>
      </c>
      <c r="P9" t="s">
        <v>29624</v>
      </c>
      <c r="S9" t="str">
        <f t="shared" si="1"/>
        <v>96-007-06-00</v>
      </c>
      <c r="T9" s="129" t="s">
        <v>25307</v>
      </c>
      <c r="U9" s="112">
        <v>6</v>
      </c>
    </row>
    <row r="10" spans="1:21" x14ac:dyDescent="0.2">
      <c r="A10" s="102" t="s">
        <v>29590</v>
      </c>
      <c r="B10" s="102" t="s">
        <v>29600</v>
      </c>
      <c r="C10" s="102" t="s">
        <v>46</v>
      </c>
      <c r="D10" s="102" t="s">
        <v>92</v>
      </c>
      <c r="E10" s="102" t="s">
        <v>29610</v>
      </c>
      <c r="F10" s="102" t="s">
        <v>91</v>
      </c>
      <c r="G10" s="102" t="s">
        <v>29610</v>
      </c>
      <c r="H10" s="102" t="s">
        <v>29617</v>
      </c>
      <c r="I10" s="102" t="s">
        <v>123</v>
      </c>
      <c r="J10" s="102" t="s">
        <v>29625</v>
      </c>
      <c r="K10" s="102" t="s">
        <v>25686</v>
      </c>
      <c r="L10" s="102" t="s">
        <v>25606</v>
      </c>
      <c r="M10" s="102" t="s">
        <v>26670</v>
      </c>
      <c r="N10" s="102">
        <v>1592.06</v>
      </c>
      <c r="O10" s="102" t="s">
        <v>29622</v>
      </c>
      <c r="P10" t="s">
        <v>29624</v>
      </c>
      <c r="S10" t="str">
        <f t="shared" ref="S10:S11" si="2">A10&amp;"-"&amp;T10</f>
        <v>96-008-13-00</v>
      </c>
      <c r="T10" s="129" t="s">
        <v>25307</v>
      </c>
      <c r="U10" s="112">
        <v>3</v>
      </c>
    </row>
    <row r="11" spans="1:21" x14ac:dyDescent="0.2">
      <c r="A11" s="102" t="s">
        <v>29591</v>
      </c>
      <c r="B11" s="102" t="s">
        <v>29601</v>
      </c>
      <c r="C11" s="102" t="s">
        <v>46</v>
      </c>
      <c r="D11" s="102" t="s">
        <v>47</v>
      </c>
      <c r="E11" s="102" t="s">
        <v>29610</v>
      </c>
      <c r="F11" s="102" t="s">
        <v>91</v>
      </c>
      <c r="G11" s="102" t="s">
        <v>29610</v>
      </c>
      <c r="H11" s="102" t="s">
        <v>29615</v>
      </c>
      <c r="I11" s="102" t="s">
        <v>100</v>
      </c>
      <c r="J11" s="102" t="s">
        <v>29625</v>
      </c>
      <c r="K11" s="102" t="s">
        <v>25686</v>
      </c>
      <c r="L11" s="102" t="s">
        <v>25604</v>
      </c>
      <c r="M11" s="102" t="s">
        <v>26670</v>
      </c>
      <c r="N11" s="102">
        <v>1293.46</v>
      </c>
      <c r="O11" s="102" t="s">
        <v>29622</v>
      </c>
      <c r="P11" t="s">
        <v>29624</v>
      </c>
      <c r="S11" t="str">
        <f t="shared" si="2"/>
        <v>96-009-17-00</v>
      </c>
      <c r="T11" s="129" t="s">
        <v>25307</v>
      </c>
      <c r="U11" s="112">
        <v>6</v>
      </c>
    </row>
    <row r="12" spans="1:21" x14ac:dyDescent="0.2">
      <c r="A12" s="102" t="s">
        <v>29592</v>
      </c>
      <c r="B12" s="102" t="s">
        <v>29602</v>
      </c>
      <c r="C12" s="102" t="s">
        <v>46</v>
      </c>
      <c r="D12" s="102" t="s">
        <v>47</v>
      </c>
      <c r="E12" s="102" t="s">
        <v>29610</v>
      </c>
      <c r="F12" s="102" t="s">
        <v>91</v>
      </c>
      <c r="G12" s="102" t="s">
        <v>29610</v>
      </c>
      <c r="H12" s="102" t="s">
        <v>29618</v>
      </c>
      <c r="I12" s="102" t="s">
        <v>220</v>
      </c>
      <c r="J12" s="102" t="s">
        <v>29625</v>
      </c>
      <c r="K12" s="102" t="s">
        <v>25686</v>
      </c>
      <c r="L12" s="102" t="s">
        <v>25604</v>
      </c>
      <c r="M12" s="102" t="s">
        <v>26670</v>
      </c>
      <c r="N12" s="102">
        <v>1293.46</v>
      </c>
      <c r="O12" s="102" t="s">
        <v>29622</v>
      </c>
      <c r="P12" t="s">
        <v>29623</v>
      </c>
      <c r="S12" t="str">
        <f t="shared" ref="S12:S14" si="3">A12&amp;"-"&amp;T12</f>
        <v>96-010-34-00</v>
      </c>
      <c r="T12" s="129" t="s">
        <v>25307</v>
      </c>
      <c r="U12" s="112">
        <v>6</v>
      </c>
    </row>
    <row r="13" spans="1:21" x14ac:dyDescent="0.2">
      <c r="A13" s="102" t="s">
        <v>29593</v>
      </c>
      <c r="B13" s="102" t="s">
        <v>29603</v>
      </c>
      <c r="C13" s="102" t="s">
        <v>46</v>
      </c>
      <c r="D13" s="102" t="s">
        <v>92</v>
      </c>
      <c r="E13" s="102" t="s">
        <v>29610</v>
      </c>
      <c r="F13" s="102" t="s">
        <v>91</v>
      </c>
      <c r="G13" s="102" t="s">
        <v>29610</v>
      </c>
      <c r="H13" s="102" t="s">
        <v>29619</v>
      </c>
      <c r="I13" s="102" t="s">
        <v>58</v>
      </c>
      <c r="J13" s="102" t="s">
        <v>29625</v>
      </c>
      <c r="K13" s="102" t="s">
        <v>25686</v>
      </c>
      <c r="L13" s="102" t="s">
        <v>25606</v>
      </c>
      <c r="M13" s="102" t="s">
        <v>26670</v>
      </c>
      <c r="N13" s="102">
        <v>1592.06</v>
      </c>
      <c r="O13" s="102" t="s">
        <v>29622</v>
      </c>
      <c r="P13" t="s">
        <v>29623</v>
      </c>
      <c r="S13" t="str">
        <f t="shared" si="3"/>
        <v>96-011-03-00</v>
      </c>
      <c r="T13" s="129" t="s">
        <v>25307</v>
      </c>
      <c r="U13" s="112">
        <v>10</v>
      </c>
    </row>
    <row r="14" spans="1:21" x14ac:dyDescent="0.2">
      <c r="A14" s="102" t="s">
        <v>29594</v>
      </c>
      <c r="B14" s="102" t="s">
        <v>29604</v>
      </c>
      <c r="C14" s="102" t="s">
        <v>46</v>
      </c>
      <c r="D14" s="102" t="s">
        <v>47</v>
      </c>
      <c r="E14" s="102" t="s">
        <v>29610</v>
      </c>
      <c r="F14" s="102" t="s">
        <v>91</v>
      </c>
      <c r="G14" s="102" t="s">
        <v>29610</v>
      </c>
      <c r="H14" s="102" t="s">
        <v>29620</v>
      </c>
      <c r="I14" s="102" t="s">
        <v>28</v>
      </c>
      <c r="J14" s="102" t="s">
        <v>29625</v>
      </c>
      <c r="K14" s="102" t="s">
        <v>25686</v>
      </c>
      <c r="L14" s="102" t="s">
        <v>25604</v>
      </c>
      <c r="M14" s="102" t="s">
        <v>12</v>
      </c>
      <c r="N14" s="102">
        <v>1442.76</v>
      </c>
      <c r="O14" s="102" t="s">
        <v>29622</v>
      </c>
      <c r="P14" t="s">
        <v>29623</v>
      </c>
      <c r="S14" t="str">
        <f t="shared" si="3"/>
        <v>96-012-80-00</v>
      </c>
      <c r="T14" s="129" t="s">
        <v>25307</v>
      </c>
      <c r="U14" s="112">
        <v>1</v>
      </c>
    </row>
    <row r="15" spans="1:21" x14ac:dyDescent="0.2">
      <c r="A15" s="102" t="s">
        <v>29595</v>
      </c>
      <c r="B15" s="102" t="s">
        <v>29605</v>
      </c>
      <c r="C15" s="102" t="s">
        <v>46</v>
      </c>
      <c r="D15" s="102" t="s">
        <v>47</v>
      </c>
      <c r="E15" s="102" t="s">
        <v>29610</v>
      </c>
      <c r="F15" s="102" t="s">
        <v>91</v>
      </c>
      <c r="G15" s="102" t="s">
        <v>29610</v>
      </c>
      <c r="H15" s="102" t="s">
        <v>29621</v>
      </c>
      <c r="I15" s="102" t="s">
        <v>28</v>
      </c>
      <c r="J15" s="102" t="s">
        <v>29625</v>
      </c>
      <c r="K15" s="102" t="s">
        <v>25686</v>
      </c>
      <c r="L15" s="102" t="s">
        <v>25606</v>
      </c>
      <c r="M15" s="102" t="s">
        <v>26670</v>
      </c>
      <c r="N15" s="102">
        <v>1293.46</v>
      </c>
      <c r="O15" s="102" t="s">
        <v>29622</v>
      </c>
      <c r="P15" t="s">
        <v>29623</v>
      </c>
      <c r="S15" t="str">
        <f t="shared" ref="S15" si="4">A15&amp;"-"&amp;T15</f>
        <v>96-013-80-00</v>
      </c>
      <c r="T15" s="129" t="s">
        <v>25307</v>
      </c>
      <c r="U15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Строчный!S1:S15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2022-03-31T11:08:51Z</dcterms:modified>
</cp:coreProperties>
</file>