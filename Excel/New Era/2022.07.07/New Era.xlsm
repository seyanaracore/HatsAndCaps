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7.07\"/>
    </mc:Choice>
  </mc:AlternateContent>
  <xr:revisionPtr revIDLastSave="0" documentId="13_ncr:1_{FDF7C661-8A33-415A-948A-F686A52CEB2B}" xr6:coauthVersionLast="47" xr6:coauthVersionMax="47" xr10:uidLastSave="{00000000-0000-0000-0000-000000000000}"/>
  <bookViews>
    <workbookView xWindow="-120" yWindow="-120" windowWidth="29040" windowHeight="15840" activeTab="4" xr2:uid="{3A48B2BB-835E-4247-BB6E-D08F5B3ED053}"/>
  </bookViews>
  <sheets>
    <sheet name="Справочник" sheetId="2" r:id="rId1"/>
    <sheet name="Data" sheetId="3" r:id="rId2"/>
    <sheet name="КомандыИзНазвания" sheetId="4" r:id="rId3"/>
    <sheet name="Транспонирование" sheetId="6" r:id="rId4"/>
    <sheet name="Transposed" sheetId="5" r:id="rId5"/>
  </sheets>
  <functionGroups builtInGroupCount="19"/>
  <definedNames>
    <definedName name="_xlpm.sizeCol" hidden="1" xlm="1">#NAME?</definedName>
    <definedName name="_xlnm._FilterDatabase" localSheetId="1" hidden="1">Data!$A$1:$N$99</definedName>
    <definedName name="_xlnm._FilterDatabase" localSheetId="4" hidden="1">Transposed!$B$1:$Q$7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5" l="1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2" i="5"/>
  <c r="P9" i="3"/>
  <c r="T9" i="3" s="1"/>
  <c r="Q9" i="3"/>
  <c r="R9" i="3"/>
  <c r="S9" i="3"/>
  <c r="P10" i="3"/>
  <c r="Q10" i="3"/>
  <c r="R10" i="3"/>
  <c r="S10" i="3"/>
  <c r="T10" i="3"/>
  <c r="P11" i="3"/>
  <c r="T11" i="3" s="1"/>
  <c r="Q11" i="3"/>
  <c r="R11" i="3"/>
  <c r="S11" i="3"/>
  <c r="P12" i="3"/>
  <c r="T12" i="3" s="1"/>
  <c r="Q12" i="3"/>
  <c r="R12" i="3"/>
  <c r="S12" i="3"/>
  <c r="P13" i="3"/>
  <c r="Q13" i="3"/>
  <c r="R13" i="3"/>
  <c r="S13" i="3"/>
  <c r="T13" i="3"/>
  <c r="P14" i="3"/>
  <c r="T14" i="3" s="1"/>
  <c r="Q14" i="3"/>
  <c r="R14" i="3"/>
  <c r="S14" i="3"/>
  <c r="P15" i="3"/>
  <c r="Q15" i="3"/>
  <c r="R15" i="3"/>
  <c r="S15" i="3"/>
  <c r="T15" i="3"/>
  <c r="P16" i="3"/>
  <c r="Q16" i="3"/>
  <c r="R16" i="3"/>
  <c r="S16" i="3"/>
  <c r="T16" i="3"/>
  <c r="P17" i="3"/>
  <c r="T17" i="3" s="1"/>
  <c r="Q17" i="3"/>
  <c r="R17" i="3"/>
  <c r="S17" i="3"/>
  <c r="P18" i="3"/>
  <c r="Q18" i="3"/>
  <c r="R18" i="3"/>
  <c r="S18" i="3"/>
  <c r="T18" i="3"/>
  <c r="P19" i="3"/>
  <c r="T19" i="3" s="1"/>
  <c r="Q19" i="3"/>
  <c r="R19" i="3"/>
  <c r="S19" i="3"/>
  <c r="P20" i="3"/>
  <c r="T20" i="3" s="1"/>
  <c r="Q20" i="3"/>
  <c r="R20" i="3"/>
  <c r="S20" i="3"/>
  <c r="P21" i="3"/>
  <c r="Q21" i="3"/>
  <c r="R21" i="3"/>
  <c r="S21" i="3"/>
  <c r="T21" i="3"/>
  <c r="P22" i="3"/>
  <c r="T22" i="3" s="1"/>
  <c r="Q22" i="3"/>
  <c r="R22" i="3"/>
  <c r="S22" i="3"/>
  <c r="P23" i="3"/>
  <c r="Q23" i="3"/>
  <c r="R23" i="3"/>
  <c r="S23" i="3"/>
  <c r="T23" i="3"/>
  <c r="P24" i="3"/>
  <c r="Q24" i="3"/>
  <c r="R24" i="3"/>
  <c r="S24" i="3"/>
  <c r="T24" i="3"/>
  <c r="P25" i="3"/>
  <c r="T25" i="3" s="1"/>
  <c r="Q25" i="3"/>
  <c r="R25" i="3"/>
  <c r="S25" i="3"/>
  <c r="P26" i="3"/>
  <c r="T26" i="3" s="1"/>
  <c r="Q26" i="3"/>
  <c r="R26" i="3"/>
  <c r="S26" i="3"/>
  <c r="P27" i="3"/>
  <c r="T27" i="3" s="1"/>
  <c r="S27" i="3"/>
  <c r="P28" i="3"/>
  <c r="T28" i="3" s="1"/>
  <c r="S28" i="3"/>
  <c r="P29" i="3"/>
  <c r="Q29" i="3"/>
  <c r="R29" i="3"/>
  <c r="S29" i="3"/>
  <c r="T29" i="3"/>
  <c r="P30" i="3"/>
  <c r="T30" i="3" s="1"/>
  <c r="Q30" i="3"/>
  <c r="R30" i="3"/>
  <c r="S30" i="3"/>
  <c r="P31" i="3"/>
  <c r="Q31" i="3"/>
  <c r="R31" i="3"/>
  <c r="S31" i="3"/>
  <c r="T31" i="3"/>
  <c r="P32" i="3"/>
  <c r="Q32" i="3"/>
  <c r="R32" i="3"/>
  <c r="S32" i="3"/>
  <c r="T32" i="3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I1" i="6" l="1" a="1"/>
  <c r="AI1" i="6" s="1"/>
  <c r="A6" i="6"/>
  <c r="A5" i="6"/>
  <c r="A4" i="6"/>
  <c r="A3" i="6"/>
  <c r="A2" i="6"/>
  <c r="S8" i="3"/>
  <c r="Q8" i="3"/>
  <c r="R8" i="3"/>
  <c r="A8" i="3"/>
  <c r="S7" i="3"/>
  <c r="Q7" i="3"/>
  <c r="R7" i="3"/>
  <c r="A7" i="3"/>
  <c r="S6" i="3"/>
  <c r="Q6" i="3"/>
  <c r="R6" i="3"/>
  <c r="A6" i="3"/>
  <c r="S5" i="3"/>
  <c r="Q5" i="3"/>
  <c r="R5" i="3"/>
  <c r="A5" i="3"/>
  <c r="S4" i="3"/>
  <c r="Q4" i="3"/>
  <c r="R4" i="3"/>
  <c r="A4" i="3"/>
  <c r="S3" i="3"/>
  <c r="Q3" i="3"/>
  <c r="R3" i="3"/>
  <c r="A3" i="3"/>
  <c r="S2" i="3"/>
  <c r="Q2" i="3"/>
  <c r="R2" i="3"/>
  <c r="A2" i="3"/>
  <c r="P7" i="3" l="1"/>
  <c r="T7" i="3" s="1"/>
  <c r="P6" i="3"/>
  <c r="T6" i="3" s="1"/>
  <c r="P2" i="3"/>
  <c r="T2" i="3" s="1"/>
  <c r="P4" i="3"/>
  <c r="T4" i="3" s="1"/>
  <c r="P8" i="3"/>
  <c r="T8" i="3" s="1"/>
  <c r="P3" i="3"/>
  <c r="T3" i="3" s="1"/>
  <c r="P5" i="3"/>
  <c r="T5" i="3" s="1"/>
  <c r="U1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<sst xmlns="http://schemas.openxmlformats.org/spreadsheetml/2006/main" count="1093" uniqueCount="188">
  <si>
    <t>Style/Color</t>
  </si>
  <si>
    <t>Size</t>
  </si>
  <si>
    <t>Count</t>
  </si>
  <si>
    <t>Color</t>
  </si>
  <si>
    <t>Style</t>
  </si>
  <si>
    <t>Цена</t>
  </si>
  <si>
    <t>O/S</t>
  </si>
  <si>
    <t>OTC</t>
  </si>
  <si>
    <t>BLK</t>
  </si>
  <si>
    <t>Код команды</t>
  </si>
  <si>
    <t>Название</t>
  </si>
  <si>
    <t>Лига</t>
  </si>
  <si>
    <t>Команды</t>
  </si>
  <si>
    <t>Лиги</t>
  </si>
  <si>
    <t>Размер их</t>
  </si>
  <si>
    <t>Наш</t>
  </si>
  <si>
    <t>NEYYAN</t>
  </si>
  <si>
    <t>New York Yankees</t>
  </si>
  <si>
    <t>MLB</t>
  </si>
  <si>
    <t>Los Angeles Dodgers</t>
  </si>
  <si>
    <t>L/XL</t>
  </si>
  <si>
    <t>LOSDOD</t>
  </si>
  <si>
    <t>o/s</t>
  </si>
  <si>
    <t>CHIBUL</t>
  </si>
  <si>
    <t>Chicago Bulls</t>
  </si>
  <si>
    <t>NBA</t>
  </si>
  <si>
    <t>M/L</t>
  </si>
  <si>
    <t>LOSLAK</t>
  </si>
  <si>
    <t>Los Angeles Lakers</t>
  </si>
  <si>
    <t>S/M</t>
  </si>
  <si>
    <t>OAKATH</t>
  </si>
  <si>
    <t>Oakland Athletics</t>
  </si>
  <si>
    <t>Boston Red Sox</t>
  </si>
  <si>
    <t>7 1/2</t>
  </si>
  <si>
    <t>BOSRED</t>
  </si>
  <si>
    <t>Las Vegas Raiders</t>
  </si>
  <si>
    <t>NFL</t>
  </si>
  <si>
    <t>L</t>
  </si>
  <si>
    <t>LOSCLI</t>
  </si>
  <si>
    <t>Los Angeles Clippers</t>
  </si>
  <si>
    <t>M</t>
  </si>
  <si>
    <t>OTCBROOKLYN</t>
  </si>
  <si>
    <t>Brooklyn Nets</t>
  </si>
  <si>
    <t>S</t>
  </si>
  <si>
    <t>MIAHEA</t>
  </si>
  <si>
    <t>Miami Heat</t>
  </si>
  <si>
    <t>LASRAI</t>
  </si>
  <si>
    <t>CHELFC</t>
  </si>
  <si>
    <t>Chelsea</t>
  </si>
  <si>
    <t>EPL</t>
  </si>
  <si>
    <t>MANUTD</t>
  </si>
  <si>
    <t>Manchester United</t>
  </si>
  <si>
    <t>NEYGIA</t>
  </si>
  <si>
    <t>New York Giants</t>
  </si>
  <si>
    <t>TOTHAT</t>
  </si>
  <si>
    <t>Tottenham Hotspur</t>
  </si>
  <si>
    <t>CRYPAL</t>
  </si>
  <si>
    <t>Crystal Palace</t>
  </si>
  <si>
    <t>ATHMAD</t>
  </si>
  <si>
    <t>Atletico Madrid</t>
  </si>
  <si>
    <t>LaLiga</t>
  </si>
  <si>
    <t>FAI</t>
  </si>
  <si>
    <t>FA Ireland</t>
  </si>
  <si>
    <t>UEFA</t>
  </si>
  <si>
    <t>ATLBRA</t>
  </si>
  <si>
    <t>Atlanta Braves</t>
  </si>
  <si>
    <t>CHIWHI</t>
  </si>
  <si>
    <t>Chicago White Socks</t>
  </si>
  <si>
    <t>PITPIR</t>
  </si>
  <si>
    <t>Pittsburgh Pirates</t>
  </si>
  <si>
    <t>Средняя цена</t>
  </si>
  <si>
    <t>Name</t>
  </si>
  <si>
    <t>Рос</t>
  </si>
  <si>
    <t>Наш размер</t>
  </si>
  <si>
    <t>Страна по ГТД</t>
  </si>
  <si>
    <t>Кол-во</t>
  </si>
  <si>
    <t>ГТД</t>
  </si>
  <si>
    <t>Состав</t>
  </si>
  <si>
    <t>Описание</t>
  </si>
  <si>
    <t>Пол</t>
  </si>
  <si>
    <t>Команда</t>
  </si>
  <si>
    <t>Сумма</t>
  </si>
  <si>
    <t>Сумма по средней</t>
  </si>
  <si>
    <t>Б/р</t>
  </si>
  <si>
    <t>БАНГЛАДЕШ</t>
  </si>
  <si>
    <t>10013160/090622/3291500/1</t>
  </si>
  <si>
    <t>100% Полиэстер</t>
  </si>
  <si>
    <t>унисекс</t>
  </si>
  <si>
    <t>КИТАЙ</t>
  </si>
  <si>
    <t>женский</t>
  </si>
  <si>
    <t>100% хлопок</t>
  </si>
  <si>
    <t>Группа</t>
  </si>
  <si>
    <t>СУММА</t>
  </si>
  <si>
    <t>Формула</t>
  </si>
  <si>
    <t>WHIBLA</t>
  </si>
  <si>
    <t>CAMBLK</t>
  </si>
  <si>
    <t>NOV</t>
  </si>
  <si>
    <t>MRN</t>
  </si>
  <si>
    <t>GRHGRH</t>
  </si>
  <si>
    <t>BLKBLK</t>
  </si>
  <si>
    <t>GRA</t>
  </si>
  <si>
    <t>GRHWHI</t>
  </si>
  <si>
    <t>NVY</t>
  </si>
  <si>
    <t>PLM</t>
  </si>
  <si>
    <t>SCA</t>
  </si>
  <si>
    <t>WHI</t>
  </si>
  <si>
    <t>LRYWHI</t>
  </si>
  <si>
    <t>NVYWHI</t>
  </si>
  <si>
    <t>SCAWHI</t>
  </si>
  <si>
    <t>10145637-BLKBLK M/L  Бейсболка 39THIRTY LEAGUE BASIC NEYYAN BLACK/BLACK черный р. M/L</t>
  </si>
  <si>
    <t>10145640-NVYWHI S/M  Бейсболка 39THIRTY LEAGUE BASIC LOSDOD NAVY/WHITE синий р. S/M</t>
  </si>
  <si>
    <t>10298276-SCAWHI M/L  Бейсболка 39THIRTY LEAGUE BASIC NEYYAN SCARLET/WHT красный р. M/L</t>
  </si>
  <si>
    <t>MANU</t>
  </si>
  <si>
    <t>BRONET</t>
  </si>
  <si>
    <t>10298276-SCAWHI S/M  Бейсболка 39THIRTY LEAGUE BASIC NEYYAN SCARLET/WHT красный р. S/M</t>
  </si>
  <si>
    <t>10745455-WHIBLA o/s  Бейсболка 940 LEAG BASIC NEYYAN WHITE/BLACK UK белый р. o/s</t>
  </si>
  <si>
    <t>11209938-WHI o/s  Бейсболка MLB FLAWLESS LOGO BASIC 940 NEYYAN WHI белый р. o/s</t>
  </si>
  <si>
    <t>11213219-SCA o/s  Бейсболка TS MU25 BASIC 9FORTY MANU SCA красный р. o/s</t>
  </si>
  <si>
    <t>11213222-BLK o/s  Бейсболка TS MU25 BASIC 9FORTY MANU BLK чёрный р. o/s</t>
  </si>
  <si>
    <t>11357008-CAMBLK o/s  Бейсболка LEAGUE ESSENTIAL 9FORTY NEYYAN WDC камуфляж р. o/s</t>
  </si>
  <si>
    <t>11405492-LRYWHI o/s  Бейсболка LEAGUE ESSENTIAL 9FORTY LOSDOD LRYWHI синий р. o/s</t>
  </si>
  <si>
    <t>11405605-OTC o/s  Бейсболка THE LEAGUE LOSLAK OTC фиолетовый р. o/s</t>
  </si>
  <si>
    <t>11405614-OTC o/s  Бейсболка THE LEAGUE CHIBUL OTC чёрный р. o/s</t>
  </si>
  <si>
    <t>11405616-OTC o/s  Бейсболка THE LEAGUE BRONET OTC чёрный р. o/s</t>
  </si>
  <si>
    <t>12380822-OTC o/s  Бейсболка SHADOW TECH 940 CHIBUL OTC черный р. o/s</t>
  </si>
  <si>
    <t>12381106-GRA o/s  Бейсболка JERSEY ESSENTIAL TRUCKER NEYYAN GRA серый р. o/s</t>
  </si>
  <si>
    <t>12523887-NOV o/s  Бейсболка LEAGUE ESSENTIAL 940 SNAP NEYYAN NOVNOV  оливковый р.o/s</t>
  </si>
  <si>
    <t>12523888-MRN o/s  Бейсболка LEAGUE ESSENTIAL 940 SNAP NEYYAN MRNMRN бордовый р. o/s</t>
  </si>
  <si>
    <t>12523889-BLK o/s  Бейсболка LEAGUE ESSENTIAL 940 SNAP NEYYAN BLKBLK черный р. o/s</t>
  </si>
  <si>
    <t>12523898-GRHWHI o/s  Бейсболка JERSEY 940 AF TRUCKER NEYYAN GRHWHI серый р. o/s</t>
  </si>
  <si>
    <t>12523906-GRHGRH o/s  Бейсболка DIAMOND ERA 9FORTY NEYYAN GRHGRH серый р. o/s</t>
  </si>
  <si>
    <t>12523911-BLKBLK o/s  Бейсболка BOB TEAM LOGO 940 AF TRCKR LOSLAK BLKBLK черный р. o/s</t>
  </si>
  <si>
    <t>60143388-. o/s  Бейсболка DEVIL LINE PRINT 940 TRUCKER MANUTD BLK черный р. o/s</t>
  </si>
  <si>
    <t>60222367-NVY 7 1/2  Бейсболка DIAMOND ERA 59FIFTY NEYYAN  NVY синий р. 7 1/2</t>
  </si>
  <si>
    <t>60222367-NVY 7 1/4  Бейсболка DIAMOND ERA 59FIFTY NEYYAN  NVY синий р. 7 1/4</t>
  </si>
  <si>
    <t>60222367-NVY 7 3/4  Бейсболка DIAMOND ERA 59FIFTY NEYYAN  NVY синий р. 7 3/4</t>
  </si>
  <si>
    <t>60222472-BLK o/s  Бейсболка NEW ERA CAMP PATCH 9FORTY NEWERA  BLK черный р. o/s</t>
  </si>
  <si>
    <t>60222512-NOV o/s  Бейсболка NEW ERA CAMP PATCH 9FORTY NEWERA  NOV зеленый р. o/s</t>
  </si>
  <si>
    <t>60222545-NVY o/s  Бейсболка DIAMOND ERA TRUCKER NEYYAN  NVY синий р. o/s</t>
  </si>
  <si>
    <t>80468932-BLK o/s  Бейсболка MLB LEAGUE ESS 940 NEYYAN BLKBLK чёрный р. o/s</t>
  </si>
  <si>
    <t>80489299-PLM o/s  Бейсболка LEAGUE ESSENTIAL WMN NEYYAN PLM розовый р. o/s</t>
  </si>
  <si>
    <t>80636010-NOV o/s  Бейсболка LEAG ESNL 940 NEYYAN NOVWHI зелёный р. o/s</t>
  </si>
  <si>
    <t>57-60</t>
  </si>
  <si>
    <t>54-57</t>
  </si>
  <si>
    <t>7 1/4</t>
  </si>
  <si>
    <t>7 3/4</t>
  </si>
  <si>
    <t>10013160/160622/3303738/1</t>
  </si>
  <si>
    <t>10702070/300322/3112884/1</t>
  </si>
  <si>
    <t>10013160/190522/3256520/1</t>
  </si>
  <si>
    <t>10013160/021221/3005264/1</t>
  </si>
  <si>
    <t>10216170/200622/3103843/1</t>
  </si>
  <si>
    <t>10013160/270622/3321765/1</t>
  </si>
  <si>
    <t>10216170/210222/3051157/1</t>
  </si>
  <si>
    <t>NEWERA</t>
  </si>
  <si>
    <t>100% Хлопок</t>
  </si>
  <si>
    <t>53% Хлопок - 47% Полиэстер</t>
  </si>
  <si>
    <t>65% полиэстер - 35%хлопок</t>
  </si>
  <si>
    <t>97% Хлопок - 3% Эластан</t>
  </si>
  <si>
    <t>10145637BLKBLK</t>
  </si>
  <si>
    <t>10145640NVYWHI</t>
  </si>
  <si>
    <t>10298276SCAWHI</t>
  </si>
  <si>
    <t>10745455WHIBLA</t>
  </si>
  <si>
    <t>11209938WHI</t>
  </si>
  <si>
    <t>11213219SCA</t>
  </si>
  <si>
    <t>11213222BLK</t>
  </si>
  <si>
    <t>11357008CAMBLK</t>
  </si>
  <si>
    <t>11405492LRYWHI</t>
  </si>
  <si>
    <t>11405605OTC</t>
  </si>
  <si>
    <t>11405614OTC</t>
  </si>
  <si>
    <t>11405616OTC</t>
  </si>
  <si>
    <t>12380822OTC</t>
  </si>
  <si>
    <t>12381106GRA</t>
  </si>
  <si>
    <t>12523887NOV</t>
  </si>
  <si>
    <t>12523888MRN</t>
  </si>
  <si>
    <t>12523889BLK</t>
  </si>
  <si>
    <t>12523898GRHWHI</t>
  </si>
  <si>
    <t>12523906GRHGRH</t>
  </si>
  <si>
    <t>12523911BLKBLK</t>
  </si>
  <si>
    <t>60143388BLK</t>
  </si>
  <si>
    <t>60222367NVY</t>
  </si>
  <si>
    <t>60222472BLK</t>
  </si>
  <si>
    <t>60222512NOV</t>
  </si>
  <si>
    <t>60222545NVY</t>
  </si>
  <si>
    <t>80468932BLK</t>
  </si>
  <si>
    <t>80489299PLM</t>
  </si>
  <si>
    <t>80636010NOV</t>
  </si>
  <si>
    <t>BD</t>
  </si>
  <si>
    <t>CN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</si>
</sst>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1" xfId="0" applyFont="1" applyBorder="1"/>
    <xf numFmtId="0" fontId="0" fillId="0" borderId="1" xfId="0" applyBorder="1"/>
    <xf numFmtId="0" fontId="2" fillId="0" borderId="1" xfId="0" applyFont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/>
    <xf numFmtId="0" fontId="0" fillId="0" borderId="7" xfId="0" applyBorder="1"/>
    <xf numFmtId="0" fontId="0" fillId="0" borderId="6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0" borderId="0" xfId="0" applyFont="1" applyBorder="1"/>
    <xf numFmtId="0" fontId="1" fillId="2" borderId="3" xfId="0" applyFont="1" applyFill="1" applyBorder="1" applyAlignment="1">
      <alignment horizontal="center" vertical="center"/>
    </xf>
    <xf numFmtId="0" fontId="1" fillId="3" borderId="4" xfId="0" applyNumberFormat="1" applyFont="1" applyFill="1" applyBorder="1" applyAlignment="1">
      <alignment horizontal="center" vertical="center"/>
    </xf>
    <xf numFmtId="1" fontId="1" fillId="3" borderId="5" xfId="0" applyNumberFormat="1" applyFont="1" applyFill="1" applyBorder="1" applyAlignment="1">
      <alignment horizontal="center" vertical="center"/>
    </xf>
    <xf numFmtId="0" fontId="1" fillId="5" borderId="2" xfId="0" applyFont="1" applyFill="1" applyBorder="1"/>
    <xf numFmtId="0" fontId="0" fillId="0" borderId="0" xfId="0" applyAlignment="1">
      <alignment horizontal="left" vertical="center" wrapText="1"/>
    </xf>
    <xf numFmtId="12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333375</xdr:colOff>
          <xdr:row>1</xdr:row>
          <xdr:rowOff>57150</xdr:rowOff>
        </xdr:from>
        <xdr:to>
          <xdr:col>34</xdr:col>
          <xdr:colOff>114300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5896E-AED8-46D7-99E5-2E8D359DA3D0}">
  <sheetPr codeName="Лист1">
    <tabColor theme="0" tint="-4.9989318521683403E-2"/>
  </sheetPr>
  <dimension ref="A1:I23"/>
  <sheetViews>
    <sheetView showGridLines="0" workbookViewId="0">
      <selection activeCell="E20" sqref="E20"/>
    </sheetView>
  </sheetViews>
  <sheetFormatPr defaultRowHeight="15" x14ac:dyDescent="0.25"/>
  <cols>
    <col min="1" max="1" width="13.28515625" bestFit="1" customWidth="1"/>
    <col min="2" max="2" width="19.42578125" bestFit="1" customWidth="1"/>
    <col min="5" max="5" width="19.42578125" bestFit="1" customWidth="1"/>
    <col min="8" max="8" width="10.28515625" bestFit="1" customWidth="1"/>
    <col min="9" max="9" width="4.85546875" bestFit="1" customWidth="1"/>
  </cols>
  <sheetData>
    <row r="1" spans="1:9" s="1" customFormat="1" x14ac:dyDescent="0.25">
      <c r="A1" s="4" t="s">
        <v>9</v>
      </c>
      <c r="B1" s="4" t="s">
        <v>10</v>
      </c>
      <c r="C1" s="4" t="s">
        <v>11</v>
      </c>
      <c r="E1" s="4" t="s">
        <v>12</v>
      </c>
      <c r="F1" s="4" t="s">
        <v>13</v>
      </c>
      <c r="H1" s="4" t="s">
        <v>14</v>
      </c>
      <c r="I1" s="4" t="s">
        <v>15</v>
      </c>
    </row>
    <row r="2" spans="1:9" x14ac:dyDescent="0.25">
      <c r="A2" s="5" t="s">
        <v>16</v>
      </c>
      <c r="B2" s="5" t="s">
        <v>17</v>
      </c>
      <c r="C2" s="5" t="s">
        <v>18</v>
      </c>
      <c r="E2" s="5" t="s">
        <v>19</v>
      </c>
      <c r="F2" s="5" t="s">
        <v>18</v>
      </c>
      <c r="H2" s="5" t="s">
        <v>20</v>
      </c>
      <c r="I2" s="5">
        <v>60</v>
      </c>
    </row>
    <row r="3" spans="1:9" x14ac:dyDescent="0.25">
      <c r="A3" s="5" t="s">
        <v>21</v>
      </c>
      <c r="B3" s="5" t="s">
        <v>19</v>
      </c>
      <c r="C3" s="5" t="s">
        <v>18</v>
      </c>
      <c r="E3" s="5" t="s">
        <v>17</v>
      </c>
      <c r="F3" s="5" t="s">
        <v>18</v>
      </c>
      <c r="H3" s="5" t="s">
        <v>22</v>
      </c>
      <c r="I3" s="5" t="s">
        <v>6</v>
      </c>
    </row>
    <row r="4" spans="1:9" x14ac:dyDescent="0.25">
      <c r="A4" s="5" t="s">
        <v>23</v>
      </c>
      <c r="B4" s="5" t="s">
        <v>24</v>
      </c>
      <c r="C4" s="5" t="s">
        <v>25</v>
      </c>
      <c r="E4" s="5" t="s">
        <v>24</v>
      </c>
      <c r="F4" s="5" t="s">
        <v>25</v>
      </c>
      <c r="H4" s="5" t="s">
        <v>26</v>
      </c>
      <c r="I4" s="5">
        <v>58</v>
      </c>
    </row>
    <row r="5" spans="1:9" x14ac:dyDescent="0.25">
      <c r="A5" s="5" t="s">
        <v>27</v>
      </c>
      <c r="B5" s="5" t="s">
        <v>28</v>
      </c>
      <c r="C5" s="5" t="s">
        <v>25</v>
      </c>
      <c r="E5" s="5" t="s">
        <v>28</v>
      </c>
      <c r="F5" s="5" t="s">
        <v>25</v>
      </c>
      <c r="H5" s="5" t="s">
        <v>29</v>
      </c>
      <c r="I5" s="5">
        <v>56</v>
      </c>
    </row>
    <row r="6" spans="1:9" x14ac:dyDescent="0.25">
      <c r="A6" s="5" t="s">
        <v>30</v>
      </c>
      <c r="B6" s="5" t="s">
        <v>31</v>
      </c>
      <c r="C6" s="5" t="s">
        <v>18</v>
      </c>
      <c r="E6" s="5" t="s">
        <v>32</v>
      </c>
      <c r="F6" s="5" t="s">
        <v>18</v>
      </c>
      <c r="H6" s="5" t="s">
        <v>33</v>
      </c>
      <c r="I6" s="5">
        <v>60</v>
      </c>
    </row>
    <row r="7" spans="1:9" x14ac:dyDescent="0.25">
      <c r="A7" s="5" t="s">
        <v>34</v>
      </c>
      <c r="B7" s="5" t="s">
        <v>32</v>
      </c>
      <c r="C7" s="5" t="s">
        <v>18</v>
      </c>
      <c r="E7" s="5" t="s">
        <v>35</v>
      </c>
      <c r="F7" s="5" t="s">
        <v>36</v>
      </c>
      <c r="H7" s="5" t="s">
        <v>37</v>
      </c>
      <c r="I7" s="5">
        <v>59</v>
      </c>
    </row>
    <row r="8" spans="1:9" x14ac:dyDescent="0.25">
      <c r="A8" s="5" t="s">
        <v>38</v>
      </c>
      <c r="B8" s="5" t="s">
        <v>39</v>
      </c>
      <c r="C8" s="5" t="s">
        <v>25</v>
      </c>
      <c r="H8" s="5" t="s">
        <v>40</v>
      </c>
      <c r="I8" s="5">
        <v>57</v>
      </c>
    </row>
    <row r="9" spans="1:9" x14ac:dyDescent="0.25">
      <c r="A9" s="5" t="s">
        <v>41</v>
      </c>
      <c r="B9" s="5" t="s">
        <v>42</v>
      </c>
      <c r="C9" s="5" t="s">
        <v>25</v>
      </c>
      <c r="H9" s="5" t="s">
        <v>43</v>
      </c>
      <c r="I9" s="5">
        <v>55</v>
      </c>
    </row>
    <row r="10" spans="1:9" x14ac:dyDescent="0.25">
      <c r="A10" s="5" t="s">
        <v>44</v>
      </c>
      <c r="B10" s="5" t="s">
        <v>45</v>
      </c>
      <c r="C10" s="5" t="s">
        <v>25</v>
      </c>
    </row>
    <row r="11" spans="1:9" x14ac:dyDescent="0.25">
      <c r="A11" s="5" t="s">
        <v>46</v>
      </c>
      <c r="B11" s="5" t="s">
        <v>35</v>
      </c>
      <c r="C11" s="5" t="s">
        <v>36</v>
      </c>
    </row>
    <row r="12" spans="1:9" x14ac:dyDescent="0.25">
      <c r="A12" s="5" t="s">
        <v>47</v>
      </c>
      <c r="B12" s="5" t="s">
        <v>48</v>
      </c>
      <c r="C12" s="5" t="s">
        <v>49</v>
      </c>
    </row>
    <row r="13" spans="1:9" x14ac:dyDescent="0.25">
      <c r="A13" s="5" t="s">
        <v>50</v>
      </c>
      <c r="B13" s="5" t="s">
        <v>51</v>
      </c>
      <c r="C13" s="5" t="s">
        <v>49</v>
      </c>
    </row>
    <row r="14" spans="1:9" x14ac:dyDescent="0.25">
      <c r="A14" s="5" t="s">
        <v>52</v>
      </c>
      <c r="B14" s="5" t="s">
        <v>53</v>
      </c>
      <c r="C14" s="5" t="s">
        <v>36</v>
      </c>
    </row>
    <row r="15" spans="1:9" x14ac:dyDescent="0.25">
      <c r="A15" s="5" t="s">
        <v>54</v>
      </c>
      <c r="B15" s="5" t="s">
        <v>55</v>
      </c>
      <c r="C15" s="5" t="s">
        <v>49</v>
      </c>
    </row>
    <row r="16" spans="1:9" x14ac:dyDescent="0.25">
      <c r="A16" s="5" t="s">
        <v>56</v>
      </c>
      <c r="B16" s="5" t="s">
        <v>57</v>
      </c>
      <c r="C16" s="5" t="s">
        <v>49</v>
      </c>
    </row>
    <row r="17" spans="1:3" x14ac:dyDescent="0.25">
      <c r="A17" s="5" t="s">
        <v>58</v>
      </c>
      <c r="B17" s="5" t="s">
        <v>59</v>
      </c>
      <c r="C17" s="6" t="s">
        <v>60</v>
      </c>
    </row>
    <row r="18" spans="1:3" x14ac:dyDescent="0.25">
      <c r="A18" s="5" t="s">
        <v>61</v>
      </c>
      <c r="B18" s="5" t="s">
        <v>62</v>
      </c>
      <c r="C18" s="6" t="s">
        <v>63</v>
      </c>
    </row>
    <row r="19" spans="1:3" x14ac:dyDescent="0.25">
      <c r="A19" s="5" t="s">
        <v>64</v>
      </c>
      <c r="B19" s="5" t="s">
        <v>65</v>
      </c>
      <c r="C19" s="5" t="s">
        <v>18</v>
      </c>
    </row>
    <row r="20" spans="1:3" x14ac:dyDescent="0.25">
      <c r="A20" s="5" t="s">
        <v>66</v>
      </c>
      <c r="B20" s="5" t="s">
        <v>67</v>
      </c>
      <c r="C20" s="5" t="s">
        <v>18</v>
      </c>
    </row>
    <row r="21" spans="1:3" x14ac:dyDescent="0.25">
      <c r="A21" s="5" t="s">
        <v>68</v>
      </c>
      <c r="B21" s="5" t="s">
        <v>69</v>
      </c>
      <c r="C21" s="5" t="s">
        <v>18</v>
      </c>
    </row>
    <row r="22" spans="1:3" x14ac:dyDescent="0.25">
      <c r="A22" s="5" t="s">
        <v>112</v>
      </c>
      <c r="B22" s="5" t="s">
        <v>51</v>
      </c>
      <c r="C22" s="5" t="s">
        <v>49</v>
      </c>
    </row>
    <row r="23" spans="1:3" x14ac:dyDescent="0.25">
      <c r="A23" s="5" t="s">
        <v>113</v>
      </c>
      <c r="B23" s="5" t="s">
        <v>42</v>
      </c>
      <c r="C23" s="5" t="s">
        <v>25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58FB4-F2AB-4AE6-B62B-F50433A3610B}">
  <sheetPr codeName="Лист3">
    <tabColor rgb="FFFFFF00"/>
  </sheetPr>
  <dimension ref="A1:U32"/>
  <sheetViews>
    <sheetView topLeftCell="E1" workbookViewId="0">
      <selection activeCell="E1" sqref="E1:F32"/>
    </sheetView>
  </sheetViews>
  <sheetFormatPr defaultRowHeight="15" x14ac:dyDescent="0.25"/>
  <cols>
    <col min="1" max="1" width="17" style="3" bestFit="1" customWidth="1"/>
    <col min="2" max="2" width="9" style="3" bestFit="1" customWidth="1"/>
    <col min="3" max="3" width="8.85546875" style="3" bestFit="1" customWidth="1"/>
    <col min="4" max="4" width="91.5703125" style="3" bestFit="1" customWidth="1"/>
    <col min="5" max="5" width="6.85546875" style="3" bestFit="1" customWidth="1"/>
    <col min="6" max="6" width="6.42578125" style="3" bestFit="1" customWidth="1"/>
    <col min="7" max="7" width="14.42578125" style="3" bestFit="1" customWidth="1"/>
    <col min="8" max="8" width="16.140625" style="3" bestFit="1" customWidth="1"/>
    <col min="9" max="9" width="9.5703125" style="3" customWidth="1"/>
    <col min="10" max="10" width="26.140625" style="3" bestFit="1" customWidth="1"/>
    <col min="11" max="11" width="27" style="3" bestFit="1" customWidth="1"/>
    <col min="12" max="12" width="15.7109375" style="3" customWidth="1"/>
    <col min="13" max="13" width="8.85546875" style="3" bestFit="1" customWidth="1"/>
    <col min="14" max="14" width="8" style="3" bestFit="1" customWidth="1"/>
    <col min="15" max="15" width="13.85546875" style="3" bestFit="1" customWidth="1"/>
    <col min="16" max="16" width="16.140625" style="3" bestFit="1" customWidth="1"/>
    <col min="17" max="17" width="5.5703125" style="3" bestFit="1" customWidth="1"/>
    <col min="18" max="18" width="19.42578125" style="3" bestFit="1" customWidth="1"/>
    <col min="19" max="19" width="9" style="3" bestFit="1" customWidth="1"/>
    <col min="20" max="20" width="18.5703125" style="3" bestFit="1" customWidth="1"/>
    <col min="21" max="21" width="25.28515625" style="3" bestFit="1" customWidth="1"/>
  </cols>
  <sheetData>
    <row r="1" spans="1:21" s="1" customFormat="1" x14ac:dyDescent="0.25">
      <c r="A1" s="13" t="s">
        <v>0</v>
      </c>
      <c r="B1" s="12" t="s">
        <v>4</v>
      </c>
      <c r="C1" s="12" t="s">
        <v>3</v>
      </c>
      <c r="D1" s="25" t="s">
        <v>71</v>
      </c>
      <c r="E1" s="25" t="s">
        <v>1</v>
      </c>
      <c r="F1" s="25" t="s">
        <v>72</v>
      </c>
      <c r="G1" s="25" t="s">
        <v>73</v>
      </c>
      <c r="H1" s="25" t="s">
        <v>74</v>
      </c>
      <c r="I1" s="25" t="s">
        <v>75</v>
      </c>
      <c r="J1" s="25" t="s">
        <v>76</v>
      </c>
      <c r="K1" s="25" t="s">
        <v>77</v>
      </c>
      <c r="L1" s="25" t="s">
        <v>78</v>
      </c>
      <c r="M1" s="25" t="s">
        <v>79</v>
      </c>
      <c r="N1" s="25" t="s">
        <v>5</v>
      </c>
      <c r="O1" s="25" t="s">
        <v>9</v>
      </c>
      <c r="P1" s="13" t="s">
        <v>70</v>
      </c>
      <c r="Q1" s="13" t="s">
        <v>11</v>
      </c>
      <c r="R1" s="13" t="s">
        <v>80</v>
      </c>
      <c r="S1" s="13" t="s">
        <v>81</v>
      </c>
      <c r="T1" s="13" t="s">
        <v>82</v>
      </c>
      <c r="U1" s="2" t="e">
        <f>CONCATENATE("Суммы сходятся: ",SUM(S:S)=SUM(T:T))</f>
        <v>#DIV/0!</v>
      </c>
    </row>
    <row r="2" spans="1:21" x14ac:dyDescent="0.25">
      <c r="A2" s="3" t="str">
        <f t="shared" ref="A2:A8" si="0">B2&amp;C2</f>
        <v>10145637BLKBLK</v>
      </c>
      <c r="B2" s="3">
        <v>10145637</v>
      </c>
      <c r="C2" s="3" t="s">
        <v>99</v>
      </c>
      <c r="D2" s="3" t="s">
        <v>109</v>
      </c>
      <c r="E2" s="3" t="s">
        <v>26</v>
      </c>
      <c r="F2" s="3" t="s">
        <v>142</v>
      </c>
      <c r="G2" s="3">
        <v>58</v>
      </c>
      <c r="H2" s="3" t="s">
        <v>84</v>
      </c>
      <c r="I2" s="3">
        <v>5</v>
      </c>
      <c r="J2" s="3" t="s">
        <v>85</v>
      </c>
      <c r="K2" s="3" t="s">
        <v>157</v>
      </c>
      <c r="M2" s="3" t="s">
        <v>87</v>
      </c>
      <c r="N2" s="3">
        <v>1489.65</v>
      </c>
      <c r="O2" s="3" t="s">
        <v>16</v>
      </c>
      <c r="P2" s="3">
        <f t="shared" ref="P2:P8" si="1">SUMIF(A:A,A2,S:S)/SUMIF(A:A,A2,I:I)</f>
        <v>1489.65</v>
      </c>
      <c r="Q2" s="3" t="str">
        <f>VLOOKUP(O2,Справочник!A:C,3,0)</f>
        <v>MLB</v>
      </c>
      <c r="R2" s="3" t="str">
        <f>VLOOKUP(O2,Справочник!A:B,2,0)</f>
        <v>New York Yankees</v>
      </c>
      <c r="S2" s="3">
        <f>N2*I2</f>
        <v>7448.25</v>
      </c>
      <c r="T2" s="3">
        <f t="shared" ref="T2:T8" si="2">P2*I2</f>
        <v>7448.25</v>
      </c>
    </row>
    <row r="3" spans="1:21" x14ac:dyDescent="0.25">
      <c r="A3" s="3" t="str">
        <f t="shared" si="0"/>
        <v>10145640NVYWHI</v>
      </c>
      <c r="B3" s="3">
        <v>10145640</v>
      </c>
      <c r="C3" s="3" t="s">
        <v>107</v>
      </c>
      <c r="D3" s="3" t="s">
        <v>110</v>
      </c>
      <c r="E3" s="3" t="s">
        <v>29</v>
      </c>
      <c r="F3" s="3" t="s">
        <v>143</v>
      </c>
      <c r="G3" s="3">
        <v>56</v>
      </c>
      <c r="H3" s="3" t="s">
        <v>84</v>
      </c>
      <c r="I3" s="3">
        <v>3</v>
      </c>
      <c r="J3" s="3" t="s">
        <v>85</v>
      </c>
      <c r="K3" s="3" t="s">
        <v>157</v>
      </c>
      <c r="M3" s="3" t="s">
        <v>87</v>
      </c>
      <c r="N3" s="3">
        <v>1489.65</v>
      </c>
      <c r="O3" s="3" t="s">
        <v>21</v>
      </c>
      <c r="P3" s="3">
        <f t="shared" si="1"/>
        <v>1489.6500000000003</v>
      </c>
      <c r="Q3" s="3" t="str">
        <f>VLOOKUP(O3,Справочник!A:C,3,0)</f>
        <v>MLB</v>
      </c>
      <c r="R3" s="3" t="str">
        <f>VLOOKUP(O3,Справочник!A:B,2,0)</f>
        <v>Los Angeles Dodgers</v>
      </c>
      <c r="S3" s="3">
        <f t="shared" ref="S3:S8" si="3">N3*I3</f>
        <v>4468.9500000000007</v>
      </c>
      <c r="T3" s="3">
        <f t="shared" si="2"/>
        <v>4468.9500000000007</v>
      </c>
    </row>
    <row r="4" spans="1:21" x14ac:dyDescent="0.25">
      <c r="A4" s="3" t="str">
        <f t="shared" si="0"/>
        <v>10298276SCAWHI</v>
      </c>
      <c r="B4" s="3">
        <v>10298276</v>
      </c>
      <c r="C4" s="3" t="s">
        <v>108</v>
      </c>
      <c r="D4" s="3" t="s">
        <v>111</v>
      </c>
      <c r="E4" s="3" t="s">
        <v>26</v>
      </c>
      <c r="F4" s="3" t="s">
        <v>142</v>
      </c>
      <c r="G4" s="3">
        <v>58</v>
      </c>
      <c r="H4" s="3" t="s">
        <v>84</v>
      </c>
      <c r="I4" s="3">
        <v>8</v>
      </c>
      <c r="J4" s="3" t="s">
        <v>85</v>
      </c>
      <c r="K4" s="3" t="s">
        <v>157</v>
      </c>
      <c r="M4" s="3" t="s">
        <v>87</v>
      </c>
      <c r="N4" s="3">
        <v>1489.65</v>
      </c>
      <c r="O4" s="3" t="s">
        <v>16</v>
      </c>
      <c r="P4" s="3">
        <f t="shared" si="1"/>
        <v>1489.6500000000003</v>
      </c>
      <c r="Q4" s="3" t="str">
        <f>VLOOKUP(O4,Справочник!A:C,3,0)</f>
        <v>MLB</v>
      </c>
      <c r="R4" s="3" t="str">
        <f>VLOOKUP(O4,Справочник!A:B,2,0)</f>
        <v>New York Yankees</v>
      </c>
      <c r="S4" s="3">
        <f t="shared" si="3"/>
        <v>11917.2</v>
      </c>
      <c r="T4" s="3">
        <f t="shared" si="2"/>
        <v>11917.200000000003</v>
      </c>
    </row>
    <row r="5" spans="1:21" x14ac:dyDescent="0.25">
      <c r="A5" s="3" t="str">
        <f t="shared" si="0"/>
        <v>10298276SCAWHI</v>
      </c>
      <c r="B5" s="3">
        <v>10298276</v>
      </c>
      <c r="C5" s="3" t="s">
        <v>108</v>
      </c>
      <c r="D5" s="3" t="s">
        <v>114</v>
      </c>
      <c r="E5" s="3" t="s">
        <v>29</v>
      </c>
      <c r="F5" s="3" t="s">
        <v>143</v>
      </c>
      <c r="G5" s="3">
        <v>56</v>
      </c>
      <c r="H5" s="3" t="s">
        <v>84</v>
      </c>
      <c r="I5" s="3">
        <v>4</v>
      </c>
      <c r="J5" s="3" t="s">
        <v>85</v>
      </c>
      <c r="K5" s="3" t="s">
        <v>157</v>
      </c>
      <c r="M5" s="3" t="s">
        <v>87</v>
      </c>
      <c r="N5" s="3">
        <v>1489.65</v>
      </c>
      <c r="O5" s="3" t="s">
        <v>16</v>
      </c>
      <c r="P5" s="3">
        <f t="shared" si="1"/>
        <v>1489.6500000000003</v>
      </c>
      <c r="Q5" s="3" t="str">
        <f>VLOOKUP(O5,Справочник!A:C,3,0)</f>
        <v>MLB</v>
      </c>
      <c r="R5" s="3" t="str">
        <f>VLOOKUP(O5,Справочник!A:B,2,0)</f>
        <v>New York Yankees</v>
      </c>
      <c r="S5" s="3">
        <f t="shared" si="3"/>
        <v>5958.6</v>
      </c>
      <c r="T5" s="3">
        <f t="shared" si="2"/>
        <v>5958.6000000000013</v>
      </c>
    </row>
    <row r="6" spans="1:21" x14ac:dyDescent="0.25">
      <c r="A6" s="3" t="str">
        <f t="shared" si="0"/>
        <v>10745455WHIBLA</v>
      </c>
      <c r="B6" s="3">
        <v>10745455</v>
      </c>
      <c r="C6" s="3" t="s">
        <v>94</v>
      </c>
      <c r="D6" s="3" t="s">
        <v>115</v>
      </c>
      <c r="E6" s="3" t="s">
        <v>22</v>
      </c>
      <c r="F6" s="3" t="s">
        <v>83</v>
      </c>
      <c r="G6" s="3" t="s">
        <v>22</v>
      </c>
      <c r="H6" s="3" t="s">
        <v>84</v>
      </c>
      <c r="I6" s="3">
        <v>5</v>
      </c>
      <c r="J6" s="3" t="s">
        <v>85</v>
      </c>
      <c r="K6" s="3" t="s">
        <v>154</v>
      </c>
      <c r="M6" s="3" t="s">
        <v>87</v>
      </c>
      <c r="N6" s="3">
        <v>1210.25</v>
      </c>
      <c r="O6" s="3" t="s">
        <v>16</v>
      </c>
      <c r="P6" s="3">
        <f t="shared" si="1"/>
        <v>1210.25</v>
      </c>
      <c r="Q6" s="3" t="str">
        <f>VLOOKUP(O6,Справочник!A:C,3,0)</f>
        <v>MLB</v>
      </c>
      <c r="R6" s="3" t="str">
        <f>VLOOKUP(O6,Справочник!A:B,2,0)</f>
        <v>New York Yankees</v>
      </c>
      <c r="S6" s="3">
        <f t="shared" si="3"/>
        <v>6051.25</v>
      </c>
      <c r="T6" s="3">
        <f t="shared" si="2"/>
        <v>6051.25</v>
      </c>
    </row>
    <row r="7" spans="1:21" x14ac:dyDescent="0.25">
      <c r="A7" s="3" t="str">
        <f t="shared" si="0"/>
        <v>11209938WHI</v>
      </c>
      <c r="B7" s="3">
        <v>11209938</v>
      </c>
      <c r="C7" s="3" t="s">
        <v>105</v>
      </c>
      <c r="D7" s="3" t="s">
        <v>116</v>
      </c>
      <c r="E7" s="3" t="s">
        <v>22</v>
      </c>
      <c r="F7" s="3" t="s">
        <v>83</v>
      </c>
      <c r="G7" s="3" t="s">
        <v>22</v>
      </c>
      <c r="H7" s="3" t="s">
        <v>88</v>
      </c>
      <c r="I7" s="3">
        <v>5</v>
      </c>
      <c r="J7" s="3" t="s">
        <v>146</v>
      </c>
      <c r="K7" s="3" t="s">
        <v>155</v>
      </c>
      <c r="M7" s="3" t="s">
        <v>87</v>
      </c>
      <c r="N7" s="3">
        <v>1070.56</v>
      </c>
      <c r="O7" s="3" t="s">
        <v>16</v>
      </c>
      <c r="P7" s="3">
        <f t="shared" si="1"/>
        <v>1070.56</v>
      </c>
      <c r="Q7" s="3" t="str">
        <f>VLOOKUP(O7,Справочник!A:C,3,0)</f>
        <v>MLB</v>
      </c>
      <c r="R7" s="3" t="str">
        <f>VLOOKUP(O7,Справочник!A:B,2,0)</f>
        <v>New York Yankees</v>
      </c>
      <c r="S7" s="3">
        <f t="shared" si="3"/>
        <v>5352.7999999999993</v>
      </c>
      <c r="T7" s="3">
        <f t="shared" si="2"/>
        <v>5352.7999999999993</v>
      </c>
    </row>
    <row r="8" spans="1:21" x14ac:dyDescent="0.25">
      <c r="A8" s="3" t="str">
        <f t="shared" si="0"/>
        <v>11213219SCA</v>
      </c>
      <c r="B8" s="3">
        <v>11213219</v>
      </c>
      <c r="C8" s="3" t="s">
        <v>104</v>
      </c>
      <c r="D8" s="3" t="s">
        <v>117</v>
      </c>
      <c r="E8" s="3" t="s">
        <v>22</v>
      </c>
      <c r="F8" s="3" t="s">
        <v>83</v>
      </c>
      <c r="G8" s="3" t="s">
        <v>22</v>
      </c>
      <c r="H8" s="3" t="s">
        <v>84</v>
      </c>
      <c r="I8" s="3">
        <v>7</v>
      </c>
      <c r="J8" s="3" t="s">
        <v>85</v>
      </c>
      <c r="K8" s="3" t="s">
        <v>154</v>
      </c>
      <c r="M8" s="3" t="s">
        <v>87</v>
      </c>
      <c r="N8" s="3">
        <v>1210.25</v>
      </c>
      <c r="O8" s="3" t="s">
        <v>112</v>
      </c>
      <c r="P8" s="3">
        <f t="shared" si="1"/>
        <v>1210.25</v>
      </c>
      <c r="Q8" s="3" t="str">
        <f>VLOOKUP(O8,Справочник!A:C,3,0)</f>
        <v>EPL</v>
      </c>
      <c r="R8" s="3" t="str">
        <f>VLOOKUP(O8,Справочник!A:B,2,0)</f>
        <v>Manchester United</v>
      </c>
      <c r="S8" s="3">
        <f t="shared" si="3"/>
        <v>8471.75</v>
      </c>
      <c r="T8" s="3">
        <f t="shared" si="2"/>
        <v>8471.75</v>
      </c>
    </row>
    <row r="9" spans="1:21" x14ac:dyDescent="0.25">
      <c r="B9" s="3">
        <v>11213222</v>
      </c>
      <c r="C9" s="3" t="s">
        <v>8</v>
      </c>
      <c r="D9" s="3" t="s">
        <v>118</v>
      </c>
      <c r="E9" s="3" t="s">
        <v>22</v>
      </c>
      <c r="F9" s="3" t="s">
        <v>83</v>
      </c>
      <c r="G9" s="3" t="s">
        <v>22</v>
      </c>
      <c r="H9" s="3" t="s">
        <v>84</v>
      </c>
      <c r="I9" s="3">
        <v>7</v>
      </c>
      <c r="J9" s="3" t="s">
        <v>85</v>
      </c>
      <c r="K9" s="3" t="s">
        <v>154</v>
      </c>
      <c r="M9" s="3" t="s">
        <v>87</v>
      </c>
      <c r="N9" s="3">
        <v>1210.25</v>
      </c>
      <c r="O9" s="3" t="s">
        <v>112</v>
      </c>
      <c r="P9" s="3" t="e">
        <f>SUMIF(A:A,A9,S:S)/SUMIF(A:A,A9,I:I)</f>
        <v>#DIV/0!</v>
      </c>
      <c r="Q9" s="3" t="str">
        <f>VLOOKUP(O9,Справочник!A:C,3,0)</f>
        <v>EPL</v>
      </c>
      <c r="R9" s="3" t="str">
        <f>VLOOKUP(O9,Справочник!A:B,2,0)</f>
        <v>Manchester United</v>
      </c>
      <c r="S9" s="3">
        <f t="shared" ref="S9:S32" si="4">N9*I9</f>
        <v>8471.75</v>
      </c>
      <c r="T9" s="3" t="e">
        <f>P9*I9</f>
        <v>#DIV/0!</v>
      </c>
    </row>
    <row r="10" spans="1:21" x14ac:dyDescent="0.25">
      <c r="B10" s="3">
        <v>11357008</v>
      </c>
      <c r="C10" s="3" t="s">
        <v>95</v>
      </c>
      <c r="D10" s="3" t="s">
        <v>119</v>
      </c>
      <c r="E10" s="3" t="s">
        <v>22</v>
      </c>
      <c r="F10" s="3" t="s">
        <v>83</v>
      </c>
      <c r="G10" s="3" t="s">
        <v>22</v>
      </c>
      <c r="H10" s="3" t="s">
        <v>88</v>
      </c>
      <c r="I10" s="3">
        <v>15</v>
      </c>
      <c r="J10" s="3" t="s">
        <v>147</v>
      </c>
      <c r="K10" s="3" t="s">
        <v>154</v>
      </c>
      <c r="M10" s="3" t="s">
        <v>87</v>
      </c>
      <c r="N10" s="3">
        <v>1210.25</v>
      </c>
      <c r="O10" s="3" t="s">
        <v>16</v>
      </c>
      <c r="P10" s="3" t="e">
        <f t="shared" ref="P9:P32" si="5">SUMIF(A:A,A10,S:S)/SUMIF(A:A,A10,I:I)</f>
        <v>#DIV/0!</v>
      </c>
      <c r="Q10" s="3" t="str">
        <f>VLOOKUP(O10,Справочник!A:C,3,0)</f>
        <v>MLB</v>
      </c>
      <c r="R10" s="3" t="str">
        <f>VLOOKUP(O10,Справочник!A:B,2,0)</f>
        <v>New York Yankees</v>
      </c>
      <c r="S10" s="3">
        <f t="shared" si="4"/>
        <v>18153.75</v>
      </c>
      <c r="T10" s="3" t="e">
        <f t="shared" ref="T9:T32" si="6">P10*I10</f>
        <v>#DIV/0!</v>
      </c>
    </row>
    <row r="11" spans="1:21" x14ac:dyDescent="0.25">
      <c r="B11" s="3">
        <v>11405492</v>
      </c>
      <c r="C11" s="3" t="s">
        <v>106</v>
      </c>
      <c r="D11" s="3" t="s">
        <v>120</v>
      </c>
      <c r="E11" s="3" t="s">
        <v>22</v>
      </c>
      <c r="F11" s="3" t="s">
        <v>83</v>
      </c>
      <c r="G11" s="3" t="s">
        <v>22</v>
      </c>
      <c r="H11" s="3" t="s">
        <v>84</v>
      </c>
      <c r="I11" s="3">
        <v>8</v>
      </c>
      <c r="J11" s="3" t="s">
        <v>85</v>
      </c>
      <c r="K11" s="3" t="s">
        <v>154</v>
      </c>
      <c r="M11" s="3" t="s">
        <v>87</v>
      </c>
      <c r="N11" s="3">
        <v>1210.25</v>
      </c>
      <c r="O11" s="3" t="s">
        <v>21</v>
      </c>
      <c r="P11" s="3" t="e">
        <f t="shared" si="5"/>
        <v>#DIV/0!</v>
      </c>
      <c r="Q11" s="3" t="str">
        <f>VLOOKUP(O11,Справочник!A:C,3,0)</f>
        <v>MLB</v>
      </c>
      <c r="R11" s="3" t="str">
        <f>VLOOKUP(O11,Справочник!A:B,2,0)</f>
        <v>Los Angeles Dodgers</v>
      </c>
      <c r="S11" s="3">
        <f t="shared" si="4"/>
        <v>9682</v>
      </c>
      <c r="T11" s="3" t="e">
        <f t="shared" si="6"/>
        <v>#DIV/0!</v>
      </c>
    </row>
    <row r="12" spans="1:21" x14ac:dyDescent="0.25">
      <c r="B12" s="3">
        <v>11405605</v>
      </c>
      <c r="C12" s="3" t="s">
        <v>7</v>
      </c>
      <c r="D12" s="32" t="s">
        <v>121</v>
      </c>
      <c r="E12" s="33" t="s">
        <v>22</v>
      </c>
      <c r="F12" s="3" t="s">
        <v>83</v>
      </c>
      <c r="G12" s="3" t="s">
        <v>22</v>
      </c>
      <c r="H12" s="3" t="s">
        <v>84</v>
      </c>
      <c r="I12" s="3">
        <v>6</v>
      </c>
      <c r="J12" s="3" t="s">
        <v>85</v>
      </c>
      <c r="K12" s="3" t="s">
        <v>86</v>
      </c>
      <c r="M12" s="3" t="s">
        <v>87</v>
      </c>
      <c r="N12" s="3">
        <v>1349.95</v>
      </c>
      <c r="O12" s="3" t="s">
        <v>27</v>
      </c>
      <c r="P12" s="3" t="e">
        <f t="shared" si="5"/>
        <v>#DIV/0!</v>
      </c>
      <c r="Q12" s="3" t="str">
        <f>VLOOKUP(O12,Справочник!A:C,3,0)</f>
        <v>NBA</v>
      </c>
      <c r="R12" s="3" t="str">
        <f>VLOOKUP(O12,Справочник!A:B,2,0)</f>
        <v>Los Angeles Lakers</v>
      </c>
      <c r="S12" s="3">
        <f t="shared" si="4"/>
        <v>8099.7000000000007</v>
      </c>
      <c r="T12" s="3" t="e">
        <f t="shared" si="6"/>
        <v>#DIV/0!</v>
      </c>
    </row>
    <row r="13" spans="1:21" x14ac:dyDescent="0.25">
      <c r="B13" s="3">
        <v>11405614</v>
      </c>
      <c r="C13" s="3" t="s">
        <v>7</v>
      </c>
      <c r="D13" s="32" t="s">
        <v>122</v>
      </c>
      <c r="E13" s="33" t="s">
        <v>22</v>
      </c>
      <c r="F13" s="3" t="s">
        <v>83</v>
      </c>
      <c r="G13" s="3" t="s">
        <v>22</v>
      </c>
      <c r="H13" s="3" t="s">
        <v>84</v>
      </c>
      <c r="I13" s="3">
        <v>1</v>
      </c>
      <c r="J13" s="3" t="s">
        <v>85</v>
      </c>
      <c r="K13" s="3" t="s">
        <v>86</v>
      </c>
      <c r="M13" s="3" t="s">
        <v>87</v>
      </c>
      <c r="N13" s="3">
        <v>1349.95</v>
      </c>
      <c r="O13" s="3" t="s">
        <v>23</v>
      </c>
      <c r="P13" s="3" t="e">
        <f t="shared" si="5"/>
        <v>#DIV/0!</v>
      </c>
      <c r="Q13" s="3" t="str">
        <f>VLOOKUP(O13,Справочник!A:C,3,0)</f>
        <v>NBA</v>
      </c>
      <c r="R13" s="3" t="str">
        <f>VLOOKUP(O13,Справочник!A:B,2,0)</f>
        <v>Chicago Bulls</v>
      </c>
      <c r="S13" s="3">
        <f t="shared" si="4"/>
        <v>1349.95</v>
      </c>
      <c r="T13" s="3" t="e">
        <f t="shared" si="6"/>
        <v>#DIV/0!</v>
      </c>
    </row>
    <row r="14" spans="1:21" x14ac:dyDescent="0.25">
      <c r="B14" s="3">
        <v>11405616</v>
      </c>
      <c r="C14" s="3" t="s">
        <v>7</v>
      </c>
      <c r="D14" s="32" t="s">
        <v>123</v>
      </c>
      <c r="E14" s="33" t="s">
        <v>22</v>
      </c>
      <c r="F14" s="3" t="s">
        <v>83</v>
      </c>
      <c r="G14" s="3" t="s">
        <v>22</v>
      </c>
      <c r="H14" s="3" t="s">
        <v>84</v>
      </c>
      <c r="I14" s="3">
        <v>8</v>
      </c>
      <c r="J14" s="3" t="s">
        <v>85</v>
      </c>
      <c r="K14" s="3" t="s">
        <v>86</v>
      </c>
      <c r="M14" s="3" t="s">
        <v>87</v>
      </c>
      <c r="N14" s="3">
        <v>1687.44</v>
      </c>
      <c r="O14" s="3" t="s">
        <v>113</v>
      </c>
      <c r="P14" s="3" t="e">
        <f t="shared" si="5"/>
        <v>#DIV/0!</v>
      </c>
      <c r="Q14" s="3" t="str">
        <f>VLOOKUP(O14,Справочник!A:C,3,0)</f>
        <v>NBA</v>
      </c>
      <c r="R14" s="3" t="str">
        <f>VLOOKUP(O14,Справочник!A:B,2,0)</f>
        <v>Brooklyn Nets</v>
      </c>
      <c r="S14" s="3">
        <f t="shared" si="4"/>
        <v>13499.52</v>
      </c>
      <c r="T14" s="3" t="e">
        <f t="shared" si="6"/>
        <v>#DIV/0!</v>
      </c>
    </row>
    <row r="15" spans="1:21" x14ac:dyDescent="0.25">
      <c r="B15" s="3">
        <v>12380822</v>
      </c>
      <c r="C15" s="3" t="s">
        <v>7</v>
      </c>
      <c r="D15" s="3" t="s">
        <v>124</v>
      </c>
      <c r="E15" s="3" t="s">
        <v>22</v>
      </c>
      <c r="F15" s="3" t="s">
        <v>83</v>
      </c>
      <c r="G15" s="3" t="s">
        <v>22</v>
      </c>
      <c r="H15" s="3" t="s">
        <v>88</v>
      </c>
      <c r="I15" s="3">
        <v>1</v>
      </c>
      <c r="J15" s="3" t="s">
        <v>148</v>
      </c>
      <c r="K15" s="3" t="s">
        <v>86</v>
      </c>
      <c r="M15" s="3" t="s">
        <v>87</v>
      </c>
      <c r="N15" s="3">
        <v>1862.06</v>
      </c>
      <c r="O15" s="3" t="s">
        <v>23</v>
      </c>
      <c r="P15" s="3" t="e">
        <f t="shared" si="5"/>
        <v>#DIV/0!</v>
      </c>
      <c r="Q15" s="3" t="str">
        <f>VLOOKUP(O15,Справочник!A:C,3,0)</f>
        <v>NBA</v>
      </c>
      <c r="R15" s="3" t="str">
        <f>VLOOKUP(O15,Справочник!A:B,2,0)</f>
        <v>Chicago Bulls</v>
      </c>
      <c r="S15" s="3">
        <f t="shared" si="4"/>
        <v>1862.06</v>
      </c>
      <c r="T15" s="3" t="e">
        <f t="shared" si="6"/>
        <v>#DIV/0!</v>
      </c>
    </row>
    <row r="16" spans="1:21" x14ac:dyDescent="0.25">
      <c r="B16" s="3">
        <v>12381106</v>
      </c>
      <c r="C16" s="3" t="s">
        <v>100</v>
      </c>
      <c r="D16" s="3" t="s">
        <v>125</v>
      </c>
      <c r="E16" s="3" t="s">
        <v>22</v>
      </c>
      <c r="F16" s="3" t="s">
        <v>83</v>
      </c>
      <c r="G16" s="3" t="s">
        <v>22</v>
      </c>
      <c r="H16" s="3" t="s">
        <v>84</v>
      </c>
      <c r="I16" s="3">
        <v>6</v>
      </c>
      <c r="J16" s="3" t="s">
        <v>85</v>
      </c>
      <c r="K16" s="3" t="s">
        <v>156</v>
      </c>
      <c r="M16" s="3" t="s">
        <v>87</v>
      </c>
      <c r="N16" s="3">
        <v>1582.78</v>
      </c>
      <c r="O16" s="3" t="s">
        <v>16</v>
      </c>
      <c r="P16" s="3" t="e">
        <f t="shared" si="5"/>
        <v>#DIV/0!</v>
      </c>
      <c r="Q16" s="3" t="str">
        <f>VLOOKUP(O16,Справочник!A:C,3,0)</f>
        <v>MLB</v>
      </c>
      <c r="R16" s="3" t="str">
        <f>VLOOKUP(O16,Справочник!A:B,2,0)</f>
        <v>New York Yankees</v>
      </c>
      <c r="S16" s="3">
        <f t="shared" si="4"/>
        <v>9496.68</v>
      </c>
      <c r="T16" s="3" t="e">
        <f t="shared" si="6"/>
        <v>#DIV/0!</v>
      </c>
    </row>
    <row r="17" spans="2:20" x14ac:dyDescent="0.25">
      <c r="B17" s="3">
        <v>12523887</v>
      </c>
      <c r="C17" s="3" t="s">
        <v>96</v>
      </c>
      <c r="D17" s="3" t="s">
        <v>126</v>
      </c>
      <c r="E17" s="3" t="s">
        <v>22</v>
      </c>
      <c r="F17" s="3" t="s">
        <v>83</v>
      </c>
      <c r="G17" s="3" t="s">
        <v>22</v>
      </c>
      <c r="H17" s="3" t="s">
        <v>84</v>
      </c>
      <c r="I17" s="3">
        <v>5</v>
      </c>
      <c r="J17" s="3" t="s">
        <v>85</v>
      </c>
      <c r="K17" s="3" t="s">
        <v>154</v>
      </c>
      <c r="M17" s="3" t="s">
        <v>87</v>
      </c>
      <c r="N17" s="3">
        <v>1210.25</v>
      </c>
      <c r="O17" s="3" t="s">
        <v>16</v>
      </c>
      <c r="P17" s="3" t="e">
        <f t="shared" si="5"/>
        <v>#DIV/0!</v>
      </c>
      <c r="Q17" s="3" t="str">
        <f>VLOOKUP(O17,Справочник!A:C,3,0)</f>
        <v>MLB</v>
      </c>
      <c r="R17" s="3" t="str">
        <f>VLOOKUP(O17,Справочник!A:B,2,0)</f>
        <v>New York Yankees</v>
      </c>
      <c r="S17" s="3">
        <f t="shared" si="4"/>
        <v>6051.25</v>
      </c>
      <c r="T17" s="3" t="e">
        <f t="shared" si="6"/>
        <v>#DIV/0!</v>
      </c>
    </row>
    <row r="18" spans="2:20" x14ac:dyDescent="0.25">
      <c r="B18" s="3">
        <v>12523888</v>
      </c>
      <c r="C18" s="3" t="s">
        <v>97</v>
      </c>
      <c r="D18" s="3" t="s">
        <v>127</v>
      </c>
      <c r="E18" s="3" t="s">
        <v>22</v>
      </c>
      <c r="F18" s="3" t="s">
        <v>83</v>
      </c>
      <c r="G18" s="3" t="s">
        <v>22</v>
      </c>
      <c r="H18" s="3" t="s">
        <v>84</v>
      </c>
      <c r="I18" s="3">
        <v>4</v>
      </c>
      <c r="J18" s="3" t="s">
        <v>85</v>
      </c>
      <c r="K18" s="3" t="s">
        <v>154</v>
      </c>
      <c r="M18" s="3" t="s">
        <v>87</v>
      </c>
      <c r="N18" s="3">
        <v>1210.25</v>
      </c>
      <c r="O18" s="3" t="s">
        <v>16</v>
      </c>
      <c r="P18" s="3" t="e">
        <f t="shared" si="5"/>
        <v>#DIV/0!</v>
      </c>
      <c r="Q18" s="3" t="str">
        <f>VLOOKUP(O18,Справочник!A:C,3,0)</f>
        <v>MLB</v>
      </c>
      <c r="R18" s="3" t="str">
        <f>VLOOKUP(O18,Справочник!A:B,2,0)</f>
        <v>New York Yankees</v>
      </c>
      <c r="S18" s="3">
        <f t="shared" si="4"/>
        <v>4841</v>
      </c>
      <c r="T18" s="3" t="e">
        <f t="shared" si="6"/>
        <v>#DIV/0!</v>
      </c>
    </row>
    <row r="19" spans="2:20" x14ac:dyDescent="0.25">
      <c r="B19" s="3">
        <v>12523889</v>
      </c>
      <c r="C19" s="3" t="s">
        <v>8</v>
      </c>
      <c r="D19" s="3" t="s">
        <v>128</v>
      </c>
      <c r="E19" s="3" t="s">
        <v>22</v>
      </c>
      <c r="F19" s="3" t="s">
        <v>83</v>
      </c>
      <c r="G19" s="3" t="s">
        <v>22</v>
      </c>
      <c r="H19" s="3" t="s">
        <v>84</v>
      </c>
      <c r="I19" s="3">
        <v>5</v>
      </c>
      <c r="J19" s="3" t="s">
        <v>85</v>
      </c>
      <c r="K19" s="3" t="s">
        <v>154</v>
      </c>
      <c r="M19" s="3" t="s">
        <v>87</v>
      </c>
      <c r="N19" s="3">
        <v>1210.25</v>
      </c>
      <c r="O19" s="3" t="s">
        <v>16</v>
      </c>
      <c r="P19" s="3" t="e">
        <f t="shared" si="5"/>
        <v>#DIV/0!</v>
      </c>
      <c r="Q19" s="3" t="str">
        <f>VLOOKUP(O19,Справочник!A:C,3,0)</f>
        <v>MLB</v>
      </c>
      <c r="R19" s="3" t="str">
        <f>VLOOKUP(O19,Справочник!A:B,2,0)</f>
        <v>New York Yankees</v>
      </c>
      <c r="S19" s="3">
        <f t="shared" si="4"/>
        <v>6051.25</v>
      </c>
      <c r="T19" s="3" t="e">
        <f t="shared" si="6"/>
        <v>#DIV/0!</v>
      </c>
    </row>
    <row r="20" spans="2:20" x14ac:dyDescent="0.25">
      <c r="B20" s="3">
        <v>12523898</v>
      </c>
      <c r="C20" s="3" t="s">
        <v>101</v>
      </c>
      <c r="D20" s="3" t="s">
        <v>129</v>
      </c>
      <c r="E20" s="3" t="s">
        <v>22</v>
      </c>
      <c r="F20" s="3" t="s">
        <v>83</v>
      </c>
      <c r="G20" s="3" t="s">
        <v>22</v>
      </c>
      <c r="H20" s="3" t="s">
        <v>84</v>
      </c>
      <c r="I20" s="3">
        <v>6</v>
      </c>
      <c r="J20" s="3" t="s">
        <v>85</v>
      </c>
      <c r="K20" s="3" t="s">
        <v>156</v>
      </c>
      <c r="M20" s="3" t="s">
        <v>87</v>
      </c>
      <c r="N20" s="3">
        <v>1582.78</v>
      </c>
      <c r="O20" s="3" t="s">
        <v>16</v>
      </c>
      <c r="P20" s="3" t="e">
        <f t="shared" si="5"/>
        <v>#DIV/0!</v>
      </c>
      <c r="Q20" s="3" t="str">
        <f>VLOOKUP(O20,Справочник!A:C,3,0)</f>
        <v>MLB</v>
      </c>
      <c r="R20" s="3" t="str">
        <f>VLOOKUP(O20,Справочник!A:B,2,0)</f>
        <v>New York Yankees</v>
      </c>
      <c r="S20" s="3">
        <f t="shared" si="4"/>
        <v>9496.68</v>
      </c>
      <c r="T20" s="3" t="e">
        <f t="shared" si="6"/>
        <v>#DIV/0!</v>
      </c>
    </row>
    <row r="21" spans="2:20" x14ac:dyDescent="0.25">
      <c r="B21" s="3">
        <v>12523906</v>
      </c>
      <c r="C21" s="3" t="s">
        <v>98</v>
      </c>
      <c r="D21" s="3" t="s">
        <v>130</v>
      </c>
      <c r="E21" s="3" t="s">
        <v>22</v>
      </c>
      <c r="F21" s="3" t="s">
        <v>83</v>
      </c>
      <c r="G21" s="3" t="s">
        <v>22</v>
      </c>
      <c r="H21" s="3" t="s">
        <v>84</v>
      </c>
      <c r="I21" s="3">
        <v>8</v>
      </c>
      <c r="J21" s="3" t="s">
        <v>85</v>
      </c>
      <c r="K21" s="3" t="s">
        <v>86</v>
      </c>
      <c r="M21" s="3" t="s">
        <v>87</v>
      </c>
      <c r="N21" s="3">
        <v>1862.06</v>
      </c>
      <c r="O21" s="3" t="s">
        <v>16</v>
      </c>
      <c r="P21" s="3" t="e">
        <f t="shared" si="5"/>
        <v>#DIV/0!</v>
      </c>
      <c r="Q21" s="3" t="str">
        <f>VLOOKUP(O21,Справочник!A:C,3,0)</f>
        <v>MLB</v>
      </c>
      <c r="R21" s="3" t="str">
        <f>VLOOKUP(O21,Справочник!A:B,2,0)</f>
        <v>New York Yankees</v>
      </c>
      <c r="S21" s="3">
        <f t="shared" si="4"/>
        <v>14896.48</v>
      </c>
      <c r="T21" s="3" t="e">
        <f t="shared" si="6"/>
        <v>#DIV/0!</v>
      </c>
    </row>
    <row r="22" spans="2:20" x14ac:dyDescent="0.25">
      <c r="B22" s="3">
        <v>12523911</v>
      </c>
      <c r="C22" s="3" t="s">
        <v>99</v>
      </c>
      <c r="D22" s="3" t="s">
        <v>131</v>
      </c>
      <c r="E22" s="3" t="s">
        <v>22</v>
      </c>
      <c r="F22" s="3" t="s">
        <v>83</v>
      </c>
      <c r="G22" s="3" t="s">
        <v>22</v>
      </c>
      <c r="H22" s="3" t="s">
        <v>88</v>
      </c>
      <c r="I22" s="3">
        <v>7</v>
      </c>
      <c r="J22" s="3" t="s">
        <v>148</v>
      </c>
      <c r="K22" s="3" t="s">
        <v>90</v>
      </c>
      <c r="M22" s="3" t="s">
        <v>87</v>
      </c>
      <c r="N22" s="3">
        <v>1489.65</v>
      </c>
      <c r="O22" s="3" t="s">
        <v>27</v>
      </c>
      <c r="P22" s="3" t="e">
        <f t="shared" si="5"/>
        <v>#DIV/0!</v>
      </c>
      <c r="Q22" s="3" t="str">
        <f>VLOOKUP(O22,Справочник!A:C,3,0)</f>
        <v>NBA</v>
      </c>
      <c r="R22" s="3" t="str">
        <f>VLOOKUP(O22,Справочник!A:B,2,0)</f>
        <v>Los Angeles Lakers</v>
      </c>
      <c r="S22" s="3">
        <f t="shared" si="4"/>
        <v>10427.550000000001</v>
      </c>
      <c r="T22" s="3" t="e">
        <f t="shared" si="6"/>
        <v>#DIV/0!</v>
      </c>
    </row>
    <row r="23" spans="2:20" x14ac:dyDescent="0.25">
      <c r="B23" s="3">
        <v>60143388</v>
      </c>
      <c r="C23" s="3" t="s">
        <v>8</v>
      </c>
      <c r="D23" s="3" t="s">
        <v>132</v>
      </c>
      <c r="E23" s="3" t="s">
        <v>22</v>
      </c>
      <c r="F23" s="3" t="s">
        <v>83</v>
      </c>
      <c r="G23" s="3" t="s">
        <v>22</v>
      </c>
      <c r="H23" s="3" t="s">
        <v>88</v>
      </c>
      <c r="I23" s="3">
        <v>2</v>
      </c>
      <c r="J23" s="3" t="s">
        <v>149</v>
      </c>
      <c r="K23" s="3" t="s">
        <v>90</v>
      </c>
      <c r="M23" s="3" t="s">
        <v>87</v>
      </c>
      <c r="N23" s="3">
        <v>1210.25</v>
      </c>
      <c r="O23" s="3" t="s">
        <v>50</v>
      </c>
      <c r="P23" s="3" t="e">
        <f t="shared" si="5"/>
        <v>#DIV/0!</v>
      </c>
      <c r="Q23" s="3" t="str">
        <f>VLOOKUP(O23,Справочник!A:C,3,0)</f>
        <v>EPL</v>
      </c>
      <c r="R23" s="3" t="str">
        <f>VLOOKUP(O23,Справочник!A:B,2,0)</f>
        <v>Manchester United</v>
      </c>
      <c r="S23" s="3">
        <f t="shared" si="4"/>
        <v>2420.5</v>
      </c>
      <c r="T23" s="3" t="e">
        <f t="shared" si="6"/>
        <v>#DIV/0!</v>
      </c>
    </row>
    <row r="24" spans="2:20" x14ac:dyDescent="0.25">
      <c r="B24" s="3">
        <v>60222367</v>
      </c>
      <c r="C24" s="3" t="s">
        <v>102</v>
      </c>
      <c r="D24" s="3" t="s">
        <v>133</v>
      </c>
      <c r="E24" s="3" t="s">
        <v>33</v>
      </c>
      <c r="F24" s="3">
        <v>60</v>
      </c>
      <c r="G24" s="3">
        <v>60</v>
      </c>
      <c r="H24" s="3" t="s">
        <v>84</v>
      </c>
      <c r="I24" s="3">
        <v>4</v>
      </c>
      <c r="J24" s="3" t="s">
        <v>150</v>
      </c>
      <c r="K24" s="3" t="s">
        <v>86</v>
      </c>
      <c r="M24" s="3" t="s">
        <v>87</v>
      </c>
      <c r="N24" s="3">
        <v>2502.35</v>
      </c>
      <c r="O24" s="3" t="s">
        <v>16</v>
      </c>
      <c r="P24" s="3" t="e">
        <f t="shared" si="5"/>
        <v>#DIV/0!</v>
      </c>
      <c r="Q24" s="3" t="str">
        <f>VLOOKUP(O24,Справочник!A:C,3,0)</f>
        <v>MLB</v>
      </c>
      <c r="R24" s="3" t="str">
        <f>VLOOKUP(O24,Справочник!A:B,2,0)</f>
        <v>New York Yankees</v>
      </c>
      <c r="S24" s="3">
        <f t="shared" si="4"/>
        <v>10009.4</v>
      </c>
      <c r="T24" s="3" t="e">
        <f t="shared" si="6"/>
        <v>#DIV/0!</v>
      </c>
    </row>
    <row r="25" spans="2:20" x14ac:dyDescent="0.25">
      <c r="B25" s="3">
        <v>60222367</v>
      </c>
      <c r="C25" s="3" t="s">
        <v>102</v>
      </c>
      <c r="D25" s="3" t="s">
        <v>134</v>
      </c>
      <c r="E25" s="3" t="s">
        <v>144</v>
      </c>
      <c r="F25" s="3">
        <v>58</v>
      </c>
      <c r="G25" s="3">
        <v>58</v>
      </c>
      <c r="H25" s="3" t="s">
        <v>84</v>
      </c>
      <c r="I25" s="3">
        <v>4</v>
      </c>
      <c r="J25" s="3" t="s">
        <v>150</v>
      </c>
      <c r="K25" s="3" t="s">
        <v>86</v>
      </c>
      <c r="M25" s="3" t="s">
        <v>87</v>
      </c>
      <c r="N25" s="3">
        <v>2502.35</v>
      </c>
      <c r="O25" s="3" t="s">
        <v>16</v>
      </c>
      <c r="P25" s="3" t="e">
        <f t="shared" si="5"/>
        <v>#DIV/0!</v>
      </c>
      <c r="Q25" s="3" t="str">
        <f>VLOOKUP(O25,Справочник!A:C,3,0)</f>
        <v>MLB</v>
      </c>
      <c r="R25" s="3" t="str">
        <f>VLOOKUP(O25,Справочник!A:B,2,0)</f>
        <v>New York Yankees</v>
      </c>
      <c r="S25" s="3">
        <f t="shared" si="4"/>
        <v>10009.4</v>
      </c>
      <c r="T25" s="3" t="e">
        <f t="shared" si="6"/>
        <v>#DIV/0!</v>
      </c>
    </row>
    <row r="26" spans="2:20" x14ac:dyDescent="0.25">
      <c r="B26" s="3">
        <v>60222367</v>
      </c>
      <c r="C26" s="3" t="s">
        <v>102</v>
      </c>
      <c r="D26" s="3" t="s">
        <v>135</v>
      </c>
      <c r="E26" s="3" t="s">
        <v>145</v>
      </c>
      <c r="F26" s="3">
        <v>62</v>
      </c>
      <c r="G26" s="3">
        <v>62</v>
      </c>
      <c r="H26" s="3" t="s">
        <v>84</v>
      </c>
      <c r="I26" s="3">
        <v>2</v>
      </c>
      <c r="J26" s="3" t="s">
        <v>150</v>
      </c>
      <c r="K26" s="3" t="s">
        <v>86</v>
      </c>
      <c r="M26" s="3" t="s">
        <v>87</v>
      </c>
      <c r="N26" s="3">
        <v>2502.35</v>
      </c>
      <c r="O26" s="3" t="s">
        <v>16</v>
      </c>
      <c r="P26" s="3" t="e">
        <f t="shared" si="5"/>
        <v>#DIV/0!</v>
      </c>
      <c r="Q26" s="3" t="str">
        <f>VLOOKUP(O26,Справочник!A:C,3,0)</f>
        <v>MLB</v>
      </c>
      <c r="R26" s="3" t="str">
        <f>VLOOKUP(O26,Справочник!A:B,2,0)</f>
        <v>New York Yankees</v>
      </c>
      <c r="S26" s="3">
        <f t="shared" si="4"/>
        <v>5004.7</v>
      </c>
      <c r="T26" s="3" t="e">
        <f t="shared" si="6"/>
        <v>#DIV/0!</v>
      </c>
    </row>
    <row r="27" spans="2:20" x14ac:dyDescent="0.25">
      <c r="B27" s="3">
        <v>60222472</v>
      </c>
      <c r="C27" s="3" t="s">
        <v>8</v>
      </c>
      <c r="D27" s="3" t="s">
        <v>136</v>
      </c>
      <c r="E27" s="3" t="s">
        <v>22</v>
      </c>
      <c r="F27" s="3" t="s">
        <v>83</v>
      </c>
      <c r="G27" s="3" t="s">
        <v>22</v>
      </c>
      <c r="H27" s="3" t="s">
        <v>88</v>
      </c>
      <c r="I27" s="3">
        <v>6</v>
      </c>
      <c r="J27" s="3" t="s">
        <v>151</v>
      </c>
      <c r="K27" s="3" t="s">
        <v>154</v>
      </c>
      <c r="M27" s="3" t="s">
        <v>87</v>
      </c>
      <c r="N27" s="3">
        <v>1512.82</v>
      </c>
      <c r="P27" s="3" t="e">
        <f t="shared" si="5"/>
        <v>#DIV/0!</v>
      </c>
      <c r="S27" s="3">
        <f t="shared" si="4"/>
        <v>9076.92</v>
      </c>
      <c r="T27" s="3" t="e">
        <f t="shared" si="6"/>
        <v>#DIV/0!</v>
      </c>
    </row>
    <row r="28" spans="2:20" x14ac:dyDescent="0.25">
      <c r="B28" s="3">
        <v>60222512</v>
      </c>
      <c r="C28" s="3" t="s">
        <v>96</v>
      </c>
      <c r="D28" s="3" t="s">
        <v>137</v>
      </c>
      <c r="E28" s="3" t="s">
        <v>22</v>
      </c>
      <c r="F28" s="3" t="s">
        <v>83</v>
      </c>
      <c r="G28" s="3" t="s">
        <v>22</v>
      </c>
      <c r="H28" s="3" t="s">
        <v>88</v>
      </c>
      <c r="I28" s="3">
        <v>6</v>
      </c>
      <c r="J28" s="3" t="s">
        <v>151</v>
      </c>
      <c r="K28" s="3" t="s">
        <v>154</v>
      </c>
      <c r="M28" s="3" t="s">
        <v>87</v>
      </c>
      <c r="N28" s="3">
        <v>1512.82</v>
      </c>
      <c r="P28" s="3" t="e">
        <f t="shared" si="5"/>
        <v>#DIV/0!</v>
      </c>
      <c r="S28" s="3">
        <f t="shared" si="4"/>
        <v>9076.92</v>
      </c>
      <c r="T28" s="3" t="e">
        <f t="shared" si="6"/>
        <v>#DIV/0!</v>
      </c>
    </row>
    <row r="29" spans="2:20" x14ac:dyDescent="0.25">
      <c r="B29" s="3">
        <v>60222545</v>
      </c>
      <c r="C29" s="3" t="s">
        <v>102</v>
      </c>
      <c r="D29" s="3" t="s">
        <v>138</v>
      </c>
      <c r="E29" s="3" t="s">
        <v>22</v>
      </c>
      <c r="F29" s="3" t="s">
        <v>83</v>
      </c>
      <c r="G29" s="3" t="s">
        <v>22</v>
      </c>
      <c r="H29" s="3" t="s">
        <v>84</v>
      </c>
      <c r="I29" s="3">
        <v>6</v>
      </c>
      <c r="J29" s="3" t="s">
        <v>152</v>
      </c>
      <c r="K29" s="3" t="s">
        <v>86</v>
      </c>
      <c r="M29" s="3" t="s">
        <v>87</v>
      </c>
      <c r="N29" s="3">
        <v>2153.1</v>
      </c>
      <c r="O29" s="3" t="s">
        <v>16</v>
      </c>
      <c r="P29" s="3" t="e">
        <f t="shared" si="5"/>
        <v>#DIV/0!</v>
      </c>
      <c r="Q29" s="3" t="str">
        <f>VLOOKUP(O29,Справочник!A:C,3,0)</f>
        <v>MLB</v>
      </c>
      <c r="R29" s="3" t="str">
        <f>VLOOKUP(O29,Справочник!A:B,2,0)</f>
        <v>New York Yankees</v>
      </c>
      <c r="S29" s="3">
        <f t="shared" si="4"/>
        <v>12918.599999999999</v>
      </c>
      <c r="T29" s="3" t="e">
        <f t="shared" si="6"/>
        <v>#DIV/0!</v>
      </c>
    </row>
    <row r="30" spans="2:20" x14ac:dyDescent="0.25">
      <c r="B30" s="3">
        <v>80468932</v>
      </c>
      <c r="C30" s="3" t="s">
        <v>8</v>
      </c>
      <c r="D30" s="3" t="s">
        <v>139</v>
      </c>
      <c r="E30" s="3" t="s">
        <v>22</v>
      </c>
      <c r="F30" s="3" t="s">
        <v>83</v>
      </c>
      <c r="G30" s="3" t="s">
        <v>22</v>
      </c>
      <c r="H30" s="3" t="s">
        <v>84</v>
      </c>
      <c r="I30" s="3">
        <v>2</v>
      </c>
      <c r="J30" s="3" t="s">
        <v>85</v>
      </c>
      <c r="K30" s="3" t="s">
        <v>154</v>
      </c>
      <c r="M30" s="3" t="s">
        <v>87</v>
      </c>
      <c r="N30" s="3">
        <v>1210.25</v>
      </c>
      <c r="O30" s="3" t="s">
        <v>16</v>
      </c>
      <c r="P30" s="3" t="e">
        <f t="shared" si="5"/>
        <v>#DIV/0!</v>
      </c>
      <c r="Q30" s="3" t="str">
        <f>VLOOKUP(O30,Справочник!A:C,3,0)</f>
        <v>MLB</v>
      </c>
      <c r="R30" s="3" t="str">
        <f>VLOOKUP(O30,Справочник!A:B,2,0)</f>
        <v>New York Yankees</v>
      </c>
      <c r="S30" s="3">
        <f t="shared" si="4"/>
        <v>2420.5</v>
      </c>
      <c r="T30" s="3" t="e">
        <f t="shared" si="6"/>
        <v>#DIV/0!</v>
      </c>
    </row>
    <row r="31" spans="2:20" x14ac:dyDescent="0.25">
      <c r="B31" s="3">
        <v>80489299</v>
      </c>
      <c r="C31" s="3" t="s">
        <v>103</v>
      </c>
      <c r="D31" s="3" t="s">
        <v>140</v>
      </c>
      <c r="E31" s="3" t="s">
        <v>22</v>
      </c>
      <c r="F31" s="3" t="s">
        <v>83</v>
      </c>
      <c r="G31" s="3" t="s">
        <v>22</v>
      </c>
      <c r="H31" s="3" t="s">
        <v>88</v>
      </c>
      <c r="I31" s="3">
        <v>12</v>
      </c>
      <c r="J31" s="3" t="s">
        <v>148</v>
      </c>
      <c r="K31" s="3" t="s">
        <v>154</v>
      </c>
      <c r="M31" s="3" t="s">
        <v>89</v>
      </c>
      <c r="N31" s="3">
        <v>1210.25</v>
      </c>
      <c r="O31" s="3" t="s">
        <v>16</v>
      </c>
      <c r="P31" s="3" t="e">
        <f t="shared" si="5"/>
        <v>#DIV/0!</v>
      </c>
      <c r="Q31" s="3" t="str">
        <f>VLOOKUP(O31,Справочник!A:C,3,0)</f>
        <v>MLB</v>
      </c>
      <c r="R31" s="3" t="str">
        <f>VLOOKUP(O31,Справочник!A:B,2,0)</f>
        <v>New York Yankees</v>
      </c>
      <c r="S31" s="3">
        <f t="shared" si="4"/>
        <v>14523</v>
      </c>
      <c r="T31" s="3" t="e">
        <f t="shared" si="6"/>
        <v>#DIV/0!</v>
      </c>
    </row>
    <row r="32" spans="2:20" x14ac:dyDescent="0.25">
      <c r="B32" s="3">
        <v>80636010</v>
      </c>
      <c r="C32" s="3" t="s">
        <v>96</v>
      </c>
      <c r="D32" s="3" t="s">
        <v>141</v>
      </c>
      <c r="E32" s="3" t="s">
        <v>22</v>
      </c>
      <c r="F32" s="3" t="s">
        <v>83</v>
      </c>
      <c r="G32" s="3" t="s">
        <v>22</v>
      </c>
      <c r="H32" s="3" t="s">
        <v>88</v>
      </c>
      <c r="I32" s="3">
        <v>3</v>
      </c>
      <c r="J32" s="3" t="s">
        <v>148</v>
      </c>
      <c r="K32" s="3" t="s">
        <v>154</v>
      </c>
      <c r="M32" s="3" t="s">
        <v>87</v>
      </c>
      <c r="N32" s="3">
        <v>1210.25</v>
      </c>
      <c r="O32" s="3" t="s">
        <v>16</v>
      </c>
      <c r="P32" s="3" t="e">
        <f t="shared" si="5"/>
        <v>#DIV/0!</v>
      </c>
      <c r="Q32" s="3" t="str">
        <f>VLOOKUP(O32,Справочник!A:C,3,0)</f>
        <v>MLB</v>
      </c>
      <c r="R32" s="3" t="str">
        <f>VLOOKUP(O32,Справочник!A:B,2,0)</f>
        <v>New York Yankees</v>
      </c>
      <c r="S32" s="3">
        <f t="shared" si="4"/>
        <v>3630.75</v>
      </c>
      <c r="T32" s="3" t="e">
        <f t="shared" si="6"/>
        <v>#DIV/0!</v>
      </c>
    </row>
  </sheetData>
  <autoFilter ref="A1:N99" xr:uid="{4F2EB173-0EDC-4F0F-9B37-5860C9D8972C}"/>
  <conditionalFormatting sqref="A1:A1048576">
    <cfRule type="duplicateValues" dxfId="2" priority="3"/>
  </conditionalFormatting>
  <conditionalFormatting sqref="U1">
    <cfRule type="containsText" dxfId="1" priority="1" operator="containsText" text="ИСТИНА">
      <formula>NOT(ISERROR(SEARCH("ИСТИНА",U1)))</formula>
    </cfRule>
    <cfRule type="containsText" dxfId="0" priority="2" operator="containsText" text="ЛОЖЬ">
      <formula>NOT(ISERROR(SEARCH("ЛОЖЬ",U1)))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F24A-E13E-47B6-8553-86BABA76D193}">
  <sheetPr codeName="Лист4">
    <tabColor theme="7" tint="0.39997558519241921"/>
  </sheetPr>
  <dimension ref="A1:B99"/>
  <sheetViews>
    <sheetView workbookViewId="0">
      <selection activeCell="B32" sqref="B2:B32"/>
    </sheetView>
  </sheetViews>
  <sheetFormatPr defaultRowHeight="15" x14ac:dyDescent="0.25"/>
  <cols>
    <col min="1" max="1" width="96" bestFit="1" customWidth="1"/>
    <col min="2" max="2" width="19.7109375" customWidth="1"/>
  </cols>
  <sheetData>
    <row r="1" spans="1:2" x14ac:dyDescent="0.25">
      <c r="A1" t="s">
        <v>71</v>
      </c>
      <c r="B1" t="s">
        <v>9</v>
      </c>
    </row>
    <row r="2" spans="1:2" x14ac:dyDescent="0.25">
      <c r="A2" s="34" t="s">
        <v>109</v>
      </c>
      <c r="B2" t="s">
        <v>16</v>
      </c>
    </row>
    <row r="3" spans="1:2" x14ac:dyDescent="0.25">
      <c r="A3" t="s">
        <v>110</v>
      </c>
      <c r="B3" t="s">
        <v>21</v>
      </c>
    </row>
    <row r="4" spans="1:2" x14ac:dyDescent="0.25">
      <c r="A4" t="s">
        <v>111</v>
      </c>
      <c r="B4" t="s">
        <v>16</v>
      </c>
    </row>
    <row r="5" spans="1:2" x14ac:dyDescent="0.25">
      <c r="A5" t="s">
        <v>114</v>
      </c>
      <c r="B5" t="s">
        <v>16</v>
      </c>
    </row>
    <row r="6" spans="1:2" x14ac:dyDescent="0.25">
      <c r="A6" t="s">
        <v>115</v>
      </c>
      <c r="B6" t="s">
        <v>16</v>
      </c>
    </row>
    <row r="7" spans="1:2" x14ac:dyDescent="0.25">
      <c r="A7" t="s">
        <v>116</v>
      </c>
      <c r="B7" t="s">
        <v>16</v>
      </c>
    </row>
    <row r="8" spans="1:2" x14ac:dyDescent="0.25">
      <c r="A8" t="s">
        <v>117</v>
      </c>
      <c r="B8" t="s">
        <v>112</v>
      </c>
    </row>
    <row r="9" spans="1:2" x14ac:dyDescent="0.25">
      <c r="A9" s="34" t="s">
        <v>118</v>
      </c>
      <c r="B9" t="s">
        <v>112</v>
      </c>
    </row>
    <row r="10" spans="1:2" x14ac:dyDescent="0.25">
      <c r="A10" t="s">
        <v>119</v>
      </c>
      <c r="B10" t="s">
        <v>16</v>
      </c>
    </row>
    <row r="11" spans="1:2" x14ac:dyDescent="0.25">
      <c r="A11" t="s">
        <v>120</v>
      </c>
      <c r="B11" t="s">
        <v>21</v>
      </c>
    </row>
    <row r="12" spans="1:2" x14ac:dyDescent="0.25">
      <c r="A12" t="s">
        <v>121</v>
      </c>
      <c r="B12" t="s">
        <v>27</v>
      </c>
    </row>
    <row r="13" spans="1:2" x14ac:dyDescent="0.25">
      <c r="A13" t="s">
        <v>122</v>
      </c>
      <c r="B13" t="s">
        <v>23</v>
      </c>
    </row>
    <row r="14" spans="1:2" x14ac:dyDescent="0.25">
      <c r="A14" t="s">
        <v>123</v>
      </c>
      <c r="B14" t="s">
        <v>113</v>
      </c>
    </row>
    <row r="15" spans="1:2" x14ac:dyDescent="0.25">
      <c r="A15" t="s">
        <v>124</v>
      </c>
      <c r="B15" t="s">
        <v>23</v>
      </c>
    </row>
    <row r="16" spans="1:2" x14ac:dyDescent="0.25">
      <c r="A16" t="s">
        <v>125</v>
      </c>
      <c r="B16" t="s">
        <v>16</v>
      </c>
    </row>
    <row r="17" spans="1:2" x14ac:dyDescent="0.25">
      <c r="A17" t="s">
        <v>126</v>
      </c>
      <c r="B17" t="s">
        <v>16</v>
      </c>
    </row>
    <row r="18" spans="1:2" x14ac:dyDescent="0.25">
      <c r="A18" t="s">
        <v>127</v>
      </c>
      <c r="B18" t="s">
        <v>16</v>
      </c>
    </row>
    <row r="19" spans="1:2" x14ac:dyDescent="0.25">
      <c r="A19" t="s">
        <v>128</v>
      </c>
      <c r="B19" t="s">
        <v>16</v>
      </c>
    </row>
    <row r="20" spans="1:2" x14ac:dyDescent="0.25">
      <c r="A20" t="s">
        <v>129</v>
      </c>
      <c r="B20" t="s">
        <v>16</v>
      </c>
    </row>
    <row r="21" spans="1:2" x14ac:dyDescent="0.25">
      <c r="A21" s="34" t="s">
        <v>130</v>
      </c>
      <c r="B21" t="s">
        <v>16</v>
      </c>
    </row>
    <row r="22" spans="1:2" x14ac:dyDescent="0.25">
      <c r="A22" s="34" t="s">
        <v>131</v>
      </c>
      <c r="B22" t="s">
        <v>27</v>
      </c>
    </row>
    <row r="23" spans="1:2" x14ac:dyDescent="0.25">
      <c r="A23" t="s">
        <v>132</v>
      </c>
      <c r="B23" t="s">
        <v>50</v>
      </c>
    </row>
    <row r="24" spans="1:2" x14ac:dyDescent="0.25">
      <c r="A24" t="s">
        <v>133</v>
      </c>
      <c r="B24" t="s">
        <v>16</v>
      </c>
    </row>
    <row r="25" spans="1:2" x14ac:dyDescent="0.25">
      <c r="A25" t="s">
        <v>134</v>
      </c>
      <c r="B25" t="s">
        <v>16</v>
      </c>
    </row>
    <row r="26" spans="1:2" x14ac:dyDescent="0.25">
      <c r="A26" s="34" t="s">
        <v>135</v>
      </c>
      <c r="B26" t="s">
        <v>16</v>
      </c>
    </row>
    <row r="27" spans="1:2" x14ac:dyDescent="0.25">
      <c r="A27" t="s">
        <v>136</v>
      </c>
      <c r="B27" t="s">
        <v>153</v>
      </c>
    </row>
    <row r="28" spans="1:2" x14ac:dyDescent="0.25">
      <c r="A28" t="s">
        <v>137</v>
      </c>
      <c r="B28" t="s">
        <v>153</v>
      </c>
    </row>
    <row r="29" spans="1:2" x14ac:dyDescent="0.25">
      <c r="A29" t="s">
        <v>138</v>
      </c>
      <c r="B29" t="s">
        <v>16</v>
      </c>
    </row>
    <row r="30" spans="1:2" x14ac:dyDescent="0.25">
      <c r="A30" t="s">
        <v>139</v>
      </c>
      <c r="B30" t="s">
        <v>16</v>
      </c>
    </row>
    <row r="31" spans="1:2" x14ac:dyDescent="0.25">
      <c r="A31" t="s">
        <v>140</v>
      </c>
      <c r="B31" t="s">
        <v>16</v>
      </c>
    </row>
    <row r="32" spans="1:2" x14ac:dyDescent="0.25">
      <c r="A32" t="s">
        <v>141</v>
      </c>
      <c r="B32" t="s">
        <v>16</v>
      </c>
    </row>
    <row r="59" spans="2:2" x14ac:dyDescent="0.25">
      <c r="B59" t="s">
        <v>16</v>
      </c>
    </row>
    <row r="60" spans="2:2" x14ac:dyDescent="0.25">
      <c r="B60" t="s">
        <v>16</v>
      </c>
    </row>
    <row r="61" spans="2:2" x14ac:dyDescent="0.25">
      <c r="B61" t="s">
        <v>16</v>
      </c>
    </row>
    <row r="62" spans="2:2" x14ac:dyDescent="0.25">
      <c r="B62" t="s">
        <v>16</v>
      </c>
    </row>
    <row r="63" spans="2:2" x14ac:dyDescent="0.25">
      <c r="B63" t="s">
        <v>16</v>
      </c>
    </row>
    <row r="64" spans="2:2" x14ac:dyDescent="0.25">
      <c r="B64" t="s">
        <v>16</v>
      </c>
    </row>
    <row r="65" spans="2:2" x14ac:dyDescent="0.25">
      <c r="B65" t="s">
        <v>16</v>
      </c>
    </row>
    <row r="66" spans="2:2" x14ac:dyDescent="0.25">
      <c r="B66" t="s">
        <v>16</v>
      </c>
    </row>
    <row r="67" spans="2:2" x14ac:dyDescent="0.25">
      <c r="B67" t="s">
        <v>16</v>
      </c>
    </row>
    <row r="68" spans="2:2" x14ac:dyDescent="0.25">
      <c r="B68" t="s">
        <v>16</v>
      </c>
    </row>
    <row r="69" spans="2:2" x14ac:dyDescent="0.25">
      <c r="B69" t="s">
        <v>16</v>
      </c>
    </row>
    <row r="70" spans="2:2" x14ac:dyDescent="0.25">
      <c r="B70" t="s">
        <v>16</v>
      </c>
    </row>
    <row r="71" spans="2:2" x14ac:dyDescent="0.25">
      <c r="B71" t="s">
        <v>21</v>
      </c>
    </row>
    <row r="72" spans="2:2" x14ac:dyDescent="0.25">
      <c r="B72" t="s">
        <v>21</v>
      </c>
    </row>
    <row r="73" spans="2:2" x14ac:dyDescent="0.25">
      <c r="B73" t="s">
        <v>16</v>
      </c>
    </row>
    <row r="74" spans="2:2" x14ac:dyDescent="0.25">
      <c r="B74" t="s">
        <v>16</v>
      </c>
    </row>
    <row r="75" spans="2:2" x14ac:dyDescent="0.25">
      <c r="B75" t="s">
        <v>16</v>
      </c>
    </row>
    <row r="76" spans="2:2" x14ac:dyDescent="0.25">
      <c r="B76" t="s">
        <v>16</v>
      </c>
    </row>
    <row r="77" spans="2:2" x14ac:dyDescent="0.25">
      <c r="B77" t="s">
        <v>16</v>
      </c>
    </row>
    <row r="78" spans="2:2" x14ac:dyDescent="0.25">
      <c r="B78" t="s">
        <v>16</v>
      </c>
    </row>
    <row r="79" spans="2:2" x14ac:dyDescent="0.25">
      <c r="B79" t="s">
        <v>16</v>
      </c>
    </row>
    <row r="80" spans="2:2" x14ac:dyDescent="0.25">
      <c r="B80" t="s">
        <v>16</v>
      </c>
    </row>
    <row r="81" spans="2:2" x14ac:dyDescent="0.25">
      <c r="B81" t="s">
        <v>16</v>
      </c>
    </row>
    <row r="82" spans="2:2" x14ac:dyDescent="0.25">
      <c r="B82" t="s">
        <v>16</v>
      </c>
    </row>
    <row r="83" spans="2:2" x14ac:dyDescent="0.25">
      <c r="B83" t="s">
        <v>16</v>
      </c>
    </row>
    <row r="84" spans="2:2" x14ac:dyDescent="0.25">
      <c r="B84" t="s">
        <v>16</v>
      </c>
    </row>
    <row r="85" spans="2:2" x14ac:dyDescent="0.25">
      <c r="B85" t="s">
        <v>16</v>
      </c>
    </row>
    <row r="86" spans="2:2" x14ac:dyDescent="0.25">
      <c r="B86" t="s">
        <v>16</v>
      </c>
    </row>
    <row r="87" spans="2:2" x14ac:dyDescent="0.25">
      <c r="B87" t="s">
        <v>16</v>
      </c>
    </row>
    <row r="88" spans="2:2" x14ac:dyDescent="0.25">
      <c r="B88" t="s">
        <v>16</v>
      </c>
    </row>
    <row r="89" spans="2:2" x14ac:dyDescent="0.25">
      <c r="B89" t="s">
        <v>21</v>
      </c>
    </row>
    <row r="90" spans="2:2" x14ac:dyDescent="0.25">
      <c r="B90" t="s">
        <v>21</v>
      </c>
    </row>
    <row r="91" spans="2:2" x14ac:dyDescent="0.25">
      <c r="B91" t="s">
        <v>66</v>
      </c>
    </row>
    <row r="92" spans="2:2" x14ac:dyDescent="0.25">
      <c r="B92" t="s">
        <v>16</v>
      </c>
    </row>
    <row r="93" spans="2:2" x14ac:dyDescent="0.25">
      <c r="B93" t="s">
        <v>16</v>
      </c>
    </row>
    <row r="94" spans="2:2" x14ac:dyDescent="0.25">
      <c r="B94" t="s">
        <v>16</v>
      </c>
    </row>
    <row r="95" spans="2:2" x14ac:dyDescent="0.25">
      <c r="B95" t="s">
        <v>16</v>
      </c>
    </row>
    <row r="96" spans="2:2" x14ac:dyDescent="0.25">
      <c r="B96" t="s">
        <v>16</v>
      </c>
    </row>
    <row r="97" spans="2:2" x14ac:dyDescent="0.25">
      <c r="B97" t="s">
        <v>16</v>
      </c>
    </row>
    <row r="98" spans="2:2" x14ac:dyDescent="0.25">
      <c r="B98" t="s">
        <v>16</v>
      </c>
    </row>
    <row r="99" spans="2:2" x14ac:dyDescent="0.25">
      <c r="B99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D9D7E-459B-4304-AFE6-BF8FDDBFC251}">
  <sheetPr codeName="Лист2"/>
  <dimension ref="A1:AL29"/>
  <sheetViews>
    <sheetView showGridLines="0" topLeftCell="J1" workbookViewId="0">
      <pane ySplit="1" topLeftCell="A2" activePane="bottomLeft" state="frozen"/>
      <selection pane="bottomLeft" activeCell="S1" sqref="S1:W29"/>
    </sheetView>
  </sheetViews>
  <sheetFormatPr defaultRowHeight="15" x14ac:dyDescent="0.25"/>
  <cols>
    <col min="1" max="1" width="38.85546875" style="22" bestFit="1" customWidth="1"/>
    <col min="2" max="2" width="4.5703125" style="23" bestFit="1" customWidth="1"/>
    <col min="3" max="3" width="6.28515625" style="24" bestFit="1" customWidth="1"/>
    <col min="4" max="4" width="9.140625" style="19" customWidth="1"/>
    <col min="5" max="5" width="10.85546875" style="19" bestFit="1" customWidth="1"/>
    <col min="6" max="6" width="91.5703125" style="3" bestFit="1" customWidth="1"/>
    <col min="7" max="7" width="6.85546875" style="3" bestFit="1" customWidth="1"/>
    <col min="8" max="8" width="6.42578125" style="3" bestFit="1" customWidth="1"/>
    <col min="9" max="9" width="14.42578125" style="3" bestFit="1" customWidth="1"/>
    <col min="10" max="10" width="16.140625" style="3" bestFit="1" customWidth="1"/>
    <col min="11" max="11" width="9.5703125" style="3" customWidth="1"/>
    <col min="12" max="12" width="26.140625" style="3" bestFit="1" customWidth="1"/>
    <col min="13" max="13" width="27" style="3" bestFit="1" customWidth="1"/>
    <col min="14" max="14" width="15.7109375" style="3" customWidth="1"/>
    <col min="15" max="15" width="8.85546875" style="3" bestFit="1" customWidth="1"/>
    <col min="16" max="16" width="8" style="3" bestFit="1" customWidth="1"/>
    <col min="17" max="17" width="8" style="3" customWidth="1"/>
    <col min="18" max="18" width="19.42578125" style="3" bestFit="1" customWidth="1"/>
    <col min="19" max="19" width="11" style="18" bestFit="1" customWidth="1"/>
    <col min="20" max="23" width="9.140625" style="19"/>
    <col min="24" max="29" width="9.140625" style="20"/>
    <col min="30" max="30" width="9.140625" style="21"/>
    <col min="31" max="33" width="9.140625" style="20"/>
    <col min="34" max="34" width="9.5703125" style="20" bestFit="1" customWidth="1"/>
    <col min="35" max="35" width="34.28515625" style="20" customWidth="1"/>
    <col min="36" max="16384" width="9.140625" style="20"/>
  </cols>
  <sheetData>
    <row r="1" spans="1:38" s="27" customFormat="1" ht="15.75" thickBot="1" x14ac:dyDescent="0.3">
      <c r="A1" s="28" t="s">
        <v>0</v>
      </c>
      <c r="B1" s="29" t="s">
        <v>1</v>
      </c>
      <c r="C1" s="30" t="s">
        <v>2</v>
      </c>
      <c r="D1" s="26" t="s">
        <v>4</v>
      </c>
      <c r="E1" s="26" t="s">
        <v>3</v>
      </c>
      <c r="F1" s="25" t="s">
        <v>71</v>
      </c>
      <c r="G1" s="25" t="s">
        <v>1</v>
      </c>
      <c r="H1" s="25" t="s">
        <v>72</v>
      </c>
      <c r="I1" s="25" t="s">
        <v>73</v>
      </c>
      <c r="J1" s="25" t="s">
        <v>74</v>
      </c>
      <c r="K1" s="25" t="s">
        <v>75</v>
      </c>
      <c r="L1" s="25" t="s">
        <v>76</v>
      </c>
      <c r="M1" s="25" t="s">
        <v>77</v>
      </c>
      <c r="N1" s="25" t="s">
        <v>78</v>
      </c>
      <c r="O1" s="25" t="s">
        <v>79</v>
      </c>
      <c r="P1" s="25" t="s">
        <v>5</v>
      </c>
      <c r="Q1" s="25" t="s">
        <v>11</v>
      </c>
      <c r="R1" s="25" t="s">
        <v>80</v>
      </c>
      <c r="S1" s="14">
        <v>56</v>
      </c>
      <c r="T1" s="15">
        <v>58</v>
      </c>
      <c r="U1" s="15">
        <v>60</v>
      </c>
      <c r="V1" s="15">
        <v>62</v>
      </c>
      <c r="W1" s="15" t="s">
        <v>22</v>
      </c>
      <c r="X1" s="16"/>
      <c r="Y1" s="16"/>
      <c r="Z1" s="16"/>
      <c r="AA1" s="16"/>
      <c r="AB1" s="16"/>
      <c r="AC1" s="16"/>
      <c r="AD1" s="17"/>
      <c r="AH1" s="27" t="s">
        <v>93</v>
      </c>
      <c r="AI1" s="31" cm="1">
        <f t="array" ref="AI1:AL1">_xlfn.LET(_xlpm.sizeCol,B2:B448,TRANSPOSE(_xlfn._xlws.SORT(_xlfn.UNIQUE(_xlfn._xlws.FILTER(_xlpm.sizeCol,_xlpm.sizeCol&lt;&gt;"","")))))</f>
        <v>56</v>
      </c>
      <c r="AJ1" s="27">
        <v>58</v>
      </c>
      <c r="AK1" s="27">
        <v>60</v>
      </c>
      <c r="AL1" s="27" t="str">
        <v>o/s</v>
      </c>
    </row>
    <row r="2" spans="1:38" x14ac:dyDescent="0.25">
      <c r="A2" s="22" t="str">
        <f t="shared" ref="A2:A29" si="0">D2&amp;E2</f>
        <v>10145637BLKBLK</v>
      </c>
      <c r="B2" s="23">
        <v>58</v>
      </c>
      <c r="C2" s="24">
        <v>5</v>
      </c>
      <c r="D2" s="19">
        <v>10145637</v>
      </c>
      <c r="E2" s="19" t="s">
        <v>99</v>
      </c>
      <c r="F2" s="3" t="s">
        <v>109</v>
      </c>
      <c r="G2" s="3" t="s">
        <v>26</v>
      </c>
      <c r="H2" s="3" t="s">
        <v>142</v>
      </c>
      <c r="I2" s="3">
        <v>58</v>
      </c>
      <c r="J2" s="3" t="s">
        <v>84</v>
      </c>
      <c r="K2" s="3">
        <v>5</v>
      </c>
      <c r="L2" s="3" t="s">
        <v>85</v>
      </c>
      <c r="M2" s="3" t="s">
        <v>157</v>
      </c>
      <c r="O2" s="3" t="s">
        <v>87</v>
      </c>
      <c r="P2" s="3">
        <v>1489.65</v>
      </c>
      <c r="Q2" s="3" t="s">
        <v>18</v>
      </c>
      <c r="R2" s="3" t="s">
        <v>17</v>
      </c>
      <c r="T2" s="19">
        <v>5</v>
      </c>
    </row>
    <row r="3" spans="1:38" x14ac:dyDescent="0.25">
      <c r="A3" s="22" t="str">
        <f t="shared" si="0"/>
        <v>10145640NVYWHI</v>
      </c>
      <c r="B3" s="23">
        <v>56</v>
      </c>
      <c r="C3" s="24">
        <v>3</v>
      </c>
      <c r="D3" s="19">
        <v>10145640</v>
      </c>
      <c r="E3" s="19" t="s">
        <v>107</v>
      </c>
      <c r="F3" s="3" t="s">
        <v>110</v>
      </c>
      <c r="G3" s="3" t="s">
        <v>29</v>
      </c>
      <c r="H3" s="3" t="s">
        <v>143</v>
      </c>
      <c r="I3" s="3">
        <v>56</v>
      </c>
      <c r="J3" s="3" t="s">
        <v>84</v>
      </c>
      <c r="K3" s="3">
        <v>3</v>
      </c>
      <c r="L3" s="3" t="s">
        <v>85</v>
      </c>
      <c r="M3" s="3" t="s">
        <v>157</v>
      </c>
      <c r="O3" s="3" t="s">
        <v>87</v>
      </c>
      <c r="P3" s="3">
        <v>1489.65</v>
      </c>
      <c r="Q3" s="3" t="s">
        <v>18</v>
      </c>
      <c r="R3" s="3" t="s">
        <v>19</v>
      </c>
      <c r="S3" s="18">
        <v>3</v>
      </c>
    </row>
    <row r="4" spans="1:38" x14ac:dyDescent="0.25">
      <c r="A4" s="22" t="str">
        <f t="shared" si="0"/>
        <v>10298276SCAWHI</v>
      </c>
      <c r="B4" s="23">
        <v>58</v>
      </c>
      <c r="C4" s="24">
        <v>8</v>
      </c>
      <c r="D4" s="19">
        <v>10298276</v>
      </c>
      <c r="E4" s="19" t="s">
        <v>108</v>
      </c>
      <c r="F4" s="3" t="s">
        <v>111</v>
      </c>
      <c r="G4" s="3" t="s">
        <v>26</v>
      </c>
      <c r="H4" s="3" t="s">
        <v>142</v>
      </c>
      <c r="I4" s="3">
        <v>58</v>
      </c>
      <c r="J4" s="3" t="s">
        <v>84</v>
      </c>
      <c r="K4" s="3">
        <v>8</v>
      </c>
      <c r="L4" s="3" t="s">
        <v>85</v>
      </c>
      <c r="M4" s="3" t="s">
        <v>157</v>
      </c>
      <c r="O4" s="3" t="s">
        <v>87</v>
      </c>
      <c r="P4" s="3">
        <v>1489.65</v>
      </c>
      <c r="Q4" s="3" t="s">
        <v>18</v>
      </c>
      <c r="R4" s="3" t="s">
        <v>17</v>
      </c>
      <c r="S4" s="18">
        <v>4</v>
      </c>
      <c r="T4" s="19">
        <v>8</v>
      </c>
    </row>
    <row r="5" spans="1:38" s="19" customFormat="1" x14ac:dyDescent="0.25">
      <c r="A5" s="22" t="str">
        <f t="shared" si="0"/>
        <v>10745455WHIBLA</v>
      </c>
      <c r="B5" s="23" t="s">
        <v>22</v>
      </c>
      <c r="C5" s="24">
        <v>5</v>
      </c>
      <c r="D5" s="19">
        <v>10745455</v>
      </c>
      <c r="E5" s="19" t="s">
        <v>94</v>
      </c>
      <c r="F5" s="3" t="s">
        <v>115</v>
      </c>
      <c r="G5" s="3" t="s">
        <v>22</v>
      </c>
      <c r="H5" s="3" t="s">
        <v>83</v>
      </c>
      <c r="I5" s="3" t="s">
        <v>22</v>
      </c>
      <c r="J5" s="3" t="s">
        <v>84</v>
      </c>
      <c r="K5" s="3">
        <v>5</v>
      </c>
      <c r="L5" s="3" t="s">
        <v>85</v>
      </c>
      <c r="M5" s="3" t="s">
        <v>154</v>
      </c>
      <c r="N5" s="3"/>
      <c r="O5" s="3" t="s">
        <v>87</v>
      </c>
      <c r="P5" s="3">
        <v>1210.25</v>
      </c>
      <c r="Q5" s="3" t="s">
        <v>18</v>
      </c>
      <c r="R5" s="3" t="s">
        <v>17</v>
      </c>
      <c r="S5" s="18"/>
      <c r="W5" s="19">
        <v>5</v>
      </c>
      <c r="X5" s="20"/>
      <c r="Y5" s="20"/>
      <c r="Z5" s="20"/>
      <c r="AA5" s="20"/>
      <c r="AB5" s="20"/>
      <c r="AC5" s="20"/>
      <c r="AD5" s="21"/>
    </row>
    <row r="6" spans="1:38" s="19" customFormat="1" x14ac:dyDescent="0.25">
      <c r="A6" s="22" t="str">
        <f t="shared" si="0"/>
        <v>11209938WHI</v>
      </c>
      <c r="B6" s="23" t="s">
        <v>22</v>
      </c>
      <c r="C6" s="24">
        <v>5</v>
      </c>
      <c r="D6" s="19">
        <v>11209938</v>
      </c>
      <c r="E6" s="19" t="s">
        <v>105</v>
      </c>
      <c r="F6" s="3" t="s">
        <v>116</v>
      </c>
      <c r="G6" s="3" t="s">
        <v>22</v>
      </c>
      <c r="H6" s="3" t="s">
        <v>83</v>
      </c>
      <c r="I6" s="3" t="s">
        <v>22</v>
      </c>
      <c r="J6" s="3" t="s">
        <v>88</v>
      </c>
      <c r="K6" s="3">
        <v>5</v>
      </c>
      <c r="L6" s="3" t="s">
        <v>146</v>
      </c>
      <c r="M6" s="3" t="s">
        <v>155</v>
      </c>
      <c r="N6" s="3"/>
      <c r="O6" s="3" t="s">
        <v>87</v>
      </c>
      <c r="P6" s="3">
        <v>1070.56</v>
      </c>
      <c r="Q6" s="3" t="s">
        <v>18</v>
      </c>
      <c r="R6" s="3" t="s">
        <v>17</v>
      </c>
      <c r="S6" s="18"/>
      <c r="W6" s="19">
        <v>5</v>
      </c>
      <c r="X6" s="20"/>
      <c r="Y6" s="20"/>
      <c r="Z6" s="20"/>
      <c r="AA6" s="20"/>
      <c r="AB6" s="20"/>
      <c r="AC6" s="20"/>
      <c r="AD6" s="21"/>
    </row>
    <row r="7" spans="1:38" x14ac:dyDescent="0.25">
      <c r="A7" s="22" t="str">
        <f t="shared" si="0"/>
        <v>11213219SCA</v>
      </c>
      <c r="B7" s="23" t="s">
        <v>22</v>
      </c>
      <c r="C7" s="24">
        <v>7</v>
      </c>
      <c r="D7" s="19">
        <v>11213219</v>
      </c>
      <c r="E7" s="19" t="s">
        <v>104</v>
      </c>
      <c r="F7" s="3" t="s">
        <v>117</v>
      </c>
      <c r="G7" s="3" t="s">
        <v>22</v>
      </c>
      <c r="H7" s="3" t="s">
        <v>83</v>
      </c>
      <c r="I7" s="3" t="s">
        <v>22</v>
      </c>
      <c r="J7" s="3" t="s">
        <v>84</v>
      </c>
      <c r="K7" s="3">
        <v>7</v>
      </c>
      <c r="L7" s="3" t="s">
        <v>85</v>
      </c>
      <c r="M7" s="3" t="s">
        <v>154</v>
      </c>
      <c r="O7" s="3" t="s">
        <v>87</v>
      </c>
      <c r="P7" s="3">
        <v>1210.25</v>
      </c>
      <c r="Q7" s="3" t="s">
        <v>49</v>
      </c>
      <c r="R7" s="3" t="s">
        <v>51</v>
      </c>
      <c r="W7" s="19">
        <v>7</v>
      </c>
    </row>
    <row r="8" spans="1:38" x14ac:dyDescent="0.25">
      <c r="A8" s="22" t="str">
        <f t="shared" si="0"/>
        <v>11213222BLK</v>
      </c>
      <c r="B8" s="23" t="s">
        <v>22</v>
      </c>
      <c r="C8" s="24">
        <v>7</v>
      </c>
      <c r="D8" s="19">
        <v>11213222</v>
      </c>
      <c r="E8" s="19" t="s">
        <v>8</v>
      </c>
      <c r="F8" s="3" t="s">
        <v>118</v>
      </c>
      <c r="G8" s="3" t="s">
        <v>22</v>
      </c>
      <c r="H8" s="3" t="s">
        <v>83</v>
      </c>
      <c r="I8" s="3" t="s">
        <v>22</v>
      </c>
      <c r="J8" s="3" t="s">
        <v>84</v>
      </c>
      <c r="K8" s="3">
        <v>7</v>
      </c>
      <c r="L8" s="3" t="s">
        <v>85</v>
      </c>
      <c r="M8" s="3" t="s">
        <v>154</v>
      </c>
      <c r="O8" s="3" t="s">
        <v>87</v>
      </c>
      <c r="P8" s="3">
        <v>1210.25</v>
      </c>
      <c r="Q8" s="3" t="s">
        <v>49</v>
      </c>
      <c r="R8" s="3" t="s">
        <v>51</v>
      </c>
      <c r="W8" s="19">
        <v>7</v>
      </c>
    </row>
    <row r="9" spans="1:38" x14ac:dyDescent="0.25">
      <c r="A9" s="22" t="str">
        <f t="shared" si="0"/>
        <v>11357008CAMBLK</v>
      </c>
      <c r="B9" s="23" t="s">
        <v>22</v>
      </c>
      <c r="C9" s="24">
        <v>15</v>
      </c>
      <c r="D9" s="19">
        <v>11357008</v>
      </c>
      <c r="E9" s="19" t="s">
        <v>95</v>
      </c>
      <c r="F9" s="3" t="s">
        <v>119</v>
      </c>
      <c r="G9" s="3" t="s">
        <v>22</v>
      </c>
      <c r="H9" s="3" t="s">
        <v>83</v>
      </c>
      <c r="I9" s="3" t="s">
        <v>22</v>
      </c>
      <c r="J9" s="3" t="s">
        <v>88</v>
      </c>
      <c r="K9" s="3">
        <v>15</v>
      </c>
      <c r="L9" s="3" t="s">
        <v>147</v>
      </c>
      <c r="M9" s="3" t="s">
        <v>154</v>
      </c>
      <c r="O9" s="3" t="s">
        <v>87</v>
      </c>
      <c r="P9" s="3">
        <v>1210.25</v>
      </c>
      <c r="Q9" s="3" t="s">
        <v>18</v>
      </c>
      <c r="R9" s="3" t="s">
        <v>17</v>
      </c>
      <c r="W9" s="19">
        <v>15</v>
      </c>
    </row>
    <row r="10" spans="1:38" x14ac:dyDescent="0.25">
      <c r="A10" s="22" t="str">
        <f t="shared" si="0"/>
        <v>11405492LRYWHI</v>
      </c>
      <c r="B10" s="23" t="s">
        <v>22</v>
      </c>
      <c r="C10" s="24">
        <v>8</v>
      </c>
      <c r="D10" s="19">
        <v>11405492</v>
      </c>
      <c r="E10" s="19" t="s">
        <v>106</v>
      </c>
      <c r="F10" s="3" t="s">
        <v>120</v>
      </c>
      <c r="G10" s="3" t="s">
        <v>22</v>
      </c>
      <c r="H10" s="3" t="s">
        <v>83</v>
      </c>
      <c r="I10" s="3" t="s">
        <v>22</v>
      </c>
      <c r="J10" s="3" t="s">
        <v>84</v>
      </c>
      <c r="K10" s="3">
        <v>8</v>
      </c>
      <c r="L10" s="3" t="s">
        <v>85</v>
      </c>
      <c r="M10" s="3" t="s">
        <v>154</v>
      </c>
      <c r="O10" s="3" t="s">
        <v>87</v>
      </c>
      <c r="P10" s="3">
        <v>1210.25</v>
      </c>
      <c r="Q10" s="3" t="s">
        <v>18</v>
      </c>
      <c r="R10" s="3" t="s">
        <v>19</v>
      </c>
      <c r="W10" s="19">
        <v>8</v>
      </c>
    </row>
    <row r="11" spans="1:38" x14ac:dyDescent="0.25">
      <c r="A11" s="22" t="str">
        <f t="shared" si="0"/>
        <v>11405605OTC</v>
      </c>
      <c r="B11" s="23" t="s">
        <v>22</v>
      </c>
      <c r="C11" s="24">
        <v>6</v>
      </c>
      <c r="D11" s="19">
        <v>11405605</v>
      </c>
      <c r="E11" s="19" t="s">
        <v>7</v>
      </c>
      <c r="F11" s="3" t="s">
        <v>121</v>
      </c>
      <c r="G11" s="3" t="s">
        <v>22</v>
      </c>
      <c r="H11" s="3" t="s">
        <v>83</v>
      </c>
      <c r="I11" s="3" t="s">
        <v>22</v>
      </c>
      <c r="J11" s="3" t="s">
        <v>84</v>
      </c>
      <c r="K11" s="3">
        <v>6</v>
      </c>
      <c r="L11" s="3" t="s">
        <v>85</v>
      </c>
      <c r="M11" s="3" t="s">
        <v>86</v>
      </c>
      <c r="O11" s="3" t="s">
        <v>87</v>
      </c>
      <c r="P11" s="3">
        <v>1349.95</v>
      </c>
      <c r="Q11" s="3" t="s">
        <v>25</v>
      </c>
      <c r="R11" s="3" t="s">
        <v>28</v>
      </c>
      <c r="W11" s="19">
        <v>6</v>
      </c>
    </row>
    <row r="12" spans="1:38" x14ac:dyDescent="0.25">
      <c r="A12" s="22" t="str">
        <f t="shared" si="0"/>
        <v>11405614OTC</v>
      </c>
      <c r="B12" s="23" t="s">
        <v>22</v>
      </c>
      <c r="C12" s="24">
        <v>1</v>
      </c>
      <c r="D12" s="19">
        <v>11405614</v>
      </c>
      <c r="E12" s="19" t="s">
        <v>7</v>
      </c>
      <c r="F12" s="3" t="s">
        <v>122</v>
      </c>
      <c r="G12" s="3" t="s">
        <v>22</v>
      </c>
      <c r="H12" s="3" t="s">
        <v>83</v>
      </c>
      <c r="I12" s="3" t="s">
        <v>22</v>
      </c>
      <c r="J12" s="3" t="s">
        <v>84</v>
      </c>
      <c r="K12" s="3">
        <v>1</v>
      </c>
      <c r="L12" s="3" t="s">
        <v>85</v>
      </c>
      <c r="M12" s="3" t="s">
        <v>86</v>
      </c>
      <c r="O12" s="3" t="s">
        <v>87</v>
      </c>
      <c r="P12" s="3">
        <v>1349.95</v>
      </c>
      <c r="Q12" s="3" t="s">
        <v>25</v>
      </c>
      <c r="R12" s="3" t="s">
        <v>24</v>
      </c>
      <c r="W12" s="19">
        <v>1</v>
      </c>
    </row>
    <row r="13" spans="1:38" x14ac:dyDescent="0.25">
      <c r="A13" s="22" t="str">
        <f t="shared" si="0"/>
        <v>11405616OTC</v>
      </c>
      <c r="B13" s="23" t="s">
        <v>22</v>
      </c>
      <c r="C13" s="24">
        <v>8</v>
      </c>
      <c r="D13" s="19">
        <v>11405616</v>
      </c>
      <c r="E13" s="19" t="s">
        <v>7</v>
      </c>
      <c r="F13" s="3" t="s">
        <v>123</v>
      </c>
      <c r="G13" s="3" t="s">
        <v>22</v>
      </c>
      <c r="H13" s="3" t="s">
        <v>83</v>
      </c>
      <c r="I13" s="3" t="s">
        <v>22</v>
      </c>
      <c r="J13" s="3" t="s">
        <v>84</v>
      </c>
      <c r="K13" s="3">
        <v>8</v>
      </c>
      <c r="L13" s="3" t="s">
        <v>85</v>
      </c>
      <c r="M13" s="3" t="s">
        <v>86</v>
      </c>
      <c r="O13" s="3" t="s">
        <v>87</v>
      </c>
      <c r="P13" s="3">
        <v>1687.44</v>
      </c>
      <c r="Q13" s="3" t="s">
        <v>25</v>
      </c>
      <c r="R13" s="3" t="s">
        <v>42</v>
      </c>
      <c r="W13" s="19">
        <v>8</v>
      </c>
    </row>
    <row r="14" spans="1:38" x14ac:dyDescent="0.25">
      <c r="A14" s="22" t="str">
        <f t="shared" si="0"/>
        <v>12380822OTC</v>
      </c>
      <c r="B14" s="23" t="s">
        <v>22</v>
      </c>
      <c r="C14" s="24">
        <v>1</v>
      </c>
      <c r="D14" s="19">
        <v>12380822</v>
      </c>
      <c r="E14" s="19" t="s">
        <v>7</v>
      </c>
      <c r="F14" s="3" t="s">
        <v>124</v>
      </c>
      <c r="G14" s="3" t="s">
        <v>22</v>
      </c>
      <c r="H14" s="3" t="s">
        <v>83</v>
      </c>
      <c r="I14" s="3" t="s">
        <v>22</v>
      </c>
      <c r="J14" s="3" t="s">
        <v>88</v>
      </c>
      <c r="K14" s="3">
        <v>1</v>
      </c>
      <c r="L14" s="3" t="s">
        <v>148</v>
      </c>
      <c r="M14" s="3" t="s">
        <v>86</v>
      </c>
      <c r="O14" s="3" t="s">
        <v>87</v>
      </c>
      <c r="P14" s="3">
        <v>1862.06</v>
      </c>
      <c r="Q14" s="3" t="s">
        <v>25</v>
      </c>
      <c r="R14" s="3" t="s">
        <v>24</v>
      </c>
      <c r="W14" s="19">
        <v>1</v>
      </c>
    </row>
    <row r="15" spans="1:38" x14ac:dyDescent="0.25">
      <c r="A15" s="22" t="str">
        <f t="shared" si="0"/>
        <v>12381106GRA</v>
      </c>
      <c r="B15" s="23" t="s">
        <v>22</v>
      </c>
      <c r="C15" s="24">
        <v>6</v>
      </c>
      <c r="D15" s="19">
        <v>12381106</v>
      </c>
      <c r="E15" s="19" t="s">
        <v>100</v>
      </c>
      <c r="F15" s="3" t="s">
        <v>125</v>
      </c>
      <c r="G15" s="3" t="s">
        <v>22</v>
      </c>
      <c r="H15" s="3" t="s">
        <v>83</v>
      </c>
      <c r="I15" s="3" t="s">
        <v>22</v>
      </c>
      <c r="J15" s="3" t="s">
        <v>84</v>
      </c>
      <c r="K15" s="3">
        <v>6</v>
      </c>
      <c r="L15" s="3" t="s">
        <v>85</v>
      </c>
      <c r="M15" s="3" t="s">
        <v>156</v>
      </c>
      <c r="O15" s="3" t="s">
        <v>87</v>
      </c>
      <c r="P15" s="3">
        <v>1582.78</v>
      </c>
      <c r="Q15" s="3" t="s">
        <v>18</v>
      </c>
      <c r="R15" s="3" t="s">
        <v>17</v>
      </c>
      <c r="W15" s="19">
        <v>6</v>
      </c>
    </row>
    <row r="16" spans="1:38" x14ac:dyDescent="0.25">
      <c r="A16" s="22" t="str">
        <f t="shared" si="0"/>
        <v>12523887NOV</v>
      </c>
      <c r="B16" s="23" t="s">
        <v>22</v>
      </c>
      <c r="C16" s="24">
        <v>5</v>
      </c>
      <c r="D16" s="19">
        <v>12523887</v>
      </c>
      <c r="E16" s="19" t="s">
        <v>96</v>
      </c>
      <c r="F16" s="3" t="s">
        <v>126</v>
      </c>
      <c r="G16" s="3" t="s">
        <v>22</v>
      </c>
      <c r="H16" s="3" t="s">
        <v>83</v>
      </c>
      <c r="I16" s="3" t="s">
        <v>22</v>
      </c>
      <c r="J16" s="3" t="s">
        <v>84</v>
      </c>
      <c r="K16" s="3">
        <v>5</v>
      </c>
      <c r="L16" s="3" t="s">
        <v>85</v>
      </c>
      <c r="M16" s="3" t="s">
        <v>154</v>
      </c>
      <c r="O16" s="3" t="s">
        <v>87</v>
      </c>
      <c r="P16" s="3">
        <v>1210.25</v>
      </c>
      <c r="Q16" s="3" t="s">
        <v>18</v>
      </c>
      <c r="R16" s="3" t="s">
        <v>17</v>
      </c>
      <c r="W16" s="19">
        <v>5</v>
      </c>
    </row>
    <row r="17" spans="1:23" x14ac:dyDescent="0.25">
      <c r="A17" s="22" t="str">
        <f t="shared" si="0"/>
        <v>12523888MRN</v>
      </c>
      <c r="B17" s="23" t="s">
        <v>22</v>
      </c>
      <c r="C17" s="24">
        <v>4</v>
      </c>
      <c r="D17" s="19">
        <v>12523888</v>
      </c>
      <c r="E17" s="19" t="s">
        <v>97</v>
      </c>
      <c r="F17" s="3" t="s">
        <v>127</v>
      </c>
      <c r="G17" s="3" t="s">
        <v>22</v>
      </c>
      <c r="H17" s="3" t="s">
        <v>83</v>
      </c>
      <c r="I17" s="3" t="s">
        <v>22</v>
      </c>
      <c r="J17" s="3" t="s">
        <v>84</v>
      </c>
      <c r="K17" s="3">
        <v>4</v>
      </c>
      <c r="L17" s="3" t="s">
        <v>85</v>
      </c>
      <c r="M17" s="3" t="s">
        <v>154</v>
      </c>
      <c r="O17" s="3" t="s">
        <v>87</v>
      </c>
      <c r="P17" s="3">
        <v>1210.25</v>
      </c>
      <c r="Q17" s="3" t="s">
        <v>18</v>
      </c>
      <c r="R17" s="3" t="s">
        <v>17</v>
      </c>
      <c r="W17" s="19">
        <v>4</v>
      </c>
    </row>
    <row r="18" spans="1:23" x14ac:dyDescent="0.25">
      <c r="A18" s="22" t="str">
        <f t="shared" si="0"/>
        <v>12523889BLK</v>
      </c>
      <c r="B18" s="23" t="s">
        <v>22</v>
      </c>
      <c r="C18" s="24">
        <v>5</v>
      </c>
      <c r="D18" s="19">
        <v>12523889</v>
      </c>
      <c r="E18" s="19" t="s">
        <v>8</v>
      </c>
      <c r="F18" s="3" t="s">
        <v>128</v>
      </c>
      <c r="G18" s="3" t="s">
        <v>22</v>
      </c>
      <c r="H18" s="3" t="s">
        <v>83</v>
      </c>
      <c r="I18" s="3" t="s">
        <v>22</v>
      </c>
      <c r="J18" s="3" t="s">
        <v>84</v>
      </c>
      <c r="K18" s="3">
        <v>5</v>
      </c>
      <c r="L18" s="3" t="s">
        <v>85</v>
      </c>
      <c r="M18" s="3" t="s">
        <v>154</v>
      </c>
      <c r="O18" s="3" t="s">
        <v>87</v>
      </c>
      <c r="P18" s="3">
        <v>1210.25</v>
      </c>
      <c r="Q18" s="3" t="s">
        <v>18</v>
      </c>
      <c r="R18" s="3" t="s">
        <v>17</v>
      </c>
      <c r="W18" s="19">
        <v>5</v>
      </c>
    </row>
    <row r="19" spans="1:23" x14ac:dyDescent="0.25">
      <c r="A19" s="22" t="str">
        <f t="shared" si="0"/>
        <v>12523898GRHWHI</v>
      </c>
      <c r="B19" s="23" t="s">
        <v>22</v>
      </c>
      <c r="C19" s="24">
        <v>6</v>
      </c>
      <c r="D19" s="19">
        <v>12523898</v>
      </c>
      <c r="E19" s="19" t="s">
        <v>101</v>
      </c>
      <c r="F19" s="3" t="s">
        <v>129</v>
      </c>
      <c r="G19" s="3" t="s">
        <v>22</v>
      </c>
      <c r="H19" s="3" t="s">
        <v>83</v>
      </c>
      <c r="I19" s="3" t="s">
        <v>22</v>
      </c>
      <c r="J19" s="3" t="s">
        <v>84</v>
      </c>
      <c r="K19" s="3">
        <v>6</v>
      </c>
      <c r="L19" s="3" t="s">
        <v>85</v>
      </c>
      <c r="M19" s="3" t="s">
        <v>156</v>
      </c>
      <c r="O19" s="3" t="s">
        <v>87</v>
      </c>
      <c r="P19" s="3">
        <v>1582.78</v>
      </c>
      <c r="Q19" s="3" t="s">
        <v>18</v>
      </c>
      <c r="R19" s="3" t="s">
        <v>17</v>
      </c>
      <c r="W19" s="19">
        <v>6</v>
      </c>
    </row>
    <row r="20" spans="1:23" x14ac:dyDescent="0.25">
      <c r="A20" s="22" t="str">
        <f t="shared" si="0"/>
        <v>12523906GRHGRH</v>
      </c>
      <c r="B20" s="23" t="s">
        <v>22</v>
      </c>
      <c r="C20" s="24">
        <v>8</v>
      </c>
      <c r="D20" s="19">
        <v>12523906</v>
      </c>
      <c r="E20" s="19" t="s">
        <v>98</v>
      </c>
      <c r="F20" s="3" t="s">
        <v>130</v>
      </c>
      <c r="G20" s="3" t="s">
        <v>22</v>
      </c>
      <c r="H20" s="3" t="s">
        <v>83</v>
      </c>
      <c r="I20" s="3" t="s">
        <v>22</v>
      </c>
      <c r="J20" s="3" t="s">
        <v>84</v>
      </c>
      <c r="K20" s="3">
        <v>8</v>
      </c>
      <c r="L20" s="3" t="s">
        <v>85</v>
      </c>
      <c r="M20" s="3" t="s">
        <v>86</v>
      </c>
      <c r="O20" s="3" t="s">
        <v>87</v>
      </c>
      <c r="P20" s="3">
        <v>1862.06</v>
      </c>
      <c r="Q20" s="3" t="s">
        <v>18</v>
      </c>
      <c r="R20" s="3" t="s">
        <v>17</v>
      </c>
      <c r="W20" s="19">
        <v>8</v>
      </c>
    </row>
    <row r="21" spans="1:23" x14ac:dyDescent="0.25">
      <c r="A21" s="22" t="str">
        <f t="shared" si="0"/>
        <v>12523911BLKBLK</v>
      </c>
      <c r="B21" s="23" t="s">
        <v>22</v>
      </c>
      <c r="C21" s="24">
        <v>7</v>
      </c>
      <c r="D21" s="19">
        <v>12523911</v>
      </c>
      <c r="E21" s="19" t="s">
        <v>99</v>
      </c>
      <c r="F21" s="3" t="s">
        <v>131</v>
      </c>
      <c r="G21" s="3" t="s">
        <v>22</v>
      </c>
      <c r="H21" s="3" t="s">
        <v>83</v>
      </c>
      <c r="I21" s="3" t="s">
        <v>22</v>
      </c>
      <c r="J21" s="3" t="s">
        <v>88</v>
      </c>
      <c r="K21" s="3">
        <v>7</v>
      </c>
      <c r="L21" s="3" t="s">
        <v>148</v>
      </c>
      <c r="M21" s="3" t="s">
        <v>90</v>
      </c>
      <c r="O21" s="3" t="s">
        <v>87</v>
      </c>
      <c r="P21" s="3">
        <v>1489.65</v>
      </c>
      <c r="Q21" s="3" t="s">
        <v>25</v>
      </c>
      <c r="R21" s="3" t="s">
        <v>28</v>
      </c>
      <c r="W21" s="19">
        <v>7</v>
      </c>
    </row>
    <row r="22" spans="1:23" x14ac:dyDescent="0.25">
      <c r="A22" s="22" t="str">
        <f t="shared" si="0"/>
        <v>60143388BLK</v>
      </c>
      <c r="B22" s="23" t="s">
        <v>22</v>
      </c>
      <c r="C22" s="24">
        <v>2</v>
      </c>
      <c r="D22" s="19">
        <v>60143388</v>
      </c>
      <c r="E22" s="19" t="s">
        <v>8</v>
      </c>
      <c r="F22" s="3" t="s">
        <v>132</v>
      </c>
      <c r="G22" s="3" t="s">
        <v>22</v>
      </c>
      <c r="H22" s="3" t="s">
        <v>83</v>
      </c>
      <c r="I22" s="3" t="s">
        <v>22</v>
      </c>
      <c r="J22" s="3" t="s">
        <v>88</v>
      </c>
      <c r="K22" s="3">
        <v>2</v>
      </c>
      <c r="L22" s="3" t="s">
        <v>149</v>
      </c>
      <c r="M22" s="3" t="s">
        <v>90</v>
      </c>
      <c r="O22" s="3" t="s">
        <v>87</v>
      </c>
      <c r="P22" s="3">
        <v>1210.25</v>
      </c>
      <c r="Q22" s="3" t="s">
        <v>49</v>
      </c>
      <c r="R22" s="3" t="s">
        <v>51</v>
      </c>
      <c r="W22" s="19">
        <v>2</v>
      </c>
    </row>
    <row r="23" spans="1:23" x14ac:dyDescent="0.25">
      <c r="A23" s="22" t="str">
        <f t="shared" si="0"/>
        <v>60222367NVY</v>
      </c>
      <c r="B23" s="23">
        <v>60</v>
      </c>
      <c r="C23" s="24">
        <v>4</v>
      </c>
      <c r="D23" s="19">
        <v>60222367</v>
      </c>
      <c r="E23" s="19" t="s">
        <v>102</v>
      </c>
      <c r="F23" s="3" t="s">
        <v>133</v>
      </c>
      <c r="G23" s="3" t="s">
        <v>33</v>
      </c>
      <c r="H23" s="3">
        <v>60</v>
      </c>
      <c r="I23" s="3">
        <v>60</v>
      </c>
      <c r="J23" s="3" t="s">
        <v>84</v>
      </c>
      <c r="K23" s="3">
        <v>4</v>
      </c>
      <c r="L23" s="3" t="s">
        <v>150</v>
      </c>
      <c r="M23" s="3" t="s">
        <v>86</v>
      </c>
      <c r="O23" s="3" t="s">
        <v>87</v>
      </c>
      <c r="P23" s="3">
        <v>2502.35</v>
      </c>
      <c r="Q23" s="3" t="s">
        <v>18</v>
      </c>
      <c r="R23" s="3" t="s">
        <v>17</v>
      </c>
      <c r="T23" s="19">
        <v>4</v>
      </c>
      <c r="U23" s="19">
        <v>4</v>
      </c>
      <c r="V23" s="19">
        <v>2</v>
      </c>
    </row>
    <row r="24" spans="1:23" x14ac:dyDescent="0.25">
      <c r="A24" s="22" t="str">
        <f t="shared" si="0"/>
        <v>60222472BLK</v>
      </c>
      <c r="B24" s="23" t="s">
        <v>22</v>
      </c>
      <c r="C24" s="24">
        <v>6</v>
      </c>
      <c r="D24" s="19">
        <v>60222472</v>
      </c>
      <c r="E24" s="19" t="s">
        <v>8</v>
      </c>
      <c r="F24" s="3" t="s">
        <v>136</v>
      </c>
      <c r="G24" s="3" t="s">
        <v>22</v>
      </c>
      <c r="H24" s="3" t="s">
        <v>83</v>
      </c>
      <c r="I24" s="3" t="s">
        <v>22</v>
      </c>
      <c r="J24" s="3" t="s">
        <v>88</v>
      </c>
      <c r="K24" s="3">
        <v>6</v>
      </c>
      <c r="L24" s="3" t="s">
        <v>151</v>
      </c>
      <c r="M24" s="3" t="s">
        <v>154</v>
      </c>
      <c r="O24" s="3" t="s">
        <v>87</v>
      </c>
      <c r="P24" s="3">
        <v>1512.82</v>
      </c>
      <c r="W24" s="19">
        <v>6</v>
      </c>
    </row>
    <row r="25" spans="1:23" x14ac:dyDescent="0.25">
      <c r="A25" s="22" t="str">
        <f t="shared" si="0"/>
        <v>60222512NOV</v>
      </c>
      <c r="B25" s="23" t="s">
        <v>22</v>
      </c>
      <c r="C25" s="24">
        <v>6</v>
      </c>
      <c r="D25" s="19">
        <v>60222512</v>
      </c>
      <c r="E25" s="19" t="s">
        <v>96</v>
      </c>
      <c r="F25" s="3" t="s">
        <v>137</v>
      </c>
      <c r="G25" s="3" t="s">
        <v>22</v>
      </c>
      <c r="H25" s="3" t="s">
        <v>83</v>
      </c>
      <c r="I25" s="3" t="s">
        <v>22</v>
      </c>
      <c r="J25" s="3" t="s">
        <v>88</v>
      </c>
      <c r="K25" s="3">
        <v>6</v>
      </c>
      <c r="L25" s="3" t="s">
        <v>151</v>
      </c>
      <c r="M25" s="3" t="s">
        <v>154</v>
      </c>
      <c r="O25" s="3" t="s">
        <v>87</v>
      </c>
      <c r="P25" s="3">
        <v>1512.82</v>
      </c>
      <c r="W25" s="19">
        <v>6</v>
      </c>
    </row>
    <row r="26" spans="1:23" x14ac:dyDescent="0.25">
      <c r="A26" s="22" t="str">
        <f t="shared" si="0"/>
        <v>60222545NVY</v>
      </c>
      <c r="B26" s="23" t="s">
        <v>22</v>
      </c>
      <c r="C26" s="24">
        <v>6</v>
      </c>
      <c r="D26" s="19">
        <v>60222545</v>
      </c>
      <c r="E26" s="19" t="s">
        <v>102</v>
      </c>
      <c r="F26" s="3" t="s">
        <v>138</v>
      </c>
      <c r="G26" s="3" t="s">
        <v>22</v>
      </c>
      <c r="H26" s="3" t="s">
        <v>83</v>
      </c>
      <c r="I26" s="3" t="s">
        <v>22</v>
      </c>
      <c r="J26" s="3" t="s">
        <v>84</v>
      </c>
      <c r="K26" s="3">
        <v>6</v>
      </c>
      <c r="L26" s="3" t="s">
        <v>152</v>
      </c>
      <c r="M26" s="3" t="s">
        <v>86</v>
      </c>
      <c r="O26" s="3" t="s">
        <v>87</v>
      </c>
      <c r="P26" s="3">
        <v>2153.1</v>
      </c>
      <c r="Q26" s="3" t="s">
        <v>18</v>
      </c>
      <c r="R26" s="3" t="s">
        <v>17</v>
      </c>
      <c r="W26" s="19">
        <v>6</v>
      </c>
    </row>
    <row r="27" spans="1:23" x14ac:dyDescent="0.25">
      <c r="A27" s="22" t="str">
        <f t="shared" si="0"/>
        <v>80468932BLK</v>
      </c>
      <c r="B27" s="23" t="s">
        <v>22</v>
      </c>
      <c r="C27" s="24">
        <v>2</v>
      </c>
      <c r="D27" s="19">
        <v>80468932</v>
      </c>
      <c r="E27" s="19" t="s">
        <v>8</v>
      </c>
      <c r="F27" s="3" t="s">
        <v>139</v>
      </c>
      <c r="G27" s="3" t="s">
        <v>22</v>
      </c>
      <c r="H27" s="3" t="s">
        <v>83</v>
      </c>
      <c r="I27" s="3" t="s">
        <v>22</v>
      </c>
      <c r="J27" s="3" t="s">
        <v>84</v>
      </c>
      <c r="K27" s="3">
        <v>2</v>
      </c>
      <c r="L27" s="3" t="s">
        <v>85</v>
      </c>
      <c r="M27" s="3" t="s">
        <v>154</v>
      </c>
      <c r="O27" s="3" t="s">
        <v>87</v>
      </c>
      <c r="P27" s="3">
        <v>1210.25</v>
      </c>
      <c r="Q27" s="3" t="s">
        <v>18</v>
      </c>
      <c r="R27" s="3" t="s">
        <v>17</v>
      </c>
      <c r="W27" s="19">
        <v>2</v>
      </c>
    </row>
    <row r="28" spans="1:23" x14ac:dyDescent="0.25">
      <c r="A28" s="22" t="str">
        <f t="shared" si="0"/>
        <v>80489299PLM</v>
      </c>
      <c r="B28" s="23" t="s">
        <v>22</v>
      </c>
      <c r="C28" s="24">
        <v>12</v>
      </c>
      <c r="D28" s="19">
        <v>80489299</v>
      </c>
      <c r="E28" s="19" t="s">
        <v>103</v>
      </c>
      <c r="F28" s="3" t="s">
        <v>140</v>
      </c>
      <c r="G28" s="3" t="s">
        <v>22</v>
      </c>
      <c r="H28" s="3" t="s">
        <v>83</v>
      </c>
      <c r="I28" s="3" t="s">
        <v>22</v>
      </c>
      <c r="J28" s="3" t="s">
        <v>88</v>
      </c>
      <c r="K28" s="3">
        <v>12</v>
      </c>
      <c r="L28" s="3" t="s">
        <v>148</v>
      </c>
      <c r="M28" s="3" t="s">
        <v>154</v>
      </c>
      <c r="O28" s="3" t="s">
        <v>89</v>
      </c>
      <c r="P28" s="3">
        <v>1210.25</v>
      </c>
      <c r="Q28" s="3" t="s">
        <v>18</v>
      </c>
      <c r="R28" s="3" t="s">
        <v>17</v>
      </c>
      <c r="W28" s="19">
        <v>12</v>
      </c>
    </row>
    <row r="29" spans="1:23" x14ac:dyDescent="0.25">
      <c r="A29" s="22" t="str">
        <f t="shared" si="0"/>
        <v>80636010NOV</v>
      </c>
      <c r="B29" s="23" t="s">
        <v>22</v>
      </c>
      <c r="C29" s="24">
        <v>3</v>
      </c>
      <c r="D29" s="19">
        <v>80636010</v>
      </c>
      <c r="E29" s="19" t="s">
        <v>96</v>
      </c>
      <c r="F29" s="3" t="s">
        <v>141</v>
      </c>
      <c r="G29" s="3" t="s">
        <v>22</v>
      </c>
      <c r="H29" s="3" t="s">
        <v>83</v>
      </c>
      <c r="I29" s="3" t="s">
        <v>22</v>
      </c>
      <c r="J29" s="3" t="s">
        <v>88</v>
      </c>
      <c r="K29" s="3">
        <v>3</v>
      </c>
      <c r="L29" s="3" t="s">
        <v>148</v>
      </c>
      <c r="M29" s="3" t="s">
        <v>154</v>
      </c>
      <c r="O29" s="3" t="s">
        <v>87</v>
      </c>
      <c r="P29" s="3">
        <v>1210.25</v>
      </c>
      <c r="Q29" s="3" t="s">
        <v>18</v>
      </c>
      <c r="R29" s="3" t="s">
        <v>17</v>
      </c>
      <c r="W29" s="19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ОбратноеТранспонирование">
                <anchor moveWithCells="1" sizeWithCells="1">
                  <from>
                    <xdr:col>30</xdr:col>
                    <xdr:colOff>333375</xdr:colOff>
                    <xdr:row>1</xdr:row>
                    <xdr:rowOff>57150</xdr:rowOff>
                  </from>
                  <to>
                    <xdr:col>34</xdr:col>
                    <xdr:colOff>114300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7DB48-8FCF-40CB-8A9D-7117B5058BFD}">
  <sheetPr codeName="Лист5"/>
  <dimension ref="A1:R29"/>
  <sheetViews>
    <sheetView tabSelected="1" zoomScale="85" zoomScaleNormal="85" workbookViewId="0">
      <pane ySplit="1" topLeftCell="A2" activePane="bottomLeft" state="frozen"/>
      <selection sqref="A1:C1"/>
      <selection pane="bottomLeft" activeCell="Q2" sqref="Q2:Q29"/>
    </sheetView>
  </sheetViews>
  <sheetFormatPr defaultRowHeight="15" x14ac:dyDescent="0.25"/>
  <cols>
    <col min="1" max="2" width="30.28515625" customWidth="1"/>
    <col min="3" max="3" width="17.85546875" bestFit="1" customWidth="1"/>
    <col min="4" max="4" width="9.5703125" bestFit="1" customWidth="1"/>
    <col min="5" max="5" width="8.85546875" bestFit="1" customWidth="1"/>
    <col min="6" max="6" width="13.85546875" bestFit="1" customWidth="1"/>
    <col min="7" max="7" width="27.140625" bestFit="1" customWidth="1"/>
    <col min="8" max="8" width="27" bestFit="1" customWidth="1"/>
    <col min="9" max="9" width="8.85546875" bestFit="1" customWidth="1"/>
    <col min="10" max="11" width="8" bestFit="1" customWidth="1"/>
    <col min="12" max="12" width="20.42578125" bestFit="1" customWidth="1"/>
    <col min="13" max="14" width="9.7109375" style="11" bestFit="1" customWidth="1"/>
    <col min="15" max="18" width="8.5703125" style="11" bestFit="1" customWidth="1"/>
  </cols>
  <sheetData>
    <row r="1" spans="1:18" s="1" customFormat="1" x14ac:dyDescent="0.25">
      <c r="A1" s="7"/>
      <c r="B1" s="7" t="s">
        <v>91</v>
      </c>
      <c r="C1" s="7" t="s">
        <v>0</v>
      </c>
      <c r="D1" s="7" t="s">
        <v>4</v>
      </c>
      <c r="E1" s="7" t="s">
        <v>3</v>
      </c>
      <c r="F1" s="7" t="s">
        <v>74</v>
      </c>
      <c r="G1" s="7" t="s">
        <v>76</v>
      </c>
      <c r="H1" s="7" t="s">
        <v>77</v>
      </c>
      <c r="I1" s="7" t="s">
        <v>79</v>
      </c>
      <c r="J1" s="7" t="s">
        <v>5</v>
      </c>
      <c r="K1" s="7" t="s">
        <v>11</v>
      </c>
      <c r="L1" s="7" t="s">
        <v>80</v>
      </c>
      <c r="M1" s="8" t="s">
        <v>22</v>
      </c>
      <c r="N1" s="8">
        <v>56</v>
      </c>
      <c r="O1" s="8">
        <v>58</v>
      </c>
      <c r="P1" s="8">
        <v>60</v>
      </c>
      <c r="Q1" s="8">
        <v>62</v>
      </c>
      <c r="R1" s="8" t="s">
        <v>92</v>
      </c>
    </row>
    <row r="2" spans="1:18" x14ac:dyDescent="0.25">
      <c r="A2" s="9"/>
      <c r="B2" s="9"/>
      <c r="C2" s="9" t="s">
        <v>158</v>
      </c>
      <c r="D2" s="9">
        <v>10145637</v>
      </c>
      <c r="E2" s="9" t="s">
        <v>99</v>
      </c>
      <c r="F2" s="9" t="s">
        <v>186</v>
      </c>
      <c r="G2" s="9" t="s">
        <v>85</v>
      </c>
      <c r="H2" s="9" t="s">
        <v>157</v>
      </c>
      <c r="I2" s="9" t="s">
        <v>87</v>
      </c>
      <c r="J2" s="9">
        <v>1489.65</v>
      </c>
      <c r="K2" s="9" t="s">
        <v>18</v>
      </c>
      <c r="L2" s="9" t="s">
        <v>17</v>
      </c>
      <c r="M2" s="10"/>
      <c r="N2" s="10"/>
      <c r="O2" s="10">
        <v>5</v>
      </c>
      <c r="P2" s="10"/>
      <c r="Q2" s="10"/>
      <c r="R2" s="10">
        <f>SUM(M2:Q2)*J2</f>
        <v>7448.25</v>
      </c>
    </row>
    <row r="3" spans="1:18" x14ac:dyDescent="0.25">
      <c r="A3" s="9"/>
      <c r="B3" s="9"/>
      <c r="C3" s="9" t="s">
        <v>159</v>
      </c>
      <c r="D3" s="9">
        <v>10145640</v>
      </c>
      <c r="E3" s="9" t="s">
        <v>107</v>
      </c>
      <c r="F3" s="9" t="s">
        <v>186</v>
      </c>
      <c r="G3" s="9" t="s">
        <v>85</v>
      </c>
      <c r="H3" s="9" t="s">
        <v>157</v>
      </c>
      <c r="I3" s="9" t="s">
        <v>87</v>
      </c>
      <c r="J3" s="9">
        <v>1489.65</v>
      </c>
      <c r="K3" s="9" t="s">
        <v>18</v>
      </c>
      <c r="L3" s="9" t="s">
        <v>19</v>
      </c>
      <c r="M3" s="10"/>
      <c r="N3" s="10">
        <v>3</v>
      </c>
      <c r="O3" s="10"/>
      <c r="P3" s="10"/>
      <c r="Q3" s="10"/>
      <c r="R3" s="10">
        <f t="shared" ref="R3:R29" si="0">SUM(M3:Q3)*J3</f>
        <v>4468.9500000000007</v>
      </c>
    </row>
    <row r="4" spans="1:18" x14ac:dyDescent="0.25">
      <c r="A4" s="9"/>
      <c r="B4" s="9"/>
      <c r="C4" s="9" t="s">
        <v>160</v>
      </c>
      <c r="D4" s="9">
        <v>10298276</v>
      </c>
      <c r="E4" s="9" t="s">
        <v>108</v>
      </c>
      <c r="F4" s="9" t="s">
        <v>186</v>
      </c>
      <c r="G4" s="9" t="s">
        <v>85</v>
      </c>
      <c r="H4" s="9" t="s">
        <v>157</v>
      </c>
      <c r="I4" s="9" t="s">
        <v>87</v>
      </c>
      <c r="J4" s="9">
        <v>1489.65</v>
      </c>
      <c r="K4" s="9" t="s">
        <v>18</v>
      </c>
      <c r="L4" s="9" t="s">
        <v>17</v>
      </c>
      <c r="M4" s="10"/>
      <c r="N4" s="10">
        <v>4</v>
      </c>
      <c r="O4" s="10">
        <v>8</v>
      </c>
      <c r="P4" s="10"/>
      <c r="Q4" s="10"/>
      <c r="R4" s="10">
        <f t="shared" si="0"/>
        <v>17875.800000000003</v>
      </c>
    </row>
    <row r="5" spans="1:18" x14ac:dyDescent="0.25">
      <c r="A5" s="9"/>
      <c r="B5" s="9"/>
      <c r="C5" s="9" t="s">
        <v>161</v>
      </c>
      <c r="D5" s="9">
        <v>10745455</v>
      </c>
      <c r="E5" s="9" t="s">
        <v>94</v>
      </c>
      <c r="F5" s="9" t="s">
        <v>186</v>
      </c>
      <c r="G5" s="9" t="s">
        <v>85</v>
      </c>
      <c r="H5" s="9" t="s">
        <v>154</v>
      </c>
      <c r="I5" s="9" t="s">
        <v>87</v>
      </c>
      <c r="J5" s="9">
        <v>1210.25</v>
      </c>
      <c r="K5" s="9" t="s">
        <v>18</v>
      </c>
      <c r="L5" s="9" t="s">
        <v>17</v>
      </c>
      <c r="M5" s="10">
        <v>5</v>
      </c>
      <c r="N5" s="10"/>
      <c r="O5" s="10"/>
      <c r="P5" s="10"/>
      <c r="Q5" s="10"/>
      <c r="R5" s="10">
        <f t="shared" si="0"/>
        <v>6051.25</v>
      </c>
    </row>
    <row r="6" spans="1:18" x14ac:dyDescent="0.25">
      <c r="A6" s="9"/>
      <c r="B6" s="9"/>
      <c r="C6" s="9" t="s">
        <v>162</v>
      </c>
      <c r="D6" s="9">
        <v>11209938</v>
      </c>
      <c r="E6" s="9" t="s">
        <v>105</v>
      </c>
      <c r="F6" s="9" t="s">
        <v>187</v>
      </c>
      <c r="G6" s="9" t="s">
        <v>146</v>
      </c>
      <c r="H6" s="9" t="s">
        <v>155</v>
      </c>
      <c r="I6" s="9" t="s">
        <v>87</v>
      </c>
      <c r="J6" s="9">
        <v>1070.56</v>
      </c>
      <c r="K6" s="9" t="s">
        <v>18</v>
      </c>
      <c r="L6" s="9" t="s">
        <v>17</v>
      </c>
      <c r="M6" s="10">
        <v>5</v>
      </c>
      <c r="N6" s="10"/>
      <c r="O6" s="10"/>
      <c r="P6" s="10"/>
      <c r="Q6" s="10"/>
      <c r="R6" s="10">
        <f t="shared" si="0"/>
        <v>5352.7999999999993</v>
      </c>
    </row>
    <row r="7" spans="1:18" x14ac:dyDescent="0.25">
      <c r="A7" s="9"/>
      <c r="B7" s="9"/>
      <c r="C7" s="9" t="s">
        <v>163</v>
      </c>
      <c r="D7" s="9">
        <v>11213219</v>
      </c>
      <c r="E7" s="9" t="s">
        <v>104</v>
      </c>
      <c r="F7" s="9" t="s">
        <v>186</v>
      </c>
      <c r="G7" s="9" t="s">
        <v>85</v>
      </c>
      <c r="H7" s="9" t="s">
        <v>154</v>
      </c>
      <c r="I7" s="9" t="s">
        <v>87</v>
      </c>
      <c r="J7" s="9">
        <v>1210.25</v>
      </c>
      <c r="K7" s="9" t="s">
        <v>49</v>
      </c>
      <c r="L7" s="9" t="s">
        <v>51</v>
      </c>
      <c r="M7" s="10">
        <v>7</v>
      </c>
      <c r="N7" s="10"/>
      <c r="O7" s="10"/>
      <c r="P7" s="10"/>
      <c r="Q7" s="10"/>
      <c r="R7" s="10">
        <f t="shared" si="0"/>
        <v>8471.75</v>
      </c>
    </row>
    <row r="8" spans="1:18" x14ac:dyDescent="0.25">
      <c r="A8" s="9"/>
      <c r="B8" s="9"/>
      <c r="C8" s="9" t="s">
        <v>164</v>
      </c>
      <c r="D8" s="9">
        <v>11213222</v>
      </c>
      <c r="E8" s="9" t="s">
        <v>8</v>
      </c>
      <c r="F8" s="9" t="s">
        <v>186</v>
      </c>
      <c r="G8" s="9" t="s">
        <v>85</v>
      </c>
      <c r="H8" s="9" t="s">
        <v>154</v>
      </c>
      <c r="I8" s="9" t="s">
        <v>87</v>
      </c>
      <c r="J8" s="9">
        <v>1210.25</v>
      </c>
      <c r="K8" s="9" t="s">
        <v>49</v>
      </c>
      <c r="L8" s="9" t="s">
        <v>51</v>
      </c>
      <c r="M8" s="10">
        <v>7</v>
      </c>
      <c r="N8" s="10"/>
      <c r="O8" s="10"/>
      <c r="P8" s="10"/>
      <c r="Q8" s="10"/>
      <c r="R8" s="10">
        <f t="shared" si="0"/>
        <v>8471.75</v>
      </c>
    </row>
    <row r="9" spans="1:18" x14ac:dyDescent="0.25">
      <c r="A9" s="9"/>
      <c r="B9" s="9"/>
      <c r="C9" s="9" t="s">
        <v>165</v>
      </c>
      <c r="D9" s="9">
        <v>11357008</v>
      </c>
      <c r="E9" s="9" t="s">
        <v>95</v>
      </c>
      <c r="F9" s="9" t="s">
        <v>187</v>
      </c>
      <c r="G9" s="9" t="s">
        <v>147</v>
      </c>
      <c r="H9" s="9" t="s">
        <v>154</v>
      </c>
      <c r="I9" s="9" t="s">
        <v>87</v>
      </c>
      <c r="J9" s="9">
        <v>1210.25</v>
      </c>
      <c r="K9" s="9" t="s">
        <v>18</v>
      </c>
      <c r="L9" s="9" t="s">
        <v>17</v>
      </c>
      <c r="M9" s="10">
        <v>15</v>
      </c>
      <c r="N9" s="10"/>
      <c r="O9" s="10"/>
      <c r="P9" s="10"/>
      <c r="Q9" s="10"/>
      <c r="R9" s="10">
        <f t="shared" si="0"/>
        <v>18153.75</v>
      </c>
    </row>
    <row r="10" spans="1:18" x14ac:dyDescent="0.25">
      <c r="A10" s="9"/>
      <c r="B10" s="9"/>
      <c r="C10" s="9" t="s">
        <v>166</v>
      </c>
      <c r="D10" s="9">
        <v>11405492</v>
      </c>
      <c r="E10" s="9" t="s">
        <v>106</v>
      </c>
      <c r="F10" s="9" t="s">
        <v>186</v>
      </c>
      <c r="G10" s="9" t="s">
        <v>85</v>
      </c>
      <c r="H10" s="9" t="s">
        <v>154</v>
      </c>
      <c r="I10" s="9" t="s">
        <v>87</v>
      </c>
      <c r="J10" s="9">
        <v>1210.25</v>
      </c>
      <c r="K10" s="9" t="s">
        <v>18</v>
      </c>
      <c r="L10" s="9" t="s">
        <v>19</v>
      </c>
      <c r="M10" s="10">
        <v>8</v>
      </c>
      <c r="N10" s="10"/>
      <c r="O10" s="10"/>
      <c r="P10" s="10"/>
      <c r="Q10" s="10"/>
      <c r="R10" s="10">
        <f t="shared" si="0"/>
        <v>9682</v>
      </c>
    </row>
    <row r="11" spans="1:18" x14ac:dyDescent="0.25">
      <c r="A11" s="9"/>
      <c r="B11" s="9"/>
      <c r="C11" s="9" t="s">
        <v>167</v>
      </c>
      <c r="D11" s="9">
        <v>11405605</v>
      </c>
      <c r="E11" s="9" t="s">
        <v>7</v>
      </c>
      <c r="F11" s="9" t="s">
        <v>186</v>
      </c>
      <c r="G11" s="9" t="s">
        <v>85</v>
      </c>
      <c r="H11" s="9" t="s">
        <v>86</v>
      </c>
      <c r="I11" s="9" t="s">
        <v>87</v>
      </c>
      <c r="J11" s="9">
        <v>1349.95</v>
      </c>
      <c r="K11" s="9" t="s">
        <v>25</v>
      </c>
      <c r="L11" s="9" t="s">
        <v>28</v>
      </c>
      <c r="M11" s="10">
        <v>6</v>
      </c>
      <c r="N11" s="10"/>
      <c r="O11" s="10"/>
      <c r="P11" s="10"/>
      <c r="Q11" s="10"/>
      <c r="R11" s="10">
        <f t="shared" si="0"/>
        <v>8099.7000000000007</v>
      </c>
    </row>
    <row r="12" spans="1:18" x14ac:dyDescent="0.25">
      <c r="A12" s="9"/>
      <c r="B12" s="9"/>
      <c r="C12" s="9" t="s">
        <v>168</v>
      </c>
      <c r="D12" s="9">
        <v>11405614</v>
      </c>
      <c r="E12" s="9" t="s">
        <v>7</v>
      </c>
      <c r="F12" s="9" t="s">
        <v>186</v>
      </c>
      <c r="G12" s="9" t="s">
        <v>85</v>
      </c>
      <c r="H12" s="9" t="s">
        <v>86</v>
      </c>
      <c r="I12" s="9" t="s">
        <v>87</v>
      </c>
      <c r="J12" s="9">
        <v>1349.95</v>
      </c>
      <c r="K12" s="9" t="s">
        <v>25</v>
      </c>
      <c r="L12" s="9" t="s">
        <v>24</v>
      </c>
      <c r="M12" s="10">
        <v>1</v>
      </c>
      <c r="N12" s="10"/>
      <c r="O12" s="10"/>
      <c r="P12" s="10"/>
      <c r="Q12" s="10"/>
      <c r="R12" s="10">
        <f t="shared" si="0"/>
        <v>1349.95</v>
      </c>
    </row>
    <row r="13" spans="1:18" x14ac:dyDescent="0.25">
      <c r="A13" s="9"/>
      <c r="B13" s="9"/>
      <c r="C13" s="9" t="s">
        <v>169</v>
      </c>
      <c r="D13" s="9">
        <v>11405616</v>
      </c>
      <c r="E13" s="9" t="s">
        <v>7</v>
      </c>
      <c r="F13" s="9" t="s">
        <v>186</v>
      </c>
      <c r="G13" s="9" t="s">
        <v>85</v>
      </c>
      <c r="H13" s="9" t="s">
        <v>86</v>
      </c>
      <c r="I13" s="9" t="s">
        <v>87</v>
      </c>
      <c r="J13" s="9">
        <v>1687.44</v>
      </c>
      <c r="K13" s="9" t="s">
        <v>25</v>
      </c>
      <c r="L13" s="9" t="s">
        <v>42</v>
      </c>
      <c r="M13" s="10">
        <v>8</v>
      </c>
      <c r="N13" s="10"/>
      <c r="O13" s="10"/>
      <c r="P13" s="10"/>
      <c r="Q13" s="10"/>
      <c r="R13" s="10">
        <f t="shared" si="0"/>
        <v>13499.52</v>
      </c>
    </row>
    <row r="14" spans="1:18" x14ac:dyDescent="0.25">
      <c r="A14" s="9"/>
      <c r="B14" s="9"/>
      <c r="C14" s="9" t="s">
        <v>170</v>
      </c>
      <c r="D14" s="9">
        <v>12380822</v>
      </c>
      <c r="E14" s="9" t="s">
        <v>7</v>
      </c>
      <c r="F14" s="9" t="s">
        <v>187</v>
      </c>
      <c r="G14" s="9" t="s">
        <v>148</v>
      </c>
      <c r="H14" s="9" t="s">
        <v>86</v>
      </c>
      <c r="I14" s="9" t="s">
        <v>87</v>
      </c>
      <c r="J14" s="9">
        <v>1862.06</v>
      </c>
      <c r="K14" s="9" t="s">
        <v>25</v>
      </c>
      <c r="L14" s="9" t="s">
        <v>24</v>
      </c>
      <c r="M14" s="10">
        <v>1</v>
      </c>
      <c r="N14" s="10"/>
      <c r="O14" s="10"/>
      <c r="P14" s="10"/>
      <c r="Q14" s="10"/>
      <c r="R14" s="10">
        <f t="shared" si="0"/>
        <v>1862.06</v>
      </c>
    </row>
    <row r="15" spans="1:18" x14ac:dyDescent="0.25">
      <c r="A15" s="9"/>
      <c r="B15" s="9"/>
      <c r="C15" s="9" t="s">
        <v>171</v>
      </c>
      <c r="D15" s="9">
        <v>12381106</v>
      </c>
      <c r="E15" s="9" t="s">
        <v>100</v>
      </c>
      <c r="F15" s="9" t="s">
        <v>186</v>
      </c>
      <c r="G15" s="9" t="s">
        <v>85</v>
      </c>
      <c r="H15" s="9" t="s">
        <v>156</v>
      </c>
      <c r="I15" s="9" t="s">
        <v>87</v>
      </c>
      <c r="J15" s="9">
        <v>1582.78</v>
      </c>
      <c r="K15" s="9" t="s">
        <v>18</v>
      </c>
      <c r="L15" s="9" t="s">
        <v>17</v>
      </c>
      <c r="M15" s="10">
        <v>6</v>
      </c>
      <c r="N15" s="10"/>
      <c r="O15" s="10"/>
      <c r="P15" s="10"/>
      <c r="Q15" s="10"/>
      <c r="R15" s="10">
        <f t="shared" si="0"/>
        <v>9496.68</v>
      </c>
    </row>
    <row r="16" spans="1:18" x14ac:dyDescent="0.25">
      <c r="A16" s="9"/>
      <c r="B16" s="9"/>
      <c r="C16" s="9" t="s">
        <v>172</v>
      </c>
      <c r="D16" s="9">
        <v>12523887</v>
      </c>
      <c r="E16" s="9" t="s">
        <v>96</v>
      </c>
      <c r="F16" s="9" t="s">
        <v>186</v>
      </c>
      <c r="G16" s="9" t="s">
        <v>85</v>
      </c>
      <c r="H16" s="9" t="s">
        <v>154</v>
      </c>
      <c r="I16" s="9" t="s">
        <v>87</v>
      </c>
      <c r="J16" s="9">
        <v>1210.25</v>
      </c>
      <c r="K16" s="9" t="s">
        <v>18</v>
      </c>
      <c r="L16" s="9" t="s">
        <v>17</v>
      </c>
      <c r="M16" s="10">
        <v>5</v>
      </c>
      <c r="N16" s="10"/>
      <c r="O16" s="10"/>
      <c r="P16" s="10"/>
      <c r="Q16" s="10"/>
      <c r="R16" s="10">
        <f t="shared" si="0"/>
        <v>6051.25</v>
      </c>
    </row>
    <row r="17" spans="1:18" x14ac:dyDescent="0.25">
      <c r="A17" s="9"/>
      <c r="B17" s="9"/>
      <c r="C17" s="9" t="s">
        <v>173</v>
      </c>
      <c r="D17" s="9">
        <v>12523888</v>
      </c>
      <c r="E17" s="9" t="s">
        <v>97</v>
      </c>
      <c r="F17" s="9" t="s">
        <v>186</v>
      </c>
      <c r="G17" s="9" t="s">
        <v>85</v>
      </c>
      <c r="H17" s="9" t="s">
        <v>154</v>
      </c>
      <c r="I17" s="9" t="s">
        <v>87</v>
      </c>
      <c r="J17" s="9">
        <v>1210.25</v>
      </c>
      <c r="K17" s="9" t="s">
        <v>18</v>
      </c>
      <c r="L17" s="9" t="s">
        <v>17</v>
      </c>
      <c r="M17" s="10">
        <v>4</v>
      </c>
      <c r="N17" s="10"/>
      <c r="O17" s="10"/>
      <c r="P17" s="10"/>
      <c r="Q17" s="10"/>
      <c r="R17" s="10">
        <f t="shared" si="0"/>
        <v>4841</v>
      </c>
    </row>
    <row r="18" spans="1:18" x14ac:dyDescent="0.25">
      <c r="A18" s="9"/>
      <c r="B18" s="9"/>
      <c r="C18" s="9" t="s">
        <v>174</v>
      </c>
      <c r="D18" s="9">
        <v>12523889</v>
      </c>
      <c r="E18" s="9" t="s">
        <v>8</v>
      </c>
      <c r="F18" s="9" t="s">
        <v>186</v>
      </c>
      <c r="G18" s="9" t="s">
        <v>85</v>
      </c>
      <c r="H18" s="9" t="s">
        <v>154</v>
      </c>
      <c r="I18" s="9" t="s">
        <v>87</v>
      </c>
      <c r="J18" s="9">
        <v>1210.25</v>
      </c>
      <c r="K18" s="9" t="s">
        <v>18</v>
      </c>
      <c r="L18" s="9" t="s">
        <v>17</v>
      </c>
      <c r="M18" s="10">
        <v>5</v>
      </c>
      <c r="N18" s="10"/>
      <c r="O18" s="10"/>
      <c r="P18" s="10"/>
      <c r="Q18" s="10"/>
      <c r="R18" s="10">
        <f t="shared" si="0"/>
        <v>6051.25</v>
      </c>
    </row>
    <row r="19" spans="1:18" x14ac:dyDescent="0.25">
      <c r="A19" s="9"/>
      <c r="B19" s="9"/>
      <c r="C19" s="9" t="s">
        <v>175</v>
      </c>
      <c r="D19" s="9">
        <v>12523898</v>
      </c>
      <c r="E19" s="9" t="s">
        <v>101</v>
      </c>
      <c r="F19" s="9" t="s">
        <v>186</v>
      </c>
      <c r="G19" s="9" t="s">
        <v>85</v>
      </c>
      <c r="H19" s="9" t="s">
        <v>156</v>
      </c>
      <c r="I19" s="9" t="s">
        <v>87</v>
      </c>
      <c r="J19" s="9">
        <v>1582.78</v>
      </c>
      <c r="K19" s="9" t="s">
        <v>18</v>
      </c>
      <c r="L19" s="9" t="s">
        <v>17</v>
      </c>
      <c r="M19" s="10">
        <v>6</v>
      </c>
      <c r="N19" s="10"/>
      <c r="O19" s="10"/>
      <c r="P19" s="10"/>
      <c r="Q19" s="10"/>
      <c r="R19" s="10">
        <f t="shared" si="0"/>
        <v>9496.68</v>
      </c>
    </row>
    <row r="20" spans="1:18" x14ac:dyDescent="0.25">
      <c r="A20" s="9"/>
      <c r="B20" s="9"/>
      <c r="C20" s="9" t="s">
        <v>176</v>
      </c>
      <c r="D20" s="9">
        <v>12523906</v>
      </c>
      <c r="E20" s="9" t="s">
        <v>98</v>
      </c>
      <c r="F20" s="9" t="s">
        <v>186</v>
      </c>
      <c r="G20" s="9" t="s">
        <v>85</v>
      </c>
      <c r="H20" s="9" t="s">
        <v>86</v>
      </c>
      <c r="I20" s="9" t="s">
        <v>87</v>
      </c>
      <c r="J20" s="9">
        <v>1862.06</v>
      </c>
      <c r="K20" s="9" t="s">
        <v>18</v>
      </c>
      <c r="L20" s="9" t="s">
        <v>17</v>
      </c>
      <c r="M20" s="10">
        <v>8</v>
      </c>
      <c r="N20" s="10"/>
      <c r="O20" s="10"/>
      <c r="P20" s="10"/>
      <c r="Q20" s="10"/>
      <c r="R20" s="10">
        <f t="shared" si="0"/>
        <v>14896.48</v>
      </c>
    </row>
    <row r="21" spans="1:18" x14ac:dyDescent="0.25">
      <c r="A21" s="9"/>
      <c r="B21" s="9"/>
      <c r="C21" s="9" t="s">
        <v>177</v>
      </c>
      <c r="D21" s="9">
        <v>12523911</v>
      </c>
      <c r="E21" s="9" t="s">
        <v>99</v>
      </c>
      <c r="F21" s="9" t="s">
        <v>187</v>
      </c>
      <c r="G21" s="9" t="s">
        <v>148</v>
      </c>
      <c r="H21" s="9" t="s">
        <v>90</v>
      </c>
      <c r="I21" s="9" t="s">
        <v>87</v>
      </c>
      <c r="J21" s="9">
        <v>1489.65</v>
      </c>
      <c r="K21" s="9" t="s">
        <v>25</v>
      </c>
      <c r="L21" s="9" t="s">
        <v>28</v>
      </c>
      <c r="M21" s="10">
        <v>7</v>
      </c>
      <c r="N21" s="10"/>
      <c r="O21" s="10"/>
      <c r="P21" s="10"/>
      <c r="Q21" s="10"/>
      <c r="R21" s="10">
        <f t="shared" si="0"/>
        <v>10427.550000000001</v>
      </c>
    </row>
    <row r="22" spans="1:18" x14ac:dyDescent="0.25">
      <c r="A22" s="9"/>
      <c r="B22" s="9"/>
      <c r="C22" s="9" t="s">
        <v>178</v>
      </c>
      <c r="D22" s="9">
        <v>60143388</v>
      </c>
      <c r="E22" s="9" t="s">
        <v>8</v>
      </c>
      <c r="F22" s="9" t="s">
        <v>187</v>
      </c>
      <c r="G22" s="9" t="s">
        <v>149</v>
      </c>
      <c r="H22" s="9" t="s">
        <v>90</v>
      </c>
      <c r="I22" s="9" t="s">
        <v>87</v>
      </c>
      <c r="J22" s="9">
        <v>1210.25</v>
      </c>
      <c r="K22" s="9" t="s">
        <v>49</v>
      </c>
      <c r="L22" s="9" t="s">
        <v>51</v>
      </c>
      <c r="M22" s="10">
        <v>2</v>
      </c>
      <c r="N22" s="10"/>
      <c r="O22" s="10"/>
      <c r="P22" s="10"/>
      <c r="Q22" s="10"/>
      <c r="R22" s="10">
        <f t="shared" si="0"/>
        <v>2420.5</v>
      </c>
    </row>
    <row r="23" spans="1:18" x14ac:dyDescent="0.25">
      <c r="A23" s="9"/>
      <c r="B23" s="9"/>
      <c r="C23" s="9" t="s">
        <v>179</v>
      </c>
      <c r="D23" s="9">
        <v>60222367</v>
      </c>
      <c r="E23" s="9" t="s">
        <v>102</v>
      </c>
      <c r="F23" s="9" t="s">
        <v>186</v>
      </c>
      <c r="G23" s="9" t="s">
        <v>150</v>
      </c>
      <c r="H23" s="9" t="s">
        <v>86</v>
      </c>
      <c r="I23" s="9" t="s">
        <v>87</v>
      </c>
      <c r="J23" s="9">
        <v>2502.35</v>
      </c>
      <c r="K23" s="9" t="s">
        <v>18</v>
      </c>
      <c r="L23" s="9" t="s">
        <v>17</v>
      </c>
      <c r="M23" s="10"/>
      <c r="N23" s="10"/>
      <c r="O23" s="10">
        <v>4</v>
      </c>
      <c r="P23" s="10">
        <v>4</v>
      </c>
      <c r="Q23" s="10">
        <v>2</v>
      </c>
      <c r="R23" s="10">
        <f t="shared" si="0"/>
        <v>25023.5</v>
      </c>
    </row>
    <row r="24" spans="1:18" x14ac:dyDescent="0.25">
      <c r="A24" s="9"/>
      <c r="B24" s="9"/>
      <c r="C24" s="9" t="s">
        <v>180</v>
      </c>
      <c r="D24" s="9">
        <v>60222472</v>
      </c>
      <c r="E24" s="9" t="s">
        <v>8</v>
      </c>
      <c r="F24" s="9" t="s">
        <v>187</v>
      </c>
      <c r="G24" s="9" t="s">
        <v>151</v>
      </c>
      <c r="H24" s="9" t="s">
        <v>154</v>
      </c>
      <c r="I24" s="9" t="s">
        <v>87</v>
      </c>
      <c r="J24" s="9">
        <v>1512.82</v>
      </c>
      <c r="K24" s="9"/>
      <c r="L24" s="9"/>
      <c r="M24" s="10">
        <v>6</v>
      </c>
      <c r="N24" s="10"/>
      <c r="O24" s="10"/>
      <c r="P24" s="10"/>
      <c r="Q24" s="10"/>
      <c r="R24" s="10">
        <f t="shared" si="0"/>
        <v>9076.92</v>
      </c>
    </row>
    <row r="25" spans="1:18" x14ac:dyDescent="0.25">
      <c r="A25" s="9"/>
      <c r="B25" s="9"/>
      <c r="C25" s="9" t="s">
        <v>181</v>
      </c>
      <c r="D25" s="9">
        <v>60222512</v>
      </c>
      <c r="E25" s="9" t="s">
        <v>96</v>
      </c>
      <c r="F25" s="9" t="s">
        <v>187</v>
      </c>
      <c r="G25" s="9" t="s">
        <v>151</v>
      </c>
      <c r="H25" s="9" t="s">
        <v>154</v>
      </c>
      <c r="I25" s="9" t="s">
        <v>87</v>
      </c>
      <c r="J25" s="9">
        <v>1512.82</v>
      </c>
      <c r="K25" s="9"/>
      <c r="L25" s="9"/>
      <c r="M25" s="10">
        <v>6</v>
      </c>
      <c r="N25" s="10"/>
      <c r="O25" s="10"/>
      <c r="P25" s="10"/>
      <c r="Q25" s="10"/>
      <c r="R25" s="10">
        <f t="shared" si="0"/>
        <v>9076.92</v>
      </c>
    </row>
    <row r="26" spans="1:18" x14ac:dyDescent="0.25">
      <c r="A26" s="9"/>
      <c r="B26" s="9"/>
      <c r="C26" s="9" t="s">
        <v>182</v>
      </c>
      <c r="D26" s="9">
        <v>60222545</v>
      </c>
      <c r="E26" s="9" t="s">
        <v>102</v>
      </c>
      <c r="F26" s="9" t="s">
        <v>186</v>
      </c>
      <c r="G26" s="9" t="s">
        <v>152</v>
      </c>
      <c r="H26" s="9" t="s">
        <v>86</v>
      </c>
      <c r="I26" s="9" t="s">
        <v>87</v>
      </c>
      <c r="J26" s="9">
        <v>2153.1</v>
      </c>
      <c r="K26" s="9" t="s">
        <v>18</v>
      </c>
      <c r="L26" s="9" t="s">
        <v>17</v>
      </c>
      <c r="M26" s="10">
        <v>6</v>
      </c>
      <c r="N26" s="10"/>
      <c r="O26" s="10"/>
      <c r="P26" s="10"/>
      <c r="Q26" s="10"/>
      <c r="R26" s="10">
        <f t="shared" si="0"/>
        <v>12918.599999999999</v>
      </c>
    </row>
    <row r="27" spans="1:18" x14ac:dyDescent="0.25">
      <c r="A27" s="9"/>
      <c r="B27" s="9"/>
      <c r="C27" s="9" t="s">
        <v>183</v>
      </c>
      <c r="D27" s="9">
        <v>80468932</v>
      </c>
      <c r="E27" s="9" t="s">
        <v>8</v>
      </c>
      <c r="F27" s="9" t="s">
        <v>186</v>
      </c>
      <c r="G27" s="9" t="s">
        <v>85</v>
      </c>
      <c r="H27" s="9" t="s">
        <v>154</v>
      </c>
      <c r="I27" s="9" t="s">
        <v>87</v>
      </c>
      <c r="J27" s="9">
        <v>1210.25</v>
      </c>
      <c r="K27" s="9" t="s">
        <v>18</v>
      </c>
      <c r="L27" s="9" t="s">
        <v>17</v>
      </c>
      <c r="M27" s="10">
        <v>2</v>
      </c>
      <c r="N27" s="10"/>
      <c r="O27" s="10"/>
      <c r="P27" s="10"/>
      <c r="Q27" s="10"/>
      <c r="R27" s="10">
        <f t="shared" si="0"/>
        <v>2420.5</v>
      </c>
    </row>
    <row r="28" spans="1:18" x14ac:dyDescent="0.25">
      <c r="A28" s="9"/>
      <c r="B28" s="9"/>
      <c r="C28" s="9" t="s">
        <v>184</v>
      </c>
      <c r="D28" s="9">
        <v>80489299</v>
      </c>
      <c r="E28" s="9" t="s">
        <v>103</v>
      </c>
      <c r="F28" s="9" t="s">
        <v>187</v>
      </c>
      <c r="G28" s="9" t="s">
        <v>148</v>
      </c>
      <c r="H28" s="9" t="s">
        <v>154</v>
      </c>
      <c r="I28" s="9" t="s">
        <v>89</v>
      </c>
      <c r="J28" s="9">
        <v>1210.25</v>
      </c>
      <c r="K28" s="9" t="s">
        <v>18</v>
      </c>
      <c r="L28" s="9" t="s">
        <v>17</v>
      </c>
      <c r="M28" s="10">
        <v>12</v>
      </c>
      <c r="N28" s="10"/>
      <c r="O28" s="10"/>
      <c r="P28" s="10"/>
      <c r="Q28" s="10"/>
      <c r="R28" s="10">
        <f t="shared" si="0"/>
        <v>14523</v>
      </c>
    </row>
    <row r="29" spans="1:18" x14ac:dyDescent="0.25">
      <c r="A29" s="9"/>
      <c r="B29" s="9"/>
      <c r="C29" s="9" t="s">
        <v>185</v>
      </c>
      <c r="D29" s="9">
        <v>80636010</v>
      </c>
      <c r="E29" s="9" t="s">
        <v>96</v>
      </c>
      <c r="F29" s="9" t="s">
        <v>187</v>
      </c>
      <c r="G29" s="9" t="s">
        <v>148</v>
      </c>
      <c r="H29" s="9" t="s">
        <v>154</v>
      </c>
      <c r="I29" s="9" t="s">
        <v>87</v>
      </c>
      <c r="J29" s="9">
        <v>1210.25</v>
      </c>
      <c r="K29" s="9" t="s">
        <v>18</v>
      </c>
      <c r="L29" s="9" t="s">
        <v>17</v>
      </c>
      <c r="M29" s="10">
        <v>3</v>
      </c>
      <c r="N29" s="10"/>
      <c r="O29" s="10"/>
      <c r="P29" s="10"/>
      <c r="Q29" s="10"/>
      <c r="R29" s="10">
        <f t="shared" si="0"/>
        <v>3630.75</v>
      </c>
    </row>
  </sheetData>
  <autoFilter ref="B1:Q7" xr:uid="{A67EDA83-0A66-4259-A28B-23FB2004817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Справочник</vt:lpstr>
      <vt:lpstr>Data</vt:lpstr>
      <vt:lpstr>КомандыИзНазвания</vt:lpstr>
      <vt:lpstr>Транспонирование</vt:lpstr>
      <vt:lpstr>Transposed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2022-07-20T10:18:08Z</dcterms:modified>
</cp:coreProperties>
</file>