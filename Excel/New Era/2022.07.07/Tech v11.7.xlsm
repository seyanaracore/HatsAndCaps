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7.07\"/>
    </mc:Choice>
  </mc:AlternateContent>
  <xr:revisionPtr revIDLastSave="0" documentId="13_ncr:1_{97B87F70-F36A-4D1A-96FB-EC35C80946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3" i="1"/>
  <c r="D4" i="1"/>
  <c r="D5" i="1"/>
  <c r="D9" i="1"/>
  <c r="D12" i="1"/>
  <c r="D13" i="1"/>
  <c r="D16" i="1"/>
  <c r="D17" i="1"/>
  <c r="D20" i="1"/>
  <c r="D23" i="1"/>
  <c r="D6" i="1"/>
  <c r="D7" i="1"/>
  <c r="D8" i="1"/>
  <c r="D10" i="1"/>
  <c r="D11" i="1"/>
  <c r="D14" i="1"/>
  <c r="D15" i="1"/>
  <c r="D18" i="1"/>
  <c r="D19" i="1"/>
  <c r="AY30" i="1"/>
  <c r="AY29" i="1"/>
  <c r="AY28" i="1"/>
  <c r="AY23" i="1"/>
  <c r="AY22" i="1"/>
  <c r="AY21" i="1"/>
  <c r="AY20" i="1"/>
  <c r="AY27" i="1"/>
  <c r="AY26" i="1"/>
  <c r="AY19" i="1"/>
  <c r="AY18" i="1"/>
  <c r="AY17" i="1"/>
  <c r="AY16" i="1"/>
  <c r="AY15" i="1"/>
  <c r="AY14" i="1"/>
  <c r="AY13" i="1"/>
  <c r="AY12" i="1"/>
  <c r="AY25" i="1"/>
  <c r="AY11" i="1"/>
  <c r="AY10" i="1"/>
  <c r="AY9" i="1"/>
  <c r="AY8" i="1"/>
  <c r="AY7" i="1"/>
  <c r="AY6" i="1"/>
  <c r="AY5" i="1"/>
  <c r="AY4" i="1"/>
  <c r="AY3" i="1"/>
  <c r="AY24" i="1"/>
  <c r="AX30" i="1"/>
  <c r="AX29" i="1"/>
  <c r="AX28" i="1"/>
  <c r="AX23" i="1"/>
  <c r="AX22" i="1"/>
  <c r="AX21" i="1"/>
  <c r="AX20" i="1"/>
  <c r="AX27" i="1"/>
  <c r="AX26" i="1"/>
  <c r="AX19" i="1"/>
  <c r="AX18" i="1"/>
  <c r="AX17" i="1"/>
  <c r="AX16" i="1"/>
  <c r="AX15" i="1"/>
  <c r="AX14" i="1"/>
  <c r="AX13" i="1"/>
  <c r="AX12" i="1"/>
  <c r="AX25" i="1"/>
  <c r="AX11" i="1"/>
  <c r="AX10" i="1"/>
  <c r="AX9" i="1"/>
  <c r="AX8" i="1"/>
  <c r="AX7" i="1"/>
  <c r="AX6" i="1"/>
  <c r="AX5" i="1"/>
  <c r="AX4" i="1"/>
  <c r="AX3" i="1"/>
  <c r="AX24" i="1"/>
  <c r="AT30" i="1"/>
  <c r="AZ30" i="1" s="1"/>
  <c r="AT29" i="1"/>
  <c r="AZ29" i="1" s="1"/>
  <c r="AT28" i="1"/>
  <c r="BC28" i="1" s="1"/>
  <c r="AT23" i="1"/>
  <c r="AZ23" i="1" s="1"/>
  <c r="AT22" i="1"/>
  <c r="AZ22" i="1" s="1"/>
  <c r="AT21" i="1"/>
  <c r="AZ21" i="1" s="1"/>
  <c r="AT20" i="1"/>
  <c r="AZ20" i="1" s="1"/>
  <c r="AT27" i="1"/>
  <c r="AZ27" i="1" s="1"/>
  <c r="AT26" i="1"/>
  <c r="AZ26" i="1" s="1"/>
  <c r="AT19" i="1"/>
  <c r="AZ19" i="1" s="1"/>
  <c r="AT18" i="1"/>
  <c r="AZ18" i="1" s="1"/>
  <c r="AT17" i="1"/>
  <c r="AZ17" i="1" s="1"/>
  <c r="AT16" i="1"/>
  <c r="AZ16" i="1" s="1"/>
  <c r="AT15" i="1"/>
  <c r="AZ15" i="1" s="1"/>
  <c r="AT14" i="1"/>
  <c r="BC14" i="1" s="1"/>
  <c r="AT13" i="1"/>
  <c r="AZ13" i="1" s="1"/>
  <c r="AT12" i="1"/>
  <c r="AZ12" i="1" s="1"/>
  <c r="AT25" i="1"/>
  <c r="AZ25" i="1" s="1"/>
  <c r="AT11" i="1"/>
  <c r="BC11" i="1" s="1"/>
  <c r="AT10" i="1"/>
  <c r="AZ10" i="1" s="1"/>
  <c r="AT9" i="1"/>
  <c r="AZ9" i="1" s="1"/>
  <c r="AT8" i="1"/>
  <c r="AZ8" i="1" s="1"/>
  <c r="AT7" i="1"/>
  <c r="AZ7" i="1" s="1"/>
  <c r="AT6" i="1"/>
  <c r="AZ6" i="1" s="1"/>
  <c r="AT5" i="1"/>
  <c r="AZ5" i="1" s="1"/>
  <c r="AT4" i="1"/>
  <c r="AZ4" i="1" s="1"/>
  <c r="AT3" i="1"/>
  <c r="BC3" i="1" s="1"/>
  <c r="AT24" i="1"/>
  <c r="AZ24" i="1" s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30" i="1"/>
  <c r="A29" i="1"/>
  <c r="A28" i="1"/>
  <c r="A23" i="1"/>
  <c r="A22" i="1"/>
  <c r="A21" i="1"/>
  <c r="A20" i="1"/>
  <c r="A27" i="1"/>
  <c r="A26" i="1"/>
  <c r="A19" i="1"/>
  <c r="A18" i="1"/>
  <c r="A17" i="1"/>
  <c r="A16" i="1"/>
  <c r="A15" i="1"/>
  <c r="A14" i="1"/>
  <c r="A13" i="1"/>
  <c r="A12" i="1"/>
  <c r="A25" i="1"/>
  <c r="A11" i="1"/>
  <c r="A10" i="1"/>
  <c r="A9" i="1"/>
  <c r="A8" i="1"/>
  <c r="A7" i="1"/>
  <c r="A6" i="1"/>
  <c r="A5" i="1"/>
  <c r="A4" i="1"/>
  <c r="A3" i="1"/>
  <c r="A24" i="1"/>
  <c r="BE2" i="1"/>
  <c r="BD2" i="1"/>
  <c r="AV6" i="1"/>
  <c r="AW9" i="1"/>
  <c r="AW16" i="1"/>
  <c r="AV22" i="1"/>
  <c r="AV13" i="1"/>
  <c r="AW8" i="1"/>
  <c r="AW15" i="1"/>
  <c r="AW7" i="1"/>
  <c r="AV15" i="1"/>
  <c r="AV19" i="1"/>
  <c r="AV23" i="1"/>
  <c r="AV21" i="1"/>
  <c r="AV5" i="1"/>
  <c r="AV12" i="1"/>
  <c r="AW18" i="1"/>
  <c r="AW5" i="1"/>
  <c r="AV9" i="1"/>
  <c r="AV17" i="1"/>
  <c r="AV7" i="1"/>
  <c r="AV4" i="1"/>
  <c r="AW20" i="1"/>
  <c r="AW22" i="1"/>
  <c r="AW4" i="1"/>
  <c r="AW11" i="1"/>
  <c r="AW3" i="1"/>
  <c r="AW14" i="1"/>
  <c r="AW21" i="1"/>
  <c r="AV10" i="1"/>
  <c r="AV20" i="1"/>
  <c r="AW19" i="1"/>
  <c r="AW6" i="1"/>
  <c r="AV14" i="1"/>
  <c r="AW23" i="1"/>
  <c r="AW17" i="1"/>
  <c r="AW12" i="1"/>
  <c r="AV18" i="1"/>
  <c r="AW13" i="1"/>
  <c r="AW10" i="1"/>
  <c r="AV11" i="1"/>
  <c r="BC27" i="1" l="1"/>
  <c r="BA26" i="1"/>
  <c r="BC20" i="1"/>
  <c r="BC7" i="1"/>
  <c r="AZ14" i="1"/>
  <c r="BC29" i="1"/>
  <c r="BC19" i="1"/>
  <c r="BC24" i="1"/>
  <c r="BC10" i="1"/>
  <c r="BC12" i="1"/>
  <c r="BC15" i="1"/>
  <c r="BC30" i="1"/>
  <c r="BA3" i="1"/>
  <c r="BA4" i="1"/>
  <c r="BA25" i="1"/>
  <c r="BA19" i="1"/>
  <c r="BA29" i="1"/>
  <c r="AZ28" i="1"/>
  <c r="BC13" i="1"/>
  <c r="BC21" i="1"/>
  <c r="BC6" i="1"/>
  <c r="BA18" i="1"/>
  <c r="BA5" i="1"/>
  <c r="BA12" i="1"/>
  <c r="BA30" i="1"/>
  <c r="BA6" i="1"/>
  <c r="BA13" i="1"/>
  <c r="BA27" i="1"/>
  <c r="AZ3" i="1"/>
  <c r="BC4" i="1"/>
  <c r="BC16" i="1"/>
  <c r="BC23" i="1"/>
  <c r="BA11" i="1"/>
  <c r="BA7" i="1"/>
  <c r="BA14" i="1"/>
  <c r="BA20" i="1"/>
  <c r="BC5" i="1"/>
  <c r="BC17" i="1"/>
  <c r="BC22" i="1"/>
  <c r="BA28" i="1"/>
  <c r="BA8" i="1"/>
  <c r="BA15" i="1"/>
  <c r="BA21" i="1"/>
  <c r="AZ11" i="1"/>
  <c r="BC8" i="1"/>
  <c r="BC18" i="1"/>
  <c r="BA16" i="1"/>
  <c r="BA22" i="1"/>
  <c r="BA9" i="1"/>
  <c r="BA24" i="1"/>
  <c r="BA10" i="1"/>
  <c r="BA17" i="1"/>
  <c r="BA23" i="1"/>
  <c r="BC25" i="1"/>
  <c r="BC26" i="1"/>
  <c r="BC9" i="1"/>
  <c r="D3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V8" i="1"/>
  <c r="AV3" i="1"/>
  <c r="AV16" i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V6061" i="8" s="1"/>
  <c r="W6062" i="8"/>
  <c r="W6063" i="8"/>
  <c r="W6064" i="8"/>
  <c r="W6065" i="8"/>
  <c r="W6066" i="8"/>
  <c r="W6067" i="8"/>
  <c r="W6068" i="8"/>
  <c r="V6068" i="8" s="1"/>
  <c r="W6069" i="8"/>
  <c r="V6069" i="8" s="1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V6149" i="8" s="1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V6165" i="8" s="1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V6189" i="8" s="1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V6205" i="8" s="1"/>
  <c r="W6206" i="8"/>
  <c r="W6207" i="8"/>
  <c r="W6208" i="8"/>
  <c r="W6209" i="8"/>
  <c r="W6210" i="8"/>
  <c r="W6211" i="8"/>
  <c r="W6212" i="8"/>
  <c r="W6213" i="8"/>
  <c r="V6213" i="8" s="1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V6229" i="8" s="1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V6253" i="8" s="1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V6269" i="8" s="1"/>
  <c r="W6270" i="8"/>
  <c r="W6271" i="8"/>
  <c r="W6272" i="8"/>
  <c r="W6273" i="8"/>
  <c r="W6274" i="8"/>
  <c r="W6275" i="8"/>
  <c r="W6276" i="8"/>
  <c r="W6277" i="8"/>
  <c r="V6277" i="8" s="1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V6293" i="8" s="1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V6317" i="8" s="1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V6333" i="8" s="1"/>
  <c r="W6334" i="8"/>
  <c r="W6335" i="8"/>
  <c r="W6336" i="8"/>
  <c r="W6337" i="8"/>
  <c r="W6338" i="8"/>
  <c r="W6339" i="8"/>
  <c r="W6340" i="8"/>
  <c r="W6341" i="8"/>
  <c r="V6341" i="8" s="1"/>
  <c r="W6342" i="8"/>
  <c r="W6343" i="8"/>
  <c r="W6344" i="8"/>
  <c r="W6345" i="8"/>
  <c r="W6346" i="8"/>
  <c r="W6347" i="8"/>
  <c r="W6348" i="8"/>
  <c r="V6348" i="8" s="1"/>
  <c r="W6349" i="8"/>
  <c r="V6349" i="8" s="1"/>
  <c r="W6350" i="8"/>
  <c r="W6351" i="8"/>
  <c r="W6352" i="8"/>
  <c r="W6353" i="8"/>
  <c r="W6354" i="8"/>
  <c r="W6355" i="8"/>
  <c r="W6356" i="8"/>
  <c r="V6356" i="8" s="1"/>
  <c r="W6357" i="8"/>
  <c r="V6357" i="8" s="1"/>
  <c r="W6358" i="8"/>
  <c r="W6359" i="8"/>
  <c r="W6360" i="8"/>
  <c r="W6361" i="8"/>
  <c r="W6362" i="8"/>
  <c r="W6363" i="8"/>
  <c r="W6364" i="8"/>
  <c r="V6364" i="8" s="1"/>
  <c r="W6365" i="8"/>
  <c r="V6365" i="8" s="1"/>
  <c r="W6366" i="8"/>
  <c r="W6367" i="8"/>
  <c r="W6368" i="8"/>
  <c r="W6369" i="8"/>
  <c r="W6370" i="8"/>
  <c r="W6371" i="8"/>
  <c r="W6372" i="8"/>
  <c r="V6372" i="8" s="1"/>
  <c r="W6373" i="8"/>
  <c r="V6373" i="8" s="1"/>
  <c r="W6374" i="8"/>
  <c r="W6375" i="8"/>
  <c r="W6376" i="8"/>
  <c r="W6377" i="8"/>
  <c r="W6378" i="8"/>
  <c r="W6379" i="8"/>
  <c r="W6380" i="8"/>
  <c r="V6380" i="8" s="1"/>
  <c r="W6381" i="8"/>
  <c r="V6381" i="8" s="1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V6397" i="8" s="1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V6413" i="8" s="1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V6429" i="8" s="1"/>
  <c r="W6430" i="8"/>
  <c r="W6431" i="8"/>
  <c r="W6432" i="8"/>
  <c r="W6433" i="8"/>
  <c r="W6434" i="8"/>
  <c r="W6435" i="8"/>
  <c r="W6436" i="8"/>
  <c r="V6436" i="8" s="1"/>
  <c r="W6437" i="8"/>
  <c r="V6437" i="8" s="1"/>
  <c r="W6438" i="8"/>
  <c r="W6439" i="8"/>
  <c r="W6440" i="8"/>
  <c r="W6441" i="8"/>
  <c r="W6442" i="8"/>
  <c r="W6443" i="8"/>
  <c r="W6444" i="8"/>
  <c r="V6444" i="8" s="1"/>
  <c r="W6445" i="8"/>
  <c r="V6445" i="8" s="1"/>
  <c r="W6446" i="8"/>
  <c r="W6447" i="8"/>
  <c r="W6448" i="8"/>
  <c r="W6449" i="8"/>
  <c r="W6450" i="8"/>
  <c r="W6451" i="8"/>
  <c r="W6452" i="8"/>
  <c r="V6452" i="8" s="1"/>
  <c r="W6453" i="8"/>
  <c r="V6453" i="8" s="1"/>
  <c r="W6454" i="8"/>
  <c r="W6455" i="8"/>
  <c r="W6456" i="8"/>
  <c r="W6457" i="8"/>
  <c r="W6458" i="8"/>
  <c r="W6459" i="8"/>
  <c r="W6460" i="8"/>
  <c r="V6460" i="8" s="1"/>
  <c r="W6461" i="8"/>
  <c r="V6461" i="8" s="1"/>
  <c r="W6462" i="8"/>
  <c r="W6463" i="8"/>
  <c r="W6464" i="8"/>
  <c r="W6465" i="8"/>
  <c r="W6466" i="8"/>
  <c r="W6467" i="8"/>
  <c r="W6468" i="8"/>
  <c r="V6468" i="8" s="1"/>
  <c r="W6469" i="8"/>
  <c r="V6469" i="8" s="1"/>
  <c r="W6470" i="8"/>
  <c r="W6471" i="8"/>
  <c r="W6472" i="8"/>
  <c r="W6473" i="8"/>
  <c r="W6474" i="8"/>
  <c r="W6475" i="8"/>
  <c r="W6476" i="8"/>
  <c r="V6476" i="8" s="1"/>
  <c r="W6477" i="8"/>
  <c r="V6477" i="8" s="1"/>
  <c r="W6478" i="8"/>
  <c r="W6479" i="8"/>
  <c r="W6480" i="8"/>
  <c r="W6481" i="8"/>
  <c r="W6482" i="8"/>
  <c r="W6483" i="8"/>
  <c r="W6484" i="8"/>
  <c r="V6484" i="8" s="1"/>
  <c r="W6485" i="8"/>
  <c r="V6485" i="8" s="1"/>
  <c r="W6486" i="8"/>
  <c r="W6487" i="8"/>
  <c r="W6488" i="8"/>
  <c r="W6489" i="8"/>
  <c r="W6490" i="8"/>
  <c r="W6491" i="8"/>
  <c r="W6492" i="8"/>
  <c r="W6493" i="8"/>
  <c r="V6493" i="8" s="1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V6509" i="8" s="1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V6525" i="8" s="1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V6541" i="8" s="1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V6557" i="8" s="1"/>
  <c r="W6558" i="8"/>
  <c r="W6559" i="8"/>
  <c r="W6560" i="8"/>
  <c r="W6561" i="8"/>
  <c r="W6562" i="8"/>
  <c r="W6563" i="8"/>
  <c r="W6564" i="8"/>
  <c r="V6564" i="8" s="1"/>
  <c r="W6565" i="8"/>
  <c r="V6565" i="8" s="1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V6581" i="8" s="1"/>
  <c r="W6582" i="8"/>
  <c r="W6583" i="8"/>
  <c r="W6584" i="8"/>
  <c r="W6585" i="8"/>
  <c r="W6586" i="8"/>
  <c r="W6587" i="8"/>
  <c r="W6588" i="8"/>
  <c r="V6588" i="8" s="1"/>
  <c r="W6589" i="8"/>
  <c r="V6589" i="8" s="1"/>
  <c r="W6590" i="8"/>
  <c r="W6591" i="8"/>
  <c r="W6592" i="8"/>
  <c r="W6593" i="8"/>
  <c r="W6594" i="8"/>
  <c r="W6595" i="8"/>
  <c r="W6596" i="8"/>
  <c r="V6596" i="8" s="1"/>
  <c r="W6597" i="8"/>
  <c r="V6597" i="8" s="1"/>
  <c r="W6598" i="8"/>
  <c r="W6599" i="8"/>
  <c r="W6600" i="8"/>
  <c r="W6601" i="8"/>
  <c r="W6602" i="8"/>
  <c r="W6603" i="8"/>
  <c r="W6604" i="8"/>
  <c r="V6604" i="8" s="1"/>
  <c r="W6605" i="8"/>
  <c r="V6605" i="8" s="1"/>
  <c r="W6606" i="8"/>
  <c r="W6607" i="8"/>
  <c r="W6608" i="8"/>
  <c r="W6609" i="8"/>
  <c r="W6610" i="8"/>
  <c r="W6611" i="8"/>
  <c r="W6612" i="8"/>
  <c r="V6612" i="8" s="1"/>
  <c r="W6613" i="8"/>
  <c r="V6613" i="8" s="1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V6629" i="8" s="1"/>
  <c r="W6630" i="8"/>
  <c r="W6631" i="8"/>
  <c r="W6632" i="8"/>
  <c r="W6633" i="8"/>
  <c r="W6634" i="8"/>
  <c r="W6635" i="8"/>
  <c r="W6636" i="8"/>
  <c r="V6636" i="8" s="1"/>
  <c r="W6637" i="8"/>
  <c r="V6637" i="8" s="1"/>
  <c r="W6638" i="8"/>
  <c r="W6639" i="8"/>
  <c r="W6640" i="8"/>
  <c r="W6641" i="8"/>
  <c r="W6642" i="8"/>
  <c r="W6643" i="8"/>
  <c r="W6644" i="8"/>
  <c r="V6644" i="8" s="1"/>
  <c r="W6645" i="8"/>
  <c r="V6645" i="8" s="1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V6661" i="8" s="1"/>
  <c r="W6662" i="8"/>
  <c r="W6663" i="8"/>
  <c r="W6664" i="8"/>
  <c r="W6665" i="8"/>
  <c r="W6666" i="8"/>
  <c r="W6667" i="8"/>
  <c r="W6668" i="8"/>
  <c r="V6668" i="8" s="1"/>
  <c r="W6669" i="8"/>
  <c r="V6669" i="8" s="1"/>
  <c r="W6670" i="8"/>
  <c r="W6671" i="8"/>
  <c r="W6672" i="8"/>
  <c r="W6673" i="8"/>
  <c r="V6673" i="8" s="1"/>
  <c r="W6674" i="8"/>
  <c r="W6675" i="8"/>
  <c r="W6676" i="8"/>
  <c r="V6676" i="8" s="1"/>
  <c r="W6677" i="8"/>
  <c r="V6677" i="8" s="1"/>
  <c r="W6678" i="8"/>
  <c r="W6679" i="8"/>
  <c r="W6680" i="8"/>
  <c r="W6681" i="8"/>
  <c r="W6682" i="8"/>
  <c r="W6683" i="8"/>
  <c r="W6684" i="8"/>
  <c r="V6684" i="8" s="1"/>
  <c r="W6685" i="8"/>
  <c r="V6685" i="8" s="1"/>
  <c r="W6686" i="8"/>
  <c r="W6687" i="8"/>
  <c r="W6688" i="8"/>
  <c r="W6689" i="8"/>
  <c r="W6690" i="8"/>
  <c r="W6691" i="8"/>
  <c r="W6692" i="8"/>
  <c r="V6692" i="8" s="1"/>
  <c r="W6693" i="8"/>
  <c r="V6693" i="8" s="1"/>
  <c r="W6694" i="8"/>
  <c r="W6695" i="8"/>
  <c r="W6696" i="8"/>
  <c r="W6697" i="8"/>
  <c r="W6698" i="8"/>
  <c r="W6699" i="8"/>
  <c r="W6700" i="8"/>
  <c r="V6700" i="8" s="1"/>
  <c r="W6701" i="8"/>
  <c r="V6701" i="8" s="1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V6717" i="8" s="1"/>
  <c r="W6718" i="8"/>
  <c r="W6719" i="8"/>
  <c r="W6720" i="8"/>
  <c r="W6721" i="8"/>
  <c r="W6722" i="8"/>
  <c r="W6723" i="8"/>
  <c r="W6724" i="8"/>
  <c r="V6724" i="8" s="1"/>
  <c r="W6725" i="8"/>
  <c r="V6725" i="8" s="1"/>
  <c r="W6726" i="8"/>
  <c r="W6727" i="8"/>
  <c r="W6728" i="8"/>
  <c r="W6729" i="8"/>
  <c r="W6730" i="8"/>
  <c r="W6731" i="8"/>
  <c r="W6732" i="8"/>
  <c r="W6733" i="8"/>
  <c r="V6733" i="8" s="1"/>
  <c r="W6734" i="8"/>
  <c r="W6735" i="8"/>
  <c r="W6736" i="8"/>
  <c r="W6737" i="8"/>
  <c r="W6738" i="8"/>
  <c r="W6739" i="8"/>
  <c r="W6740" i="8"/>
  <c r="V6740" i="8" s="1"/>
  <c r="W6741" i="8"/>
  <c r="V6741" i="8" s="1"/>
  <c r="W6742" i="8"/>
  <c r="W6743" i="8"/>
  <c r="W6744" i="8"/>
  <c r="W6745" i="8"/>
  <c r="V6745" i="8" s="1"/>
  <c r="W6746" i="8"/>
  <c r="W6747" i="8"/>
  <c r="W6748" i="8"/>
  <c r="V6748" i="8" s="1"/>
  <c r="W6749" i="8"/>
  <c r="V6749" i="8" s="1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V6765" i="8" s="1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V6781" i="8" s="1"/>
  <c r="W6782" i="8"/>
  <c r="W6783" i="8"/>
  <c r="W6784" i="8"/>
  <c r="W6785" i="8"/>
  <c r="W6786" i="8"/>
  <c r="W6787" i="8"/>
  <c r="W6788" i="8"/>
  <c r="V6788" i="8" s="1"/>
  <c r="W6789" i="8"/>
  <c r="V6789" i="8" s="1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V6805" i="8" s="1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V6829" i="8" s="1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V6853" i="8" s="1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V6901" i="8" s="1"/>
  <c r="W6902" i="8"/>
  <c r="W6903" i="8"/>
  <c r="W6904" i="8"/>
  <c r="W6905" i="8"/>
  <c r="W6906" i="8"/>
  <c r="W6907" i="8"/>
  <c r="W6908" i="8"/>
  <c r="W6909" i="8"/>
  <c r="V6909" i="8" s="1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V6933" i="8" s="1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V6973" i="8" s="1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V6989" i="8" s="1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V7005" i="8" s="1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V7021" i="8" s="1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V7045" i="8" s="1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V7077" i="8" s="1"/>
  <c r="W7078" i="8"/>
  <c r="W7079" i="8"/>
  <c r="W7080" i="8"/>
  <c r="W7081" i="8"/>
  <c r="V7081" i="8" s="1"/>
  <c r="W7082" i="8"/>
  <c r="W7083" i="8"/>
  <c r="W7084" i="8"/>
  <c r="V7084" i="8" s="1"/>
  <c r="W7085" i="8"/>
  <c r="V7085" i="8" s="1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V7101" i="8" s="1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V7141" i="8" s="1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V7157" i="8" s="1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V7173" i="8" s="1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V7213" i="8" s="1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V7253" i="8" s="1"/>
  <c r="W7254" i="8"/>
  <c r="W7255" i="8"/>
  <c r="W7256" i="8"/>
  <c r="W7257" i="8"/>
  <c r="W7258" i="8"/>
  <c r="W7259" i="8"/>
  <c r="W7260" i="8"/>
  <c r="V7260" i="8" s="1"/>
  <c r="W7261" i="8"/>
  <c r="V7261" i="8" s="1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V7277" i="8" s="1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V7293" i="8" s="1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V7317" i="8" s="1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V7341" i="8" s="1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V7357" i="8" s="1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V7389" i="8" s="1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V7413" i="8" s="1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V7437" i="8" s="1"/>
  <c r="W7438" i="8"/>
  <c r="W7439" i="8"/>
  <c r="W7440" i="8"/>
  <c r="W7441" i="8"/>
  <c r="V7441" i="8" s="1"/>
  <c r="W7442" i="8"/>
  <c r="W7443" i="8"/>
  <c r="W7444" i="8"/>
  <c r="V7444" i="8" s="1"/>
  <c r="W7445" i="8"/>
  <c r="V7445" i="8" s="1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V7477" i="8" s="1"/>
  <c r="W7478" i="8"/>
  <c r="W7479" i="8"/>
  <c r="W7480" i="8"/>
  <c r="W7481" i="8"/>
  <c r="W7482" i="8"/>
  <c r="W7483" i="8"/>
  <c r="W7484" i="8"/>
  <c r="V7484" i="8" s="1"/>
  <c r="W7485" i="8"/>
  <c r="V7485" i="8" s="1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V7517" i="8" s="1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V7549" i="8" s="1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V7581" i="8" s="1"/>
  <c r="W7582" i="8"/>
  <c r="W7583" i="8"/>
  <c r="W7584" i="8"/>
  <c r="W7585" i="8"/>
  <c r="V7585" i="8" s="1"/>
  <c r="W7586" i="8"/>
  <c r="W7587" i="8"/>
  <c r="W7588" i="8"/>
  <c r="V7588" i="8" s="1"/>
  <c r="W7589" i="8"/>
  <c r="V7589" i="8" s="1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V7621" i="8" s="1"/>
  <c r="W7622" i="8"/>
  <c r="W7623" i="8"/>
  <c r="W7624" i="8"/>
  <c r="W7625" i="8"/>
  <c r="V7625" i="8" s="1"/>
  <c r="W7626" i="8"/>
  <c r="W7627" i="8"/>
  <c r="W7628" i="8"/>
  <c r="V7628" i="8" s="1"/>
  <c r="W7629" i="8"/>
  <c r="V7629" i="8" s="1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V7653" i="8" s="1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V7669" i="8" s="1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V7701" i="8" s="1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V7733" i="8" s="1"/>
  <c r="W7734" i="8"/>
  <c r="W7735" i="8"/>
  <c r="W7736" i="8"/>
  <c r="W7737" i="8"/>
  <c r="V7737" i="8" s="1"/>
  <c r="W7738" i="8"/>
  <c r="W7739" i="8"/>
  <c r="W7740" i="8"/>
  <c r="V7740" i="8" s="1"/>
  <c r="W7741" i="8"/>
  <c r="V7741" i="8" s="1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V7773" i="8" s="1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V7821" i="8" s="1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V7877" i="8" s="1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V7901" i="8" s="1"/>
  <c r="W7902" i="8"/>
  <c r="W7903" i="8"/>
  <c r="W7904" i="8"/>
  <c r="W7905" i="8"/>
  <c r="V7905" i="8" s="1"/>
  <c r="W7906" i="8"/>
  <c r="W7907" i="8"/>
  <c r="W7908" i="8"/>
  <c r="V7908" i="8" s="1"/>
  <c r="W7909" i="8"/>
  <c r="V7909" i="8" s="1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V7925" i="8" s="1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V7957" i="8" s="1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V8005" i="8" s="1"/>
  <c r="W8006" i="8"/>
  <c r="W8007" i="8"/>
  <c r="W8008" i="8"/>
  <c r="W8009" i="8"/>
  <c r="V8009" i="8" s="1"/>
  <c r="W8010" i="8"/>
  <c r="W8011" i="8"/>
  <c r="W8012" i="8"/>
  <c r="V8012" i="8" s="1"/>
  <c r="W8013" i="8"/>
  <c r="V8013" i="8" s="1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V8061" i="8" s="1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V8093" i="8" s="1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V8109" i="8" s="1"/>
  <c r="W8110" i="8"/>
  <c r="W8111" i="8"/>
  <c r="W8112" i="8"/>
  <c r="W8113" i="8"/>
  <c r="V8113" i="8" s="1"/>
  <c r="W8114" i="8"/>
  <c r="W8115" i="8"/>
  <c r="W8116" i="8"/>
  <c r="V8116" i="8" s="1"/>
  <c r="W8117" i="8"/>
  <c r="V8117" i="8" s="1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V8149" i="8" s="1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V8197" i="8" s="1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V8213" i="8" s="1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V8261" i="8" s="1"/>
  <c r="W8262" i="8"/>
  <c r="W8263" i="8"/>
  <c r="W8264" i="8"/>
  <c r="V8264" i="8" s="1"/>
  <c r="W8265" i="8"/>
  <c r="W8266" i="8"/>
  <c r="W8267" i="8"/>
  <c r="W8268" i="8"/>
  <c r="V8268" i="8" s="1"/>
  <c r="W8269" i="8"/>
  <c r="V8269" i="8" s="1"/>
  <c r="W8270" i="8"/>
  <c r="W8271" i="8"/>
  <c r="W8272" i="8"/>
  <c r="W8273" i="8"/>
  <c r="V8273" i="8" s="1"/>
  <c r="W8274" i="8"/>
  <c r="W8275" i="8"/>
  <c r="W8276" i="8"/>
  <c r="V8276" i="8" s="1"/>
  <c r="W8277" i="8"/>
  <c r="V8277" i="8" s="1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V8285" i="8" s="1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V8325" i="8" s="1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V8349" i="8" s="1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V8357" i="8" s="1"/>
  <c r="W8358" i="8"/>
  <c r="W8359" i="8"/>
  <c r="W8360" i="8"/>
  <c r="V8360" i="8" s="1"/>
  <c r="W8361" i="8"/>
  <c r="W8362" i="8"/>
  <c r="W8363" i="8"/>
  <c r="W8364" i="8"/>
  <c r="V8364" i="8" s="1"/>
  <c r="W8365" i="8"/>
  <c r="V8365" i="8" s="1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V8389" i="8" s="1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V8397" i="8" s="1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V8413" i="8" s="1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V8445" i="8" s="1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V8469" i="8" s="1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V8493" i="8" s="1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V8501" i="8" s="1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V8517" i="8" s="1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V8541" i="8" s="1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V8573" i="8" s="1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V8597" i="8" s="1"/>
  <c r="W8598" i="8"/>
  <c r="W8599" i="8"/>
  <c r="W8600" i="8"/>
  <c r="V8600" i="8" s="1"/>
  <c r="W8601" i="8"/>
  <c r="W8602" i="8"/>
  <c r="W8603" i="8"/>
  <c r="W8604" i="8"/>
  <c r="V8604" i="8" s="1"/>
  <c r="W8605" i="8"/>
  <c r="V8605" i="8" s="1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V8621" i="8" s="1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V8629" i="8" s="1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V8709" i="8" s="1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V8885" i="8" s="1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V8941" i="8" s="1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V8981" i="8" s="1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V9029" i="8" s="1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V9037" i="8" s="1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V9085" i="8" s="1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W9224" i="8"/>
  <c r="V9224" i="8" s="1"/>
  <c r="W9225" i="8"/>
  <c r="V9225" i="8" s="1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V9241" i="8" s="1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V9257" i="8" s="1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3" i="8"/>
  <c r="V9227" i="8"/>
  <c r="V9229" i="8"/>
  <c r="V9230" i="8"/>
  <c r="V9239" i="8"/>
  <c r="V9243" i="8"/>
  <c r="V9246" i="8"/>
  <c r="V9247" i="8"/>
  <c r="V9254" i="8"/>
  <c r="V9255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2" i="8"/>
  <c r="V6063" i="8"/>
  <c r="V6064" i="8"/>
  <c r="V6065" i="8"/>
  <c r="V6067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50" i="8"/>
  <c r="V6151" i="8"/>
  <c r="V6153" i="8"/>
  <c r="V6155" i="8"/>
  <c r="V6157" i="8"/>
  <c r="V6158" i="8"/>
  <c r="V6159" i="8"/>
  <c r="V6161" i="8"/>
  <c r="V6163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90" i="8"/>
  <c r="V6191" i="8"/>
  <c r="V6193" i="8"/>
  <c r="V6195" i="8"/>
  <c r="V6197" i="8"/>
  <c r="V6198" i="8"/>
  <c r="V6199" i="8"/>
  <c r="V6201" i="8"/>
  <c r="V6203" i="8"/>
  <c r="V6206" i="8"/>
  <c r="V6207" i="8"/>
  <c r="V6209" i="8"/>
  <c r="V6211" i="8"/>
  <c r="V6212" i="8"/>
  <c r="V6214" i="8"/>
  <c r="V6215" i="8"/>
  <c r="V6217" i="8"/>
  <c r="V6219" i="8"/>
  <c r="V6221" i="8"/>
  <c r="V6222" i="8"/>
  <c r="V6223" i="8"/>
  <c r="V6225" i="8"/>
  <c r="V6227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4" i="8"/>
  <c r="V6255" i="8"/>
  <c r="V6257" i="8"/>
  <c r="V6259" i="8"/>
  <c r="V6261" i="8"/>
  <c r="V6262" i="8"/>
  <c r="V6263" i="8"/>
  <c r="V6265" i="8"/>
  <c r="V6267" i="8"/>
  <c r="V6270" i="8"/>
  <c r="V6271" i="8"/>
  <c r="V6273" i="8"/>
  <c r="V6275" i="8"/>
  <c r="V6276" i="8"/>
  <c r="V6278" i="8"/>
  <c r="V6279" i="8"/>
  <c r="V6281" i="8"/>
  <c r="V6283" i="8"/>
  <c r="V6285" i="8"/>
  <c r="V6286" i="8"/>
  <c r="V6287" i="8"/>
  <c r="V6289" i="8"/>
  <c r="V6291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8" i="8"/>
  <c r="V6319" i="8"/>
  <c r="V6321" i="8"/>
  <c r="V6323" i="8"/>
  <c r="V6325" i="8"/>
  <c r="V6326" i="8"/>
  <c r="V6327" i="8"/>
  <c r="V6329" i="8"/>
  <c r="V6331" i="8"/>
  <c r="V6334" i="8"/>
  <c r="V6335" i="8"/>
  <c r="V6337" i="8"/>
  <c r="V6339" i="8"/>
  <c r="V6340" i="8"/>
  <c r="V6342" i="8"/>
  <c r="V6343" i="8"/>
  <c r="V6344" i="8"/>
  <c r="V6345" i="8"/>
  <c r="V6347" i="8"/>
  <c r="V6350" i="8"/>
  <c r="V6351" i="8"/>
  <c r="V6352" i="8"/>
  <c r="V6353" i="8"/>
  <c r="V6355" i="8"/>
  <c r="V6358" i="8"/>
  <c r="V6359" i="8"/>
  <c r="V6360" i="8"/>
  <c r="V6361" i="8"/>
  <c r="V6363" i="8"/>
  <c r="V6366" i="8"/>
  <c r="V6367" i="8"/>
  <c r="V6368" i="8"/>
  <c r="V6369" i="8"/>
  <c r="V6371" i="8"/>
  <c r="V6374" i="8"/>
  <c r="V6375" i="8"/>
  <c r="V6376" i="8"/>
  <c r="V6377" i="8"/>
  <c r="V6379" i="8"/>
  <c r="V6382" i="8"/>
  <c r="V6383" i="8"/>
  <c r="V6385" i="8"/>
  <c r="V6387" i="8"/>
  <c r="V6389" i="8"/>
  <c r="V6390" i="8"/>
  <c r="V6391" i="8"/>
  <c r="V6393" i="8"/>
  <c r="V6395" i="8"/>
  <c r="V6398" i="8"/>
  <c r="V6399" i="8"/>
  <c r="V6401" i="8"/>
  <c r="V6403" i="8"/>
  <c r="V6405" i="8"/>
  <c r="V6406" i="8"/>
  <c r="V6407" i="8"/>
  <c r="V6409" i="8"/>
  <c r="V6411" i="8"/>
  <c r="V6414" i="8"/>
  <c r="V6415" i="8"/>
  <c r="V6417" i="8"/>
  <c r="V6419" i="8"/>
  <c r="V6421" i="8"/>
  <c r="V6422" i="8"/>
  <c r="V6423" i="8"/>
  <c r="V6424" i="8"/>
  <c r="V6425" i="8"/>
  <c r="V6427" i="8"/>
  <c r="V6428" i="8"/>
  <c r="V6430" i="8"/>
  <c r="V6431" i="8"/>
  <c r="V6432" i="8"/>
  <c r="V6433" i="8"/>
  <c r="V6435" i="8"/>
  <c r="V6438" i="8"/>
  <c r="V6439" i="8"/>
  <c r="V6440" i="8"/>
  <c r="V6441" i="8"/>
  <c r="V6443" i="8"/>
  <c r="V6446" i="8"/>
  <c r="V6447" i="8"/>
  <c r="V6448" i="8"/>
  <c r="V6449" i="8"/>
  <c r="V6451" i="8"/>
  <c r="V6454" i="8"/>
  <c r="V6455" i="8"/>
  <c r="V6456" i="8"/>
  <c r="V6457" i="8"/>
  <c r="V6459" i="8"/>
  <c r="V6462" i="8"/>
  <c r="V6463" i="8"/>
  <c r="V6464" i="8"/>
  <c r="V6465" i="8"/>
  <c r="V6467" i="8"/>
  <c r="V6470" i="8"/>
  <c r="V6471" i="8"/>
  <c r="V6472" i="8"/>
  <c r="V6473" i="8"/>
  <c r="V6475" i="8"/>
  <c r="V6478" i="8"/>
  <c r="V6479" i="8"/>
  <c r="V6480" i="8"/>
  <c r="V6481" i="8"/>
  <c r="V6483" i="8"/>
  <c r="V6486" i="8"/>
  <c r="V6487" i="8"/>
  <c r="V6488" i="8"/>
  <c r="V6489" i="8"/>
  <c r="V6491" i="8"/>
  <c r="V6492" i="8"/>
  <c r="V6494" i="8"/>
  <c r="V6495" i="8"/>
  <c r="V6496" i="8"/>
  <c r="V6497" i="8"/>
  <c r="V6499" i="8"/>
  <c r="V6501" i="8"/>
  <c r="V6502" i="8"/>
  <c r="V6503" i="8"/>
  <c r="V6504" i="8"/>
  <c r="V6505" i="8"/>
  <c r="V6507" i="8"/>
  <c r="V6510" i="8"/>
  <c r="V6511" i="8"/>
  <c r="V6512" i="8"/>
  <c r="V6513" i="8"/>
  <c r="V6515" i="8"/>
  <c r="V6517" i="8"/>
  <c r="V6518" i="8"/>
  <c r="V6519" i="8"/>
  <c r="V6520" i="8"/>
  <c r="V6521" i="8"/>
  <c r="V6523" i="8"/>
  <c r="V6526" i="8"/>
  <c r="V6527" i="8"/>
  <c r="V6528" i="8"/>
  <c r="V6529" i="8"/>
  <c r="V6531" i="8"/>
  <c r="V6533" i="8"/>
  <c r="V6534" i="8"/>
  <c r="V6535" i="8"/>
  <c r="V6536" i="8"/>
  <c r="V6537" i="8"/>
  <c r="V6539" i="8"/>
  <c r="V6542" i="8"/>
  <c r="V6543" i="8"/>
  <c r="V6544" i="8"/>
  <c r="V6545" i="8"/>
  <c r="V6548" i="8"/>
  <c r="V6549" i="8"/>
  <c r="V6550" i="8"/>
  <c r="V6551" i="8"/>
  <c r="V6552" i="8"/>
  <c r="V6553" i="8"/>
  <c r="V6555" i="8"/>
  <c r="V6558" i="8"/>
  <c r="V6559" i="8"/>
  <c r="V6560" i="8"/>
  <c r="V6561" i="8"/>
  <c r="V6566" i="8"/>
  <c r="V6567" i="8"/>
  <c r="V6568" i="8"/>
  <c r="V6569" i="8"/>
  <c r="V6573" i="8"/>
  <c r="V6574" i="8"/>
  <c r="V6575" i="8"/>
  <c r="V6576" i="8"/>
  <c r="V6577" i="8"/>
  <c r="V6582" i="8"/>
  <c r="V6583" i="8"/>
  <c r="V6584" i="8"/>
  <c r="V6585" i="8"/>
  <c r="V6590" i="8"/>
  <c r="V6591" i="8"/>
  <c r="V6592" i="8"/>
  <c r="V6593" i="8"/>
  <c r="V6598" i="8"/>
  <c r="V6599" i="8"/>
  <c r="V6600" i="8"/>
  <c r="V6601" i="8"/>
  <c r="V6603" i="8"/>
  <c r="V6606" i="8"/>
  <c r="V6607" i="8"/>
  <c r="V6608" i="8"/>
  <c r="V6609" i="8"/>
  <c r="V6614" i="8"/>
  <c r="V6615" i="8"/>
  <c r="V6616" i="8"/>
  <c r="V6617" i="8"/>
  <c r="V6619" i="8"/>
  <c r="V6621" i="8"/>
  <c r="V6622" i="8"/>
  <c r="V6623" i="8"/>
  <c r="V6624" i="8"/>
  <c r="V6625" i="8"/>
  <c r="V6630" i="8"/>
  <c r="V6631" i="8"/>
  <c r="V6632" i="8"/>
  <c r="V6633" i="8"/>
  <c r="V6638" i="8"/>
  <c r="V6639" i="8"/>
  <c r="V6640" i="8"/>
  <c r="V6641" i="8"/>
  <c r="V6646" i="8"/>
  <c r="V6647" i="8"/>
  <c r="V6648" i="8"/>
  <c r="V6649" i="8"/>
  <c r="V6653" i="8"/>
  <c r="V6654" i="8"/>
  <c r="V6655" i="8"/>
  <c r="V6656" i="8"/>
  <c r="V6657" i="8"/>
  <c r="V6662" i="8"/>
  <c r="V6663" i="8"/>
  <c r="V6664" i="8"/>
  <c r="V6665" i="8"/>
  <c r="V6667" i="8"/>
  <c r="V6670" i="8"/>
  <c r="V6671" i="8"/>
  <c r="V6672" i="8"/>
  <c r="V6678" i="8"/>
  <c r="V6679" i="8"/>
  <c r="V6680" i="8"/>
  <c r="V6681" i="8"/>
  <c r="V6683" i="8"/>
  <c r="V6686" i="8"/>
  <c r="V6687" i="8"/>
  <c r="V6688" i="8"/>
  <c r="V6689" i="8"/>
  <c r="V6694" i="8"/>
  <c r="V6695" i="8"/>
  <c r="V6696" i="8"/>
  <c r="V6697" i="8"/>
  <c r="V6702" i="8"/>
  <c r="V6703" i="8"/>
  <c r="V6704" i="8"/>
  <c r="V6705" i="8"/>
  <c r="V6709" i="8"/>
  <c r="V6710" i="8"/>
  <c r="V6711" i="8"/>
  <c r="V6712" i="8"/>
  <c r="V6713" i="8"/>
  <c r="V6718" i="8"/>
  <c r="V6719" i="8"/>
  <c r="V6720" i="8"/>
  <c r="V6721" i="8"/>
  <c r="V6726" i="8"/>
  <c r="V6727" i="8"/>
  <c r="V6728" i="8"/>
  <c r="V6729" i="8"/>
  <c r="V6731" i="8"/>
  <c r="V6732" i="8"/>
  <c r="V6734" i="8"/>
  <c r="V6735" i="8"/>
  <c r="V6736" i="8"/>
  <c r="V6737" i="8"/>
  <c r="V6742" i="8"/>
  <c r="V6743" i="8"/>
  <c r="V6744" i="8"/>
  <c r="V6747" i="8"/>
  <c r="V6750" i="8"/>
  <c r="V6751" i="8"/>
  <c r="V6752" i="8"/>
  <c r="V6753" i="8"/>
  <c r="V6757" i="8"/>
  <c r="V6758" i="8"/>
  <c r="V6759" i="8"/>
  <c r="V6760" i="8"/>
  <c r="V6761" i="8"/>
  <c r="V6763" i="8"/>
  <c r="V6766" i="8"/>
  <c r="V6767" i="8"/>
  <c r="V6768" i="8"/>
  <c r="V6769" i="8"/>
  <c r="V6771" i="8"/>
  <c r="V6773" i="8"/>
  <c r="V6774" i="8"/>
  <c r="V6775" i="8"/>
  <c r="V6776" i="8"/>
  <c r="V6777" i="8"/>
  <c r="V6782" i="8"/>
  <c r="V6783" i="8"/>
  <c r="V6784" i="8"/>
  <c r="V6785" i="8"/>
  <c r="V6787" i="8"/>
  <c r="V6790" i="8"/>
  <c r="V6791" i="8"/>
  <c r="V6792" i="8"/>
  <c r="V6795" i="8"/>
  <c r="V6797" i="8"/>
  <c r="V6798" i="8"/>
  <c r="V6799" i="8"/>
  <c r="V6800" i="8"/>
  <c r="V6801" i="8"/>
  <c r="V6803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2" i="8"/>
  <c r="V6903" i="8"/>
  <c r="V6904" i="8"/>
  <c r="V6905" i="8"/>
  <c r="V6907" i="8"/>
  <c r="V6908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4" i="8"/>
  <c r="V6975" i="8"/>
  <c r="V6976" i="8"/>
  <c r="V6977" i="8"/>
  <c r="V6979" i="8"/>
  <c r="V6982" i="8"/>
  <c r="V6983" i="8"/>
  <c r="V6984" i="8"/>
  <c r="V6985" i="8"/>
  <c r="V6987" i="8"/>
  <c r="V6988" i="8"/>
  <c r="V6990" i="8"/>
  <c r="V6991" i="8"/>
  <c r="V6992" i="8"/>
  <c r="V6993" i="8"/>
  <c r="V6995" i="8"/>
  <c r="V6998" i="8"/>
  <c r="V6999" i="8"/>
  <c r="V7000" i="8"/>
  <c r="V7003" i="8"/>
  <c r="V7006" i="8"/>
  <c r="V7007" i="8"/>
  <c r="V7008" i="8"/>
  <c r="V7009" i="8"/>
  <c r="V7014" i="8"/>
  <c r="V7015" i="8"/>
  <c r="V7016" i="8"/>
  <c r="V7017" i="8"/>
  <c r="V7019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8" i="8"/>
  <c r="V7079" i="8"/>
  <c r="V7080" i="8"/>
  <c r="V7083" i="8"/>
  <c r="V7086" i="8"/>
  <c r="V7087" i="8"/>
  <c r="V7088" i="8"/>
  <c r="V7091" i="8"/>
  <c r="V7094" i="8"/>
  <c r="V7095" i="8"/>
  <c r="V7096" i="8"/>
  <c r="V7097" i="8"/>
  <c r="V7099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2" i="8"/>
  <c r="V7143" i="8"/>
  <c r="V7144" i="8"/>
  <c r="V7145" i="8"/>
  <c r="V7147" i="8"/>
  <c r="V7148" i="8"/>
  <c r="V7150" i="8"/>
  <c r="V7151" i="8"/>
  <c r="V7152" i="8"/>
  <c r="V7153" i="8"/>
  <c r="V7155" i="8"/>
  <c r="V7158" i="8"/>
  <c r="V7159" i="8"/>
  <c r="V7160" i="8"/>
  <c r="V7163" i="8"/>
  <c r="V7166" i="8"/>
  <c r="V7167" i="8"/>
  <c r="V7168" i="8"/>
  <c r="V7171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4" i="8"/>
  <c r="V7255" i="8"/>
  <c r="V7256" i="8"/>
  <c r="V7257" i="8"/>
  <c r="V7259" i="8"/>
  <c r="V7262" i="8"/>
  <c r="V7263" i="8"/>
  <c r="V7264" i="8"/>
  <c r="V7265" i="8"/>
  <c r="V7267" i="8"/>
  <c r="V7268" i="8"/>
  <c r="V7270" i="8"/>
  <c r="V7271" i="8"/>
  <c r="V7272" i="8"/>
  <c r="V7273" i="8"/>
  <c r="V7275" i="8"/>
  <c r="V7278" i="8"/>
  <c r="V7279" i="8"/>
  <c r="V7280" i="8"/>
  <c r="V7283" i="8"/>
  <c r="V7286" i="8"/>
  <c r="V7287" i="8"/>
  <c r="V7288" i="8"/>
  <c r="V7291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2" i="8"/>
  <c r="V7343" i="8"/>
  <c r="V7344" i="8"/>
  <c r="V7345" i="8"/>
  <c r="V7347" i="8"/>
  <c r="V7350" i="8"/>
  <c r="V7351" i="8"/>
  <c r="V7352" i="8"/>
  <c r="V7353" i="8"/>
  <c r="V7355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8" i="8"/>
  <c r="V7439" i="8"/>
  <c r="V7440" i="8"/>
  <c r="V7443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8" i="8"/>
  <c r="V7479" i="8"/>
  <c r="V7480" i="8"/>
  <c r="V7481" i="8"/>
  <c r="V7483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2" i="8"/>
  <c r="V7583" i="8"/>
  <c r="V7584" i="8"/>
  <c r="V7587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2" i="8"/>
  <c r="V7623" i="8"/>
  <c r="V7624" i="8"/>
  <c r="V7627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4" i="8"/>
  <c r="V7655" i="8"/>
  <c r="V7656" i="8"/>
  <c r="V7657" i="8"/>
  <c r="V7659" i="8"/>
  <c r="V7662" i="8"/>
  <c r="V7663" i="8"/>
  <c r="V7664" i="8"/>
  <c r="V7667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4" i="8"/>
  <c r="V7735" i="8"/>
  <c r="V7736" i="8"/>
  <c r="V7739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2" i="8"/>
  <c r="V7903" i="8"/>
  <c r="V7904" i="8"/>
  <c r="V7907" i="8"/>
  <c r="V7910" i="8"/>
  <c r="V7911" i="8"/>
  <c r="V7912" i="8"/>
  <c r="V7913" i="8"/>
  <c r="V7915" i="8"/>
  <c r="V7918" i="8"/>
  <c r="V7919" i="8"/>
  <c r="V7920" i="8"/>
  <c r="V7921" i="8"/>
  <c r="V7923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6" i="8"/>
  <c r="V8007" i="8"/>
  <c r="V8008" i="8"/>
  <c r="V8011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4" i="8"/>
  <c r="V8095" i="8"/>
  <c r="V8096" i="8"/>
  <c r="V8097" i="8"/>
  <c r="V8099" i="8"/>
  <c r="V8102" i="8"/>
  <c r="V8103" i="8"/>
  <c r="V8104" i="8"/>
  <c r="V8107" i="8"/>
  <c r="V8110" i="8"/>
  <c r="V8111" i="8"/>
  <c r="V8112" i="8"/>
  <c r="V8115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8" i="8"/>
  <c r="V8199" i="8"/>
  <c r="V8201" i="8"/>
  <c r="V8203" i="8"/>
  <c r="V8205" i="8"/>
  <c r="V8206" i="8"/>
  <c r="V8207" i="8"/>
  <c r="V8208" i="8"/>
  <c r="V8211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2" i="8"/>
  <c r="V8263" i="8"/>
  <c r="V8265" i="8"/>
  <c r="V8267" i="8"/>
  <c r="V8270" i="8"/>
  <c r="V8271" i="8"/>
  <c r="V8272" i="8"/>
  <c r="V8275" i="8"/>
  <c r="V8278" i="8"/>
  <c r="V8279" i="8"/>
  <c r="V8283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50" i="8"/>
  <c r="V8351" i="8"/>
  <c r="V8355" i="8"/>
  <c r="V8358" i="8"/>
  <c r="V8359" i="8"/>
  <c r="V8361" i="8"/>
  <c r="V8363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90" i="8"/>
  <c r="V8391" i="8"/>
  <c r="V8395" i="8"/>
  <c r="V8398" i="8"/>
  <c r="V8399" i="8"/>
  <c r="V8401" i="8"/>
  <c r="V8403" i="8"/>
  <c r="V8406" i="8"/>
  <c r="V8407" i="8"/>
  <c r="V8409" i="8"/>
  <c r="V8411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4" i="8"/>
  <c r="V8495" i="8"/>
  <c r="V8499" i="8"/>
  <c r="V8502" i="8"/>
  <c r="V8503" i="8"/>
  <c r="V8504" i="8"/>
  <c r="V8507" i="8"/>
  <c r="V8510" i="8"/>
  <c r="V8511" i="8"/>
  <c r="V8512" i="8"/>
  <c r="V8515" i="8"/>
  <c r="V8516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4" i="8"/>
  <c r="V8575" i="8"/>
  <c r="V8579" i="8"/>
  <c r="V8582" i="8"/>
  <c r="V8583" i="8"/>
  <c r="V8587" i="8"/>
  <c r="V8590" i="8"/>
  <c r="V8591" i="8"/>
  <c r="V8595" i="8"/>
  <c r="V8598" i="8"/>
  <c r="V8599" i="8"/>
  <c r="V8601" i="8"/>
  <c r="V8603" i="8"/>
  <c r="V8606" i="8"/>
  <c r="V8607" i="8"/>
  <c r="V8608" i="8"/>
  <c r="V8609" i="8"/>
  <c r="V8611" i="8"/>
  <c r="V8614" i="8"/>
  <c r="V8615" i="8"/>
  <c r="V8619" i="8"/>
  <c r="V8622" i="8"/>
  <c r="V8623" i="8"/>
  <c r="V8627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30" i="8"/>
  <c r="V9031" i="8"/>
  <c r="V9035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28" i="1" l="1"/>
  <c r="BE29" i="1"/>
  <c r="BE30" i="1"/>
  <c r="BE24" i="1"/>
  <c r="BE27" i="1"/>
  <c r="BE25" i="1"/>
  <c r="BE26" i="1"/>
  <c r="BE7" i="1"/>
  <c r="BF7" i="1" s="1"/>
  <c r="BE14" i="1"/>
  <c r="BF14" i="1" s="1"/>
  <c r="BE20" i="1"/>
  <c r="BF20" i="1" s="1"/>
  <c r="BE8" i="1"/>
  <c r="BF8" i="1" s="1"/>
  <c r="BE15" i="1"/>
  <c r="BF15" i="1" s="1"/>
  <c r="BE21" i="1"/>
  <c r="BF21" i="1" s="1"/>
  <c r="BE9" i="1"/>
  <c r="BF9" i="1" s="1"/>
  <c r="BE16" i="1"/>
  <c r="BF16" i="1" s="1"/>
  <c r="BE22" i="1"/>
  <c r="BF22" i="1" s="1"/>
  <c r="BE10" i="1"/>
  <c r="BF10" i="1" s="1"/>
  <c r="BE17" i="1"/>
  <c r="BF17" i="1" s="1"/>
  <c r="BE23" i="1"/>
  <c r="BF23" i="1" s="1"/>
  <c r="BE3" i="1"/>
  <c r="BF3" i="1" s="1"/>
  <c r="BE11" i="1"/>
  <c r="BF11" i="1" s="1"/>
  <c r="BE18" i="1"/>
  <c r="BF18" i="1" s="1"/>
  <c r="BE13" i="1"/>
  <c r="BF13" i="1" s="1"/>
  <c r="BE4" i="1"/>
  <c r="BF4" i="1" s="1"/>
  <c r="BE19" i="1"/>
  <c r="BF19" i="1" s="1"/>
  <c r="BE5" i="1"/>
  <c r="BF5" i="1" s="1"/>
  <c r="BE12" i="1"/>
  <c r="BF12" i="1" s="1"/>
  <c r="BE6" i="1"/>
  <c r="BF6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A223" i="8"/>
  <c r="X223" i="8" s="1"/>
  <c r="A224" i="8"/>
  <c r="X224" i="8" s="1"/>
  <c r="A225" i="8"/>
  <c r="X225" i="8" s="1"/>
  <c r="A227" i="8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25" i="1" l="1"/>
  <c r="I25" i="1" s="1"/>
  <c r="D24" i="1"/>
  <c r="I24" i="1" s="1"/>
  <c r="D26" i="1"/>
  <c r="I26" i="1" s="1"/>
  <c r="D28" i="1"/>
  <c r="I28" i="1" s="1"/>
  <c r="D27" i="1"/>
  <c r="I27" i="1" s="1"/>
  <c r="D29" i="1"/>
  <c r="I29" i="1" s="1"/>
  <c r="X227" i="8"/>
  <c r="X222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9" i="1" l="1"/>
  <c r="S29" i="1"/>
  <c r="Q26" i="1"/>
  <c r="U27" i="1"/>
  <c r="P27" i="1"/>
  <c r="J30" i="1"/>
  <c r="O28" i="1"/>
  <c r="O25" i="1"/>
  <c r="BD28" i="1"/>
  <c r="O27" i="1"/>
  <c r="B21" i="1"/>
  <c r="H28" i="1"/>
  <c r="AU28" i="1"/>
  <c r="H24" i="1"/>
  <c r="U30" i="1"/>
  <c r="J25" i="1"/>
  <c r="N26" i="1"/>
  <c r="L25" i="1"/>
  <c r="B25" i="1" s="1"/>
  <c r="J24" i="1"/>
  <c r="P28" i="1"/>
  <c r="P30" i="1"/>
  <c r="B20" i="1"/>
  <c r="U26" i="1"/>
  <c r="S27" i="1"/>
  <c r="AU30" i="1"/>
  <c r="Q25" i="1"/>
  <c r="AU27" i="1"/>
  <c r="H30" i="1"/>
  <c r="N29" i="1"/>
  <c r="P29" i="1"/>
  <c r="J29" i="1"/>
  <c r="N30" i="1"/>
  <c r="L26" i="1"/>
  <c r="B26" i="1" s="1"/>
  <c r="P25" i="1"/>
  <c r="B8" i="1"/>
  <c r="Q28" i="1"/>
  <c r="AU24" i="1"/>
  <c r="AU26" i="1"/>
  <c r="Q24" i="1"/>
  <c r="O26" i="1"/>
  <c r="BD30" i="1"/>
  <c r="M30" i="1"/>
  <c r="L29" i="1"/>
  <c r="B29" i="1" s="1"/>
  <c r="L24" i="1"/>
  <c r="B24" i="1" s="1"/>
  <c r="M28" i="1"/>
  <c r="B9" i="1"/>
  <c r="U28" i="1"/>
  <c r="S26" i="1"/>
  <c r="T26" i="1" s="1"/>
  <c r="H25" i="1"/>
  <c r="Q27" i="1"/>
  <c r="U24" i="1"/>
  <c r="H27" i="1"/>
  <c r="M24" i="1"/>
  <c r="J27" i="1"/>
  <c r="BD29" i="1"/>
  <c r="BD25" i="1"/>
  <c r="O30" i="1"/>
  <c r="BD26" i="1"/>
  <c r="B10" i="1"/>
  <c r="Q29" i="1"/>
  <c r="AU29" i="1"/>
  <c r="AU25" i="1"/>
  <c r="U25" i="1"/>
  <c r="BD27" i="1"/>
  <c r="L27" i="1"/>
  <c r="B27" i="1" s="1"/>
  <c r="J26" i="1"/>
  <c r="M27" i="1"/>
  <c r="BD24" i="1"/>
  <c r="S28" i="1"/>
  <c r="T28" i="1" s="1"/>
  <c r="S30" i="1"/>
  <c r="U29" i="1"/>
  <c r="H29" i="1"/>
  <c r="L28" i="1"/>
  <c r="B28" i="1" s="1"/>
  <c r="M26" i="1"/>
  <c r="P26" i="1"/>
  <c r="M25" i="1"/>
  <c r="M29" i="1"/>
  <c r="B5" i="1"/>
  <c r="B23" i="1"/>
  <c r="H26" i="1"/>
  <c r="S24" i="1"/>
  <c r="Q30" i="1"/>
  <c r="O24" i="1"/>
  <c r="L30" i="1"/>
  <c r="B30" i="1" s="1"/>
  <c r="P24" i="1"/>
  <c r="J28" i="1"/>
  <c r="O29" i="1"/>
  <c r="B16" i="1"/>
  <c r="B6" i="1"/>
  <c r="B12" i="1"/>
  <c r="B7" i="1"/>
  <c r="B13" i="1"/>
  <c r="B18" i="1"/>
  <c r="B14" i="1"/>
  <c r="B11" i="1"/>
  <c r="BD4" i="1"/>
  <c r="BD8" i="1"/>
  <c r="B22" i="1"/>
  <c r="BD6" i="1"/>
  <c r="BD5" i="1"/>
  <c r="B3" i="1"/>
  <c r="BD16" i="1"/>
  <c r="BD3" i="1"/>
  <c r="BD10" i="1"/>
  <c r="B4" i="1"/>
  <c r="B15" i="1"/>
  <c r="BD7" i="1"/>
  <c r="BD21" i="1"/>
  <c r="BD20" i="1"/>
  <c r="BD18" i="1"/>
  <c r="BD23" i="1"/>
  <c r="BD22" i="1"/>
  <c r="BD9" i="1"/>
  <c r="BD15" i="1"/>
  <c r="BD14" i="1"/>
  <c r="BD13" i="1"/>
  <c r="BD12" i="1"/>
  <c r="BD19" i="1"/>
  <c r="B17" i="1"/>
  <c r="BD11" i="1"/>
  <c r="BD17" i="1"/>
  <c r="X10" i="8"/>
  <c r="X18" i="8"/>
  <c r="X8" i="8"/>
  <c r="C24" i="5"/>
  <c r="AV28" i="1"/>
  <c r="AW28" i="1"/>
  <c r="AW29" i="1"/>
  <c r="AV29" i="1"/>
  <c r="AW24" i="1"/>
  <c r="AV24" i="1"/>
  <c r="AW25" i="1"/>
  <c r="AV25" i="1"/>
  <c r="AV30" i="1"/>
  <c r="AW30" i="1"/>
  <c r="AW27" i="1"/>
  <c r="AV27" i="1"/>
  <c r="AW26" i="1"/>
  <c r="AV26" i="1"/>
  <c r="G24" i="1" l="1"/>
  <c r="F24" i="1"/>
  <c r="E24" i="1" s="1"/>
  <c r="BF24" i="1"/>
  <c r="G27" i="1"/>
  <c r="F27" i="1"/>
  <c r="E27" i="1" s="1"/>
  <c r="BF27" i="1"/>
  <c r="G29" i="1"/>
  <c r="F29" i="1"/>
  <c r="E29" i="1" s="1"/>
  <c r="BF29" i="1"/>
  <c r="D30" i="1"/>
  <c r="I30" i="1" s="1"/>
  <c r="G30" i="1"/>
  <c r="F30" i="1"/>
  <c r="E30" i="1" s="1"/>
  <c r="BF30" i="1"/>
  <c r="T29" i="1"/>
  <c r="G28" i="1"/>
  <c r="F28" i="1"/>
  <c r="E28" i="1" s="1"/>
  <c r="BF28" i="1"/>
  <c r="G26" i="1"/>
  <c r="F26" i="1"/>
  <c r="E26" i="1" s="1"/>
  <c r="BF26" i="1"/>
  <c r="T30" i="1"/>
  <c r="G25" i="1"/>
  <c r="F25" i="1"/>
  <c r="E25" i="1" s="1"/>
  <c r="BF25" i="1"/>
  <c r="T27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<sst xmlns="http://schemas.openxmlformats.org/spreadsheetml/2006/main" count="10164" uniqueCount="1733">
  <si>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</si>
  <si>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</si>
  <si>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</si>
  <si>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</si>
  <si>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</si>
  <si>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</si>
  <si>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</si>
  <si>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</si>
  <si>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</si>
  <si>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</si>
  <si>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</si>
  <si>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</si>
  <si>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</si>
  <si>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</si>
  <si>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</si>
  <si>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</si>
  <si>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</si>
  <si>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</si>
  <si>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</si>
  <si>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</si>
  <si>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</si>
  <si>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</si>
  <si>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</si>
  <si>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</si>
  <si>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</si>
  <si>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</si>
  <si>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</si>
  <si>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</si>
  <si>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</si>
  <si>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</si>
  <si>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</si>
  <si>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</si>
  <si>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</si>
  <si>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</si>
  <si>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</si>
  <si>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</si>
  <si>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</si>
  <si>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</si>
  <si>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</si>
  <si>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</si>
  <si>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</si>
  <si>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</si>
  <si>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</si>
  <si>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</si>
  <si>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</si>
  <si>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</si>
  <si>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</si>
  <si>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</si>
  <si>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</si>
  <si>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</si>
  <si>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</si>
  <si>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</si>
  <si>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</si>
  <si>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</si>
  <si>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</si>
  <si>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</si>
  <si>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</si>
  <si>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</si>
  <si>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</si>
  <si>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</si>
  <si>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</si>
  <si>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</si>
  <si>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</si>
  <si>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</si>
  <si>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</si>
  <si>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</si>
  <si>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</si>
  <si>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</si>
  <si>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</si>
  <si>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</si>
  <si>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</si>
  <si>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</si>
  <si>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</si>
  <si>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</si>
  <si>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</si>
  <si>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</si>
  <si>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</si>
  <si>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</si>
  <si>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</si>
  <si>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</si>
  <si>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</si>
  <si>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</si>
  <si>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</si>
  <si>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</si>
  <si>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</si>
  <si>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</si>
  <si>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</si>
  <si>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</si>
  <si>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</si>
  <si>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</si>
  <si>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</si>
  <si>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</si>
  <si>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</si>
  <si>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</si>
  <si>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</si>
  <si>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</si>
  <si>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</si>
  <si>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</si>
  <si>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</si>
  <si>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</si>
  <si>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</si>
  <si>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</si>
  <si>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</si>
  <si>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</si>
  <si>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</si>
  <si>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</si>
  <si>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</si>
  <si>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</si>
  <si>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</si>
  <si>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</si>
  <si>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</si>
  <si>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</si>
  <si>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</si>
  <si>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</si>
  <si>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</si>
  <si>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</si>
  <si>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</si>
  <si>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</si>
  <si>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</si>
  <si>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</si>
  <si>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</si>
  <si>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</si>
  <si>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</si>
  <si>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</si>
  <si>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</si>
  <si>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</si>
  <si>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</si>
  <si>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</si>
  <si>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</si>
  <si>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</si>
  <si>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</si>
  <si>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</si>
  <si>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</si>
  <si>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</si>
  <si>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</si>
  <si>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</si>
  <si>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</si>
  <si>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</si>
  <si>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</si>
  <si>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</si>
  <si>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</si>
  <si>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</si>
  <si>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</si>
  <si>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</si>
  <si>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</si>
  <si>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</si>
  <si>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</si>
  <si>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</si>
  <si>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</si>
  <si>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</si>
  <si>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</si>
  <si>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</si>
  <si>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</si>
  <si>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</si>
  <si>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</si>
  <si>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</si>
  <si>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</si>
  <si>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</si>
  <si>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</si>
  <si>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</si>
  <si>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</si>
  <si>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</si>
  <si>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</si>
  <si>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</si>
  <si>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</si>
  <si>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</si>
  <si>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</si>
  <si>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</si>
  <si>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</si>
  <si>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</si>
  <si>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</si>
  <si>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</si>
  <si>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</si>
  <si>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</si>
  <si>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</si>
  <si>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</si>
  <si>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</si>
  <si>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</si>
  <si>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</si>
  <si>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</si>
  <si>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</si>
  <si>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</si>
  <si>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</si>
  <si>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</si>
  <si>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</si>
  <si>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</si>
  <si>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</si>
  <si>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</si>
  <si>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</si>
  <si>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</si>
  <si>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</si>
  <si>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</si>
  <si>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</si>
  <si>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</si>
  <si>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</si>
  <si>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</si>
  <si>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</si>
  <si>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</si>
  <si>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</si>
  <si>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</si>
  <si>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</si>
  <si>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</si>
  <si>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</si>
  <si>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</si>
  <si>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</si>
  <si>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</si>
  <si>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</si>
  <si>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</si>
  <si>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</si>
  <si>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</si>
  <si>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</si>
  <si>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</si>
  <si>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</si>
  <si>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</si>
  <si>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</si>
  <si>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</si>
  <si>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</si>
  <si>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</si>
  <si>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</si>
  <si>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</si>
  <si>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</si>
  <si>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</si>
  <si>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</si>
  <si>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</si>
  <si>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</si>
  <si>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</si>
  <si>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</si>
  <si>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</si>
  <si>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</si>
  <si>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</si>
  <si>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</si>
  <si>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</si>
  <si>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</si>
  <si>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</si>
  <si>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</si>
  <si>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</si>
  <si>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</si>
  <si>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</si>
  <si>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</si>
  <si>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</si>
  <si>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</si>
  <si>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</si>
  <si>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</si>
  <si>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</si>
  <si>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</si>
  <si>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</si>
  <si>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</si>
  <si>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</si>
  <si>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</si>
  <si>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</si>
  <si>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</si>
  <si>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</si>
  <si>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</si>
  <si>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</si>
  <si>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</si>
  <si>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</si>
  <si>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</si>
  <si>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</si>
  <si>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</si>
  <si>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</si>
  <si>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</si>
  <si>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</si>
  <si>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</si>
  <si>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</si>
  <si>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</si>
  <si>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</si>
  <si>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</si>
  <si>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</si>
  <si>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</si>
  <si>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</si>
  <si>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</si>
  <si>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</si>
  <si>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</si>
  <si>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</si>
  <si>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</si>
  <si>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</si>
  <si>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</si>
  <si>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</si>
  <si>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</si>
  <si>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</si>
  <si>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</si>
  <si>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</si>
  <si>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</si>
  <si>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</si>
  <si>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</si>
  <si>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</si>
  <si>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</si>
  <si>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</si>
  <si>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</si>
  <si>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</si>
  <si>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</si>
  <si>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</si>
  <si>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</si>
  <si>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</si>
  <si>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</si>
  <si>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</si>
  <si>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</si>
  <si>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</si>
  <si>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</si>
  <si>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</si>
  <si>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</si>
  <si>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</si>
  <si>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</si>
  <si>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</si>
  <si>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</si>
  <si>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</si>
  <si>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</si>
  <si>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</si>
  <si>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</si>
  <si>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</si>
  <si>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</si>
  <si>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</si>
  <si>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</si>
  <si>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</si>
  <si>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</si>
  <si>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</si>
  <si>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</si>
  <si>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</si>
  <si>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</si>
  <si>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</si>
  <si>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</si>
  <si>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</si>
  <si>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</si>
  <si>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</si>
  <si>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</si>
  <si>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</si>
  <si>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</si>
  <si>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</si>
  <si>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</si>
  <si>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</si>
  <si>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</si>
  <si>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</si>
  <si>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</si>
  <si>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</si>
  <si>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</si>
  <si>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</si>
  <si>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</si>
  <si>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</si>
  <si>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</si>
  <si>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</si>
  <si>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</si>
  <si>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</si>
  <si>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</si>
  <si>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</si>
  <si>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</si>
  <si>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</si>
  <si>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</si>
  <si>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</si>
  <si>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</si>
  <si>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</si>
  <si>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</si>
  <si>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</si>
  <si>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</si>
  <si>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</si>
  <si>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</si>
  <si>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</si>
  <si>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</si>
  <si>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</si>
  <si>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</si>
  <si>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</si>
  <si>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</si>
  <si>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</si>
  <si>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</si>
  <si>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</si>
  <si>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</si>
  <si>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</si>
  <si>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</si>
  <si>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</si>
  <si>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</si>
  <si>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</si>
  <si>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</si>
  <si>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</si>
  <si>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</si>
  <si>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</si>
  <si>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</si>
  <si>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</si>
  <si>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</si>
  <si>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</si>
  <si>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</si>
  <si>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</si>
  <si>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</si>
  <si>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</si>
  <si>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</si>
  <si>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</si>
  <si>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</si>
  <si>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</si>
  <si>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</si>
  <si>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</si>
  <si>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</si>
  <si>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</si>
  <si>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</si>
  <si>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</si>
  <si>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</si>
  <si>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</si>
  <si>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</si>
  <si>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</si>
  <si>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</si>
  <si>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</si>
  <si>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</si>
  <si>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</si>
  <si>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</si>
  <si>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</si>
  <si>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</si>
  <si>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</si>
  <si>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</si>
  <si>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</si>
  <si>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</si>
  <si>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</si>
  <si>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</si>
  <si>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</si>
  <si>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</si>
  <si>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</si>
  <si>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</si>
  <si>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</si>
  <si>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</si>
  <si>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</si>
  <si>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</si>
  <si>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</si>
  <si>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</si>
  <si>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</si>
  <si>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</si>
  <si>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</si>
  <si>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</si>
  <si>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</si>
  <si>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</si>
  <si>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</si>
  <si>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</si>
  <si>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</si>
  <si>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</si>
  <si>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</si>
  <si>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</si>
  <si>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</si>
  <si>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</si>
  <si>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</si>
  <si>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</si>
  <si>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</si>
  <si>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</si>
  <si>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</si>
  <si>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</si>
  <si>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</si>
  <si>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</si>
  <si>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</si>
  <si>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</si>
  <si>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</si>
  <si>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</si>
  <si>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</si>
  <si>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</si>
  <si>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</si>
  <si>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</si>
  <si>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</si>
  <si>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</si>
  <si>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</si>
  <si>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</si>
  <si>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</si>
  <si>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</si>
  <si>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</si>
  <si>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</si>
  <si>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</si>
  <si>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</si>
  <si>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</si>
  <si>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</si>
  <si>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</si>
  <si>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</si>
  <si>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</si>
  <si>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</si>
  <si>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</si>
  <si>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</si>
  <si>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</si>
  <si>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</si>
  <si>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</si>
  <si>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</si>
  <si>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</si>
  <si>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</si>
  <si>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</si>
  <si>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</si>
  <si>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</si>
  <si>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</si>
  <si>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</si>
  <si>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</si>
  <si>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</si>
  <si>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</si>
  <si>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</si>
  <si>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</si>
  <si>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</si>
  <si>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</si>
  <si>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</si>
  <si>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</si>
  <si>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</si>
  <si>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</si>
  <si>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</si>
  <si>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</si>
  <si>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</si>
  <si>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</si>
  <si>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</si>
  <si>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</si>
  <si>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</si>
  <si>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</si>
  <si>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</si>
  <si>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</si>
  <si>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</si>
  <si>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</si>
  <si>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</si>
  <si>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</si>
  <si>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</si>
  <si>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</si>
  <si>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</si>
  <si>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</si>
  <si>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</si>
  <si>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</si>
  <si>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</si>
  <si>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</si>
  <si>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</si>
  <si>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</si>
  <si>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</si>
  <si>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</si>
  <si>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</si>
  <si>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</si>
  <si>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</si>
  <si>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</si>
  <si>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</si>
  <si>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</si>
  <si>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</si>
  <si>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</si>
  <si>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</si>
  <si>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</si>
  <si>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</si>
  <si>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</si>
  <si>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</si>
  <si>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</si>
  <si>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</si>
  <si>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</si>
  <si>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</si>
  <si>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</si>
  <si>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</si>
  <si>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</si>
  <si>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</si>
  <si>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</si>
  <si>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</si>
  <si>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</si>
  <si>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</si>
  <si>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</si>
  <si>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</si>
  <si>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</si>
  <si>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</si>
  <si>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</si>
  <si>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</si>
  <si>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</si>
  <si>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</si>
  <si>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</si>
  <si>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</si>
  <si>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</si>
  <si>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</si>
  <si>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</si>
  <si>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</si>
  <si>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</si>
  <si>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</si>
  <si>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</si>
  <si>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</si>
  <si>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</si>
  <si>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</si>
  <si>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</si>
  <si>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</si>
  <si>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</si>
  <si>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</si>
  <si>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</si>
  <si>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</si>
  <si>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</si>
  <si>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</si>
  <si>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</si>
  <si>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</si>
  <si>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</si>
  <si>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</si>
  <si>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</si>
  <si>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</si>
  <si>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</si>
  <si>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</si>
  <si>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</si>
  <si>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</si>
  <si>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</si>
  <si>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</si>
  <si>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</si>
  <si>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</si>
  <si>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</si>
  <si>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</si>
  <si>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</si>
  <si>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</si>
  <si>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</si>
  <si>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</si>
  <si>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</si>
  <si>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</si>
  <si>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</si>
  <si>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</si>
  <si>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</si>
  <si>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</si>
  <si>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</si>
  <si>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</si>
  <si>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</si>
  <si>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</si>
  <si>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</si>
  <si>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</si>
  <si>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</si>
  <si>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</si>
  <si>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</si>
  <si>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</si>
  <si>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</si>
  <si>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</si>
  <si>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</si>
  <si>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</si>
  <si>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</si>
  <si>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</si>
  <si>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</si>
  <si>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</si>
  <si>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</si>
  <si>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</si>
  <si>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</si>
  <si>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</si>
  <si>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</si>
  <si>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</si>
  <si>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</si>
  <si>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</si>
  <si>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</si>
  <si>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</si>
  <si>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</si>
  <si>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</si>
  <si>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</si>
  <si>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</si>
  <si>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</si>
  <si>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</si>
  <si>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</si>
  <si>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</si>
  <si>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</si>
  <si>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</si>
  <si>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</si>
  <si>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</si>
  <si>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</si>
  <si>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</si>
  <si>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</si>
  <si>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</si>
  <si>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</si>
  <si>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</si>
  <si>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</si>
  <si>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</si>
  <si>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</si>
  <si>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</si>
  <si>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</si>
  <si>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</si>
  <si>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</si>
  <si>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</si>
  <si>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</si>
  <si>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</si>
  <si>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</si>
  <si>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</si>
  <si>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</si>
  <si>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</si>
  <si>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</si>
  <si>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</si>
  <si>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</si>
  <si>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</si>
  <si>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</si>
  <si>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</si>
  <si>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</si>
  <si>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</si>
  <si>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</si>
  <si>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</si>
  <si>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</si>
  <si>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</si>
  <si>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</si>
  <si>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</si>
  <si>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</si>
  <si>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</si>
  <si>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</si>
  <si>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</si>
  <si>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</si>
  <si>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</si>
  <si>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</si>
  <si>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</si>
  <si>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</si>
  <si>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</si>
  <si>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</si>
  <si>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</si>
  <si>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</si>
  <si>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</si>
  <si>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</si>
  <si>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</si>
  <si>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</si>
  <si>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</si>
  <si>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</si>
  <si>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</si>
  <si>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</si>
  <si>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</si>
  <si>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</si>
  <si>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</si>
  <si>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</si>
  <si>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</si>
  <si>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</si>
  <si>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</si>
  <si>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</si>
  <si>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</si>
  <si>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</si>
  <si>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</si>
  <si>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</si>
  <si>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</si>
  <si>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</si>
  <si>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</si>
  <si>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</si>
  <si>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</si>
  <si>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</si>
  <si>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</si>
  <si>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</si>
  <si>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</si>
  <si>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</si>
  <si>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</si>
  <si>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</si>
  <si>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</si>
  <si>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</si>
  <si>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</si>
  <si>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</si>
  <si>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</si>
  <si>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</si>
  <si>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</si>
  <si>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</si>
  <si>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</si>
  <si>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</si>
  <si>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</si>
  <si>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</si>
  <si>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</si>
  <si>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</si>
  <si>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</si>
  <si>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</si>
  <si>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</si>
  <si>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</si>
  <si>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</si>
  <si>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</si>
  <si>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</si>
  <si>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</si>
  <si>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</si>
  <si>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</si>
  <si>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</si>
  <si>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</si>
  <si>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</si>
  <si>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</si>
  <si>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</si>
  <si>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</si>
  <si>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</si>
  <si>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</si>
  <si>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</si>
  <si>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</si>
  <si>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</si>
  <si>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</si>
  <si>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</si>
  <si>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</si>
  <si>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</si>
  <si>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</si>
  <si>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</si>
  <si>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</si>
  <si>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</si>
  <si>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</si>
  <si>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</si>
  <si>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</si>
  <si>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</si>
  <si>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</si>
  <si>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</si>
  <si>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</si>
  <si>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</si>
  <si>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</si>
  <si>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</si>
  <si>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</si>
  <si>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</si>
  <si>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</si>
  <si>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</si>
  <si>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</si>
  <si>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</si>
  <si>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</si>
  <si>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</si>
  <si>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</si>
  <si>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</si>
  <si>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</si>
  <si>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</si>
  <si>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</si>
  <si>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</si>
  <si>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</si>
  <si>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</si>
  <si>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</si>
  <si>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</si>
  <si>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</si>
  <si>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</si>
  <si>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</si>
  <si>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</si>
  <si>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</si>
  <si>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</si>
  <si>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</si>
  <si>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</si>
  <si>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</si>
  <si>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</si>
  <si>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</si>
  <si>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</si>
  <si>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</si>
  <si>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</si>
  <si>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</si>
  <si>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</si>
  <si>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</si>
  <si>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</si>
  <si>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</si>
  <si>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</si>
  <si>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</si>
  <si>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</si>
  <si>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</si>
  <si>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</si>
  <si>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</si>
  <si>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</si>
  <si>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</si>
  <si>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</si>
  <si>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</si>
  <si>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</si>
  <si>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</si>
  <si>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</si>
  <si>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</si>
  <si>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</si>
  <si>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</si>
  <si>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</si>
  <si>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</si>
  <si>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</si>
  <si>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</si>
  <si>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</si>
  <si>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</si>
  <si>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</si>
  <si>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</si>
  <si>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</si>
  <si>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</si>
  <si>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</si>
  <si>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</si>
  <si>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</si>
  <si>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</si>
  <si>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</si>
  <si>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</si>
  <si>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</si>
  <si>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</si>
  <si>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</si>
  <si>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</si>
  <si>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</si>
  <si>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</si>
  <si>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</si>
  <si>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</si>
  <si>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</si>
  <si>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</si>
  <si>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</si>
  <si>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</si>
  <si>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</si>
  <si>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</si>
  <si>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</si>
  <si>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</si>
  <si>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</si>
  <si>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</si>
  <si>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</si>
  <si>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</si>
  <si>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</si>
  <si>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</si>
  <si>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</si>
  <si>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</si>
  <si>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</si>
  <si>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</si>
  <si>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</si>
  <si>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</si>
  <si>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</si>
  <si>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</si>
  <si>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</si>
  <si>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</si>
  <si>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</si>
  <si>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</si>
  <si>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</si>
  <si>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</si>
  <si>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</si>
  <si>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</si>
  <si>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</si>
  <si>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</si>
  <si>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</si>
  <si>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</si>
  <si>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</si>
  <si>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</si>
  <si>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</si>
  <si>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</si>
  <si>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</si>
  <si>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</si>
  <si>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</si>
  <si>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</si>
  <si>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</si>
  <si>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</si>
  <si>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</si>
  <si>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</si>
  <si>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</si>
  <si>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</si>
  <si>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</si>
  <si>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</si>
  <si>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</si>
  <si>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</si>
  <si>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</si>
  <si>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</si>
  <si>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</si>
  <si>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</si>
  <si>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</si>
  <si>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</si>
  <si>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</si>
  <si>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</si>
  <si>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</si>
  <si>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</si>
  <si>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</si>
  <si>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</si>
  <si>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</si>
  <si>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</si>
  <si>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</si>
  <si>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</si>
  <si>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</si>
  <si>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</si>
  <si>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</si>
  <si>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</si>
  <si>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</si>
  <si>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Oakland Athletics</t>
  </si>
  <si>
    <t>Atlanta Braves</t>
  </si>
  <si>
    <t>100% полиэстер</t>
  </si>
  <si>
    <t>Pittsburgh Pirates</t>
  </si>
  <si>
    <t>EPL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</si>
  <si>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</si>
  <si>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</si>
  <si>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</si>
  <si>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</si>
  <si>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</si>
  <si>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</si>
  <si>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</si>
  <si>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</si>
  <si>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</si>
  <si>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</si>
  <si>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</si>
  <si>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</si>
  <si>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</si>
  <si>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</si>
  <si>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</si>
  <si>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</si>
  <si>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</si>
  <si>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</si>
  <si>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</si>
  <si>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</si>
  <si>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</si>
  <si>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</si>
  <si>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</si>
  <si>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</si>
  <si>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</si>
  <si>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</si>
  <si>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</si>
  <si>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</si>
  <si>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</si>
  <si>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</si>
  <si>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</si>
  <si>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</si>
  <si>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</si>
  <si>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</si>
  <si>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</si>
  <si>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</si>
  <si>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</si>
  <si>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</si>
  <si>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</si>
  <si>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</si>
  <si>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</si>
  <si>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</si>
  <si>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</si>
  <si>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</si>
  <si>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</si>
  <si>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</si>
  <si>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</si>
  <si>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</si>
  <si>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</si>
  <si>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</si>
  <si>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</si>
  <si>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</si>
  <si>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</si>
  <si>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</si>
  <si>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96-186-18-00</t>
  </si>
  <si>
    <t>Бейсболка NEW ERA арт. 80636012 New York Yankees MLB (красный) {carwhi}</t>
  </si>
  <si>
    <t>80636012 New York Yankees MLB</t>
  </si>
  <si>
    <t>New Era Cap Company Ltd; 1st Floor East, CBX 2, Midsummer Boulevard, Milton Keynes MK9 2EA, United Kingdom</t>
  </si>
  <si>
    <t>carwhi</t>
  </si>
  <si>
    <t>96-185-17-00</t>
  </si>
  <si>
    <t>Бейсболка NEW ERA арт. 80524868 New York Yankees MLB (белый) {whi}</t>
  </si>
  <si>
    <t>80524868 New York Yankees MLB</t>
  </si>
  <si>
    <t>whi</t>
  </si>
  <si>
    <t>96-184-09-00</t>
  </si>
  <si>
    <t>Бейсболка NEW ERA арт. 80468932 New York Yankees MLB (черный) {blk}</t>
  </si>
  <si>
    <t>80468932 New York Yankees MLB</t>
  </si>
  <si>
    <t>blk</t>
  </si>
  <si>
    <t>96-183-09-57</t>
  </si>
  <si>
    <t>Бейсболка NEW ERA арт. 12572845 Chicago White Socks MLB (черный) {otc}</t>
  </si>
  <si>
    <t>57 M</t>
  </si>
  <si>
    <t>12572845 Chicago White Socks MLB</t>
  </si>
  <si>
    <t>Chicago White Socks</t>
  </si>
  <si>
    <t>otc</t>
  </si>
  <si>
    <t>96-182-09-00</t>
  </si>
  <si>
    <t>Бейсболка NEW ERA арт. 12523912 Los Angeles Dodgers MLB (черный) {blkblk}</t>
  </si>
  <si>
    <t>12523912 Los Angeles Dodgers MLB</t>
  </si>
  <si>
    <t>blkblk</t>
  </si>
  <si>
    <t>96-181-17-00</t>
  </si>
  <si>
    <t>Бейсболка NEW ERA арт. 12523903 New York Yankees MLB (белый) {whiwhi}</t>
  </si>
  <si>
    <t>12523903 New York Yankees MLB</t>
  </si>
  <si>
    <t>whiwhi</t>
  </si>
  <si>
    <t>96-180-11-00</t>
  </si>
  <si>
    <t>Бейсболка NEW ERA арт. 12523894 New York Yankees MLB (зеленый / белый) {novwhi}</t>
  </si>
  <si>
    <t>12523894 New York Yankees MLB</t>
  </si>
  <si>
    <t>novwhi</t>
  </si>
  <si>
    <t>96-179-17-00</t>
  </si>
  <si>
    <t>Бейсболка NEW ERA арт. 12523893 New York Yankees MLB (бежевый / белый) {stnwhi}</t>
  </si>
  <si>
    <t>12523893 New York Yankees MLB</t>
  </si>
  <si>
    <t>stnwhi</t>
  </si>
  <si>
    <t>96-178-48-00</t>
  </si>
  <si>
    <t>Бейсболка NEW ERA арт. 12380796 New York Yankees MLB (белый / черный) {otc}</t>
  </si>
  <si>
    <t>12380796 New York Yankees MLB</t>
  </si>
  <si>
    <t>96-177-09-00</t>
  </si>
  <si>
    <t>Бейсболка NEW ERA арт. 12380594 New York Yankees MLB (черный) {blk}</t>
  </si>
  <si>
    <t>12380594 New York Yankees MLB</t>
  </si>
  <si>
    <t>96-176-17-00</t>
  </si>
  <si>
    <t>12380590 New York Yankees MLB</t>
  </si>
  <si>
    <t>stn</t>
  </si>
  <si>
    <t>96-175-17-00</t>
  </si>
  <si>
    <t>Бейсболка NEW ERA арт. 12285467 New York Yankees MLB (белый) {whi}</t>
  </si>
  <si>
    <t>12285467 New York Yankees MLB</t>
  </si>
  <si>
    <t>96-174-09-00</t>
  </si>
  <si>
    <t>Бейсболка NEW ERA арт. 12122742 New York Yankees MLB (черный) {blkblk}</t>
  </si>
  <si>
    <t>12122742 New York Yankees MLB</t>
  </si>
  <si>
    <t>96-173-09-00</t>
  </si>
  <si>
    <t>Бейсболка NEW ERA арт. 12122741 New York Yankees MLB (черный) {blkwhi}</t>
  </si>
  <si>
    <t>12122741 New York Yankees MLB</t>
  </si>
  <si>
    <t>blkwhi</t>
  </si>
  <si>
    <t>96-172-09-00</t>
  </si>
  <si>
    <t>Бейсболка NEW ERA арт. 12052000 Los Angeles Dodgers MLB (черный) {blk}</t>
  </si>
  <si>
    <t>12052000 Los Angeles Dodgers MLB</t>
  </si>
  <si>
    <t>96-171-00-00</t>
  </si>
  <si>
    <t>Бейсболка NEW ERA арт. 12051998 New York Yankees MLB (камуфляж) {mncblk}</t>
  </si>
  <si>
    <t>12051998 New York Yankees MLB</t>
  </si>
  <si>
    <t>mncblk</t>
  </si>
  <si>
    <t>96-170-09-58</t>
  </si>
  <si>
    <t>Бейсболка NEW ERA арт. 11871279 New York Yankees MLB (черный) {blkotc}</t>
  </si>
  <si>
    <t>58 M/L</t>
  </si>
  <si>
    <t>11871279 New York Yankees MLB</t>
  </si>
  <si>
    <t>95% полиэстер - 5% эластан</t>
  </si>
  <si>
    <t>blkotc</t>
  </si>
  <si>
    <t>96-170-09-56</t>
  </si>
  <si>
    <t>56 S/M</t>
  </si>
  <si>
    <t>96-169-50-00</t>
  </si>
  <si>
    <t>Бейсболка NEW ERA арт. 11588490 New York Yankees MLB (серый / белый) {grawhi}</t>
  </si>
  <si>
    <t>11588490 New York Yankees MLB</t>
  </si>
  <si>
    <t>grawhi</t>
  </si>
  <si>
    <t>96-168-18-00</t>
  </si>
  <si>
    <t>Бейсболка NEW ERA арт. 11588488 New York Yankees MLB (красный / белый) {scawhi}</t>
  </si>
  <si>
    <t>11588488 New York Yankees MLB</t>
  </si>
  <si>
    <t>scawhi</t>
  </si>
  <si>
    <t>96-167-00-00</t>
  </si>
  <si>
    <t>Бейсболка NEW ERA арт. 11579473 New York Yankees MLB (камуфляж / черный) {blk}</t>
  </si>
  <si>
    <t>11579473 New York Yankees MLB</t>
  </si>
  <si>
    <t>96-166-16-00</t>
  </si>
  <si>
    <t>Бейсболка NEW ERA арт. 11576724 (темно-синий) {navy}</t>
  </si>
  <si>
    <t>navy</t>
  </si>
  <si>
    <t>96-165-09-00</t>
  </si>
  <si>
    <t>Бейсболка NEW ERA арт. 11405614 Chicago Bulls NBA (черный) {otc}</t>
  </si>
  <si>
    <t>11405614 Chicago Bulls NBA</t>
  </si>
  <si>
    <t>NBA</t>
  </si>
  <si>
    <t>Chicago Bulls</t>
  </si>
  <si>
    <t>96-164-95-00</t>
  </si>
  <si>
    <t>Бейсболка NEW ERA арт. 11405497 Los Angeles Dodgers MLB (синий / белый) {lrywhi}</t>
  </si>
  <si>
    <t>11405497 Los Angeles Dodgers MLB</t>
  </si>
  <si>
    <t>lrywhi</t>
  </si>
  <si>
    <t>96-163-09-58</t>
  </si>
  <si>
    <t>Бейсболка NEW ERA арт. 11180834 New York Yankees MLB (черный) {blkblk}</t>
  </si>
  <si>
    <t>11180834 New York Yankees MLB</t>
  </si>
  <si>
    <t>96-163-09-56</t>
  </si>
  <si>
    <t>96-162-06-00</t>
  </si>
  <si>
    <t>Бейсболка NEW ERA арт. 11157579 New York Yankees MLB (синий) {lrywhi}</t>
  </si>
  <si>
    <t>11157579 New York Yankees MLB</t>
  </si>
  <si>
    <t>96-161-34-00</t>
  </si>
  <si>
    <t>Бейсболка NEW ERA арт. 11157578 New York Yankees MLB (розовый) {whi}</t>
  </si>
  <si>
    <t>11157578 New York Yankees MLB</t>
  </si>
  <si>
    <t>96-160-10-58</t>
  </si>
  <si>
    <t>Бейсболка NEW ERA арт. 10879529 Las Vegas Raiders NFL (черный / серый) {blk}</t>
  </si>
  <si>
    <t>10879529 Las Vegas Raiders NFL</t>
  </si>
  <si>
    <t>NFL</t>
  </si>
  <si>
    <t>Las Vegas Raiders</t>
  </si>
  <si>
    <t>96-160-10-56</t>
  </si>
  <si>
    <t>96-159-09-58</t>
  </si>
  <si>
    <t>Бейсболка NEW ERA арт. 10531956 Boston Red Sox MLB (темно-синий) {team}</t>
  </si>
  <si>
    <t>10531956 Boston Red Sox MLB</t>
  </si>
  <si>
    <t>team</t>
  </si>
  <si>
    <t>96-159-09-56</t>
  </si>
  <si>
    <t>96-158-16-58</t>
  </si>
  <si>
    <t>Бейсболка NEW ERA арт. 10531953 New York Yankees MLB (темно-синий) {nvywhi}</t>
  </si>
  <si>
    <t>10531953 New York Yankees MLB</t>
  </si>
  <si>
    <t>nvywhi</t>
  </si>
  <si>
    <t>96-158-16-56</t>
  </si>
  <si>
    <t>96-157-09-00</t>
  </si>
  <si>
    <t>Бейсболка NEW ERA арт. 10531941 New York Yankees MLB (черный) {blkwhi}</t>
  </si>
  <si>
    <t>10531941 New York Yankees MLB</t>
  </si>
  <si>
    <t>96-156-16-00</t>
  </si>
  <si>
    <t>Бейсболка NEW ERA арт. 10531939 New York Yankees MLB (темно-синий) {nvywhi}</t>
  </si>
  <si>
    <t>10531939 New York Yankees MLB</t>
  </si>
  <si>
    <t>96-155-06-58</t>
  </si>
  <si>
    <t>10145638 New York Yankees MLB</t>
  </si>
  <si>
    <t>97% хлопок - 3% эластан</t>
  </si>
  <si>
    <t>blawht</t>
  </si>
  <si>
    <t>96-155-06-56</t>
  </si>
  <si>
    <t>96-154-09-58</t>
  </si>
  <si>
    <t>Бейсболка NEW ERA арт. 10145636 New York Yankees MLB (черный) {nvywht}</t>
  </si>
  <si>
    <t>10145636 New York Yankees MLB</t>
  </si>
  <si>
    <t>nvywht</t>
  </si>
  <si>
    <t>96-154-09-56</t>
  </si>
  <si>
    <t>96-153-09-00</t>
  </si>
  <si>
    <t>Бейсболка NEW ERA арт. 10047544 Pittsburgh Pirates MLB (черный) {otc}</t>
  </si>
  <si>
    <t>10047544 Pittsburgh Pirates MLB</t>
  </si>
  <si>
    <t>96-152-00-00</t>
  </si>
  <si>
    <t>Бейсболка NEW ERA арт. 10047540 Oakland Athletics MLB (зеленый / желтый) {grn}</t>
  </si>
  <si>
    <t>10047540 Oakland Athletics MLB</t>
  </si>
  <si>
    <t>grn</t>
  </si>
  <si>
    <t>96-151-16-00</t>
  </si>
  <si>
    <t>Бейсболка NEW ERA арт. 10047538 New York Yankees MLB (темно-синий) {navy}</t>
  </si>
  <si>
    <t>10047538 New York Yankees MLB</t>
  </si>
  <si>
    <t>96-150-06-00</t>
  </si>
  <si>
    <t>Бейсболка NEW ERA арт. 10047531 Los Angeles Dodgers MLB (синий) {gm}</t>
  </si>
  <si>
    <t>10047531 Los Angeles Dodgers MLB</t>
  </si>
  <si>
    <t>gm</t>
  </si>
  <si>
    <t>96-149-09-00</t>
  </si>
  <si>
    <t>Бейсболка NEW ERA арт. 10047515 Chicago White Socks MLB (черный) {blkwhi}</t>
  </si>
  <si>
    <t>10047515 Chicago White Socks MLB</t>
  </si>
  <si>
    <t>96-148-09-00</t>
  </si>
  <si>
    <t>Бейсболка NEW ERA арт. 10047511 Boston Red Sox MLB (темно-синий) {otc}</t>
  </si>
  <si>
    <t>10047511 Boston Red Sox MLB</t>
  </si>
  <si>
    <t>96-147-71-00</t>
  </si>
  <si>
    <t>Бейсболка NEW ERA арт. 10047507 Atlanta Braves MLB (темно-синий / красный) {navy}</t>
  </si>
  <si>
    <t>10047507 Atlanta Braves MLB</t>
  </si>
  <si>
    <t>96-146-19-59</t>
  </si>
  <si>
    <t>Панама NEW ERA арт. 60222553 (светло-синий) {irf}</t>
  </si>
  <si>
    <t>59 L</t>
  </si>
  <si>
    <t>irf</t>
  </si>
  <si>
    <t>96-146-19-57</t>
  </si>
  <si>
    <t>96-145-09-00</t>
  </si>
  <si>
    <t>Бейсболка NEW ERA арт. 60222551 (черный) {blk}</t>
  </si>
  <si>
    <t>96-144-01-59</t>
  </si>
  <si>
    <t>Панама NEW ERA арт. 60222506 New York Yankees (светло-серый) {gra}</t>
  </si>
  <si>
    <t>60222506 New York Yankees</t>
  </si>
  <si>
    <t>gra</t>
  </si>
  <si>
    <t>96-144-01-55</t>
  </si>
  <si>
    <t>55 S</t>
  </si>
  <si>
    <t>96-143-09-59</t>
  </si>
  <si>
    <t>Панама NEW ERA арт. 60222505 Chicago Bulls (черный) {blk}</t>
  </si>
  <si>
    <t>60222505 Chicago Bulls</t>
  </si>
  <si>
    <t>96-142-34-59</t>
  </si>
  <si>
    <t>Панама NEW ERA арт. 60222498 (розовый) {bsk}</t>
  </si>
  <si>
    <t>bsk</t>
  </si>
  <si>
    <t>96-142-34-57</t>
  </si>
  <si>
    <t>96-141-80-00</t>
  </si>
  <si>
    <t>Бейсболка NEW ERA арт. 60222489 Los Angeles Lakers (серый) {gra}</t>
  </si>
  <si>
    <t>60222489 Los Angeles Lakers</t>
  </si>
  <si>
    <t>Los Angeles Lakers</t>
  </si>
  <si>
    <t>96-140-09-00</t>
  </si>
  <si>
    <t>Бейсболка NEW ERA арт. 60222488 New York Yankees (черный) {nvy}</t>
  </si>
  <si>
    <t>60222488 New York Yankees</t>
  </si>
  <si>
    <t>nvy</t>
  </si>
  <si>
    <t>96-139-34-59</t>
  </si>
  <si>
    <t>Панама NEW ERA арт. 60222449 (розовый) {pnk}</t>
  </si>
  <si>
    <t>pnk</t>
  </si>
  <si>
    <t>96-139-34-57</t>
  </si>
  <si>
    <t>96-139-34-55</t>
  </si>
  <si>
    <t>96-138-34-00</t>
  </si>
  <si>
    <t>Бейсболка NEW ERA арт. 60222405 New York Yankees (розовый) {plm}</t>
  </si>
  <si>
    <t>60222405 New York Yankees</t>
  </si>
  <si>
    <t>plm</t>
  </si>
  <si>
    <t>96-137-80-59</t>
  </si>
  <si>
    <t>Панама NEW ERA арт. 60222382 (серый) {grp}</t>
  </si>
  <si>
    <t>grp</t>
  </si>
  <si>
    <t>96-137-80-57</t>
  </si>
  <si>
    <t>96-137-80-55</t>
  </si>
  <si>
    <t>96-136-18-00</t>
  </si>
  <si>
    <t>Бейсболка NEW ERA арт. 60222375 (красный) {car}</t>
  </si>
  <si>
    <t>car</t>
  </si>
  <si>
    <t>96-135-09-59</t>
  </si>
  <si>
    <t>Панама NEW ERA арт. 60222332 (черный) {blk}</t>
  </si>
  <si>
    <t>96-135-09-57</t>
  </si>
  <si>
    <t>96-135-09-55</t>
  </si>
  <si>
    <t>96-134-09-57</t>
  </si>
  <si>
    <t>Панама NEW ERA арт. 60222327 (черный) {blk}</t>
  </si>
  <si>
    <t>96-133-16-59</t>
  </si>
  <si>
    <t>Панама NEW ERA арт. 60222310 New York Yankees (темно-синий) {nvy}</t>
  </si>
  <si>
    <t>60222310 New York Yankees</t>
  </si>
  <si>
    <t>96-133-16-55</t>
  </si>
  <si>
    <t>96-132-07-00</t>
  </si>
  <si>
    <t>Бейсболка NEW ERA арт. 60222258 (темно-зеленый) {dkg}</t>
  </si>
  <si>
    <t>dkg</t>
  </si>
  <si>
    <t>96-131-00-59</t>
  </si>
  <si>
    <t>Панама NEW ERA арт. 60222255 (камуфляж / белый) {urc}</t>
  </si>
  <si>
    <t>urc</t>
  </si>
  <si>
    <t>96-131-00-57</t>
  </si>
  <si>
    <t>96-131-00-55</t>
  </si>
  <si>
    <t>96-130-06-59</t>
  </si>
  <si>
    <t>Панама NEW ERA арт. 60222249 (синий) {atb}</t>
  </si>
  <si>
    <t>atb</t>
  </si>
  <si>
    <t>96-130-06-57</t>
  </si>
  <si>
    <t>96-130-06-55</t>
  </si>
  <si>
    <t>96-129-17-59</t>
  </si>
  <si>
    <t>Панама NEW ERA арт. 60222227 (белый) {stn}</t>
  </si>
  <si>
    <t>96-129-17-57</t>
  </si>
  <si>
    <t>96-128-03-59</t>
  </si>
  <si>
    <t>Панама NEW ERA арт. 60222226 (оливковый) {nov}</t>
  </si>
  <si>
    <t>nov</t>
  </si>
  <si>
    <t>96-128-03-57</t>
  </si>
  <si>
    <t>96-128-03-55</t>
  </si>
  <si>
    <t>96-127-09-00</t>
  </si>
  <si>
    <t>Бейсболка NEW ERA арт. 60221462 Manchester United (черный) {blk}</t>
  </si>
  <si>
    <t>60221462 Manchester United</t>
  </si>
  <si>
    <t>Manchester United</t>
  </si>
  <si>
    <t>96-126-16-00</t>
  </si>
  <si>
    <t>Бейсболка NEW ERA арт. 60179011 Crystal Palace EPL (темно-синий) {nvy}</t>
  </si>
  <si>
    <t>60179011 Crystal Palace EPL</t>
  </si>
  <si>
    <t>Crystal Palace</t>
  </si>
  <si>
    <t>96-125-80-00</t>
  </si>
  <si>
    <t>Шапка NEW ERA арт. 60144011 (серый) {grp}</t>
  </si>
  <si>
    <t>100% акрил</t>
  </si>
  <si>
    <t>96-124-01-00</t>
  </si>
  <si>
    <t>Шапка NEW ERA арт. 60144009 (бирюзовый) {blu}</t>
  </si>
  <si>
    <t>blu</t>
  </si>
  <si>
    <t>96-123-16-00</t>
  </si>
  <si>
    <t>Шапка NEW ERA арт. 60143425 Tottenham Hotspur EPL (темно-синий) {lnv}</t>
  </si>
  <si>
    <t>60143425 Tottenham Hotspur EPL</t>
  </si>
  <si>
    <t>Tottenham Hotspur</t>
  </si>
  <si>
    <t>lnv</t>
  </si>
  <si>
    <t>96-122-17-00</t>
  </si>
  <si>
    <t>Бейсболка NEW ERA арт. 60143421 Tottenham Hotspur EPL (белый) {whi}</t>
  </si>
  <si>
    <t>60143421 Tottenham Hotspur EPL</t>
  </si>
  <si>
    <t>96-121-72-00</t>
  </si>
  <si>
    <t>Шапка NEW ERA арт. 60143408 Manchester United (черный / красный) {blksca}</t>
  </si>
  <si>
    <t>60143408 Manchester United</t>
  </si>
  <si>
    <t>blksca</t>
  </si>
  <si>
    <t>96-120-72-00</t>
  </si>
  <si>
    <t>Бейсболка NEW ERA арт. 60143400 Manchester United (черный / красный) {nvy}</t>
  </si>
  <si>
    <t>60143400 Manchester United</t>
  </si>
  <si>
    <t>96-119-18-00</t>
  </si>
  <si>
    <t>Шапка NEW ERA арт. 60143394 Manchester United (красный) {blksca}</t>
  </si>
  <si>
    <t>60143394 Manchester United</t>
  </si>
  <si>
    <t>96-118-80-00</t>
  </si>
  <si>
    <t>Шапка NEW ERA арт. 60143393 Manchester United (серый) {grablk}</t>
  </si>
  <si>
    <t>60143393 Manchester United</t>
  </si>
  <si>
    <t>grablk</t>
  </si>
  <si>
    <t>96-117-18-00</t>
  </si>
  <si>
    <t>Бейсболка NEW ERA арт. 60143391 Manchester United (красный) {sca}</t>
  </si>
  <si>
    <t>60143391 Manchester United</t>
  </si>
  <si>
    <t>81% хлопок - 19% вискоза</t>
  </si>
  <si>
    <t>sca</t>
  </si>
  <si>
    <t>96-116-09-00</t>
  </si>
  <si>
    <t>Бейсболка NEW ERA арт. 60143388 Manchester United (черный) {blk}</t>
  </si>
  <si>
    <t>60143388 Manchester United</t>
  </si>
  <si>
    <t>96-115-09-00</t>
  </si>
  <si>
    <t>Бейсболка NEW ERA арт. 60143387 Manchester United (черный) {blk}</t>
  </si>
  <si>
    <t>60143387 Manchester United</t>
  </si>
  <si>
    <t>96-114-18-00</t>
  </si>
  <si>
    <t>Бейсболка NEW ERA арт. 60143386 Manchester United (красный) {sca}</t>
  </si>
  <si>
    <t>60143386 Manchester United</t>
  </si>
  <si>
    <t>96-113-06-00</t>
  </si>
  <si>
    <t>Бейсболка NEW ERA арт. 60143379 Chelsea (синий) {cab}</t>
  </si>
  <si>
    <t>60143379 Chelsea</t>
  </si>
  <si>
    <t>Chelsea</t>
  </si>
  <si>
    <t>cab</t>
  </si>
  <si>
    <t>96-112-06-00</t>
  </si>
  <si>
    <t>Бейсболка NEW ERA арт. 60143369 Chelsea (синий) {whi}</t>
  </si>
  <si>
    <t>60143369 Chelsea</t>
  </si>
  <si>
    <t>96-111-06-00</t>
  </si>
  <si>
    <t>Шапка NEW ERA арт. 60143365 Chelsea (синий) {cab}</t>
  </si>
  <si>
    <t>60143365 Chelsea</t>
  </si>
  <si>
    <t>96-110-06-00</t>
  </si>
  <si>
    <t>Шапка NEW ERA арт. 60143362 Chelsea (синий) {lnv}</t>
  </si>
  <si>
    <t>60143362 Chelsea</t>
  </si>
  <si>
    <t>96-109-11-00</t>
  </si>
  <si>
    <t>Бейсболка NEW ERA арт. 60142978 FA Ireland (зеленый) {ltckgr}</t>
  </si>
  <si>
    <t>60142978 FA Ireland</t>
  </si>
  <si>
    <t>UEFA</t>
  </si>
  <si>
    <t>Fa Ireland</t>
  </si>
  <si>
    <t>ltckgr</t>
  </si>
  <si>
    <t>96-108-06-00</t>
  </si>
  <si>
    <t>Бейсболка NEW ERA арт. 60142926 Atletico Madrid LaLiga (синий) {drywhi}</t>
  </si>
  <si>
    <t>60142926 Atletico Madrid LaLiga</t>
  </si>
  <si>
    <t>LaLiga</t>
  </si>
  <si>
    <t>Atletico Madrid</t>
  </si>
  <si>
    <t>drywhi</t>
  </si>
  <si>
    <t>96-107-14-00</t>
  </si>
  <si>
    <t>Шапка NEW ERA арт. 60141873 New York Yankees (коричневый) {wht}</t>
  </si>
  <si>
    <t>60141873 New York Yankees</t>
  </si>
  <si>
    <t>wht</t>
  </si>
  <si>
    <t>96-106-12-00</t>
  </si>
  <si>
    <t>Шапка NEW ERA арт. 60141872 New York Yankees (бордовый) {mrn}</t>
  </si>
  <si>
    <t>60141872 New York Yankees</t>
  </si>
  <si>
    <t>mrn</t>
  </si>
  <si>
    <t>96-105-09-00</t>
  </si>
  <si>
    <t>Шапка NEW ERA арт. 60141714 New York Yankees (черный) {blktel}</t>
  </si>
  <si>
    <t>60141714 New York Yankees</t>
  </si>
  <si>
    <t>blktel</t>
  </si>
  <si>
    <t>96-104-09-00</t>
  </si>
  <si>
    <t>Шапка NEW ERA арт. 60141713 New York Yankees (черный) {blkfur}</t>
  </si>
  <si>
    <t>60141713 New York Yankees</t>
  </si>
  <si>
    <t>blkfur</t>
  </si>
  <si>
    <t>96-103-02-00</t>
  </si>
  <si>
    <t>Шапка NEW ERA арт. 60141694 New York Yankees (песочный) {stn}</t>
  </si>
  <si>
    <t>60141694 New York Yankees</t>
  </si>
  <si>
    <t>96-102-03-00</t>
  </si>
  <si>
    <t>Шапка NEW ERA арт. 60141650 (оливковый) {nov}</t>
  </si>
  <si>
    <t>96-101-06-00</t>
  </si>
  <si>
    <t>Шапка NEW ERA арт. 60141649 (синий) {ind}</t>
  </si>
  <si>
    <t>ind</t>
  </si>
  <si>
    <t>96-100-13-00</t>
  </si>
  <si>
    <t>Шапка NEW ERA арт. 60141613 (оранжевый) {org}</t>
  </si>
  <si>
    <t>org</t>
  </si>
  <si>
    <t>96-099-80-00</t>
  </si>
  <si>
    <t>Шапка NEW ERA арт. 60141518 Los Angeles Lakers (серый) {gra}</t>
  </si>
  <si>
    <t>60141518 Los Angeles Lakers</t>
  </si>
  <si>
    <t>96-098-09-59</t>
  </si>
  <si>
    <t>Панама NEW ERA арт. 60141477 (черный) {blk}</t>
  </si>
  <si>
    <t>96-098-09-57</t>
  </si>
  <si>
    <t>96-098-09-55</t>
  </si>
  <si>
    <t>96-097-18-58</t>
  </si>
  <si>
    <t>Бейсболка NEW ERA арт. 60137572 Chicago Bulls (красный) {fdr}</t>
  </si>
  <si>
    <t>60137572 Chicago Bulls</t>
  </si>
  <si>
    <t>fdr</t>
  </si>
  <si>
    <t>96-097-18-56</t>
  </si>
  <si>
    <t>96-096-41-58</t>
  </si>
  <si>
    <t>Бейсболка NEW ERA арт. 60137571 Los Angeles Lakers (фиолетовый) {trp}</t>
  </si>
  <si>
    <t>60137571 Los Angeles Lakers</t>
  </si>
  <si>
    <t>trp</t>
  </si>
  <si>
    <t>96-096-41-56</t>
  </si>
  <si>
    <t>96-095-09-60</t>
  </si>
  <si>
    <t>Бейсболка NEW ERA арт. 60137527 New York Yankees (черный) {nvysca}</t>
  </si>
  <si>
    <t>60 L/XL</t>
  </si>
  <si>
    <t>60137527 New York Yankees</t>
  </si>
  <si>
    <t>nvysca</t>
  </si>
  <si>
    <t>96-094-09-58</t>
  </si>
  <si>
    <t>Бейсболка NEW ERA арт. 60137517 Las Vegas Raiders (черный) {blk}</t>
  </si>
  <si>
    <t>60137517 Las Vegas Raiders</t>
  </si>
  <si>
    <t>96-094-09-56</t>
  </si>
  <si>
    <t>96-093-06-58</t>
  </si>
  <si>
    <t>Бейсболка NEW ERA арт. 60137461 Los Angeles Dodgers (синий) {cdt}</t>
  </si>
  <si>
    <t>60137461 Los Angeles Dodgers</t>
  </si>
  <si>
    <t>cdt</t>
  </si>
  <si>
    <t>96-093-06-56</t>
  </si>
  <si>
    <t>96-092-80-00</t>
  </si>
  <si>
    <t>Шапка NEW ERA арт. 60102842 Chicago Bulls (серый) {otc}</t>
  </si>
  <si>
    <t>60102842 Chicago Bulls</t>
  </si>
  <si>
    <t>96-091-05-00</t>
  </si>
  <si>
    <t>Шапка NEW ERA арт. 60102809 Miami Heat (темно-серый) {otc}</t>
  </si>
  <si>
    <t>60102809 Miami Heat</t>
  </si>
  <si>
    <t>Miami Heat</t>
  </si>
  <si>
    <t>96-090-80-00</t>
  </si>
  <si>
    <t>Шапка NEW ERA арт. 60102707 Brooklyn Nets (серый) {otc}</t>
  </si>
  <si>
    <t>60102707 Brooklyn Nets</t>
  </si>
  <si>
    <t>Brooklyn Nets</t>
  </si>
  <si>
    <t>96-089-80-00</t>
  </si>
  <si>
    <t>Шапка NEW ERA арт. 60102591 Los Angeles Clippers (черный) {otc}</t>
  </si>
  <si>
    <t>60102591 Los Angeles Clippers</t>
  </si>
  <si>
    <t>Los Angeles Clippers</t>
  </si>
  <si>
    <t>96-088-09-00</t>
  </si>
  <si>
    <t>Бейсболка NEW ERA арт. 12881461 (черный) {blk}</t>
  </si>
  <si>
    <t>96-087-17-00</t>
  </si>
  <si>
    <t>Бейсболка NEW ERA арт. 12573358 (белый) {whi}</t>
  </si>
  <si>
    <t>96-086-12-60</t>
  </si>
  <si>
    <t>Бейсболка NEW ERA арт. 12523908 New York Yankees (бордовый) {mrnwhi}</t>
  </si>
  <si>
    <t>12523908 New York Yankees</t>
  </si>
  <si>
    <t>mrnwhi</t>
  </si>
  <si>
    <t>96-085-80-00</t>
  </si>
  <si>
    <t>Бейсболка NEW ERA арт. 12523896 New York Yankees (серый) {grhwhi}</t>
  </si>
  <si>
    <t>12523896 New York Yankees</t>
  </si>
  <si>
    <t>grhwhi</t>
  </si>
  <si>
    <t>96-084-20-00</t>
  </si>
  <si>
    <t>Шапка NEW ERA арт. 12505780 (желтый) {agd}</t>
  </si>
  <si>
    <t>agd</t>
  </si>
  <si>
    <t>96-083-09-00</t>
  </si>
  <si>
    <t>Шапка NEW ERA арт. 12505779 (черный) {blk}</t>
  </si>
  <si>
    <t>96-082-12-00</t>
  </si>
  <si>
    <t>Шапка NEW ERA арт. 12505772 (бордовый) {mrn}</t>
  </si>
  <si>
    <t>10% хлопок - 10% шерсть - 25% нейлон - 55% акрил</t>
  </si>
  <si>
    <t>96-081-03-00</t>
  </si>
  <si>
    <t>Шапка NEW ERA арт. 12505771 (оливковый) {nov}</t>
  </si>
  <si>
    <t>96-080-80-00</t>
  </si>
  <si>
    <t>Шапка NEW ERA арт. 12505744 Boston Red Sox (синий / красный) {nvysca}</t>
  </si>
  <si>
    <t>12505744 Boston Red Sox</t>
  </si>
  <si>
    <t>96-079-12-00</t>
  </si>
  <si>
    <t>Шапка NEW ERA арт. 12489461 Los Angeles Dodgers (бордовый) {mrn}</t>
  </si>
  <si>
    <t>12489461 Los Angeles Dodgers</t>
  </si>
  <si>
    <t>96-078-09-00</t>
  </si>
  <si>
    <t>Шапка NEW ERA арт. 12489460 New York Yankees (черный) {blk}</t>
  </si>
  <si>
    <t>12489460 New York Yankees</t>
  </si>
  <si>
    <t>96-077-06-00</t>
  </si>
  <si>
    <t>Шапка NEW ERA арт. 12489459 New York Yankees (синий) {nvy}</t>
  </si>
  <si>
    <t>12489459 New York Yankees</t>
  </si>
  <si>
    <t>96-076-06-00</t>
  </si>
  <si>
    <t>Шапка NEW ERA арт. 12489454 Oakland Athletics (синий) {nvy}</t>
  </si>
  <si>
    <t>12489454 Oakland Athletics</t>
  </si>
  <si>
    <t>96-075-34-00</t>
  </si>
  <si>
    <t>Шапка NEW ERA арт. 12489441 (розовый) {pnk}</t>
  </si>
  <si>
    <t>96-074-12-00</t>
  </si>
  <si>
    <t>Шапка NEW ERA арт. 12489435 (бордовый) {burwht}</t>
  </si>
  <si>
    <t>burwht</t>
  </si>
  <si>
    <t>96-073-05-00</t>
  </si>
  <si>
    <t>Шапка NEW ERA арт. 12489434 (темно-серый) {grawht}</t>
  </si>
  <si>
    <t>grawht</t>
  </si>
  <si>
    <t>96-072-00-00</t>
  </si>
  <si>
    <t>Бейсболка NEW ERA арт. 12309046 (камуфляж) {nol}</t>
  </si>
  <si>
    <t>nol</t>
  </si>
  <si>
    <t>96-071-09-00</t>
  </si>
  <si>
    <t>Бейсболка NEW ERA арт. 12292586 Chicago Bulls (черный) {blk}</t>
  </si>
  <si>
    <t>12292586 Chicago Bulls</t>
  </si>
  <si>
    <t>96-070-09-00</t>
  </si>
  <si>
    <t>Бейсболка NEW ERA арт. 12292584 Los Angeles Lakers (черный) {blk}</t>
  </si>
  <si>
    <t>12292584 Los Angeles Lakers</t>
  </si>
  <si>
    <t>96-069-09-56</t>
  </si>
  <si>
    <t>Бейсболка NEW ERA арт. 12285245 Chicago Bulls (черный) {blk}</t>
  </si>
  <si>
    <t>12285245 Chicago Bulls</t>
  </si>
  <si>
    <t>96-068-09-00</t>
  </si>
  <si>
    <t>Бейсболка NEW ERA арт. 12162668 (черный) {blk}</t>
  </si>
  <si>
    <t>96-067-09-00</t>
  </si>
  <si>
    <t>Шапка NEW ERA арт. 12156075 Chicago Bulls (черный) {otc}</t>
  </si>
  <si>
    <t>12156075 Chicago Bulls</t>
  </si>
  <si>
    <t>96-066-09-00</t>
  </si>
  <si>
    <t>Шапка NEW ERA арт. 12122729 New York Yankees (черный) {blkblk}</t>
  </si>
  <si>
    <t>12122729 New York Yankees</t>
  </si>
  <si>
    <t>96-065-06-00</t>
  </si>
  <si>
    <t>Шапка NEW ERA арт. 12033266 Los Angeles Dodgers (синий) {losdod}</t>
  </si>
  <si>
    <t>12033266 Los Angeles Dodgers</t>
  </si>
  <si>
    <t>losdod</t>
  </si>
  <si>
    <t>96-064-09-00</t>
  </si>
  <si>
    <t>Шапка NEW ERA арт. 12033128 (черный) {blk}</t>
  </si>
  <si>
    <t>96-063-09-00</t>
  </si>
  <si>
    <t>Шапка NEW ERA арт. 12033103 (черный) {blk}</t>
  </si>
  <si>
    <t>96-062-03-00</t>
  </si>
  <si>
    <t>Шапка NEW ERA арт. 12033099 (оливковый) {nov}</t>
  </si>
  <si>
    <t>96-061-09-00</t>
  </si>
  <si>
    <t>Шапка NEW ERA арт. 12033078 (черный) {blk}</t>
  </si>
  <si>
    <t>96-060-16-00</t>
  </si>
  <si>
    <t>Шапка NEW ERA арт. 12033074 (темно-синий) {nav}</t>
  </si>
  <si>
    <t>nav</t>
  </si>
  <si>
    <t>96-059-06-00</t>
  </si>
  <si>
    <t>Шапка NEW ERA арт. 11601067 (синий) {hnv}</t>
  </si>
  <si>
    <t>hnv</t>
  </si>
  <si>
    <t>96-058-65-00</t>
  </si>
  <si>
    <t>nvygry</t>
  </si>
  <si>
    <t>96-057-80-00</t>
  </si>
  <si>
    <t>Шапка NEW ERA арт. 11600974 (серый) {grh}</t>
  </si>
  <si>
    <t>grh</t>
  </si>
  <si>
    <t>96-056-16-00</t>
  </si>
  <si>
    <t>96-055-08-00</t>
  </si>
  <si>
    <t>Шапка NEW ERA арт. 11448330 Los Angeles Dodgers (серый / бордовый) {otc}</t>
  </si>
  <si>
    <t>11448330 Los Angeles Dodgers</t>
  </si>
  <si>
    <t>96-054-47-00</t>
  </si>
  <si>
    <t>Шапка NEW ERA арт. 11448329 New York Yankees (серый / черный) {otc}</t>
  </si>
  <si>
    <t>11448329 New York Yankees</t>
  </si>
  <si>
    <t>96-053-17-00</t>
  </si>
  <si>
    <t>Бейсболка NEW ERA арт. 11379840 Los Angeles Dodgers (белый) {wht}</t>
  </si>
  <si>
    <t>11379840 Los Angeles Dodgers</t>
  </si>
  <si>
    <t>96-052-75-00</t>
  </si>
  <si>
    <t>Шапка NEW ERA арт. 11277642 (синий / зеленый) {nvyrig}</t>
  </si>
  <si>
    <t>nvyrig</t>
  </si>
  <si>
    <t>96-051-80-58</t>
  </si>
  <si>
    <t>Бейсболка NEW ERA арт. 11179873 (серый) {grawhi}</t>
  </si>
  <si>
    <t>96-051-80-56</t>
  </si>
  <si>
    <t>96-050-09-00</t>
  </si>
  <si>
    <t>Бейсболка NEW ERA арт. 11179866 (черный) {blkwhi}</t>
  </si>
  <si>
    <t>96-049-80-00</t>
  </si>
  <si>
    <t>Бейсболка NEW ERA арт. 11179834 (серый) {grapwhi}</t>
  </si>
  <si>
    <t>grapwhi</t>
  </si>
  <si>
    <t>96-048-09-00</t>
  </si>
  <si>
    <t>Бейсболка NEW ERA арт. 11179831 (черный) {whi}</t>
  </si>
  <si>
    <t>96-047-09-60</t>
  </si>
  <si>
    <t>Бейсболка NEW ERA арт. 10145637 New York Yankees (черный) {blkblk}</t>
  </si>
  <si>
    <t>10145637 New York Yankees</t>
  </si>
  <si>
    <t>96-047-09-58</t>
  </si>
  <si>
    <t>96-047-09-56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</si>
  <si>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</si>
  <si>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</si>
  <si>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</si>
  <si>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</si>
  <si>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</si>
  <si>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</si>
  <si>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</si>
  <si>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</si>
  <si>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</si>
  <si>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</si>
  <si>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</si>
  <si>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</si>
  <si>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</si>
  <si>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</si>
  <si>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</si>
  <si>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</si>
  <si>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</si>
  <si>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</si>
  <si>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</si>
  <si>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</si>
  <si>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</si>
  <si>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</si>
  <si>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</si>
  <si>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</si>
  <si>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</si>
  <si>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</si>
  <si>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</si>
  <si>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</si>
  <si>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</si>
  <si>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</si>
  <si>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</si>
  <si>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</si>
  <si>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</si>
  <si>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</si>
  <si>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</si>
  <si>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</si>
  <si>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</si>
  <si>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</si>
  <si>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</si>
  <si>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</si>
  <si>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</si>
  <si>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</si>
  <si>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</si>
  <si>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</si>
  <si>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tof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</si>
  <si>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</si>
  <si>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</si>
  <si>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</si>
  <si>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</si>
  <si>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</si>
  <si>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</si>
  <si>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</si>
  <si>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</si>
  <si>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</si>
  <si>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</si>
  <si>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</si>
  <si>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</si>
  <si>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</si>
  <si>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</si>
  <si>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</si>
  <si>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</si>
  <si>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</si>
  <si>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</si>
  <si>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</si>
  <si>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</si>
  <si>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</si>
  <si>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</si>
  <si>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</si>
  <si>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</si>
  <si>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</si>
  <si>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</si>
  <si>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</si>
  <si>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</si>
  <si>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</si>
  <si>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</si>
  <si>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</si>
  <si>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</si>
  <si>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</si>
  <si>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</si>
  <si>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</si>
  <si>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</si>
  <si>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</si>
  <si>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</si>
  <si>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96-023-00-00</t>
  </si>
  <si>
    <t>Бейсболка NEW ERA арт. 60222240 New York Yankees (камуфляж / белый) {grh}</t>
  </si>
  <si>
    <t>60222240 New York Yankees</t>
  </si>
  <si>
    <t>96-022-09-00</t>
  </si>
  <si>
    <t>Бейсболка NEW ERA арт. 60222238 New York Yankees (черный / желтый) {rgd}</t>
  </si>
  <si>
    <t>60222238 New York Yankees</t>
  </si>
  <si>
    <t>rgd</t>
  </si>
  <si>
    <t>96-021-13-00</t>
  </si>
  <si>
    <t>Бейсболка NEW ERA арт. 60222230 New York Yankees (рыжий / белый) {tof}</t>
  </si>
  <si>
    <t>60222230 New York Yankees</t>
  </si>
  <si>
    <t>96-020-72-00</t>
  </si>
  <si>
    <t>Бейсболка NEW ERA арт. 11405493 Los Angeles Dodgers MLB (черный) {blkwhi}</t>
  </si>
  <si>
    <t>11405493 Los Angeles Dodgers MLB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</si>
  <si>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</si>
  <si>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</si>
  <si>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</si>
  <si>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</si>
  <si>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</si>
  <si>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</si>
  <si>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</si>
  <si>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</si>
  <si>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</si>
  <si>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96-016-10-00</t>
  </si>
  <si>
    <t>Бейсболка NEW ERA арт. 12523913 Chicago Bulls NBA (черный) {blkblk}</t>
  </si>
  <si>
    <t>12523913 Chicago Bulls NBA</t>
  </si>
  <si>
    <t>96-015-10-00</t>
  </si>
  <si>
    <t>Бейсболка NEW ERA арт. 12523911 Los Angeles Lakers NBA (черный) {blkblk}</t>
  </si>
  <si>
    <t>12523911 Los Angeles Lakers NBA</t>
  </si>
  <si>
    <t>96-014-18-00</t>
  </si>
  <si>
    <t>Бейсболка NEW ERA арт. 10531938 New York Yankees MLB (красный) {scawhi}</t>
  </si>
  <si>
    <t>10531938 New York Yankees MLB</t>
  </si>
  <si>
    <t>96-013-80-00</t>
  </si>
  <si>
    <t>Бейсболка NEW ERA арт. 60112610 New York Yankees MLB (рыжий) {tofwhi}</t>
  </si>
  <si>
    <t>60112610 New York Yankees MLB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</si>
  <si>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</si>
  <si>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</si>
  <si>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</si>
  <si>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</si>
  <si>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</si>
  <si>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</si>
  <si>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</si>
  <si>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</si>
  <si>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96-010-34-00</t>
  </si>
  <si>
    <t>Бейсболка NEW ERA арт. 60222525 Los Angeles Dodgers MLB (черный / розовый) {pnk}</t>
  </si>
  <si>
    <t>60222525 Los Angeles Dodgers MLB</t>
  </si>
  <si>
    <t>96-009-17-00</t>
  </si>
  <si>
    <t>Бейсболка NEW ERA арт. 60222523 New York Yankees MLB (светло-серый) {whi}</t>
  </si>
  <si>
    <t>60222523 New York Yankees MLB</t>
  </si>
  <si>
    <t>96-008-13-00</t>
  </si>
  <si>
    <t>Бейсболка NEW ERA арт. 60222457 New York Yankees MLB (оранжевый) {rgd}</t>
  </si>
  <si>
    <t>60222457 New York Yankees MLB</t>
  </si>
  <si>
    <t>96-007-06-00</t>
  </si>
  <si>
    <t>Бейсболка NEW ERA арт. 60222456 New York Yankees MLB (синий) {irf}</t>
  </si>
  <si>
    <t>60222456 New York Yankees MLB</t>
  </si>
  <si>
    <t>96-006-09-00</t>
  </si>
  <si>
    <t>Бейсболка NEW ERA арт. 60222444 New York Yankees MLB (черный) {blk}</t>
  </si>
  <si>
    <t>60222444 New York Yankees MLB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</si>
  <si>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</si>
  <si>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</si>
  <si>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</si>
  <si>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</si>
  <si>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</si>
  <si>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</si>
  <si>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96-003-14-00</t>
  </si>
  <si>
    <t>Бейсболка NEW ERA арт. 60222321 New York Yankees MLB (черный / коричневый) {tof}</t>
  </si>
  <si>
    <t>60222321 New York Yankees MLB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</si>
  <si>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</si>
  <si>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</si>
  <si>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</si>
  <si>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</si>
  <si>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</si>
  <si>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10531954 Los Angeles Dodgers MLB</t>
  </si>
  <si>
    <t>96-001-18-56</t>
  </si>
  <si>
    <t>BLK</t>
  </si>
  <si>
    <t>OTC</t>
  </si>
  <si>
    <t>NEW ERA</t>
  </si>
  <si>
    <t>53% хлопок - 47% полиэстер</t>
  </si>
  <si>
    <t>унисекс</t>
  </si>
  <si>
    <t>BLKBLK</t>
  </si>
  <si>
    <t>NVYWHI</t>
  </si>
  <si>
    <t>SCAWHI</t>
  </si>
  <si>
    <t>WHIBLA</t>
  </si>
  <si>
    <t>WHI</t>
  </si>
  <si>
    <t>SCA</t>
  </si>
  <si>
    <t>CAMBLK</t>
  </si>
  <si>
    <t>LRYWHI</t>
  </si>
  <si>
    <t>GRA</t>
  </si>
  <si>
    <t>NOV</t>
  </si>
  <si>
    <t>MRN</t>
  </si>
  <si>
    <t>GRHWHI</t>
  </si>
  <si>
    <t>GRHGRH</t>
  </si>
  <si>
    <t>NVY</t>
  </si>
  <si>
    <t>PLM</t>
  </si>
  <si>
    <t>Шапка NEW ERA арт. 11601006 (темно-синий / серый) {nvygry}</t>
  </si>
  <si>
    <t>Шапка NEW ERA арт. 11448333 Seattle Seahawks (темно-синий) {blu}</t>
  </si>
  <si>
    <t>11448333 Seattle Seahawks</t>
  </si>
  <si>
    <t>Seattle Seahawks</t>
  </si>
  <si>
    <t>Бейсболка NEW ERA арт. 12380590 New York Yankees MLB (бежевый) {stn}</t>
  </si>
  <si>
    <t>Бейсболка NEW ERA арт. 10145638 New York Yankees MLB (черный) {blawht}</t>
  </si>
  <si>
    <t>96-191-09-00</t>
  </si>
  <si>
    <t>Бейсболка NEW ERA арт. 60222404 New York Yankees MLB (серый) {pea}</t>
  </si>
  <si>
    <t>60222404 New York Yankees MLB</t>
  </si>
  <si>
    <t>pea</t>
  </si>
  <si>
    <t>96-190-09-00</t>
  </si>
  <si>
    <t>Бейсболка NEW ERA арт. 60222253 Chicago Bulls NBA (черный) {blk}</t>
  </si>
  <si>
    <t>60222253 Chicago Bulls NBA</t>
  </si>
  <si>
    <t>96-189-09-00</t>
  </si>
  <si>
    <t>Бейсболка NEW ERA арт. 60222234 Los Angeles Lakers NBA (черный) {otc}</t>
  </si>
  <si>
    <t>60222234 Los Angeles Lakers NBA</t>
  </si>
  <si>
    <t>96-188-09-00</t>
  </si>
  <si>
    <t>Бейсболка NEW ERA арт. 12523907 New York Yankees MLB (черный) {blkwhi}</t>
  </si>
  <si>
    <t>12523907 New York Yankees MLB</t>
  </si>
  <si>
    <t>96-187-09-00</t>
  </si>
  <si>
    <t>Бейсболка NEW ERA арт. 11198850 New York Yankees MLB (черный) {blk}</t>
  </si>
  <si>
    <t>11198850 New York Yankees MLB</t>
  </si>
  <si>
    <t>10145637</t>
  </si>
  <si>
    <t>10145640</t>
  </si>
  <si>
    <t>10298276</t>
  </si>
  <si>
    <t>10745455</t>
  </si>
  <si>
    <t>11209938</t>
  </si>
  <si>
    <t>11213219</t>
  </si>
  <si>
    <t>11213222</t>
  </si>
  <si>
    <t>11357008</t>
  </si>
  <si>
    <t>11405492</t>
  </si>
  <si>
    <t>11405605</t>
  </si>
  <si>
    <t>11405614</t>
  </si>
  <si>
    <t>11405616</t>
  </si>
  <si>
    <t>12380822</t>
  </si>
  <si>
    <t>12381106</t>
  </si>
  <si>
    <t>12523887</t>
  </si>
  <si>
    <t>12523888</t>
  </si>
  <si>
    <t>12523889</t>
  </si>
  <si>
    <t>12523898</t>
  </si>
  <si>
    <t>12523906</t>
  </si>
  <si>
    <t>12523911</t>
  </si>
  <si>
    <t>60143388</t>
  </si>
  <si>
    <t>60222367</t>
  </si>
  <si>
    <t>60222472</t>
  </si>
  <si>
    <t>60222512</t>
  </si>
  <si>
    <t>60222545</t>
  </si>
  <si>
    <t>80468932</t>
  </si>
  <si>
    <t>80489299</t>
  </si>
  <si>
    <t>80636010</t>
  </si>
  <si>
    <t>97% Хлопок - 3% Эластан</t>
  </si>
  <si>
    <t>100% Хлопок</t>
  </si>
  <si>
    <t>53% Хлопок - 47% Полиэстер</t>
  </si>
  <si>
    <t>100% Полиэстер</t>
  </si>
  <si>
    <t>65% полиэстер - 35% хлопок</t>
  </si>
  <si>
    <t>10013160/090622/3291500/1</t>
  </si>
  <si>
    <t>10013160/160622/3303738/1</t>
  </si>
  <si>
    <t>10702070/300322/3112884/1</t>
  </si>
  <si>
    <t>10013160/190522/3256520/1</t>
  </si>
  <si>
    <t>10216170/200622/3103843/1</t>
  </si>
  <si>
    <t>10013160/270622/3321765/1</t>
  </si>
  <si>
    <t>10216170/210222/3051157/1</t>
  </si>
  <si>
    <t>10013160/021221/3005264/1</t>
  </si>
  <si>
    <t>96-192-</t>
  </si>
  <si>
    <t>96-193-</t>
  </si>
  <si>
    <t>96-194-</t>
  </si>
  <si>
    <t>96-195-</t>
  </si>
  <si>
    <t>96-196-</t>
  </si>
  <si>
    <t>96-197-</t>
  </si>
  <si>
    <t>96-198-</t>
  </si>
  <si>
    <t>96-199-</t>
  </si>
  <si>
    <t>96-200-</t>
  </si>
  <si>
    <t>96-201-</t>
  </si>
  <si>
    <t>96-202-</t>
  </si>
  <si>
    <t>96-203-</t>
  </si>
  <si>
    <t>96-204-</t>
  </si>
  <si>
    <t>96-205-</t>
  </si>
  <si>
    <t>96-206-</t>
  </si>
  <si>
    <t>96-207-</t>
  </si>
  <si>
    <t>96-208-</t>
  </si>
  <si>
    <t>96-209-</t>
  </si>
  <si>
    <t>96-210-</t>
  </si>
  <si>
    <t>96-211-</t>
  </si>
  <si>
    <t>96-212-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</si>
</sst>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3" fontId="11" fillId="17" borderId="26" xfId="39" applyNumberFormat="1" applyFont="1" applyFill="1" applyBorder="1" applyAlignment="1">
      <alignment horizontal="right" vertical="top"/>
    </xf>
    <xf numFmtId="0" fontId="9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T23" sqref="O19:T23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1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1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4" style="117" bestFit="1" customWidth="1"/>
    <col min="55" max="55" width="16.5703125" style="117" customWidth="1"/>
    <col min="56" max="56" width="9" style="105"/>
    <col min="57" max="57" width="9" style="122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3" t="s">
        <v>462</v>
      </c>
      <c r="C1" s="124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5" t="s">
        <v>479</v>
      </c>
      <c r="L1" s="126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4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7" t="s">
        <v>820</v>
      </c>
      <c r="AK1" s="127" t="s">
        <v>821</v>
      </c>
      <c r="AL1" s="127" t="s">
        <v>822</v>
      </c>
      <c r="AM1" s="127" t="s">
        <v>823</v>
      </c>
      <c r="AN1" s="127" t="s">
        <v>824</v>
      </c>
      <c r="AO1" s="127" t="s">
        <v>825</v>
      </c>
      <c r="AP1" s="127" t="s">
        <v>826</v>
      </c>
      <c r="AQ1" s="127" t="s">
        <v>827</v>
      </c>
      <c r="AR1" s="127" t="s">
        <v>550</v>
      </c>
      <c r="AS1" s="127" t="s">
        <v>549</v>
      </c>
      <c r="AT1" s="103" t="s">
        <v>467</v>
      </c>
      <c r="AU1" s="124" t="s">
        <v>497</v>
      </c>
      <c r="AV1" s="103" t="s">
        <v>468</v>
      </c>
      <c r="AW1" s="103" t="s">
        <v>469</v>
      </c>
      <c r="AX1" s="128" t="s">
        <v>498</v>
      </c>
      <c r="AY1" s="103" t="s">
        <v>470</v>
      </c>
      <c r="AZ1" s="103" t="s">
        <v>471</v>
      </c>
      <c r="BA1" s="103" t="s">
        <v>472</v>
      </c>
      <c r="BB1" s="129" t="s">
        <v>499</v>
      </c>
      <c r="BC1" s="129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0" t="str">
        <f t="shared" ref="A2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1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2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3"/>
      <c r="L2" s="134" t="str">
        <f>IF(K2&lt;&gt;"",IFERROR(VLOOKUP(A2,'1C'!A:X,8,0),IFERROR(VLOOKUP(K2,Colors!D:E,2,0),"")),"")</f>
        <v/>
      </c>
      <c r="M2" s="135" t="str">
        <f>IF(K2&lt;&gt;"",_xlfn.XLOOKUP(A2,'1C'!A:A,'1C'!R:R,"",0),"")</f>
        <v/>
      </c>
      <c r="N2" s="135" t="str">
        <f>_xlfn.LET(_xlpm.RES,IF($A2&lt;&gt;"",_xlfn.XLOOKUP($A2,'1C'!$A:$A,'1C'!S:S,"",0),""),IF(_xlpm.RES=0,"",_xlpm.RES))</f>
        <v/>
      </c>
      <c r="O2" s="135" t="str">
        <f>_xlfn.LET(_xlpm.RES,IF($A2&lt;&gt;"",_xlfn.XLOOKUP($A2,'1C'!$A:$A,'1C'!T:T,"",0),""),IF(_xlpm.RES=0,"",_xlpm.RES))</f>
        <v/>
      </c>
      <c r="P2" s="135" t="str">
        <f>_xlfn.LET(_xlpm.RES,IF($A2&lt;&gt;"",_xlfn.XLOOKUP($A2,'1C'!$A:$A,'1C'!U:U,"",0),""),IF(_xlpm.RES=0,"",_xlpm.RES))</f>
        <v/>
      </c>
      <c r="Q2" s="136" t="str">
        <f>IF(A2&lt;&gt;"",_xlfn.XLOOKUP(A2,'1C'!A:A,'1C'!I:I,_xlfn.XLOOKUP(C2,'1C'!W:W,'1C'!I:I,"",0),0),"")</f>
        <v/>
      </c>
      <c r="R2" s="135" t="str">
        <f>IF(D2&lt;&gt;"",IFERROR(IF(VLOOKUP(D2,'1C'!D:D,1,0)&lt;&gt;"",1,0),""),"")</f>
        <v/>
      </c>
      <c r="S2" s="135" t="str">
        <f>_xlfn.LET(_xlpm.RES,IF(A2&lt;&gt;"",_xlfn.XLOOKUP(A2,'1C'!A:A,'1C'!N:N,_xlfn.XLOOKUP(C2,'1C'!W:W,'1C'!N:N,"",0),0),""),IF(_xlpm.RES=0,"",_xlpm.RES))</f>
        <v/>
      </c>
      <c r="T2" s="135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14" t="str">
        <f t="shared" ref="AT2" si="1">IF(COUNTBLANK(V2:AS2)&lt;24,SUM(V2:AS2),"")</f>
        <v/>
      </c>
      <c r="AU2" s="130" t="str">
        <f>IF(A2&lt;&gt;"",_xlfn.XLOOKUP(_xlfn.XLOOKUP(A2,'1C'!A:A,'1C'!O:O,_xlfn.XLOOKUP(C2,'1C'!W:W,'1C'!O:O,"",0),0),Settings!N:N,Settings!O:O,"",0),"")</f>
        <v/>
      </c>
      <c r="AV2" s="114" t="str">
        <f t="shared" ref="AV2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7">
        <f t="shared" ref="AX2" si="4">0.05+0.05</f>
        <v>0.1</v>
      </c>
      <c r="AY2" s="114">
        <f t="shared" ref="AY2" si="5">IF(AX2&lt;&gt;"",AX2*1.5,"Требуется нетто")</f>
        <v>0.15000000000000002</v>
      </c>
      <c r="AZ2" s="114" t="str">
        <f t="shared" ref="AZ2" si="6">+IF(AX2&lt;&gt;"",IFERROR(AT2*AX2,"Требуются кол-во и нетто"),"Требуются кол-во и нетто")</f>
        <v>Требуются кол-во и нетто</v>
      </c>
      <c r="BA2" s="114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8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" si="9">IFERROR(IF(BE2,"-",IFERROR(IF(BD2&gt;0,0,1),"")),"")</f>
        <v/>
      </c>
      <c r="BG2" s="110"/>
    </row>
    <row r="3" spans="1:59" ht="98.1" customHeight="1">
      <c r="A3" s="112" t="str">
        <f t="shared" ref="A3:A30" si="10">IF(C3&amp;K3&lt;&gt;"",C3&amp;K3,"")</f>
        <v>10145640NVYWHI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96-192-16</v>
      </c>
      <c r="C3" s="113" t="s">
        <v>1672</v>
      </c>
      <c r="D3" s="106" t="str">
        <f t="shared" ref="D3:D22" si="11">P3&amp;" "&amp;O3</f>
        <v>Los Angeles Dodgers MLB</v>
      </c>
      <c r="E3" s="112" t="str">
        <f>IF(F3&lt;&gt;"",IFERROR(VLOOKUP(F3,Категории!A:B,2,0),""),"Требуется категория")</f>
        <v>Бейсболки</v>
      </c>
      <c r="F3" s="106" t="s">
        <v>327</v>
      </c>
      <c r="G3" s="135" t="s">
        <v>887</v>
      </c>
      <c r="H3" s="106" t="s">
        <v>388</v>
      </c>
      <c r="I3" s="107" t="str">
        <f>C3&amp;" "&amp;D3</f>
        <v>10145640 Los Angeles Dodgers MLB</v>
      </c>
      <c r="J3" s="135" t="s">
        <v>1631</v>
      </c>
      <c r="K3" s="118" t="s">
        <v>1635</v>
      </c>
      <c r="L3" s="119" t="s">
        <v>55</v>
      </c>
      <c r="M3" s="135"/>
      <c r="N3" s="135"/>
      <c r="O3" s="135" t="s">
        <v>911</v>
      </c>
      <c r="P3" s="135" t="s">
        <v>912</v>
      </c>
      <c r="Q3" s="136" t="s">
        <v>1699</v>
      </c>
      <c r="R3" s="135" t="s">
        <v>1704</v>
      </c>
      <c r="S3" s="135" t="s">
        <v>43</v>
      </c>
      <c r="T3" s="107"/>
      <c r="U3" s="107" t="s">
        <v>1633</v>
      </c>
      <c r="V3" s="107">
        <v>0</v>
      </c>
      <c r="Y3" s="107"/>
      <c r="Z3" s="106">
        <v>3</v>
      </c>
      <c r="AA3" s="107"/>
      <c r="AB3" s="106">
        <v>0</v>
      </c>
      <c r="AC3" s="107"/>
      <c r="AD3" s="106">
        <v>0</v>
      </c>
      <c r="AE3" s="107"/>
      <c r="AF3" s="106">
        <v>0</v>
      </c>
      <c r="AG3" s="107"/>
      <c r="AT3" s="114">
        <f t="shared" ref="AT3:AT30" si="12">IF(COUNTBLANK(V3:AS3)&lt;24,SUM(V3:AS3),"")</f>
        <v>3</v>
      </c>
      <c r="AU3" s="130" t="s">
        <v>571</v>
      </c>
      <c r="AV3" s="114" t="str">
        <f t="shared" ref="AV3:AV30" ca="1" si="13">IF(AU3&lt;&gt;"",VLOOKUP(AU3,INDIRECT(SUBSTITUTE(IF(ISNUMBER(IFERROR(VALUE(LEFT(J3,1)),FALSE)),"_"&amp;J3,J3)," ","")&amp;"Manufactures"),3,0),"Требуется код страны")</f>
        <v>ERR</v>
      </c>
      <c r="AW3" s="112" t="str">
        <f t="shared" ref="AW3:AW30" ca="1" si="14">IF(AU3&lt;&gt;"",VLOOKUP(AU3,INDIRECT(SUBSTITUTE(IF(ISNUMBER(IFERROR(VALUE(LEFT(J3,1)),FALSE)),"_"&amp;J3,J3)," ","")&amp;"Manufactures"),2,0),"Требуется код страны")</f>
        <v>Бангладеш</v>
      </c>
      <c r="AX3" s="116">
        <f t="shared" ref="AX3:AX30" si="15">0.05+0.05</f>
        <v>0.1</v>
      </c>
      <c r="AY3" s="112">
        <f t="shared" ref="AY3:AY30" si="16">IF(AX3&lt;&gt;"",AX3*1.5,"Требуется нетто")</f>
        <v>0.15000000000000002</v>
      </c>
      <c r="AZ3" s="112">
        <f t="shared" ref="AZ3:AZ30" si="17">+IF(AX3&lt;&gt;"",IFERROR(AT3*AX3,"Требуются кол-во и нетто"),"Требуются кол-во и нетто")</f>
        <v>0.30000000000000004</v>
      </c>
      <c r="BA3" s="112">
        <f t="shared" ref="BA3:BA30" si="18">IF(AY3&lt;&gt;"",IFERROR(AT3*AY3,"Требуются кол-во и брутто"),"Требуются кол-во и брутто")</f>
        <v>0.45000000000000007</v>
      </c>
      <c r="BB3" s="117">
        <v>1489.65</v>
      </c>
      <c r="BC3" s="142">
        <f t="shared" ref="BC3:BC30" si="19">+IF(BB3&lt;&gt;0,IFERROR(AT3*BB3,"Требуются кол-во и цена"),"Требуются кол-во и цена")</f>
        <v>4468.9500000000007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ref="BF3:BF30" si="20">IFERROR(IF(BE3,"-",IFERROR(IF(BD3&gt;0,0,1),"")),"")</f>
        <v>-</v>
      </c>
    </row>
    <row r="4" spans="1:59" ht="111.75" customHeight="1">
      <c r="A4" s="112" t="str">
        <f t="shared" si="10"/>
        <v>10298276SCAWHI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96-193-18</v>
      </c>
      <c r="C4" s="113" t="s">
        <v>1673</v>
      </c>
      <c r="D4" s="106" t="str">
        <f t="shared" si="11"/>
        <v>New York Yankees MLB</v>
      </c>
      <c r="E4" s="112" t="str">
        <f>IF(F4&lt;&gt;"",IFERROR(VLOOKUP(F4,Категории!A:B,2,0),""),"Требуется категория")</f>
        <v>Бейсболки</v>
      </c>
      <c r="F4" s="106" t="s">
        <v>327</v>
      </c>
      <c r="G4" s="135" t="s">
        <v>887</v>
      </c>
      <c r="H4" s="106" t="s">
        <v>388</v>
      </c>
      <c r="I4" s="107" t="str">
        <f t="shared" ref="I4:I30" si="21">C4&amp;" "&amp;D4</f>
        <v>10298276 New York Yankees MLB</v>
      </c>
      <c r="J4" s="135" t="s">
        <v>1631</v>
      </c>
      <c r="K4" s="118" t="s">
        <v>1636</v>
      </c>
      <c r="L4" s="119" t="s">
        <v>78</v>
      </c>
      <c r="M4" s="135"/>
      <c r="N4" s="135"/>
      <c r="O4" s="135" t="s">
        <v>911</v>
      </c>
      <c r="P4" s="135" t="s">
        <v>914</v>
      </c>
      <c r="Q4" s="136" t="s">
        <v>1699</v>
      </c>
      <c r="R4" s="135" t="s">
        <v>1704</v>
      </c>
      <c r="S4" s="135" t="s">
        <v>43</v>
      </c>
      <c r="T4" s="107"/>
      <c r="U4" s="107" t="s">
        <v>1633</v>
      </c>
      <c r="V4" s="107">
        <v>0</v>
      </c>
      <c r="Y4" s="107"/>
      <c r="Z4" s="106">
        <v>4</v>
      </c>
      <c r="AA4" s="107"/>
      <c r="AB4" s="106">
        <v>8</v>
      </c>
      <c r="AC4" s="107"/>
      <c r="AD4" s="106">
        <v>0</v>
      </c>
      <c r="AE4" s="107"/>
      <c r="AF4" s="106">
        <v>0</v>
      </c>
      <c r="AG4" s="107"/>
      <c r="AT4" s="114">
        <f t="shared" si="12"/>
        <v>12</v>
      </c>
      <c r="AU4" s="130" t="s">
        <v>571</v>
      </c>
      <c r="AV4" s="114" t="str">
        <f t="shared" ca="1" si="13"/>
        <v>ERR</v>
      </c>
      <c r="AW4" s="112" t="str">
        <f t="shared" ca="1" si="14"/>
        <v>Бангладеш</v>
      </c>
      <c r="AX4" s="116">
        <f t="shared" si="15"/>
        <v>0.1</v>
      </c>
      <c r="AY4" s="112">
        <f t="shared" si="16"/>
        <v>0.15000000000000002</v>
      </c>
      <c r="AZ4" s="112">
        <f t="shared" si="17"/>
        <v>1.2000000000000002</v>
      </c>
      <c r="BA4" s="112">
        <f t="shared" si="18"/>
        <v>1.8000000000000003</v>
      </c>
      <c r="BB4" s="117">
        <v>1489.65</v>
      </c>
      <c r="BC4" s="142">
        <f t="shared" si="19"/>
        <v>17875.800000000003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20"/>
        <v>-</v>
      </c>
    </row>
    <row r="5" spans="1:59" ht="98.1" customHeight="1">
      <c r="A5" s="112" t="str">
        <f t="shared" si="10"/>
        <v>10745455WHIBLA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96-194-17</v>
      </c>
      <c r="C5" s="120" t="s">
        <v>1674</v>
      </c>
      <c r="D5" s="106" t="str">
        <f t="shared" si="11"/>
        <v>New York Yankees MLB</v>
      </c>
      <c r="E5" s="112" t="str">
        <f>IF(F5&lt;&gt;"",IFERROR(VLOOKUP(F5,Категории!A:B,2,0),""),"Требуется категория")</f>
        <v>Бейсболки</v>
      </c>
      <c r="F5" s="106" t="s">
        <v>327</v>
      </c>
      <c r="G5" s="135" t="s">
        <v>887</v>
      </c>
      <c r="H5" s="106" t="s">
        <v>388</v>
      </c>
      <c r="I5" s="107" t="str">
        <f t="shared" si="21"/>
        <v>10745455 New York Yankees MLB</v>
      </c>
      <c r="J5" s="135" t="s">
        <v>1631</v>
      </c>
      <c r="K5" s="119" t="s">
        <v>1637</v>
      </c>
      <c r="L5" s="119" t="s">
        <v>57</v>
      </c>
      <c r="M5" s="135"/>
      <c r="N5" s="135"/>
      <c r="O5" s="135" t="s">
        <v>911</v>
      </c>
      <c r="P5" s="135" t="s">
        <v>914</v>
      </c>
      <c r="Q5" s="136" t="s">
        <v>1700</v>
      </c>
      <c r="R5" s="135" t="s">
        <v>1704</v>
      </c>
      <c r="S5" s="135" t="s">
        <v>43</v>
      </c>
      <c r="T5" s="107"/>
      <c r="U5" s="107" t="s">
        <v>1633</v>
      </c>
      <c r="V5" s="107">
        <v>5</v>
      </c>
      <c r="Y5" s="107"/>
      <c r="Z5" s="106">
        <v>0</v>
      </c>
      <c r="AA5" s="107"/>
      <c r="AB5" s="106">
        <v>0</v>
      </c>
      <c r="AC5" s="107"/>
      <c r="AD5" s="106">
        <v>0</v>
      </c>
      <c r="AE5" s="107"/>
      <c r="AF5" s="106">
        <v>0</v>
      </c>
      <c r="AG5" s="107"/>
      <c r="AT5" s="114">
        <f t="shared" si="12"/>
        <v>5</v>
      </c>
      <c r="AU5" s="130" t="s">
        <v>571</v>
      </c>
      <c r="AV5" s="114" t="str">
        <f t="shared" ca="1" si="13"/>
        <v>ERR</v>
      </c>
      <c r="AW5" s="112" t="str">
        <f t="shared" ca="1" si="14"/>
        <v>Бангладеш</v>
      </c>
      <c r="AX5" s="116">
        <f t="shared" si="15"/>
        <v>0.1</v>
      </c>
      <c r="AY5" s="112">
        <f t="shared" si="16"/>
        <v>0.15000000000000002</v>
      </c>
      <c r="AZ5" s="112">
        <f t="shared" si="17"/>
        <v>0.5</v>
      </c>
      <c r="BA5" s="112">
        <f t="shared" si="18"/>
        <v>0.75000000000000011</v>
      </c>
      <c r="BB5" s="117">
        <v>1210.25</v>
      </c>
      <c r="BC5" s="142">
        <f t="shared" si="19"/>
        <v>6051.25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20"/>
        <v>-</v>
      </c>
    </row>
    <row r="6" spans="1:59" ht="105.75" customHeight="1">
      <c r="A6" s="112" t="str">
        <f t="shared" si="10"/>
        <v>11209938WHI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96-195-17</v>
      </c>
      <c r="C6" s="120" t="s">
        <v>1675</v>
      </c>
      <c r="D6" s="106" t="str">
        <f t="shared" si="11"/>
        <v>New York Yankees MLB</v>
      </c>
      <c r="E6" s="112" t="str">
        <f>IF(F6&lt;&gt;"",IFERROR(VLOOKUP(F6,Категории!A:B,2,0),""),"Требуется категория")</f>
        <v>Бейсболки</v>
      </c>
      <c r="F6" s="106" t="s">
        <v>327</v>
      </c>
      <c r="G6" s="135" t="s">
        <v>887</v>
      </c>
      <c r="H6" s="106" t="s">
        <v>388</v>
      </c>
      <c r="I6" s="107" t="str">
        <f t="shared" si="21"/>
        <v>11209938 New York Yankees MLB</v>
      </c>
      <c r="J6" s="135" t="s">
        <v>1631</v>
      </c>
      <c r="K6" s="119" t="s">
        <v>1638</v>
      </c>
      <c r="L6" s="119" t="s">
        <v>57</v>
      </c>
      <c r="M6" s="135"/>
      <c r="N6" s="135"/>
      <c r="O6" s="135" t="s">
        <v>911</v>
      </c>
      <c r="P6" s="135" t="s">
        <v>914</v>
      </c>
      <c r="Q6" s="136" t="s">
        <v>1701</v>
      </c>
      <c r="R6" s="135" t="s">
        <v>1705</v>
      </c>
      <c r="S6" s="135" t="s">
        <v>43</v>
      </c>
      <c r="T6" s="107"/>
      <c r="U6" s="107" t="s">
        <v>1633</v>
      </c>
      <c r="V6" s="107">
        <v>5</v>
      </c>
      <c r="Y6" s="107"/>
      <c r="Z6" s="106">
        <v>0</v>
      </c>
      <c r="AA6" s="107"/>
      <c r="AB6" s="106">
        <v>0</v>
      </c>
      <c r="AC6" s="107"/>
      <c r="AD6" s="106">
        <v>0</v>
      </c>
      <c r="AE6" s="107"/>
      <c r="AF6" s="106">
        <v>0</v>
      </c>
      <c r="AG6" s="107"/>
      <c r="AT6" s="114">
        <f t="shared" si="12"/>
        <v>5</v>
      </c>
      <c r="AU6" s="130" t="s">
        <v>423</v>
      </c>
      <c r="AV6" s="114" t="str">
        <f t="shared" ca="1" si="13"/>
        <v>ERR</v>
      </c>
      <c r="AW6" s="112" t="str">
        <f t="shared" ca="1" si="14"/>
        <v>Китай</v>
      </c>
      <c r="AX6" s="116">
        <f t="shared" si="15"/>
        <v>0.1</v>
      </c>
      <c r="AY6" s="112">
        <f t="shared" si="16"/>
        <v>0.15000000000000002</v>
      </c>
      <c r="AZ6" s="112">
        <f t="shared" si="17"/>
        <v>0.5</v>
      </c>
      <c r="BA6" s="112">
        <f t="shared" si="18"/>
        <v>0.75000000000000011</v>
      </c>
      <c r="BB6" s="117">
        <v>1070.56</v>
      </c>
      <c r="BC6" s="142">
        <f t="shared" si="19"/>
        <v>5352.7999999999993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20"/>
        <v>-</v>
      </c>
    </row>
    <row r="7" spans="1:59" ht="112.5" customHeight="1">
      <c r="A7" s="112" t="str">
        <f t="shared" si="10"/>
        <v>11213219SCA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96-196-18</v>
      </c>
      <c r="C7" s="120" t="s">
        <v>1676</v>
      </c>
      <c r="D7" s="106" t="str">
        <f t="shared" si="11"/>
        <v>Manchester United EPL</v>
      </c>
      <c r="E7" s="112" t="str">
        <f>IF(F7&lt;&gt;"",IFERROR(VLOOKUP(F7,Категории!A:B,2,0),""),"Требуется категория")</f>
        <v>Бейсболки</v>
      </c>
      <c r="F7" s="106" t="s">
        <v>327</v>
      </c>
      <c r="G7" s="135" t="s">
        <v>887</v>
      </c>
      <c r="H7" s="106" t="s">
        <v>388</v>
      </c>
      <c r="I7" s="107" t="str">
        <f t="shared" si="21"/>
        <v>11213219 Manchester United EPL</v>
      </c>
      <c r="J7" s="135" t="s">
        <v>1631</v>
      </c>
      <c r="K7" s="119" t="s">
        <v>1639</v>
      </c>
      <c r="L7" s="119" t="s">
        <v>78</v>
      </c>
      <c r="M7" s="135"/>
      <c r="N7" s="135"/>
      <c r="O7" s="135" t="s">
        <v>920</v>
      </c>
      <c r="P7" s="135" t="s">
        <v>1211</v>
      </c>
      <c r="Q7" s="136" t="s">
        <v>1700</v>
      </c>
      <c r="R7" s="135" t="s">
        <v>1704</v>
      </c>
      <c r="S7" s="135" t="s">
        <v>43</v>
      </c>
      <c r="T7" s="107"/>
      <c r="U7" s="107" t="s">
        <v>1633</v>
      </c>
      <c r="V7" s="107">
        <v>7</v>
      </c>
      <c r="Y7" s="107"/>
      <c r="Z7" s="106">
        <v>0</v>
      </c>
      <c r="AA7" s="107"/>
      <c r="AB7" s="106">
        <v>0</v>
      </c>
      <c r="AC7" s="107"/>
      <c r="AD7" s="106">
        <v>0</v>
      </c>
      <c r="AE7" s="107"/>
      <c r="AF7" s="106">
        <v>0</v>
      </c>
      <c r="AG7" s="107"/>
      <c r="AT7" s="114">
        <f t="shared" si="12"/>
        <v>7</v>
      </c>
      <c r="AU7" s="130" t="s">
        <v>571</v>
      </c>
      <c r="AV7" s="114" t="str">
        <f t="shared" ca="1" si="13"/>
        <v>ERR</v>
      </c>
      <c r="AW7" s="112" t="str">
        <f t="shared" ca="1" si="14"/>
        <v>Бангладеш</v>
      </c>
      <c r="AX7" s="116">
        <f t="shared" si="15"/>
        <v>0.1</v>
      </c>
      <c r="AY7" s="112">
        <f t="shared" si="16"/>
        <v>0.15000000000000002</v>
      </c>
      <c r="AZ7" s="112">
        <f t="shared" si="17"/>
        <v>0.70000000000000007</v>
      </c>
      <c r="BA7" s="112">
        <f t="shared" si="18"/>
        <v>1.0500000000000003</v>
      </c>
      <c r="BB7" s="117">
        <v>1210.25</v>
      </c>
      <c r="BC7" s="142">
        <f t="shared" si="19"/>
        <v>8471.75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20"/>
        <v>-</v>
      </c>
    </row>
    <row r="8" spans="1:59" ht="78" customHeight="1">
      <c r="A8" s="112" t="str">
        <f t="shared" si="10"/>
        <v>11213222BLK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96-197-09</v>
      </c>
      <c r="C8" s="120" t="s">
        <v>1677</v>
      </c>
      <c r="D8" s="106" t="str">
        <f t="shared" si="11"/>
        <v>Manchester United EPL</v>
      </c>
      <c r="E8" s="112" t="str">
        <f>IF(F8&lt;&gt;"",IFERROR(VLOOKUP(F8,Категории!A:B,2,0),""),"Требуется категория")</f>
        <v>Бейсболки</v>
      </c>
      <c r="F8" s="106" t="s">
        <v>327</v>
      </c>
      <c r="G8" s="135" t="s">
        <v>887</v>
      </c>
      <c r="H8" s="106" t="s">
        <v>388</v>
      </c>
      <c r="I8" s="107" t="str">
        <f t="shared" si="21"/>
        <v>11213222 Manchester United EPL</v>
      </c>
      <c r="J8" s="135" t="s">
        <v>1631</v>
      </c>
      <c r="K8" s="119" t="s">
        <v>1629</v>
      </c>
      <c r="L8" s="119" t="s">
        <v>53</v>
      </c>
      <c r="M8" s="135"/>
      <c r="N8" s="135"/>
      <c r="O8" s="135" t="s">
        <v>920</v>
      </c>
      <c r="P8" s="135" t="s">
        <v>1211</v>
      </c>
      <c r="Q8" s="136" t="s">
        <v>1700</v>
      </c>
      <c r="R8" s="135" t="s">
        <v>1704</v>
      </c>
      <c r="S8" s="135" t="s">
        <v>43</v>
      </c>
      <c r="T8" s="107"/>
      <c r="U8" s="107" t="s">
        <v>1633</v>
      </c>
      <c r="V8" s="107">
        <v>7</v>
      </c>
      <c r="Y8" s="107"/>
      <c r="Z8" s="106">
        <v>0</v>
      </c>
      <c r="AA8" s="107"/>
      <c r="AB8" s="106">
        <v>0</v>
      </c>
      <c r="AC8" s="107"/>
      <c r="AD8" s="106">
        <v>0</v>
      </c>
      <c r="AE8" s="107"/>
      <c r="AF8" s="106">
        <v>0</v>
      </c>
      <c r="AG8" s="107"/>
      <c r="AT8" s="114">
        <f t="shared" si="12"/>
        <v>7</v>
      </c>
      <c r="AU8" s="130" t="s">
        <v>571</v>
      </c>
      <c r="AV8" s="114" t="str">
        <f t="shared" ca="1" si="13"/>
        <v>ERR</v>
      </c>
      <c r="AW8" s="112" t="str">
        <f t="shared" ca="1" si="14"/>
        <v>Бангладеш</v>
      </c>
      <c r="AX8" s="116">
        <f t="shared" si="15"/>
        <v>0.1</v>
      </c>
      <c r="AY8" s="112">
        <f t="shared" si="16"/>
        <v>0.15000000000000002</v>
      </c>
      <c r="AZ8" s="112">
        <f t="shared" si="17"/>
        <v>0.70000000000000007</v>
      </c>
      <c r="BA8" s="112">
        <f t="shared" si="18"/>
        <v>1.0500000000000003</v>
      </c>
      <c r="BB8" s="117">
        <v>1210.25</v>
      </c>
      <c r="BC8" s="142">
        <f t="shared" si="19"/>
        <v>8471.75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20"/>
        <v>-</v>
      </c>
    </row>
    <row r="9" spans="1:59" ht="98.1" customHeight="1">
      <c r="A9" s="112" t="str">
        <f t="shared" si="10"/>
        <v>11357008CAMBLK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96-198-00</v>
      </c>
      <c r="C9" s="120" t="s">
        <v>1678</v>
      </c>
      <c r="D9" s="106" t="str">
        <f t="shared" si="11"/>
        <v>New York Yankees MLB</v>
      </c>
      <c r="E9" s="112" t="str">
        <f>IF(F9&lt;&gt;"",IFERROR(VLOOKUP(F9,Категории!A:B,2,0),""),"Требуется категория")</f>
        <v>Бейсболки</v>
      </c>
      <c r="F9" s="106" t="s">
        <v>327</v>
      </c>
      <c r="G9" s="135" t="s">
        <v>887</v>
      </c>
      <c r="H9" s="106" t="s">
        <v>388</v>
      </c>
      <c r="I9" s="107" t="str">
        <f t="shared" si="21"/>
        <v>11357008 New York Yankees MLB</v>
      </c>
      <c r="J9" s="135" t="s">
        <v>1631</v>
      </c>
      <c r="K9" s="119" t="s">
        <v>1640</v>
      </c>
      <c r="L9" s="119" t="s">
        <v>158</v>
      </c>
      <c r="M9" s="135"/>
      <c r="N9" s="135"/>
      <c r="O9" s="135" t="s">
        <v>911</v>
      </c>
      <c r="P9" s="135" t="s">
        <v>914</v>
      </c>
      <c r="Q9" s="136" t="s">
        <v>1700</v>
      </c>
      <c r="R9" s="135" t="s">
        <v>1706</v>
      </c>
      <c r="S9" s="135" t="s">
        <v>43</v>
      </c>
      <c r="T9" s="107"/>
      <c r="U9" s="107" t="s">
        <v>1633</v>
      </c>
      <c r="V9" s="107">
        <v>15</v>
      </c>
      <c r="Y9" s="107"/>
      <c r="Z9" s="106">
        <v>0</v>
      </c>
      <c r="AA9" s="107"/>
      <c r="AB9" s="106">
        <v>0</v>
      </c>
      <c r="AC9" s="107"/>
      <c r="AD9" s="106">
        <v>0</v>
      </c>
      <c r="AE9" s="107"/>
      <c r="AF9" s="106">
        <v>0</v>
      </c>
      <c r="AG9" s="107"/>
      <c r="AT9" s="114">
        <f t="shared" si="12"/>
        <v>15</v>
      </c>
      <c r="AU9" s="130" t="s">
        <v>423</v>
      </c>
      <c r="AV9" s="114" t="str">
        <f t="shared" ca="1" si="13"/>
        <v>ERR</v>
      </c>
      <c r="AW9" s="112" t="str">
        <f t="shared" ca="1" si="14"/>
        <v>Китай</v>
      </c>
      <c r="AX9" s="116">
        <f t="shared" si="15"/>
        <v>0.1</v>
      </c>
      <c r="AY9" s="112">
        <f t="shared" si="16"/>
        <v>0.15000000000000002</v>
      </c>
      <c r="AZ9" s="112">
        <f t="shared" si="17"/>
        <v>1.5</v>
      </c>
      <c r="BA9" s="112">
        <f t="shared" si="18"/>
        <v>2.2500000000000004</v>
      </c>
      <c r="BB9" s="117">
        <v>1210.25</v>
      </c>
      <c r="BC9" s="142">
        <f t="shared" si="19"/>
        <v>18153.75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20"/>
        <v>-</v>
      </c>
    </row>
    <row r="10" spans="1:59" ht="98.1" customHeight="1">
      <c r="A10" s="112" t="str">
        <f t="shared" si="10"/>
        <v>11405492LRYWHI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96-199-06</v>
      </c>
      <c r="C10" s="120" t="s">
        <v>1679</v>
      </c>
      <c r="D10" s="106" t="str">
        <f t="shared" si="11"/>
        <v>Los Angeles Dodgers MLB</v>
      </c>
      <c r="E10" s="112" t="str">
        <f>IF(F10&lt;&gt;"",IFERROR(VLOOKUP(F10,Категории!A:B,2,0),""),"Требуется категория")</f>
        <v>Бейсболки</v>
      </c>
      <c r="F10" s="106" t="s">
        <v>327</v>
      </c>
      <c r="G10" s="135" t="s">
        <v>887</v>
      </c>
      <c r="H10" s="106" t="s">
        <v>388</v>
      </c>
      <c r="I10" s="107" t="str">
        <f t="shared" si="21"/>
        <v>11405492 Los Angeles Dodgers MLB</v>
      </c>
      <c r="J10" s="135" t="s">
        <v>1631</v>
      </c>
      <c r="K10" s="119" t="s">
        <v>1641</v>
      </c>
      <c r="L10" s="119" t="s">
        <v>71</v>
      </c>
      <c r="M10" s="135"/>
      <c r="N10" s="135"/>
      <c r="O10" s="135" t="s">
        <v>911</v>
      </c>
      <c r="P10" s="135" t="s">
        <v>912</v>
      </c>
      <c r="Q10" s="136" t="s">
        <v>1700</v>
      </c>
      <c r="R10" s="135" t="s">
        <v>1704</v>
      </c>
      <c r="S10" s="135" t="s">
        <v>43</v>
      </c>
      <c r="T10" s="107"/>
      <c r="U10" s="107" t="s">
        <v>1633</v>
      </c>
      <c r="V10" s="107">
        <v>8</v>
      </c>
      <c r="Y10" s="107"/>
      <c r="Z10" s="106">
        <v>0</v>
      </c>
      <c r="AA10" s="107"/>
      <c r="AB10" s="106">
        <v>0</v>
      </c>
      <c r="AC10" s="107"/>
      <c r="AD10" s="106">
        <v>0</v>
      </c>
      <c r="AE10" s="107"/>
      <c r="AF10" s="106">
        <v>0</v>
      </c>
      <c r="AG10" s="107"/>
      <c r="AT10" s="114">
        <f t="shared" si="12"/>
        <v>8</v>
      </c>
      <c r="AU10" s="130" t="s">
        <v>571</v>
      </c>
      <c r="AV10" s="114" t="str">
        <f t="shared" ca="1" si="13"/>
        <v>ERR</v>
      </c>
      <c r="AW10" s="112" t="str">
        <f t="shared" ca="1" si="14"/>
        <v>Бангладеш</v>
      </c>
      <c r="AX10" s="116">
        <f t="shared" si="15"/>
        <v>0.1</v>
      </c>
      <c r="AY10" s="112">
        <f t="shared" si="16"/>
        <v>0.15000000000000002</v>
      </c>
      <c r="AZ10" s="112">
        <f t="shared" si="17"/>
        <v>0.8</v>
      </c>
      <c r="BA10" s="112">
        <f t="shared" si="18"/>
        <v>1.2000000000000002</v>
      </c>
      <c r="BB10" s="117">
        <v>1210.25</v>
      </c>
      <c r="BC10" s="142">
        <f t="shared" si="19"/>
        <v>9682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20"/>
        <v>-</v>
      </c>
    </row>
    <row r="11" spans="1:59" ht="98.1" customHeight="1">
      <c r="A11" s="112" t="str">
        <f t="shared" si="10"/>
        <v>11405605OTC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96-200-41</v>
      </c>
      <c r="C11" s="120" t="s">
        <v>1680</v>
      </c>
      <c r="D11" s="106" t="str">
        <f t="shared" si="11"/>
        <v>Los Angeles Lakers NBA</v>
      </c>
      <c r="E11" s="112" t="str">
        <f>IF(F11&lt;&gt;"",IFERROR(VLOOKUP(F11,Категории!A:B,2,0),""),"Требуется категория")</f>
        <v>Бейсболки</v>
      </c>
      <c r="F11" s="106" t="s">
        <v>327</v>
      </c>
      <c r="G11" s="135" t="s">
        <v>887</v>
      </c>
      <c r="H11" s="106" t="s">
        <v>388</v>
      </c>
      <c r="I11" s="107" t="str">
        <f t="shared" si="21"/>
        <v>11405605 Los Angeles Lakers NBA</v>
      </c>
      <c r="J11" s="135" t="s">
        <v>1631</v>
      </c>
      <c r="K11" s="119" t="s">
        <v>1630</v>
      </c>
      <c r="L11" s="119" t="s">
        <v>286</v>
      </c>
      <c r="M11" s="135"/>
      <c r="N11" s="135"/>
      <c r="O11" s="135" t="s">
        <v>1061</v>
      </c>
      <c r="P11" s="135" t="s">
        <v>1155</v>
      </c>
      <c r="Q11" s="136" t="s">
        <v>1702</v>
      </c>
      <c r="R11" s="135" t="s">
        <v>1704</v>
      </c>
      <c r="S11" s="135"/>
      <c r="T11" s="107"/>
      <c r="U11" s="107" t="s">
        <v>1633</v>
      </c>
      <c r="V11" s="107">
        <v>6</v>
      </c>
      <c r="Y11" s="107"/>
      <c r="Z11" s="106">
        <v>0</v>
      </c>
      <c r="AA11" s="107"/>
      <c r="AB11" s="106">
        <v>0</v>
      </c>
      <c r="AC11" s="107"/>
      <c r="AD11" s="106">
        <v>0</v>
      </c>
      <c r="AE11" s="107"/>
      <c r="AF11" s="106">
        <v>0</v>
      </c>
      <c r="AG11" s="107"/>
      <c r="AT11" s="114">
        <f t="shared" si="12"/>
        <v>6</v>
      </c>
      <c r="AU11" s="130" t="s">
        <v>571</v>
      </c>
      <c r="AV11" s="114" t="str">
        <f t="shared" ca="1" si="13"/>
        <v>ERR</v>
      </c>
      <c r="AW11" s="112" t="str">
        <f t="shared" ca="1" si="14"/>
        <v>Бангладеш</v>
      </c>
      <c r="AX11" s="116">
        <f t="shared" si="15"/>
        <v>0.1</v>
      </c>
      <c r="AY11" s="112">
        <f t="shared" si="16"/>
        <v>0.15000000000000002</v>
      </c>
      <c r="AZ11" s="112">
        <f t="shared" si="17"/>
        <v>0.60000000000000009</v>
      </c>
      <c r="BA11" s="112">
        <f t="shared" si="18"/>
        <v>0.90000000000000013</v>
      </c>
      <c r="BB11" s="117">
        <v>1349.95</v>
      </c>
      <c r="BC11" s="142">
        <f t="shared" si="19"/>
        <v>8099.7000000000007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20"/>
        <v>-</v>
      </c>
    </row>
    <row r="12" spans="1:59" ht="98.1" customHeight="1">
      <c r="A12" s="112" t="str">
        <f t="shared" si="10"/>
        <v>11405616OTC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96-201-09</v>
      </c>
      <c r="C12" s="120" t="s">
        <v>1682</v>
      </c>
      <c r="D12" s="106" t="str">
        <f t="shared" si="11"/>
        <v>Brooklyn Nets NBA</v>
      </c>
      <c r="E12" s="112" t="str">
        <f>IF(F12&lt;&gt;"",IFERROR(VLOOKUP(F12,Категории!A:B,2,0),""),"Требуется категория")</f>
        <v>Бейсболки</v>
      </c>
      <c r="F12" s="106" t="s">
        <v>327</v>
      </c>
      <c r="G12" s="135" t="s">
        <v>887</v>
      </c>
      <c r="H12" s="106" t="s">
        <v>388</v>
      </c>
      <c r="I12" s="107" t="str">
        <f t="shared" si="21"/>
        <v>11405616 Brooklyn Nets NBA</v>
      </c>
      <c r="J12" s="135" t="s">
        <v>1631</v>
      </c>
      <c r="K12" s="119" t="s">
        <v>1630</v>
      </c>
      <c r="L12" s="119" t="s">
        <v>53</v>
      </c>
      <c r="M12" s="135"/>
      <c r="N12" s="135"/>
      <c r="O12" s="135" t="s">
        <v>1061</v>
      </c>
      <c r="P12" s="135" t="s">
        <v>1352</v>
      </c>
      <c r="Q12" s="136" t="s">
        <v>1702</v>
      </c>
      <c r="R12" s="135" t="s">
        <v>1704</v>
      </c>
      <c r="S12" s="135"/>
      <c r="T12" s="107"/>
      <c r="U12" s="107" t="s">
        <v>1633</v>
      </c>
      <c r="V12" s="107">
        <v>8</v>
      </c>
      <c r="Y12" s="107"/>
      <c r="Z12" s="106">
        <v>0</v>
      </c>
      <c r="AA12" s="107"/>
      <c r="AB12" s="106">
        <v>0</v>
      </c>
      <c r="AC12" s="107"/>
      <c r="AD12" s="106">
        <v>0</v>
      </c>
      <c r="AE12" s="107"/>
      <c r="AF12" s="106">
        <v>0</v>
      </c>
      <c r="AG12" s="107"/>
      <c r="AT12" s="114">
        <f t="shared" si="12"/>
        <v>8</v>
      </c>
      <c r="AU12" s="130" t="s">
        <v>571</v>
      </c>
      <c r="AV12" s="114" t="str">
        <f t="shared" ca="1" si="13"/>
        <v>ERR</v>
      </c>
      <c r="AW12" s="112" t="str">
        <f t="shared" ca="1" si="14"/>
        <v>Бангладеш</v>
      </c>
      <c r="AX12" s="116">
        <f t="shared" si="15"/>
        <v>0.1</v>
      </c>
      <c r="AY12" s="112">
        <f t="shared" si="16"/>
        <v>0.15000000000000002</v>
      </c>
      <c r="AZ12" s="112">
        <f t="shared" si="17"/>
        <v>0.8</v>
      </c>
      <c r="BA12" s="112">
        <f t="shared" si="18"/>
        <v>1.2000000000000002</v>
      </c>
      <c r="BB12" s="117">
        <v>1687.44</v>
      </c>
      <c r="BC12" s="142">
        <f t="shared" si="19"/>
        <v>13499.52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20"/>
        <v>-</v>
      </c>
    </row>
    <row r="13" spans="1:59" ht="98.1" customHeight="1">
      <c r="A13" s="112" t="str">
        <f t="shared" si="10"/>
        <v>12380822OTC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96-202-18</v>
      </c>
      <c r="C13" s="120" t="s">
        <v>1683</v>
      </c>
      <c r="D13" s="106" t="str">
        <f t="shared" si="11"/>
        <v>Chicago Bulls NBA</v>
      </c>
      <c r="E13" s="112" t="str">
        <f>IF(F13&lt;&gt;"",IFERROR(VLOOKUP(F13,Категории!A:B,2,0),""),"Требуется категория")</f>
        <v>Бейсболки</v>
      </c>
      <c r="F13" s="106" t="s">
        <v>327</v>
      </c>
      <c r="G13" s="135" t="s">
        <v>887</v>
      </c>
      <c r="H13" s="106" t="s">
        <v>388</v>
      </c>
      <c r="I13" s="107" t="str">
        <f t="shared" si="21"/>
        <v>12380822 Chicago Bulls NBA</v>
      </c>
      <c r="J13" s="135" t="s">
        <v>1631</v>
      </c>
      <c r="K13" s="119" t="s">
        <v>1630</v>
      </c>
      <c r="L13" s="119" t="s">
        <v>78</v>
      </c>
      <c r="M13" s="135"/>
      <c r="N13" s="135"/>
      <c r="O13" s="135" t="s">
        <v>1061</v>
      </c>
      <c r="P13" s="135" t="s">
        <v>1062</v>
      </c>
      <c r="Q13" s="136" t="s">
        <v>1702</v>
      </c>
      <c r="R13" s="135" t="s">
        <v>1707</v>
      </c>
      <c r="S13" s="135"/>
      <c r="T13" s="107"/>
      <c r="U13" s="107" t="s">
        <v>1633</v>
      </c>
      <c r="V13" s="107">
        <v>1</v>
      </c>
      <c r="Y13" s="107"/>
      <c r="Z13" s="106">
        <v>0</v>
      </c>
      <c r="AA13" s="107"/>
      <c r="AB13" s="106">
        <v>0</v>
      </c>
      <c r="AC13" s="107"/>
      <c r="AD13" s="106">
        <v>0</v>
      </c>
      <c r="AE13" s="107"/>
      <c r="AF13" s="106">
        <v>0</v>
      </c>
      <c r="AG13" s="107"/>
      <c r="AT13" s="114">
        <f t="shared" si="12"/>
        <v>1</v>
      </c>
      <c r="AU13" s="130" t="s">
        <v>423</v>
      </c>
      <c r="AV13" s="114" t="str">
        <f t="shared" ca="1" si="13"/>
        <v>ERR</v>
      </c>
      <c r="AW13" s="112" t="str">
        <f t="shared" ca="1" si="14"/>
        <v>Китай</v>
      </c>
      <c r="AX13" s="116">
        <f t="shared" si="15"/>
        <v>0.1</v>
      </c>
      <c r="AY13" s="112">
        <f t="shared" si="16"/>
        <v>0.15000000000000002</v>
      </c>
      <c r="AZ13" s="112">
        <f t="shared" si="17"/>
        <v>0.1</v>
      </c>
      <c r="BA13" s="112">
        <f t="shared" si="18"/>
        <v>0.15000000000000002</v>
      </c>
      <c r="BB13" s="117">
        <v>1862.06</v>
      </c>
      <c r="BC13" s="142">
        <f t="shared" si="19"/>
        <v>1862.06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20"/>
        <v>-</v>
      </c>
    </row>
    <row r="14" spans="1:59" ht="98.1" customHeight="1">
      <c r="A14" s="112" t="str">
        <f t="shared" si="10"/>
        <v>12381106GRA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96-203-80</v>
      </c>
      <c r="C14" s="120" t="s">
        <v>1684</v>
      </c>
      <c r="D14" s="106" t="str">
        <f t="shared" si="11"/>
        <v>New York Yankees MLB</v>
      </c>
      <c r="E14" s="112" t="str">
        <f>IF(F14&lt;&gt;"",IFERROR(VLOOKUP(F14,Категории!A:B,2,0),""),"Требуется категория")</f>
        <v>Бейсболки</v>
      </c>
      <c r="F14" s="106" t="s">
        <v>356</v>
      </c>
      <c r="G14" s="135" t="s">
        <v>887</v>
      </c>
      <c r="H14" s="106" t="s">
        <v>388</v>
      </c>
      <c r="I14" s="107" t="str">
        <f t="shared" si="21"/>
        <v>12381106 New York Yankees MLB</v>
      </c>
      <c r="J14" s="135" t="s">
        <v>1631</v>
      </c>
      <c r="K14" s="119" t="s">
        <v>1642</v>
      </c>
      <c r="L14" s="119" t="s">
        <v>83</v>
      </c>
      <c r="M14" s="135"/>
      <c r="N14" s="135"/>
      <c r="O14" s="135" t="s">
        <v>911</v>
      </c>
      <c r="P14" s="135" t="s">
        <v>914</v>
      </c>
      <c r="Q14" s="136" t="s">
        <v>1703</v>
      </c>
      <c r="R14" s="135" t="s">
        <v>1704</v>
      </c>
      <c r="S14" s="135"/>
      <c r="T14" s="107"/>
      <c r="U14" s="107" t="s">
        <v>1633</v>
      </c>
      <c r="V14" s="107">
        <v>6</v>
      </c>
      <c r="Y14" s="107"/>
      <c r="Z14" s="106">
        <v>0</v>
      </c>
      <c r="AA14" s="107"/>
      <c r="AB14" s="106">
        <v>0</v>
      </c>
      <c r="AC14" s="107"/>
      <c r="AD14" s="106">
        <v>0</v>
      </c>
      <c r="AE14" s="107"/>
      <c r="AF14" s="106">
        <v>0</v>
      </c>
      <c r="AG14" s="107"/>
      <c r="AT14" s="114">
        <f t="shared" si="12"/>
        <v>6</v>
      </c>
      <c r="AU14" s="130" t="s">
        <v>571</v>
      </c>
      <c r="AV14" s="114" t="str">
        <f t="shared" ca="1" si="13"/>
        <v>ERR</v>
      </c>
      <c r="AW14" s="112" t="str">
        <f t="shared" ca="1" si="14"/>
        <v>Бангладеш</v>
      </c>
      <c r="AX14" s="116">
        <f t="shared" si="15"/>
        <v>0.1</v>
      </c>
      <c r="AY14" s="112">
        <f t="shared" si="16"/>
        <v>0.15000000000000002</v>
      </c>
      <c r="AZ14" s="112">
        <f t="shared" si="17"/>
        <v>0.60000000000000009</v>
      </c>
      <c r="BA14" s="112">
        <f t="shared" si="18"/>
        <v>0.90000000000000013</v>
      </c>
      <c r="BB14" s="117">
        <v>1582.78</v>
      </c>
      <c r="BC14" s="142">
        <f t="shared" si="19"/>
        <v>9496.68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20"/>
        <v>-</v>
      </c>
    </row>
    <row r="15" spans="1:59" ht="98.1" customHeight="1">
      <c r="A15" s="112" t="str">
        <f t="shared" si="10"/>
        <v>12523887NOV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96-204-03</v>
      </c>
      <c r="C15" s="120" t="s">
        <v>1685</v>
      </c>
      <c r="D15" s="106" t="str">
        <f t="shared" si="11"/>
        <v>New York Yankees MLB</v>
      </c>
      <c r="E15" s="112" t="str">
        <f>IF(F15&lt;&gt;"",IFERROR(VLOOKUP(F15,Категории!A:B,2,0),""),"Требуется категория")</f>
        <v>Бейсболки</v>
      </c>
      <c r="F15" s="106" t="s">
        <v>327</v>
      </c>
      <c r="G15" s="135" t="s">
        <v>887</v>
      </c>
      <c r="H15" s="106" t="s">
        <v>388</v>
      </c>
      <c r="I15" s="107" t="str">
        <f t="shared" si="21"/>
        <v>12523887 New York Yankees MLB</v>
      </c>
      <c r="J15" s="135" t="s">
        <v>1631</v>
      </c>
      <c r="K15" s="119" t="s">
        <v>1643</v>
      </c>
      <c r="L15" s="119" t="s">
        <v>195</v>
      </c>
      <c r="M15" s="135"/>
      <c r="N15" s="135"/>
      <c r="O15" s="135" t="s">
        <v>911</v>
      </c>
      <c r="P15" s="135" t="s">
        <v>914</v>
      </c>
      <c r="Q15" s="136" t="s">
        <v>1700</v>
      </c>
      <c r="R15" s="135" t="s">
        <v>1704</v>
      </c>
      <c r="S15" s="135" t="s">
        <v>43</v>
      </c>
      <c r="T15" s="107"/>
      <c r="U15" s="107" t="s">
        <v>1633</v>
      </c>
      <c r="V15" s="107">
        <v>5</v>
      </c>
      <c r="Y15" s="107"/>
      <c r="Z15" s="106">
        <v>0</v>
      </c>
      <c r="AA15" s="107"/>
      <c r="AB15" s="106">
        <v>0</v>
      </c>
      <c r="AC15" s="107"/>
      <c r="AD15" s="106">
        <v>0</v>
      </c>
      <c r="AE15" s="107"/>
      <c r="AF15" s="106">
        <v>0</v>
      </c>
      <c r="AG15" s="107"/>
      <c r="AT15" s="114">
        <f t="shared" si="12"/>
        <v>5</v>
      </c>
      <c r="AU15" s="130" t="s">
        <v>571</v>
      </c>
      <c r="AV15" s="114" t="str">
        <f t="shared" ca="1" si="13"/>
        <v>ERR</v>
      </c>
      <c r="AW15" s="112" t="str">
        <f t="shared" ca="1" si="14"/>
        <v>Бангладеш</v>
      </c>
      <c r="AX15" s="116">
        <f t="shared" si="15"/>
        <v>0.1</v>
      </c>
      <c r="AY15" s="112">
        <f t="shared" si="16"/>
        <v>0.15000000000000002</v>
      </c>
      <c r="AZ15" s="112">
        <f t="shared" si="17"/>
        <v>0.5</v>
      </c>
      <c r="BA15" s="112">
        <f t="shared" si="18"/>
        <v>0.75000000000000011</v>
      </c>
      <c r="BB15" s="117">
        <v>1210.25</v>
      </c>
      <c r="BC15" s="142">
        <f t="shared" si="19"/>
        <v>6051.25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20"/>
        <v>-</v>
      </c>
    </row>
    <row r="16" spans="1:59" ht="98.1" customHeight="1">
      <c r="A16" s="112" t="str">
        <f t="shared" si="10"/>
        <v>12523888MRN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96-205-12</v>
      </c>
      <c r="C16" s="120" t="s">
        <v>1686</v>
      </c>
      <c r="D16" s="106" t="str">
        <f t="shared" si="11"/>
        <v>New York Yankees MLB</v>
      </c>
      <c r="E16" s="112" t="str">
        <f>IF(F16&lt;&gt;"",IFERROR(VLOOKUP(F16,Категории!A:B,2,0),""),"Требуется категория")</f>
        <v>Бейсболки</v>
      </c>
      <c r="F16" s="106" t="s">
        <v>327</v>
      </c>
      <c r="G16" s="135" t="s">
        <v>887</v>
      </c>
      <c r="H16" s="106" t="s">
        <v>388</v>
      </c>
      <c r="I16" s="107" t="str">
        <f t="shared" si="21"/>
        <v>12523888 New York Yankees MLB</v>
      </c>
      <c r="J16" s="135" t="s">
        <v>1631</v>
      </c>
      <c r="K16" s="119" t="s">
        <v>1644</v>
      </c>
      <c r="L16" s="119" t="s">
        <v>121</v>
      </c>
      <c r="M16" s="135"/>
      <c r="N16" s="135"/>
      <c r="O16" s="135" t="s">
        <v>911</v>
      </c>
      <c r="P16" s="135" t="s">
        <v>914</v>
      </c>
      <c r="Q16" s="136" t="s">
        <v>1700</v>
      </c>
      <c r="R16" s="135" t="s">
        <v>1704</v>
      </c>
      <c r="S16" s="135" t="s">
        <v>43</v>
      </c>
      <c r="T16" s="107"/>
      <c r="U16" s="107" t="s">
        <v>1633</v>
      </c>
      <c r="V16" s="107">
        <v>4</v>
      </c>
      <c r="Y16" s="107"/>
      <c r="Z16" s="106">
        <v>0</v>
      </c>
      <c r="AA16" s="107"/>
      <c r="AB16" s="106">
        <v>0</v>
      </c>
      <c r="AC16" s="107"/>
      <c r="AD16" s="106">
        <v>0</v>
      </c>
      <c r="AE16" s="107"/>
      <c r="AF16" s="106">
        <v>0</v>
      </c>
      <c r="AG16" s="107"/>
      <c r="AT16" s="114">
        <f t="shared" si="12"/>
        <v>4</v>
      </c>
      <c r="AU16" s="130" t="s">
        <v>571</v>
      </c>
      <c r="AV16" s="114" t="str">
        <f t="shared" ca="1" si="13"/>
        <v>ERR</v>
      </c>
      <c r="AW16" s="112" t="str">
        <f t="shared" ca="1" si="14"/>
        <v>Бангладеш</v>
      </c>
      <c r="AX16" s="116">
        <f t="shared" si="15"/>
        <v>0.1</v>
      </c>
      <c r="AY16" s="112">
        <f t="shared" si="16"/>
        <v>0.15000000000000002</v>
      </c>
      <c r="AZ16" s="112">
        <f t="shared" si="17"/>
        <v>0.4</v>
      </c>
      <c r="BA16" s="112">
        <f t="shared" si="18"/>
        <v>0.60000000000000009</v>
      </c>
      <c r="BB16" s="117">
        <v>1210.25</v>
      </c>
      <c r="BC16" s="142">
        <f t="shared" si="19"/>
        <v>4841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20"/>
        <v>-</v>
      </c>
    </row>
    <row r="17" spans="1:58" ht="98.1" customHeight="1">
      <c r="A17" s="112" t="str">
        <f t="shared" si="10"/>
        <v>12523889BLK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96-206-09</v>
      </c>
      <c r="C17" s="120" t="s">
        <v>1687</v>
      </c>
      <c r="D17" s="106" t="str">
        <f t="shared" si="11"/>
        <v>New York Yankees MLB</v>
      </c>
      <c r="E17" s="112" t="str">
        <f>IF(F17&lt;&gt;"",IFERROR(VLOOKUP(F17,Категории!A:B,2,0),""),"Требуется категория")</f>
        <v>Бейсболки</v>
      </c>
      <c r="F17" s="106" t="s">
        <v>327</v>
      </c>
      <c r="G17" s="135" t="s">
        <v>887</v>
      </c>
      <c r="H17" s="106" t="s">
        <v>388</v>
      </c>
      <c r="I17" s="107" t="str">
        <f t="shared" si="21"/>
        <v>12523889 New York Yankees MLB</v>
      </c>
      <c r="J17" s="135" t="s">
        <v>1631</v>
      </c>
      <c r="K17" s="119" t="s">
        <v>1629</v>
      </c>
      <c r="L17" s="119" t="s">
        <v>53</v>
      </c>
      <c r="M17" s="135"/>
      <c r="N17" s="135"/>
      <c r="O17" s="135" t="s">
        <v>911</v>
      </c>
      <c r="P17" s="135" t="s">
        <v>914</v>
      </c>
      <c r="Q17" s="136" t="s">
        <v>1700</v>
      </c>
      <c r="R17" s="135" t="s">
        <v>1704</v>
      </c>
      <c r="S17" s="135" t="s">
        <v>43</v>
      </c>
      <c r="T17" s="107"/>
      <c r="U17" s="107" t="s">
        <v>1633</v>
      </c>
      <c r="V17" s="107">
        <v>5</v>
      </c>
      <c r="Y17" s="107"/>
      <c r="Z17" s="106">
        <v>0</v>
      </c>
      <c r="AA17" s="107"/>
      <c r="AB17" s="106">
        <v>0</v>
      </c>
      <c r="AC17" s="107"/>
      <c r="AD17" s="106">
        <v>0</v>
      </c>
      <c r="AE17" s="107"/>
      <c r="AF17" s="106">
        <v>0</v>
      </c>
      <c r="AG17" s="107"/>
      <c r="AT17" s="114">
        <f t="shared" si="12"/>
        <v>5</v>
      </c>
      <c r="AU17" s="130" t="s">
        <v>571</v>
      </c>
      <c r="AV17" s="114" t="str">
        <f t="shared" ca="1" si="13"/>
        <v>ERR</v>
      </c>
      <c r="AW17" s="112" t="str">
        <f t="shared" ca="1" si="14"/>
        <v>Бангладеш</v>
      </c>
      <c r="AX17" s="116">
        <f t="shared" si="15"/>
        <v>0.1</v>
      </c>
      <c r="AY17" s="112">
        <f t="shared" si="16"/>
        <v>0.15000000000000002</v>
      </c>
      <c r="AZ17" s="112">
        <f t="shared" si="17"/>
        <v>0.5</v>
      </c>
      <c r="BA17" s="112">
        <f t="shared" si="18"/>
        <v>0.75000000000000011</v>
      </c>
      <c r="BB17" s="117">
        <v>1210.25</v>
      </c>
      <c r="BC17" s="142">
        <f t="shared" si="19"/>
        <v>6051.25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20"/>
        <v>-</v>
      </c>
    </row>
    <row r="18" spans="1:58" ht="98.1" customHeight="1">
      <c r="A18" s="112" t="str">
        <f t="shared" si="10"/>
        <v>12523898GRHWHI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96-207-80</v>
      </c>
      <c r="C18" s="120" t="s">
        <v>1688</v>
      </c>
      <c r="D18" s="106" t="str">
        <f t="shared" si="11"/>
        <v>New York Yankees MLB</v>
      </c>
      <c r="E18" s="112" t="str">
        <f>IF(F18&lt;&gt;"",IFERROR(VLOOKUP(F18,Категории!A:B,2,0),""),"Требуется категория")</f>
        <v>Бейсболки</v>
      </c>
      <c r="F18" s="106" t="s">
        <v>356</v>
      </c>
      <c r="G18" s="135" t="s">
        <v>887</v>
      </c>
      <c r="H18" s="106" t="s">
        <v>388</v>
      </c>
      <c r="I18" s="107" t="str">
        <f t="shared" si="21"/>
        <v>12523898 New York Yankees MLB</v>
      </c>
      <c r="J18" s="135" t="s">
        <v>1631</v>
      </c>
      <c r="K18" s="119" t="s">
        <v>1645</v>
      </c>
      <c r="L18" s="119" t="s">
        <v>83</v>
      </c>
      <c r="M18" s="135"/>
      <c r="N18" s="135"/>
      <c r="O18" s="135" t="s">
        <v>911</v>
      </c>
      <c r="P18" s="135" t="s">
        <v>914</v>
      </c>
      <c r="Q18" s="136" t="s">
        <v>1703</v>
      </c>
      <c r="R18" s="135" t="s">
        <v>1704</v>
      </c>
      <c r="S18" s="135"/>
      <c r="T18" s="107"/>
      <c r="U18" s="107" t="s">
        <v>1633</v>
      </c>
      <c r="V18" s="107">
        <v>6</v>
      </c>
      <c r="Y18" s="107"/>
      <c r="Z18" s="106">
        <v>0</v>
      </c>
      <c r="AA18" s="107"/>
      <c r="AB18" s="106">
        <v>0</v>
      </c>
      <c r="AC18" s="107"/>
      <c r="AD18" s="106">
        <v>0</v>
      </c>
      <c r="AE18" s="107"/>
      <c r="AF18" s="106">
        <v>0</v>
      </c>
      <c r="AG18" s="107"/>
      <c r="AT18" s="114">
        <f t="shared" si="12"/>
        <v>6</v>
      </c>
      <c r="AU18" s="130" t="s">
        <v>571</v>
      </c>
      <c r="AV18" s="114" t="str">
        <f t="shared" ca="1" si="13"/>
        <v>ERR</v>
      </c>
      <c r="AW18" s="112" t="str">
        <f t="shared" ca="1" si="14"/>
        <v>Бангладеш</v>
      </c>
      <c r="AX18" s="116">
        <f t="shared" si="15"/>
        <v>0.1</v>
      </c>
      <c r="AY18" s="112">
        <f t="shared" si="16"/>
        <v>0.15000000000000002</v>
      </c>
      <c r="AZ18" s="112">
        <f t="shared" si="17"/>
        <v>0.60000000000000009</v>
      </c>
      <c r="BA18" s="112">
        <f t="shared" si="18"/>
        <v>0.90000000000000013</v>
      </c>
      <c r="BB18" s="117">
        <v>1582.78</v>
      </c>
      <c r="BC18" s="142">
        <f t="shared" si="19"/>
        <v>9496.68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20"/>
        <v>-</v>
      </c>
    </row>
    <row r="19" spans="1:58" ht="98.1" customHeight="1">
      <c r="A19" s="112" t="str">
        <f t="shared" si="10"/>
        <v>12523906GRHGRH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96-208-80</v>
      </c>
      <c r="C19" s="120" t="s">
        <v>1689</v>
      </c>
      <c r="D19" s="106" t="str">
        <f t="shared" si="11"/>
        <v>New York Yankees MLB</v>
      </c>
      <c r="E19" s="112" t="str">
        <f>IF(F19&lt;&gt;"",IFERROR(VLOOKUP(F19,Категории!A:B,2,0),""),"Требуется категория")</f>
        <v>Бейсболки</v>
      </c>
      <c r="F19" s="106" t="s">
        <v>327</v>
      </c>
      <c r="G19" s="135" t="s">
        <v>887</v>
      </c>
      <c r="H19" s="106" t="s">
        <v>388</v>
      </c>
      <c r="I19" s="107" t="str">
        <f t="shared" si="21"/>
        <v>12523906 New York Yankees MLB</v>
      </c>
      <c r="J19" s="135" t="s">
        <v>1631</v>
      </c>
      <c r="K19" s="119" t="s">
        <v>1646</v>
      </c>
      <c r="L19" s="119" t="s">
        <v>83</v>
      </c>
      <c r="M19" s="135"/>
      <c r="N19" s="135"/>
      <c r="O19" s="135" t="s">
        <v>911</v>
      </c>
      <c r="P19" s="135" t="s">
        <v>914</v>
      </c>
      <c r="Q19" s="136" t="s">
        <v>1702</v>
      </c>
      <c r="R19" s="135" t="s">
        <v>1704</v>
      </c>
      <c r="S19" s="135"/>
      <c r="T19" s="107"/>
      <c r="U19" s="107" t="s">
        <v>1633</v>
      </c>
      <c r="V19" s="107">
        <v>8</v>
      </c>
      <c r="Y19" s="107"/>
      <c r="Z19" s="106">
        <v>0</v>
      </c>
      <c r="AA19" s="107"/>
      <c r="AB19" s="106">
        <v>0</v>
      </c>
      <c r="AC19" s="107"/>
      <c r="AD19" s="106">
        <v>0</v>
      </c>
      <c r="AE19" s="107"/>
      <c r="AF19" s="106">
        <v>0</v>
      </c>
      <c r="AG19" s="107"/>
      <c r="AT19" s="114">
        <f t="shared" si="12"/>
        <v>8</v>
      </c>
      <c r="AU19" s="130" t="s">
        <v>571</v>
      </c>
      <c r="AV19" s="114" t="str">
        <f t="shared" ca="1" si="13"/>
        <v>ERR</v>
      </c>
      <c r="AW19" s="112" t="str">
        <f t="shared" ca="1" si="14"/>
        <v>Бангладеш</v>
      </c>
      <c r="AX19" s="116">
        <f t="shared" si="15"/>
        <v>0.1</v>
      </c>
      <c r="AY19" s="112">
        <f t="shared" si="16"/>
        <v>0.15000000000000002</v>
      </c>
      <c r="AZ19" s="112">
        <f t="shared" si="17"/>
        <v>0.8</v>
      </c>
      <c r="BA19" s="112">
        <f t="shared" si="18"/>
        <v>1.2000000000000002</v>
      </c>
      <c r="BB19" s="117">
        <v>1862.06</v>
      </c>
      <c r="BC19" s="142">
        <f t="shared" si="19"/>
        <v>14896.48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20"/>
        <v>-</v>
      </c>
    </row>
    <row r="20" spans="1:58" ht="98.1" customHeight="1">
      <c r="A20" s="112" t="str">
        <f t="shared" si="10"/>
        <v>60222367NVY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96-209-16</v>
      </c>
      <c r="C20" s="120" t="s">
        <v>1692</v>
      </c>
      <c r="D20" s="106" t="str">
        <f t="shared" si="11"/>
        <v>New York Yankees MLB</v>
      </c>
      <c r="E20" s="112" t="str">
        <f>IF(F20&lt;&gt;"",IFERROR(VLOOKUP(F20,Категории!A:B,2,0),""),"Требуется категория")</f>
        <v>Бейсболки</v>
      </c>
      <c r="F20" s="106" t="s">
        <v>783</v>
      </c>
      <c r="G20" s="135" t="s">
        <v>887</v>
      </c>
      <c r="H20" s="106" t="s">
        <v>388</v>
      </c>
      <c r="I20" s="107" t="str">
        <f t="shared" si="21"/>
        <v>60222367 New York Yankees MLB</v>
      </c>
      <c r="J20" s="135" t="s">
        <v>1631</v>
      </c>
      <c r="K20" s="119" t="s">
        <v>1647</v>
      </c>
      <c r="L20" s="119" t="s">
        <v>55</v>
      </c>
      <c r="M20" s="135"/>
      <c r="N20" s="135"/>
      <c r="O20" s="135" t="s">
        <v>911</v>
      </c>
      <c r="P20" s="135" t="s">
        <v>914</v>
      </c>
      <c r="Q20" s="136" t="s">
        <v>1702</v>
      </c>
      <c r="R20" s="135" t="s">
        <v>1708</v>
      </c>
      <c r="S20" s="135"/>
      <c r="T20" s="107"/>
      <c r="U20" s="107" t="s">
        <v>1633</v>
      </c>
      <c r="V20" s="107">
        <v>0</v>
      </c>
      <c r="Y20" s="107"/>
      <c r="Z20" s="106">
        <v>0</v>
      </c>
      <c r="AA20" s="107"/>
      <c r="AB20" s="106">
        <v>4</v>
      </c>
      <c r="AC20" s="107"/>
      <c r="AD20" s="106">
        <v>4</v>
      </c>
      <c r="AE20" s="107"/>
      <c r="AF20" s="106">
        <v>2</v>
      </c>
      <c r="AG20" s="107"/>
      <c r="AT20" s="114">
        <f t="shared" si="12"/>
        <v>10</v>
      </c>
      <c r="AU20" s="130" t="s">
        <v>571</v>
      </c>
      <c r="AV20" s="114" t="str">
        <f t="shared" ca="1" si="13"/>
        <v>ERR</v>
      </c>
      <c r="AW20" s="112" t="str">
        <f t="shared" ca="1" si="14"/>
        <v>Бангладеш</v>
      </c>
      <c r="AX20" s="116">
        <f t="shared" si="15"/>
        <v>0.1</v>
      </c>
      <c r="AY20" s="112">
        <f t="shared" si="16"/>
        <v>0.15000000000000002</v>
      </c>
      <c r="AZ20" s="112">
        <f t="shared" si="17"/>
        <v>1</v>
      </c>
      <c r="BA20" s="112">
        <f t="shared" si="18"/>
        <v>1.5000000000000002</v>
      </c>
      <c r="BB20" s="117">
        <v>2502.35</v>
      </c>
      <c r="BC20" s="142">
        <f t="shared" si="19"/>
        <v>25023.5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20"/>
        <v>-</v>
      </c>
    </row>
    <row r="21" spans="1:58" ht="98.1" customHeight="1">
      <c r="A21" s="112" t="str">
        <f t="shared" si="10"/>
        <v>60222472BLK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96-210-09</v>
      </c>
      <c r="C21" s="120" t="s">
        <v>1693</v>
      </c>
      <c r="E21" s="112" t="str">
        <f>IF(F21&lt;&gt;"",IFERROR(VLOOKUP(F21,Категории!A:B,2,0),""),"Требуется категория")</f>
        <v>Бейсболки</v>
      </c>
      <c r="F21" s="106" t="s">
        <v>327</v>
      </c>
      <c r="G21" s="135" t="s">
        <v>887</v>
      </c>
      <c r="H21" s="106" t="s">
        <v>388</v>
      </c>
      <c r="I21" s="107" t="str">
        <f t="shared" si="21"/>
        <v xml:space="preserve">60222472 </v>
      </c>
      <c r="J21" s="135" t="s">
        <v>1631</v>
      </c>
      <c r="K21" s="119" t="s">
        <v>1629</v>
      </c>
      <c r="L21" s="119" t="s">
        <v>53</v>
      </c>
      <c r="M21" s="135"/>
      <c r="N21" s="135"/>
      <c r="O21" s="135"/>
      <c r="P21" s="135"/>
      <c r="Q21" s="136" t="s">
        <v>1700</v>
      </c>
      <c r="R21" s="135" t="s">
        <v>1709</v>
      </c>
      <c r="S21" s="135" t="s">
        <v>43</v>
      </c>
      <c r="T21" s="107"/>
      <c r="U21" s="107" t="s">
        <v>1633</v>
      </c>
      <c r="V21" s="107">
        <v>6</v>
      </c>
      <c r="Y21" s="107"/>
      <c r="Z21" s="106">
        <v>0</v>
      </c>
      <c r="AA21" s="107"/>
      <c r="AB21" s="106">
        <v>0</v>
      </c>
      <c r="AC21" s="107"/>
      <c r="AD21" s="106">
        <v>0</v>
      </c>
      <c r="AE21" s="107"/>
      <c r="AF21" s="106">
        <v>0</v>
      </c>
      <c r="AG21" s="107"/>
      <c r="AT21" s="114">
        <f t="shared" si="12"/>
        <v>6</v>
      </c>
      <c r="AU21" s="130" t="s">
        <v>423</v>
      </c>
      <c r="AV21" s="114" t="str">
        <f t="shared" ca="1" si="13"/>
        <v>ERR</v>
      </c>
      <c r="AW21" s="112" t="str">
        <f t="shared" ca="1" si="14"/>
        <v>Китай</v>
      </c>
      <c r="AX21" s="116">
        <f t="shared" si="15"/>
        <v>0.1</v>
      </c>
      <c r="AY21" s="112">
        <f t="shared" si="16"/>
        <v>0.15000000000000002</v>
      </c>
      <c r="AZ21" s="112">
        <f t="shared" si="17"/>
        <v>0.60000000000000009</v>
      </c>
      <c r="BA21" s="112">
        <f t="shared" si="18"/>
        <v>0.90000000000000013</v>
      </c>
      <c r="BB21" s="117">
        <v>1512.82</v>
      </c>
      <c r="BC21" s="142">
        <f t="shared" si="19"/>
        <v>9076.92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20"/>
        <v>-</v>
      </c>
    </row>
    <row r="22" spans="1:58" ht="98.1" customHeight="1">
      <c r="A22" s="112" t="str">
        <f t="shared" si="10"/>
        <v>60222512NOV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96-211-11</v>
      </c>
      <c r="C22" s="120" t="s">
        <v>1694</v>
      </c>
      <c r="E22" s="112" t="str">
        <f>IF(F22&lt;&gt;"",IFERROR(VLOOKUP(F22,Категории!A:B,2,0),""),"Требуется категория")</f>
        <v>Бейсболки</v>
      </c>
      <c r="F22" s="106" t="s">
        <v>327</v>
      </c>
      <c r="G22" s="135" t="s">
        <v>887</v>
      </c>
      <c r="H22" s="106" t="s">
        <v>388</v>
      </c>
      <c r="I22" s="107" t="str">
        <f t="shared" si="21"/>
        <v xml:space="preserve">60222512 </v>
      </c>
      <c r="J22" s="135" t="s">
        <v>1631</v>
      </c>
      <c r="K22" s="119" t="s">
        <v>1643</v>
      </c>
      <c r="L22" s="119" t="s">
        <v>60</v>
      </c>
      <c r="M22" s="135"/>
      <c r="N22" s="135"/>
      <c r="O22" s="135"/>
      <c r="P22" s="135"/>
      <c r="Q22" s="136" t="s">
        <v>1700</v>
      </c>
      <c r="R22" s="135" t="s">
        <v>1709</v>
      </c>
      <c r="S22" s="135" t="s">
        <v>43</v>
      </c>
      <c r="T22" s="107"/>
      <c r="U22" s="107" t="s">
        <v>1633</v>
      </c>
      <c r="V22" s="107">
        <v>6</v>
      </c>
      <c r="Y22" s="107"/>
      <c r="Z22" s="106">
        <v>0</v>
      </c>
      <c r="AA22" s="107"/>
      <c r="AB22" s="106">
        <v>0</v>
      </c>
      <c r="AC22" s="107"/>
      <c r="AD22" s="106">
        <v>0</v>
      </c>
      <c r="AE22" s="107"/>
      <c r="AF22" s="106">
        <v>0</v>
      </c>
      <c r="AG22" s="107"/>
      <c r="AT22" s="114">
        <f t="shared" si="12"/>
        <v>6</v>
      </c>
      <c r="AU22" s="130" t="s">
        <v>423</v>
      </c>
      <c r="AV22" s="114" t="str">
        <f t="shared" ca="1" si="13"/>
        <v>ERR</v>
      </c>
      <c r="AW22" s="112" t="str">
        <f t="shared" ca="1" si="14"/>
        <v>Китай</v>
      </c>
      <c r="AX22" s="116">
        <f t="shared" si="15"/>
        <v>0.1</v>
      </c>
      <c r="AY22" s="112">
        <f t="shared" si="16"/>
        <v>0.15000000000000002</v>
      </c>
      <c r="AZ22" s="112">
        <f t="shared" si="17"/>
        <v>0.60000000000000009</v>
      </c>
      <c r="BA22" s="112">
        <f t="shared" si="18"/>
        <v>0.90000000000000013</v>
      </c>
      <c r="BB22" s="117">
        <v>1512.82</v>
      </c>
      <c r="BC22" s="142">
        <f t="shared" si="19"/>
        <v>9076.92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20"/>
        <v>-</v>
      </c>
    </row>
    <row r="23" spans="1:58" ht="98.1" customHeight="1">
      <c r="A23" s="112" t="str">
        <f t="shared" si="10"/>
        <v>60222545NVY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96-212-16</v>
      </c>
      <c r="C23" s="120" t="s">
        <v>1695</v>
      </c>
      <c r="D23" s="106" t="str">
        <f>P23&amp;" "&amp;O23</f>
        <v>New York Yankees MLB</v>
      </c>
      <c r="E23" s="112" t="str">
        <f>IF(F23&lt;&gt;"",IFERROR(VLOOKUP(F23,Категории!A:B,2,0),""),"Требуется категория")</f>
        <v>Бейсболки</v>
      </c>
      <c r="F23" s="106" t="s">
        <v>356</v>
      </c>
      <c r="G23" s="135" t="s">
        <v>887</v>
      </c>
      <c r="H23" s="106" t="s">
        <v>388</v>
      </c>
      <c r="I23" s="107" t="str">
        <f t="shared" si="21"/>
        <v>60222545 New York Yankees MLB</v>
      </c>
      <c r="J23" s="135" t="s">
        <v>1631</v>
      </c>
      <c r="K23" s="119" t="s">
        <v>1647</v>
      </c>
      <c r="L23" s="119" t="s">
        <v>55</v>
      </c>
      <c r="M23" s="135"/>
      <c r="N23" s="135"/>
      <c r="O23" s="135" t="s">
        <v>911</v>
      </c>
      <c r="P23" s="135" t="s">
        <v>914</v>
      </c>
      <c r="Q23" s="136" t="s">
        <v>1702</v>
      </c>
      <c r="R23" s="135" t="s">
        <v>1710</v>
      </c>
      <c r="S23" s="135"/>
      <c r="T23" s="107"/>
      <c r="U23" s="107" t="s">
        <v>1633</v>
      </c>
      <c r="V23" s="107">
        <v>6</v>
      </c>
      <c r="Y23" s="107"/>
      <c r="Z23" s="106">
        <v>0</v>
      </c>
      <c r="AA23" s="107"/>
      <c r="AB23" s="106">
        <v>0</v>
      </c>
      <c r="AC23" s="107"/>
      <c r="AD23" s="106">
        <v>0</v>
      </c>
      <c r="AE23" s="107"/>
      <c r="AF23" s="106">
        <v>0</v>
      </c>
      <c r="AG23" s="107"/>
      <c r="AT23" s="114">
        <f t="shared" si="12"/>
        <v>6</v>
      </c>
      <c r="AU23" s="130" t="s">
        <v>571</v>
      </c>
      <c r="AV23" s="114" t="str">
        <f t="shared" ca="1" si="13"/>
        <v>ERR</v>
      </c>
      <c r="AW23" s="112" t="str">
        <f t="shared" ca="1" si="14"/>
        <v>Бангладеш</v>
      </c>
      <c r="AX23" s="116">
        <f t="shared" si="15"/>
        <v>0.1</v>
      </c>
      <c r="AY23" s="112">
        <f t="shared" si="16"/>
        <v>0.15000000000000002</v>
      </c>
      <c r="AZ23" s="112">
        <f t="shared" si="17"/>
        <v>0.60000000000000009</v>
      </c>
      <c r="BA23" s="112">
        <f t="shared" si="18"/>
        <v>0.90000000000000013</v>
      </c>
      <c r="BB23" s="117">
        <v>2153.1</v>
      </c>
      <c r="BC23" s="142">
        <f t="shared" si="19"/>
        <v>12918.599999999999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20"/>
        <v>-</v>
      </c>
    </row>
    <row r="24" spans="1:58" ht="98.1" customHeight="1">
      <c r="A24" s="112" t="str">
        <f t="shared" si="10"/>
        <v>10145637BLKBLK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96-047-09</v>
      </c>
      <c r="C24" s="113" t="s">
        <v>1671</v>
      </c>
      <c r="D24" s="112" t="str">
        <f>IF(A24&lt;&gt;"",_xlfn.XLOOKUP(C24,'1C'!W:W,'1C'!X:X,"",0),"")</f>
        <v>New York Yankees</v>
      </c>
      <c r="E24" s="112" t="str">
        <f>IF(F24&lt;&gt;"",IFERROR(VLOOKUP(F24,Категории!A:B,2,0),""),"Требуется категория")</f>
        <v>Бейсболки</v>
      </c>
      <c r="F24" s="112" t="str">
        <f>IF(A24&lt;&gt;"",IF(BD24&gt;0,_xlfn.XLOOKUP(A24,'1C'!A:A,'1C'!J:J,"",0),_xlfn.XLOOKUP(C24,'1C'!W:W,'1C'!J:J,"",0)),"")</f>
        <v>Бейсболка</v>
      </c>
      <c r="G24" s="114" t="str">
        <f>IF(C24&lt;&gt;"",IF(BD24&gt;0,_xlfn.XLOOKUP(A24,'1C'!A:A,'1C'!L:L,"",0),_xlfn.XLOOKUP(C24,'1C'!W:W,'1C'!L:L,"",0)),"")</f>
        <v>New Era</v>
      </c>
      <c r="H24" s="112" t="str">
        <f>IF(A24&lt;&gt;"",_xlfn.XLOOKUP(A24,'1C'!A:A,'1C'!M:M,_xlfn.XLOOKUP(C24,'1C'!W:W,'1C'!M:M,"",0),0),"")</f>
        <v>всесезон</v>
      </c>
      <c r="I24" s="107" t="str">
        <f t="shared" si="21"/>
        <v>10145637 New York Yankees</v>
      </c>
      <c r="J24" s="112" t="str">
        <f>_xlfn.LET(_xlpm.itemName,_xlfn.XLOOKUP(A24,'1C'!A:A,'1C'!D:D,"",0),IFERROR(MID(_xlpm.itemName,FIND(" ",_xlpm.itemName)+1,FIND("арт.",_xlpm.itemName)-(FIND(" ",_xlpm.itemName)+2)),""))</f>
        <v>NEW ERA</v>
      </c>
      <c r="K24" s="134" t="s">
        <v>1634</v>
      </c>
      <c r="L24" s="143" t="str">
        <f>IF(K24&lt;&gt;"",IFERROR(VLOOKUP(A24,'1C'!A:X,8,0),IFERROR(VLOOKUP(K24,Colors!D:E,2,0),"")),"")</f>
        <v>черный</v>
      </c>
      <c r="M24" s="114" t="str">
        <f>IF(K24&lt;&gt;"",_xlfn.XLOOKUP(A24,'1C'!A:A,'1C'!R:R,"",0),"")</f>
        <v>черный</v>
      </c>
      <c r="N24" s="135"/>
      <c r="O24" s="114" t="str">
        <f>_xlfn.LET(_xlpm.RES,IF($A24&lt;&gt;"",_xlfn.XLOOKUP($A24,'1C'!$A:$A,'1C'!T:T,"",0),""),IF(_xlpm.RES=0,"",_xlpm.RES))</f>
        <v>MLB</v>
      </c>
      <c r="P24" s="114" t="str">
        <f>_xlfn.LET(_xlpm.RES,IF($A24&lt;&gt;"",_xlfn.XLOOKUP($A24,'1C'!$A:$A,'1C'!U:U,"",0),""),IF(_xlpm.RES=0,"",_xlpm.RES))</f>
        <v>New York Yankees</v>
      </c>
      <c r="Q24" s="143" t="str">
        <f>IF(A24&lt;&gt;"",_xlfn.XLOOKUP(A24,'1C'!A:A,'1C'!I:I,_xlfn.XLOOKUP(C24,'1C'!W:W,'1C'!I:I,"",0),0),"")</f>
        <v>97% хлопок - 3% эластан</v>
      </c>
      <c r="R24" s="135" t="s">
        <v>1704</v>
      </c>
      <c r="S24" s="114" t="str">
        <f>_xlfn.LET(_xlpm.RES,IF(A24&lt;&gt;"",_xlfn.XLOOKUP(A24,'1C'!A:A,'1C'!N:N,_xlfn.XLOOKUP(C24,'1C'!W:W,'1C'!N:N,"",0),0),""),IF(_xlpm.RES=0,"",_xlpm.RES))</f>
        <v>хлопковые</v>
      </c>
      <c r="T24" s="107"/>
      <c r="U24" s="115" t="str">
        <f>IF(A24&lt;&gt;"",_xlfn.XLOOKUP(A24,'1C'!A:A,'1C'!K:K,_xlfn.XLOOKUP(C24,'1C'!W:W,'1C'!K:K,"",0),0),"")</f>
        <v>Унисекс</v>
      </c>
      <c r="V24" s="107">
        <v>0</v>
      </c>
      <c r="Y24" s="107"/>
      <c r="Z24" s="106">
        <v>0</v>
      </c>
      <c r="AA24" s="107"/>
      <c r="AB24" s="106">
        <v>5</v>
      </c>
      <c r="AC24" s="107"/>
      <c r="AD24" s="106">
        <v>0</v>
      </c>
      <c r="AE24" s="107"/>
      <c r="AF24" s="106">
        <v>0</v>
      </c>
      <c r="AG24" s="107"/>
      <c r="AT24" s="114">
        <f t="shared" si="12"/>
        <v>5</v>
      </c>
      <c r="AU24" s="144" t="str">
        <f>IF(A24&lt;&gt;"",_xlfn.XLOOKUP(_xlfn.XLOOKUP(A24,'1C'!A:A,'1C'!O:O,_xlfn.XLOOKUP(C24,'1C'!W:W,'1C'!O:O,"",0),0),Settings!N:N,Settings!O:O,"",0),"")</f>
        <v>BD</v>
      </c>
      <c r="AV24" s="114" t="str">
        <f t="shared" ca="1" si="13"/>
        <v>ERR</v>
      </c>
      <c r="AW24" s="114" t="str">
        <f t="shared" ca="1" si="14"/>
        <v>Бангладеш</v>
      </c>
      <c r="AX24" s="116">
        <f t="shared" si="15"/>
        <v>0.1</v>
      </c>
      <c r="AY24" s="112">
        <f t="shared" si="16"/>
        <v>0.15000000000000002</v>
      </c>
      <c r="AZ24" s="112">
        <f t="shared" si="17"/>
        <v>0.5</v>
      </c>
      <c r="BA24" s="112">
        <f t="shared" si="18"/>
        <v>0.75000000000000011</v>
      </c>
      <c r="BB24" s="117">
        <v>1489.65</v>
      </c>
      <c r="BC24" s="142">
        <f t="shared" si="19"/>
        <v>7448.25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 t="shared" si="20"/>
        <v>0</v>
      </c>
    </row>
    <row r="25" spans="1:58" ht="98.1" customHeight="1">
      <c r="A25" s="112" t="str">
        <f t="shared" si="10"/>
        <v>11405614OTC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96-165-09</v>
      </c>
      <c r="C25" s="120" t="s">
        <v>1681</v>
      </c>
      <c r="D25" s="112" t="str">
        <f>IF(A25&lt;&gt;"",_xlfn.XLOOKUP(C25,'1C'!W:W,'1C'!X:X,"",0),"")</f>
        <v>Chicago Bulls NBA</v>
      </c>
      <c r="E25" s="112" t="str">
        <f>IF(F25&lt;&gt;"",IFERROR(VLOOKUP(F25,Категории!A:B,2,0),""),"Требуется категория")</f>
        <v>Бейсболки</v>
      </c>
      <c r="F25" s="112" t="str">
        <f>IF(A25&lt;&gt;"",IF(BD25&gt;0,_xlfn.XLOOKUP(A25,'1C'!A:A,'1C'!J:J,"",0),_xlfn.XLOOKUP(C25,'1C'!W:W,'1C'!J:J,"",0)),"")</f>
        <v>Бейсболка</v>
      </c>
      <c r="G25" s="114" t="str">
        <f>IF(C25&lt;&gt;"",IF(BD25&gt;0,_xlfn.XLOOKUP(A25,'1C'!A:A,'1C'!L:L,"",0),_xlfn.XLOOKUP(C25,'1C'!W:W,'1C'!L:L,"",0)),"")</f>
        <v>New Era</v>
      </c>
      <c r="H25" s="112" t="str">
        <f>IF(A25&lt;&gt;"",_xlfn.XLOOKUP(A25,'1C'!A:A,'1C'!M:M,_xlfn.XLOOKUP(C25,'1C'!W:W,'1C'!M:M,"",0),0),"")</f>
        <v>всесезон</v>
      </c>
      <c r="I25" s="107" t="str">
        <f t="shared" si="21"/>
        <v>11405614 Chicago Bulls NBA</v>
      </c>
      <c r="J25" s="114" t="str">
        <f>_xlfn.LET(_xlpm.itemName,_xlfn.XLOOKUP(A25,'1C'!A:A,'1C'!D:D,"",0),IFERROR(MID(_xlpm.itemName,FIND(" ",_xlpm.itemName)+1,FIND("арт.",_xlpm.itemName)-(FIND(" ",_xlpm.itemName)+2)),""))</f>
        <v>NEW ERA</v>
      </c>
      <c r="K25" s="119" t="s">
        <v>1630</v>
      </c>
      <c r="L25" s="157" t="str">
        <f>IF(K25&lt;&gt;"",IFERROR(VLOOKUP(A25,'1C'!A:X,8,0),IFERROR(VLOOKUP(K25,Colors!D:E,2,0),"")),"")</f>
        <v>черный</v>
      </c>
      <c r="M25" s="114" t="str">
        <f>IF(K25&lt;&gt;"",_xlfn.XLOOKUP(A25,'1C'!A:A,'1C'!R:R,"",0),"")</f>
        <v>черный</v>
      </c>
      <c r="N25" s="135"/>
      <c r="O25" s="114" t="str">
        <f>_xlfn.LET(_xlpm.RES,IF($A25&lt;&gt;"",_xlfn.XLOOKUP($A25,'1C'!$A:$A,'1C'!T:T,"",0),""),IF(_xlpm.RES=0,"",_xlpm.RES))</f>
        <v>NBA</v>
      </c>
      <c r="P25" s="114" t="str">
        <f>_xlfn.LET(_xlpm.RES,IF($A25&lt;&gt;"",_xlfn.XLOOKUP($A25,'1C'!$A:$A,'1C'!U:U,"",0),""),IF(_xlpm.RES=0,"",_xlpm.RES))</f>
        <v>Chicago Bulls</v>
      </c>
      <c r="Q25" s="143" t="str">
        <f>IF(A25&lt;&gt;"",_xlfn.XLOOKUP(A25,'1C'!A:A,'1C'!I:I,_xlfn.XLOOKUP(C25,'1C'!W:W,'1C'!I:I,"",0),0),"")</f>
        <v>100% полиэстер</v>
      </c>
      <c r="R25" s="135" t="s">
        <v>1704</v>
      </c>
      <c r="S25" s="135"/>
      <c r="T25" s="107"/>
      <c r="U25" s="115" t="str">
        <f>IF(A25&lt;&gt;"",_xlfn.XLOOKUP(A25,'1C'!A:A,'1C'!K:K,_xlfn.XLOOKUP(C25,'1C'!W:W,'1C'!K:K,"",0),0),"")</f>
        <v>Унисекс</v>
      </c>
      <c r="V25" s="107">
        <v>1</v>
      </c>
      <c r="Y25" s="107"/>
      <c r="Z25" s="106">
        <v>0</v>
      </c>
      <c r="AA25" s="107"/>
      <c r="AB25" s="106">
        <v>0</v>
      </c>
      <c r="AC25" s="107"/>
      <c r="AD25" s="106">
        <v>0</v>
      </c>
      <c r="AE25" s="107"/>
      <c r="AF25" s="106">
        <v>0</v>
      </c>
      <c r="AG25" s="107"/>
      <c r="AT25" s="114">
        <f t="shared" si="12"/>
        <v>1</v>
      </c>
      <c r="AU25" s="144" t="str">
        <f>IF(A25&lt;&gt;"",_xlfn.XLOOKUP(_xlfn.XLOOKUP(A25,'1C'!A:A,'1C'!O:O,_xlfn.XLOOKUP(C25,'1C'!W:W,'1C'!O:O,"",0),0),Settings!N:N,Settings!O:O,"",0),"")</f>
        <v>BD</v>
      </c>
      <c r="AV25" s="114" t="str">
        <f t="shared" ca="1" si="13"/>
        <v>ERR</v>
      </c>
      <c r="AW25" s="112" t="str">
        <f t="shared" ca="1" si="14"/>
        <v>Бангладеш</v>
      </c>
      <c r="AX25" s="116">
        <f t="shared" si="15"/>
        <v>0.1</v>
      </c>
      <c r="AY25" s="112">
        <f t="shared" si="16"/>
        <v>0.15000000000000002</v>
      </c>
      <c r="AZ25" s="112">
        <f t="shared" si="17"/>
        <v>0.1</v>
      </c>
      <c r="BA25" s="112">
        <f t="shared" si="18"/>
        <v>0.15000000000000002</v>
      </c>
      <c r="BB25" s="117">
        <v>1349.95</v>
      </c>
      <c r="BC25" s="142">
        <f t="shared" si="19"/>
        <v>1349.95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 t="shared" si="20"/>
        <v>0</v>
      </c>
    </row>
    <row r="26" spans="1:58" ht="98.1" customHeight="1">
      <c r="A26" s="112" t="str">
        <f t="shared" si="10"/>
        <v>12523911BLKBLK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96-015-10</v>
      </c>
      <c r="C26" s="120" t="s">
        <v>1690</v>
      </c>
      <c r="D26" s="112" t="str">
        <f>IF(A26&lt;&gt;"",_xlfn.XLOOKUP(C26,'1C'!W:W,'1C'!X:X,"",0),"")</f>
        <v>Los Angeles Lakers NBA</v>
      </c>
      <c r="E26" s="112" t="str">
        <f>IF(F26&lt;&gt;"",IFERROR(VLOOKUP(F26,Категории!A:B,2,0),""),"Требуется категория")</f>
        <v>Бейсболки</v>
      </c>
      <c r="F26" s="112" t="str">
        <f>IF(A26&lt;&gt;"",IF(BD26&gt;0,_xlfn.XLOOKUP(A26,'1C'!A:A,'1C'!J:J,"",0),_xlfn.XLOOKUP(C26,'1C'!W:W,'1C'!J:J,"",0)),"")</f>
        <v>Бейсболка с сеточкой</v>
      </c>
      <c r="G26" s="114" t="str">
        <f>IF(C26&lt;&gt;"",IF(BD26&gt;0,_xlfn.XLOOKUP(A26,'1C'!A:A,'1C'!L:L,"",0),_xlfn.XLOOKUP(C26,'1C'!W:W,'1C'!L:L,"",0)),"")</f>
        <v>New Era</v>
      </c>
      <c r="H26" s="112" t="str">
        <f>IF(A26&lt;&gt;"",_xlfn.XLOOKUP(A26,'1C'!A:A,'1C'!M:M,_xlfn.XLOOKUP(C26,'1C'!W:W,'1C'!M:M,"",0),0),"")</f>
        <v>всесезон</v>
      </c>
      <c r="I26" s="107" t="str">
        <f t="shared" si="21"/>
        <v>12523911 Los Angeles Lakers NBA</v>
      </c>
      <c r="J26" s="114" t="str">
        <f>_xlfn.LET(_xlpm.itemName,_xlfn.XLOOKUP(A26,'1C'!A:A,'1C'!D:D,"",0),IFERROR(MID(_xlpm.itemName,FIND(" ",_xlpm.itemName)+1,FIND("арт.",_xlpm.itemName)-(FIND(" ",_xlpm.itemName)+2)),""))</f>
        <v>NEW ERA</v>
      </c>
      <c r="K26" s="119" t="s">
        <v>1634</v>
      </c>
      <c r="L26" s="157" t="str">
        <f>IF(K26&lt;&gt;"",IFERROR(VLOOKUP(A26,'1C'!A:X,8,0),IFERROR(VLOOKUP(K26,Colors!D:E,2,0),"")),"")</f>
        <v>черный</v>
      </c>
      <c r="M26" s="114" t="str">
        <f>IF(K26&lt;&gt;"",_xlfn.XLOOKUP(A26,'1C'!A:A,'1C'!R:R,"",0),"")</f>
        <v>черный</v>
      </c>
      <c r="N26" s="114" t="str">
        <f>_xlfn.LET(_xlpm.RES,IF($A26&lt;&gt;"",_xlfn.XLOOKUP($A26,'1C'!$A:$A,'1C'!S:S,"",0),""),IF(_xlpm.RES=0,"",_xlpm.RES))</f>
        <v>жесткая форма</v>
      </c>
      <c r="O26" s="114" t="str">
        <f>_xlfn.LET(_xlpm.RES,IF($A26&lt;&gt;"",_xlfn.XLOOKUP($A26,'1C'!$A:$A,'1C'!T:T,"",0),""),IF(_xlpm.RES=0,"",_xlpm.RES))</f>
        <v>NBA</v>
      </c>
      <c r="P26" s="114" t="str">
        <f>_xlfn.LET(_xlpm.RES,IF($A26&lt;&gt;"",_xlfn.XLOOKUP($A26,'1C'!$A:$A,'1C'!U:U,"",0),""),IF(_xlpm.RES=0,"",_xlpm.RES))</f>
        <v>Los Angeles Lakers</v>
      </c>
      <c r="Q26" s="143" t="str">
        <f>IF(A26&lt;&gt;"",_xlfn.XLOOKUP(A26,'1C'!A:A,'1C'!I:I,_xlfn.XLOOKUP(C26,'1C'!W:W,'1C'!I:I,"",0),0),"")</f>
        <v>100% хлопок</v>
      </c>
      <c r="R26" s="135" t="s">
        <v>1707</v>
      </c>
      <c r="S26" s="114" t="str">
        <f>_xlfn.LET(_xlpm.RES,IF(A26&lt;&gt;"",_xlfn.XLOOKUP(A26,'1C'!A:A,'1C'!N:N,_xlfn.XLOOKUP(C26,'1C'!W:W,'1C'!N:N,"",0),0),""),IF(_xlpm.RES=0,"",_xlpm.RES))</f>
        <v>хлопковые</v>
      </c>
      <c r="T26" s="115" t="str">
        <f>IF(S26&lt;&gt;"",IFERROR(VLOOKUP(S26,MaterialsTypes!F:G,2,0),IFERROR(VLOOKUP(Q26,MaterialsTypes100,2,0),"")),IFERROR(VLOOKUP(Q26,MaterialsTypes100,2,0),""))</f>
        <v>Текстиль, ткань</v>
      </c>
      <c r="U26" s="115" t="str">
        <f>IF(A26&lt;&gt;"",_xlfn.XLOOKUP(A26,'1C'!A:A,'1C'!K:K,_xlfn.XLOOKUP(C26,'1C'!W:W,'1C'!K:K,"",0),0),"")</f>
        <v>Унисекс</v>
      </c>
      <c r="V26" s="107">
        <v>7</v>
      </c>
      <c r="Y26" s="107"/>
      <c r="Z26" s="106">
        <v>0</v>
      </c>
      <c r="AA26" s="107"/>
      <c r="AB26" s="106">
        <v>0</v>
      </c>
      <c r="AC26" s="107"/>
      <c r="AD26" s="106">
        <v>0</v>
      </c>
      <c r="AE26" s="107"/>
      <c r="AF26" s="106">
        <v>0</v>
      </c>
      <c r="AG26" s="107"/>
      <c r="AT26" s="114">
        <f t="shared" si="12"/>
        <v>7</v>
      </c>
      <c r="AU26" s="144" t="str">
        <f>IF(A26&lt;&gt;"",_xlfn.XLOOKUP(_xlfn.XLOOKUP(A26,'1C'!A:A,'1C'!O:O,_xlfn.XLOOKUP(C26,'1C'!W:W,'1C'!O:O,"",0),0),Settings!N:N,Settings!O:O,"",0),"")</f>
        <v>CN</v>
      </c>
      <c r="AV26" s="114" t="str">
        <f t="shared" ca="1" si="13"/>
        <v>ERR</v>
      </c>
      <c r="AW26" s="112" t="str">
        <f t="shared" ca="1" si="14"/>
        <v>Китай</v>
      </c>
      <c r="AX26" s="116">
        <f t="shared" si="15"/>
        <v>0.1</v>
      </c>
      <c r="AY26" s="112">
        <f t="shared" si="16"/>
        <v>0.15000000000000002</v>
      </c>
      <c r="AZ26" s="112">
        <f t="shared" si="17"/>
        <v>0.70000000000000007</v>
      </c>
      <c r="BA26" s="112">
        <f t="shared" si="18"/>
        <v>1.0500000000000003</v>
      </c>
      <c r="BB26" s="117">
        <v>1489.65</v>
      </c>
      <c r="BC26" s="142">
        <f t="shared" si="19"/>
        <v>10427.550000000001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 t="shared" si="20"/>
        <v>0</v>
      </c>
    </row>
    <row r="27" spans="1:58" ht="98.1" customHeight="1">
      <c r="A27" s="112" t="str">
        <f t="shared" si="10"/>
        <v>60143388BLK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96-116-09</v>
      </c>
      <c r="C27" s="120" t="s">
        <v>1691</v>
      </c>
      <c r="D27" s="112" t="str">
        <f>IF(A27&lt;&gt;"",_xlfn.XLOOKUP(C27,'1C'!W:W,'1C'!X:X,"",0),"")</f>
        <v>Manchester United</v>
      </c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 с сеточкой</v>
      </c>
      <c r="G27" s="114" t="str">
        <f>IF(C27&lt;&gt;"",IF(BD27&gt;0,_xlfn.XLOOKUP(A27,'1C'!A:A,'1C'!L:L,"",0),_xlfn.XLOOKUP(C27,'1C'!W:W,'1C'!L:L,"",0)),"")</f>
        <v>New Era</v>
      </c>
      <c r="H27" s="112" t="str">
        <f>IF(A27&lt;&gt;"",_xlfn.XLOOKUP(A27,'1C'!A:A,'1C'!M:M,_xlfn.XLOOKUP(C27,'1C'!W:W,'1C'!M:M,"",0),0),"")</f>
        <v>всесезон</v>
      </c>
      <c r="I27" s="107" t="str">
        <f t="shared" si="21"/>
        <v>60143388 Manchester United</v>
      </c>
      <c r="J27" s="114" t="str">
        <f>_xlfn.LET(_xlpm.itemName,_xlfn.XLOOKUP(A27,'1C'!A:A,'1C'!D:D,"",0),IFERROR(MID(_xlpm.itemName,FIND(" ",_xlpm.itemName)+1,FIND("арт.",_xlpm.itemName)-(FIND(" ",_xlpm.itemName)+2)),""))</f>
        <v>NEW ERA</v>
      </c>
      <c r="K27" s="119" t="s">
        <v>1629</v>
      </c>
      <c r="L27" s="157" t="str">
        <f>IF(K27&lt;&gt;"",IFERROR(VLOOKUP(A27,'1C'!A:X,8,0),IFERROR(VLOOKUP(K27,Colors!D:E,2,0),"")),"")</f>
        <v>черный</v>
      </c>
      <c r="M27" s="114" t="str">
        <f>IF(K27&lt;&gt;"",_xlfn.XLOOKUP(A27,'1C'!A:A,'1C'!R:R,"",0),"")</f>
        <v>черный</v>
      </c>
      <c r="N27" s="135"/>
      <c r="O27" s="114" t="str">
        <f>_xlfn.LET(_xlpm.RES,IF($A27&lt;&gt;"",_xlfn.XLOOKUP($A27,'1C'!$A:$A,'1C'!T:T,"",0),""),IF(_xlpm.RES=0,"",_xlpm.RES))</f>
        <v>EPL</v>
      </c>
      <c r="P27" s="114" t="str">
        <f>_xlfn.LET(_xlpm.RES,IF($A27&lt;&gt;"",_xlfn.XLOOKUP($A27,'1C'!$A:$A,'1C'!U:U,"",0),""),IF(_xlpm.RES=0,"",_xlpm.RES))</f>
        <v>Manchester United</v>
      </c>
      <c r="Q27" s="143" t="str">
        <f>IF(A27&lt;&gt;"",_xlfn.XLOOKUP(A27,'1C'!A:A,'1C'!I:I,_xlfn.XLOOKUP(C27,'1C'!W:W,'1C'!I:I,"",0),0),"")</f>
        <v>100% хлопок</v>
      </c>
      <c r="R27" s="135" t="s">
        <v>1711</v>
      </c>
      <c r="S27" s="114" t="str">
        <f>_xlfn.LET(_xlpm.RES,IF(A27&lt;&gt;"",_xlfn.XLOOKUP(A27,'1C'!A:A,'1C'!N:N,_xlfn.XLOOKUP(C27,'1C'!W:W,'1C'!N:N,"",0),0),""),IF(_xlpm.RES=0,"",_xlpm.RES))</f>
        <v>хлопковые</v>
      </c>
      <c r="T27" s="115" t="str">
        <f>IF(S27&lt;&gt;"",IFERROR(VLOOKUP(S27,MaterialsTypes!F:G,2,0),IFERROR(VLOOKUP(Q27,MaterialsTypes100,2,0),"")),IFERROR(VLOOKUP(Q27,MaterialsTypes100,2,0),""))</f>
        <v>Текстиль, ткань</v>
      </c>
      <c r="U27" s="115" t="str">
        <f>IF(A27&lt;&gt;"",_xlfn.XLOOKUP(A27,'1C'!A:A,'1C'!K:K,_xlfn.XLOOKUP(C27,'1C'!W:W,'1C'!K:K,"",0),0),"")</f>
        <v>Унисекс</v>
      </c>
      <c r="V27" s="107">
        <v>2</v>
      </c>
      <c r="Y27" s="107"/>
      <c r="Z27" s="106">
        <v>0</v>
      </c>
      <c r="AA27" s="107"/>
      <c r="AB27" s="106">
        <v>0</v>
      </c>
      <c r="AC27" s="107"/>
      <c r="AD27" s="106">
        <v>0</v>
      </c>
      <c r="AE27" s="107"/>
      <c r="AF27" s="106">
        <v>0</v>
      </c>
      <c r="AG27" s="107"/>
      <c r="AT27" s="114">
        <f t="shared" si="12"/>
        <v>2</v>
      </c>
      <c r="AU27" s="144" t="str">
        <f>IF(A27&lt;&gt;"",_xlfn.XLOOKUP(_xlfn.XLOOKUP(A27,'1C'!A:A,'1C'!O:O,_xlfn.XLOOKUP(C27,'1C'!W:W,'1C'!O:O,"",0),0),Settings!N:N,Settings!O:O,"",0),"")</f>
        <v>CN</v>
      </c>
      <c r="AV27" s="114" t="str">
        <f t="shared" ca="1" si="13"/>
        <v>ERR</v>
      </c>
      <c r="AW27" s="112" t="str">
        <f t="shared" ca="1" si="14"/>
        <v>Китай</v>
      </c>
      <c r="AX27" s="116">
        <f t="shared" si="15"/>
        <v>0.1</v>
      </c>
      <c r="AY27" s="112">
        <f t="shared" si="16"/>
        <v>0.15000000000000002</v>
      </c>
      <c r="AZ27" s="112">
        <f t="shared" si="17"/>
        <v>0.2</v>
      </c>
      <c r="BA27" s="112">
        <f t="shared" si="18"/>
        <v>0.30000000000000004</v>
      </c>
      <c r="BB27" s="117">
        <v>1210.25</v>
      </c>
      <c r="BC27" s="142">
        <f t="shared" si="19"/>
        <v>2420.5</v>
      </c>
      <c r="BD27" s="105">
        <f>IF(A27&lt;&gt;"",IF(_xlfn.XLOOKUP(A27,'1C'!A:A,'1C'!A:A,0,0)&gt;0,1,0),"")</f>
        <v>1</v>
      </c>
      <c r="BE27" s="105">
        <f>IF(C27&lt;&gt;"",IF(_xlfn.XLOOKUP(TEXT(C27,"###"),'1C'!W:W,'1C'!D:D,0,0)&gt;0,0,1),"")</f>
        <v>0</v>
      </c>
      <c r="BF27" s="109">
        <f t="shared" si="20"/>
        <v>0</v>
      </c>
    </row>
    <row r="28" spans="1:58" ht="98.1" customHeight="1">
      <c r="A28" s="112" t="str">
        <f t="shared" si="10"/>
        <v>80468932BLK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96-184-09</v>
      </c>
      <c r="C28" s="120" t="s">
        <v>1696</v>
      </c>
      <c r="D28" s="112" t="str">
        <f>IF(A28&lt;&gt;"",_xlfn.XLOOKUP(C28,'1C'!W:W,'1C'!X:X,"",0),"")</f>
        <v>New York Yankees MLB</v>
      </c>
      <c r="E28" s="112" t="str">
        <f>IF(F28&lt;&gt;"",IFERROR(VLOOKUP(F28,Категории!A:B,2,0),""),"Требуется категория")</f>
        <v>Бейсболки</v>
      </c>
      <c r="F28" s="112" t="str">
        <f>IF(A28&lt;&gt;"",IF(BD28&gt;0,_xlfn.XLOOKUP(A28,'1C'!A:A,'1C'!J:J,"",0),_xlfn.XLOOKUP(C28,'1C'!W:W,'1C'!J:J,"",0)),"")</f>
        <v>Бейсболка</v>
      </c>
      <c r="G28" s="114" t="str">
        <f>IF(C28&lt;&gt;"",IF(BD28&gt;0,_xlfn.XLOOKUP(A28,'1C'!A:A,'1C'!L:L,"",0),_xlfn.XLOOKUP(C28,'1C'!W:W,'1C'!L:L,"",0)),"")</f>
        <v>New Era</v>
      </c>
      <c r="H28" s="112" t="str">
        <f>IF(A28&lt;&gt;"",_xlfn.XLOOKUP(A28,'1C'!A:A,'1C'!M:M,_xlfn.XLOOKUP(C28,'1C'!W:W,'1C'!M:M,"",0),0),"")</f>
        <v>всесезон</v>
      </c>
      <c r="I28" s="107" t="str">
        <f t="shared" si="21"/>
        <v>80468932 New York Yankees MLB</v>
      </c>
      <c r="J28" s="114" t="str">
        <f>_xlfn.LET(_xlpm.itemName,_xlfn.XLOOKUP(A28,'1C'!A:A,'1C'!D:D,"",0),IFERROR(MID(_xlpm.itemName,FIND(" ",_xlpm.itemName)+1,FIND("арт.",_xlpm.itemName)-(FIND(" ",_xlpm.itemName)+2)),""))</f>
        <v>NEW ERA</v>
      </c>
      <c r="K28" s="119" t="s">
        <v>1629</v>
      </c>
      <c r="L28" s="157" t="str">
        <f>IF(K28&lt;&gt;"",IFERROR(VLOOKUP(A28,'1C'!A:X,8,0),IFERROR(VLOOKUP(K28,Colors!D:E,2,0),"")),"")</f>
        <v>черный</v>
      </c>
      <c r="M28" s="114" t="str">
        <f>IF(K28&lt;&gt;"",_xlfn.XLOOKUP(A28,'1C'!A:A,'1C'!R:R,"",0),"")</f>
        <v>черный</v>
      </c>
      <c r="N28" s="135"/>
      <c r="O28" s="114" t="str">
        <f>_xlfn.LET(_xlpm.RES,IF($A28&lt;&gt;"",_xlfn.XLOOKUP($A28,'1C'!$A:$A,'1C'!T:T,"",0),""),IF(_xlpm.RES=0,"",_xlpm.RES))</f>
        <v>MLB</v>
      </c>
      <c r="P28" s="114" t="str">
        <f>_xlfn.LET(_xlpm.RES,IF($A28&lt;&gt;"",_xlfn.XLOOKUP($A28,'1C'!$A:$A,'1C'!U:U,"",0),""),IF(_xlpm.RES=0,"",_xlpm.RES))</f>
        <v>New York Yankees</v>
      </c>
      <c r="Q28" s="143" t="str">
        <f>IF(A28&lt;&gt;"",_xlfn.XLOOKUP(A28,'1C'!A:A,'1C'!I:I,_xlfn.XLOOKUP(C28,'1C'!W:W,'1C'!I:I,"",0),0),"")</f>
        <v>100% хлопок</v>
      </c>
      <c r="R28" s="135" t="s">
        <v>1704</v>
      </c>
      <c r="S28" s="114" t="str">
        <f>_xlfn.LET(_xlpm.RES,IF(A28&lt;&gt;"",_xlfn.XLOOKUP(A28,'1C'!A:A,'1C'!N:N,_xlfn.XLOOKUP(C28,'1C'!W:W,'1C'!N:N,"",0),0),""),IF(_xlpm.RES=0,"",_xlpm.RES))</f>
        <v>хлопковые</v>
      </c>
      <c r="T28" s="115" t="str">
        <f>IF(S28&lt;&gt;"",IFERROR(VLOOKUP(S28,MaterialsTypes!F:G,2,0),IFERROR(VLOOKUP(Q28,MaterialsTypes100,2,0),"")),IFERROR(VLOOKUP(Q28,MaterialsTypes100,2,0),""))</f>
        <v>Текстиль, ткань</v>
      </c>
      <c r="U28" s="115" t="str">
        <f>IF(A28&lt;&gt;"",_xlfn.XLOOKUP(A28,'1C'!A:A,'1C'!K:K,_xlfn.XLOOKUP(C28,'1C'!W:W,'1C'!K:K,"",0),0),"")</f>
        <v>Унисекс</v>
      </c>
      <c r="V28" s="107">
        <v>2</v>
      </c>
      <c r="Y28" s="107"/>
      <c r="Z28" s="106">
        <v>0</v>
      </c>
      <c r="AA28" s="107"/>
      <c r="AB28" s="106">
        <v>0</v>
      </c>
      <c r="AC28" s="107"/>
      <c r="AD28" s="106">
        <v>0</v>
      </c>
      <c r="AE28" s="107"/>
      <c r="AF28" s="106">
        <v>0</v>
      </c>
      <c r="AG28" s="107"/>
      <c r="AT28" s="114">
        <f t="shared" si="12"/>
        <v>2</v>
      </c>
      <c r="AU28" s="144" t="str">
        <f>IF(A28&lt;&gt;"",_xlfn.XLOOKUP(_xlfn.XLOOKUP(A28,'1C'!A:A,'1C'!O:O,_xlfn.XLOOKUP(C28,'1C'!W:W,'1C'!O:O,"",0),0),Settings!N:N,Settings!O:O,"",0),"")</f>
        <v>BD</v>
      </c>
      <c r="AV28" s="114" t="str">
        <f t="shared" ca="1" si="13"/>
        <v>ERR</v>
      </c>
      <c r="AW28" s="112" t="str">
        <f t="shared" ca="1" si="14"/>
        <v>Бангладеш</v>
      </c>
      <c r="AX28" s="116">
        <f t="shared" si="15"/>
        <v>0.1</v>
      </c>
      <c r="AY28" s="112">
        <f t="shared" si="16"/>
        <v>0.15000000000000002</v>
      </c>
      <c r="AZ28" s="112">
        <f t="shared" si="17"/>
        <v>0.2</v>
      </c>
      <c r="BA28" s="112">
        <f t="shared" si="18"/>
        <v>0.30000000000000004</v>
      </c>
      <c r="BB28" s="117">
        <v>1210.25</v>
      </c>
      <c r="BC28" s="142">
        <f t="shared" si="19"/>
        <v>2420.5</v>
      </c>
      <c r="BD28" s="105">
        <f>IF(A28&lt;&gt;"",IF(_xlfn.XLOOKUP(A28,'1C'!A:A,'1C'!A:A,0,0)&gt;0,1,0),"")</f>
        <v>1</v>
      </c>
      <c r="BE28" s="105">
        <f>IF(C28&lt;&gt;"",IF(_xlfn.XLOOKUP(TEXT(C28,"###"),'1C'!W:W,'1C'!D:D,0,0)&gt;0,0,1),"")</f>
        <v>0</v>
      </c>
      <c r="BF28" s="109">
        <f t="shared" si="20"/>
        <v>0</v>
      </c>
    </row>
    <row r="29" spans="1:58" ht="98.1" customHeight="1">
      <c r="A29" s="112" t="str">
        <f t="shared" si="10"/>
        <v>80489299PLM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96-017-94</v>
      </c>
      <c r="C29" s="120" t="s">
        <v>1697</v>
      </c>
      <c r="D29" s="112" t="str">
        <f>IF(A29&lt;&gt;"",_xlfn.XLOOKUP(C29,'1C'!W:W,'1C'!X:X,"",0),"")</f>
        <v>New York Yankees MLB</v>
      </c>
      <c r="E29" s="112" t="str">
        <f>IF(F29&lt;&gt;"",IFERROR(VLOOKUP(F29,Категории!A:B,2,0),""),"Требуется категория")</f>
        <v>Бейсболки</v>
      </c>
      <c r="F29" s="112" t="str">
        <f>IF(A29&lt;&gt;"",IF(BD29&gt;0,_xlfn.XLOOKUP(A29,'1C'!A:A,'1C'!J:J,"",0),_xlfn.XLOOKUP(C29,'1C'!W:W,'1C'!J:J,"",0)),"")</f>
        <v>Бейсболка</v>
      </c>
      <c r="G29" s="114" t="str">
        <f>IF(C29&lt;&gt;"",IF(BD29&gt;0,_xlfn.XLOOKUP(A29,'1C'!A:A,'1C'!L:L,"",0),_xlfn.XLOOKUP(C29,'1C'!W:W,'1C'!L:L,"",0)),"")</f>
        <v>New Era</v>
      </c>
      <c r="H29" s="112" t="str">
        <f>IF(A29&lt;&gt;"",_xlfn.XLOOKUP(A29,'1C'!A:A,'1C'!M:M,_xlfn.XLOOKUP(C29,'1C'!W:W,'1C'!M:M,"",0),0),"")</f>
        <v>всесезон</v>
      </c>
      <c r="I29" s="107" t="str">
        <f t="shared" si="21"/>
        <v>80489299 New York Yankees MLB</v>
      </c>
      <c r="J29" s="114" t="str">
        <f>_xlfn.LET(_xlpm.itemName,_xlfn.XLOOKUP(A29,'1C'!A:A,'1C'!D:D,"",0),IFERROR(MID(_xlpm.itemName,FIND(" ",_xlpm.itemName)+1,FIND("арт.",_xlpm.itemName)-(FIND(" ",_xlpm.itemName)+2)),""))</f>
        <v>NEW ERA</v>
      </c>
      <c r="K29" s="119" t="s">
        <v>1648</v>
      </c>
      <c r="L29" s="157" t="str">
        <f>IF(K29&lt;&gt;"",IFERROR(VLOOKUP(A29,'1C'!A:X,8,0),IFERROR(VLOOKUP(K29,Colors!D:E,2,0),"")),"")</f>
        <v>розовый</v>
      </c>
      <c r="M29" s="114" t="str">
        <f>IF(K29&lt;&gt;"",_xlfn.XLOOKUP(A29,'1C'!A:A,'1C'!R:R,"",0),"")</f>
        <v>розовый</v>
      </c>
      <c r="N29" s="114" t="str">
        <f>_xlfn.LET(_xlpm.RES,IF($A29&lt;&gt;"",_xlfn.XLOOKUP($A29,'1C'!$A:$A,'1C'!S:S,"",0),""),IF(_xlpm.RES=0,"",_xlpm.RES))</f>
        <v>жесткая форма</v>
      </c>
      <c r="O29" s="114" t="str">
        <f>_xlfn.LET(_xlpm.RES,IF($A29&lt;&gt;"",_xlfn.XLOOKUP($A29,'1C'!$A:$A,'1C'!T:T,"",0),""),IF(_xlpm.RES=0,"",_xlpm.RES))</f>
        <v>MLB</v>
      </c>
      <c r="P29" s="114" t="str">
        <f>_xlfn.LET(_xlpm.RES,IF($A29&lt;&gt;"",_xlfn.XLOOKUP($A29,'1C'!$A:$A,'1C'!U:U,"",0),""),IF(_xlpm.RES=0,"",_xlpm.RES))</f>
        <v>New York Yankees</v>
      </c>
      <c r="Q29" s="143" t="str">
        <f>IF(A29&lt;&gt;"",_xlfn.XLOOKUP(A29,'1C'!A:A,'1C'!I:I,_xlfn.XLOOKUP(C29,'1C'!W:W,'1C'!I:I,"",0),0),"")</f>
        <v>100% хлопок</v>
      </c>
      <c r="R29" s="135" t="s">
        <v>1707</v>
      </c>
      <c r="S29" s="114" t="str">
        <f>_xlfn.LET(_xlpm.RES,IF(A29&lt;&gt;"",_xlfn.XLOOKUP(A29,'1C'!A:A,'1C'!N:N,_xlfn.XLOOKUP(C29,'1C'!W:W,'1C'!N:N,"",0),0),""),IF(_xlpm.RES=0,"",_xlpm.RES))</f>
        <v>хлопковые</v>
      </c>
      <c r="T29" s="115" t="str">
        <f>IF(S29&lt;&gt;"",IFERROR(VLOOKUP(S29,MaterialsTypes!F:G,2,0),IFERROR(VLOOKUP(Q29,MaterialsTypes100,2,0),"")),IFERROR(VLOOKUP(Q29,MaterialsTypes100,2,0),""))</f>
        <v>Текстиль, ткань</v>
      </c>
      <c r="U29" s="115" t="str">
        <f>IF(A29&lt;&gt;"",_xlfn.XLOOKUP(A29,'1C'!A:A,'1C'!K:K,_xlfn.XLOOKUP(C29,'1C'!W:W,'1C'!K:K,"",0),0),"")</f>
        <v>Унисекс</v>
      </c>
      <c r="V29" s="107">
        <v>12</v>
      </c>
      <c r="Y29" s="107"/>
      <c r="Z29" s="106">
        <v>0</v>
      </c>
      <c r="AA29" s="107"/>
      <c r="AB29" s="106">
        <v>0</v>
      </c>
      <c r="AC29" s="107"/>
      <c r="AD29" s="106">
        <v>0</v>
      </c>
      <c r="AE29" s="107"/>
      <c r="AF29" s="106">
        <v>0</v>
      </c>
      <c r="AG29" s="107"/>
      <c r="AT29" s="114">
        <f t="shared" si="12"/>
        <v>12</v>
      </c>
      <c r="AU29" s="144" t="str">
        <f>IF(A29&lt;&gt;"",_xlfn.XLOOKUP(_xlfn.XLOOKUP(A29,'1C'!A:A,'1C'!O:O,_xlfn.XLOOKUP(C29,'1C'!W:W,'1C'!O:O,"",0),0),Settings!N:N,Settings!O:O,"",0),"")</f>
        <v>CN</v>
      </c>
      <c r="AV29" s="114" t="str">
        <f t="shared" ca="1" si="13"/>
        <v>ERR</v>
      </c>
      <c r="AW29" s="112" t="str">
        <f t="shared" ca="1" si="14"/>
        <v>Китай</v>
      </c>
      <c r="AX29" s="116">
        <f t="shared" si="15"/>
        <v>0.1</v>
      </c>
      <c r="AY29" s="112">
        <f t="shared" si="16"/>
        <v>0.15000000000000002</v>
      </c>
      <c r="AZ29" s="112">
        <f t="shared" si="17"/>
        <v>1.2000000000000002</v>
      </c>
      <c r="BA29" s="112">
        <f t="shared" si="18"/>
        <v>1.8000000000000003</v>
      </c>
      <c r="BB29" s="117">
        <v>1210.25</v>
      </c>
      <c r="BC29" s="142">
        <f t="shared" si="19"/>
        <v>14523</v>
      </c>
      <c r="BD29" s="105">
        <f>IF(A29&lt;&gt;"",IF(_xlfn.XLOOKUP(A29,'1C'!A:A,'1C'!A:A,0,0)&gt;0,1,0),"")</f>
        <v>1</v>
      </c>
      <c r="BE29" s="105">
        <f>IF(C29&lt;&gt;"",IF(_xlfn.XLOOKUP(TEXT(C29,"###"),'1C'!W:W,'1C'!D:D,0,0)&gt;0,0,1),"")</f>
        <v>0</v>
      </c>
      <c r="BF29" s="109">
        <f t="shared" si="20"/>
        <v>0</v>
      </c>
    </row>
    <row r="30" spans="1:58" ht="98.1" customHeight="1">
      <c r="A30" s="112" t="str">
        <f t="shared" si="10"/>
        <v>80636010NOV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96-018-03</v>
      </c>
      <c r="C30" s="120" t="s">
        <v>1698</v>
      </c>
      <c r="D30" s="112" t="str">
        <f>IF(A30&lt;&gt;"",_xlfn.XLOOKUP(C30,'1C'!W:W,'1C'!X:X,"",0),"")</f>
        <v>New York Yankees MLB</v>
      </c>
      <c r="E30" s="112" t="str">
        <f>IF(F30&lt;&gt;"",IFERROR(VLOOKUP(F30,Категории!A:B,2,0),""),"Требуется категория")</f>
        <v>Бейсболки</v>
      </c>
      <c r="F30" s="112" t="str">
        <f>IF(A30&lt;&gt;"",IF(BD30&gt;0,_xlfn.XLOOKUP(A30,'1C'!A:A,'1C'!J:J,"",0),_xlfn.XLOOKUP(C30,'1C'!W:W,'1C'!J:J,"",0)),"")</f>
        <v>Бейсболка</v>
      </c>
      <c r="G30" s="114" t="str">
        <f>IF(C30&lt;&gt;"",IF(BD30&gt;0,_xlfn.XLOOKUP(A30,'1C'!A:A,'1C'!L:L,"",0),_xlfn.XLOOKUP(C30,'1C'!W:W,'1C'!L:L,"",0)),"")</f>
        <v>New Era</v>
      </c>
      <c r="H30" s="112" t="str">
        <f>IF(A30&lt;&gt;"",_xlfn.XLOOKUP(A30,'1C'!A:A,'1C'!M:M,_xlfn.XLOOKUP(C30,'1C'!W:W,'1C'!M:M,"",0),0),"")</f>
        <v>всесезон</v>
      </c>
      <c r="I30" s="107" t="str">
        <f t="shared" si="21"/>
        <v>80636010 New York Yankees MLB</v>
      </c>
      <c r="J30" s="115" t="str">
        <f>_xlfn.LET(_xlpm.itemName,_xlfn.XLOOKUP(A30,'1C'!A:A,'1C'!D:D,"",0),IFERROR(MID(_xlpm.itemName,FIND(" ",_xlpm.itemName)+1,FIND("арт.",_xlpm.itemName)-(FIND(" ",_xlpm.itemName)+2)),""))</f>
        <v>NEW ERA</v>
      </c>
      <c r="K30" s="119" t="s">
        <v>1643</v>
      </c>
      <c r="L30" s="157" t="str">
        <f>IF(K30&lt;&gt;"",IFERROR(VLOOKUP(A30,'1C'!A:X,8,0),IFERROR(VLOOKUP(K30,Colors!D:E,2,0),"")),"")</f>
        <v>оливковый</v>
      </c>
      <c r="M30" s="114" t="str">
        <f>IF(K30&lt;&gt;"",_xlfn.XLOOKUP(A30,'1C'!A:A,'1C'!R:R,"",0),"")</f>
        <v>оливковый</v>
      </c>
      <c r="N30" s="114" t="str">
        <f>_xlfn.LET(_xlpm.RES,IF($A30&lt;&gt;"",_xlfn.XLOOKUP($A30,'1C'!$A:$A,'1C'!S:S,"",0),""),IF(_xlpm.RES=0,"",_xlpm.RES))</f>
        <v>жесткая форма</v>
      </c>
      <c r="O30" s="114" t="str">
        <f>_xlfn.LET(_xlpm.RES,IF($A30&lt;&gt;"",_xlfn.XLOOKUP($A30,'1C'!$A:$A,'1C'!T:T,"",0),""),IF(_xlpm.RES=0,"",_xlpm.RES))</f>
        <v>MLB</v>
      </c>
      <c r="P30" s="114" t="str">
        <f>_xlfn.LET(_xlpm.RES,IF($A30&lt;&gt;"",_xlfn.XLOOKUP($A30,'1C'!$A:$A,'1C'!U:U,"",0),""),IF(_xlpm.RES=0,"",_xlpm.RES))</f>
        <v>New York Yankees</v>
      </c>
      <c r="Q30" s="143" t="str">
        <f>IF(A30&lt;&gt;"",_xlfn.XLOOKUP(A30,'1C'!A:A,'1C'!I:I,_xlfn.XLOOKUP(C30,'1C'!W:W,'1C'!I:I,"",0),0),"")</f>
        <v>100% хлопок</v>
      </c>
      <c r="R30" s="135" t="s">
        <v>1707</v>
      </c>
      <c r="S30" s="114" t="str">
        <f>_xlfn.LET(_xlpm.RES,IF(A30&lt;&gt;"",_xlfn.XLOOKUP(A30,'1C'!A:A,'1C'!N:N,_xlfn.XLOOKUP(C30,'1C'!W:W,'1C'!N:N,"",0),0),""),IF(_xlpm.RES=0,"",_xlpm.RES))</f>
        <v>хлопковые</v>
      </c>
      <c r="T30" s="115" t="str">
        <f>IF(S30&lt;&gt;"",IFERROR(VLOOKUP(S30,MaterialsTypes!F:G,2,0),IFERROR(VLOOKUP(Q30,MaterialsTypes100,2,0),"")),IFERROR(VLOOKUP(Q30,MaterialsTypes100,2,0),""))</f>
        <v>Текстиль, ткань</v>
      </c>
      <c r="U30" s="115" t="str">
        <f>IF(A30&lt;&gt;"",_xlfn.XLOOKUP(A30,'1C'!A:A,'1C'!K:K,_xlfn.XLOOKUP(C30,'1C'!W:W,'1C'!K:K,"",0),0),"")</f>
        <v>Унисекс</v>
      </c>
      <c r="V30" s="107">
        <v>3</v>
      </c>
      <c r="Y30" s="107"/>
      <c r="Z30" s="106">
        <v>0</v>
      </c>
      <c r="AA30" s="107"/>
      <c r="AB30" s="106">
        <v>0</v>
      </c>
      <c r="AC30" s="107"/>
      <c r="AD30" s="106">
        <v>0</v>
      </c>
      <c r="AE30" s="107"/>
      <c r="AF30" s="106">
        <v>0</v>
      </c>
      <c r="AG30" s="107"/>
      <c r="AT30" s="114">
        <f t="shared" si="12"/>
        <v>3</v>
      </c>
      <c r="AU30" s="144" t="str">
        <f>IF(A30&lt;&gt;"",_xlfn.XLOOKUP(_xlfn.XLOOKUP(A30,'1C'!A:A,'1C'!O:O,_xlfn.XLOOKUP(C30,'1C'!W:W,'1C'!O:O,"",0),0),Settings!N:N,Settings!O:O,"",0),"")</f>
        <v>CN</v>
      </c>
      <c r="AV30" s="114" t="str">
        <f t="shared" ca="1" si="13"/>
        <v>ERR</v>
      </c>
      <c r="AW30" s="112" t="str">
        <f t="shared" ca="1" si="14"/>
        <v>Китай</v>
      </c>
      <c r="AX30" s="116">
        <f t="shared" si="15"/>
        <v>0.1</v>
      </c>
      <c r="AY30" s="112">
        <f t="shared" si="16"/>
        <v>0.15000000000000002</v>
      </c>
      <c r="AZ30" s="112">
        <f t="shared" si="17"/>
        <v>0.30000000000000004</v>
      </c>
      <c r="BA30" s="112">
        <f t="shared" si="18"/>
        <v>0.45000000000000007</v>
      </c>
      <c r="BB30" s="117">
        <v>1210.25</v>
      </c>
      <c r="BC30" s="142">
        <f t="shared" si="19"/>
        <v>3630.75</v>
      </c>
      <c r="BD30" s="105">
        <f>IF(A30&lt;&gt;"",IF(_xlfn.XLOOKUP(A30,'1C'!A:A,'1C'!A:A,0,0)&gt;0,1,0),"")</f>
        <v>1</v>
      </c>
      <c r="BE30" s="105">
        <f>IF(C30&lt;&gt;"",IF(_xlfn.XLOOKUP(TEXT(C30,"###"),'1C'!W:W,'1C'!D:D,0,0)&gt;0,0,1),"")</f>
        <v>0</v>
      </c>
      <c r="BF30" s="109">
        <f t="shared" si="20"/>
        <v>0</v>
      </c>
    </row>
    <row r="31" spans="1:58" ht="98.1" customHeight="1">
      <c r="C31" s="120" t="s">
        <v>47</v>
      </c>
      <c r="G31" s="114"/>
      <c r="J31" s="107"/>
      <c r="K31" s="119"/>
      <c r="M31" s="135"/>
      <c r="N31" s="135"/>
      <c r="O31" s="135"/>
      <c r="P31" s="135"/>
      <c r="Q31" s="136"/>
      <c r="R31" s="135"/>
      <c r="S31" s="135"/>
      <c r="T31" s="107"/>
      <c r="U31" s="107"/>
      <c r="V31" s="107"/>
      <c r="Y31" s="107"/>
      <c r="AA31" s="107"/>
      <c r="AC31" s="107"/>
      <c r="AE31" s="107"/>
      <c r="AG31" s="107"/>
      <c r="AT31" s="114"/>
      <c r="AU31" s="130"/>
      <c r="AV31" s="114"/>
      <c r="BE31" s="108"/>
      <c r="BF31" s="109"/>
    </row>
    <row r="32" spans="1:58" ht="98.1" customHeight="1">
      <c r="C32" s="120"/>
      <c r="G32" s="114"/>
      <c r="J32" s="107"/>
      <c r="K32" s="119"/>
      <c r="M32" s="135"/>
      <c r="N32" s="135"/>
      <c r="O32" s="135"/>
      <c r="P32" s="135"/>
      <c r="Q32" s="136"/>
      <c r="R32" s="135"/>
      <c r="S32" s="135"/>
      <c r="T32" s="107"/>
      <c r="U32" s="107"/>
      <c r="V32" s="107"/>
      <c r="Y32" s="107"/>
      <c r="AA32" s="107"/>
      <c r="AC32" s="107"/>
      <c r="AE32" s="107"/>
      <c r="AG32" s="107"/>
      <c r="AT32" s="114"/>
      <c r="AU32" s="130"/>
      <c r="AV32" s="114"/>
      <c r="BE32" s="108"/>
      <c r="BF32" s="109"/>
    </row>
    <row r="33" spans="3:58" ht="98.1" customHeight="1">
      <c r="C33" s="120"/>
      <c r="G33" s="114"/>
      <c r="J33" s="107"/>
      <c r="K33" s="119"/>
      <c r="M33" s="135"/>
      <c r="N33" s="135"/>
      <c r="O33" s="135"/>
      <c r="P33" s="135"/>
      <c r="Q33" s="136"/>
      <c r="R33" s="135"/>
      <c r="S33" s="135"/>
      <c r="T33" s="107"/>
      <c r="U33" s="107"/>
      <c r="V33" s="107"/>
      <c r="Y33" s="107"/>
      <c r="AA33" s="107"/>
      <c r="AC33" s="107"/>
      <c r="AE33" s="107"/>
      <c r="AG33" s="107"/>
      <c r="AT33" s="114"/>
      <c r="AU33" s="130"/>
      <c r="AV33" s="114"/>
      <c r="BE33" s="108"/>
      <c r="BF33" s="109"/>
    </row>
    <row r="34" spans="3:58" ht="98.1" customHeight="1">
      <c r="C34" s="120"/>
      <c r="G34" s="114"/>
      <c r="J34" s="107"/>
      <c r="K34" s="119"/>
      <c r="M34" s="135"/>
      <c r="N34" s="135"/>
      <c r="O34" s="135"/>
      <c r="P34" s="135"/>
      <c r="Q34" s="136"/>
      <c r="R34" s="135"/>
      <c r="S34" s="135"/>
      <c r="T34" s="107"/>
      <c r="U34" s="107"/>
      <c r="V34" s="107"/>
      <c r="Y34" s="107"/>
      <c r="AA34" s="107"/>
      <c r="AC34" s="107"/>
      <c r="AE34" s="107"/>
      <c r="AG34" s="107"/>
      <c r="AT34" s="114"/>
      <c r="AU34" s="130"/>
      <c r="AV34" s="114"/>
      <c r="BE34" s="108"/>
      <c r="BF34" s="109"/>
    </row>
    <row r="35" spans="3:58" ht="98.1" customHeight="1">
      <c r="C35" s="120"/>
      <c r="G35" s="114"/>
      <c r="J35" s="107"/>
      <c r="K35" s="119"/>
      <c r="M35" s="135"/>
      <c r="N35" s="135"/>
      <c r="O35" s="135"/>
      <c r="P35" s="135"/>
      <c r="Q35" s="136"/>
      <c r="R35" s="135"/>
      <c r="S35" s="135"/>
      <c r="T35" s="107"/>
      <c r="U35" s="107"/>
      <c r="V35" s="107"/>
      <c r="Y35" s="107"/>
      <c r="AA35" s="107"/>
      <c r="AC35" s="107"/>
      <c r="AE35" s="107"/>
      <c r="AG35" s="107"/>
      <c r="AT35" s="114"/>
      <c r="AU35" s="130"/>
      <c r="AV35" s="114"/>
      <c r="BE35" s="108"/>
      <c r="BF35" s="109"/>
    </row>
    <row r="36" spans="3:58" ht="98.1" customHeight="1">
      <c r="C36" s="120"/>
      <c r="G36" s="114"/>
      <c r="J36" s="107"/>
      <c r="K36" s="119"/>
      <c r="M36" s="135"/>
      <c r="N36" s="135"/>
      <c r="O36" s="135"/>
      <c r="P36" s="135"/>
      <c r="Q36" s="136"/>
      <c r="R36" s="135"/>
      <c r="S36" s="135"/>
      <c r="T36" s="107"/>
      <c r="U36" s="107"/>
      <c r="V36" s="107"/>
      <c r="Y36" s="107"/>
      <c r="AA36" s="107"/>
      <c r="AC36" s="107"/>
      <c r="AE36" s="107"/>
      <c r="AG36" s="107"/>
      <c r="AU36" s="130"/>
      <c r="AV36" s="114"/>
      <c r="BE36" s="108"/>
      <c r="BF36" s="109"/>
    </row>
    <row r="37" spans="3:58" ht="98.1" customHeight="1">
      <c r="C37" s="120"/>
      <c r="G37" s="114"/>
      <c r="M37" s="135"/>
      <c r="N37" s="135"/>
      <c r="O37" s="135"/>
      <c r="P37" s="135"/>
      <c r="Q37" s="136"/>
      <c r="R37" s="135"/>
      <c r="S37" s="135"/>
      <c r="T37" s="107"/>
      <c r="U37" s="107"/>
      <c r="V37" s="107"/>
      <c r="Y37" s="107"/>
      <c r="AA37" s="107"/>
      <c r="AC37" s="107"/>
      <c r="AE37" s="107"/>
      <c r="AG37" s="107"/>
      <c r="AU37" s="130"/>
      <c r="AV37" s="114"/>
      <c r="BE37" s="108"/>
      <c r="BF37" s="109"/>
    </row>
    <row r="38" spans="3:58" ht="98.1" customHeight="1">
      <c r="C38" s="120"/>
      <c r="G38" s="114"/>
      <c r="M38" s="135"/>
      <c r="N38" s="135"/>
      <c r="O38" s="135"/>
      <c r="P38" s="135"/>
      <c r="Q38" s="136"/>
      <c r="R38" s="135"/>
      <c r="S38" s="135"/>
      <c r="T38" s="107"/>
      <c r="U38" s="107"/>
      <c r="V38" s="107"/>
      <c r="Y38" s="107"/>
      <c r="AA38" s="107"/>
      <c r="AC38" s="107"/>
      <c r="AE38" s="107"/>
      <c r="AG38" s="107"/>
      <c r="AU38" s="130"/>
      <c r="AV38" s="114"/>
      <c r="BE38" s="108"/>
      <c r="BF38" s="109"/>
    </row>
    <row r="39" spans="3:58" ht="98.1" customHeight="1">
      <c r="C39" s="120"/>
      <c r="G39" s="114"/>
      <c r="M39" s="135"/>
      <c r="N39" s="135"/>
      <c r="O39" s="135"/>
      <c r="P39" s="135"/>
      <c r="Q39" s="136"/>
      <c r="R39" s="135"/>
      <c r="S39" s="135"/>
      <c r="T39" s="107"/>
      <c r="U39" s="107"/>
      <c r="V39" s="107"/>
      <c r="Y39" s="107"/>
      <c r="AA39" s="107"/>
      <c r="AC39" s="107"/>
      <c r="AE39" s="107"/>
      <c r="AG39" s="107"/>
      <c r="AU39" s="130"/>
      <c r="AV39" s="114"/>
      <c r="BE39" s="108"/>
      <c r="BF39" s="109"/>
    </row>
    <row r="40" spans="3:58" ht="98.1" customHeight="1">
      <c r="C40" s="120"/>
      <c r="G40" s="114"/>
      <c r="M40" s="135"/>
      <c r="N40" s="135"/>
      <c r="O40" s="135"/>
      <c r="P40" s="135"/>
      <c r="Q40" s="136"/>
      <c r="R40" s="135"/>
      <c r="S40" s="135"/>
      <c r="T40" s="107"/>
      <c r="U40" s="107"/>
      <c r="V40" s="107"/>
      <c r="Y40" s="107"/>
      <c r="AA40" s="107"/>
      <c r="AC40" s="107"/>
      <c r="AE40" s="107"/>
      <c r="AG40" s="107"/>
      <c r="AU40" s="130"/>
      <c r="AV40" s="114"/>
      <c r="BE40" s="108"/>
      <c r="BF40" s="109"/>
    </row>
    <row r="41" spans="3:58" ht="98.1" customHeight="1">
      <c r="C41" s="120"/>
      <c r="G41" s="114"/>
      <c r="L41" s="134"/>
      <c r="M41" s="135"/>
      <c r="N41" s="135"/>
      <c r="O41" s="135"/>
      <c r="P41" s="135"/>
      <c r="Q41" s="136"/>
      <c r="R41" s="135"/>
      <c r="S41" s="135"/>
      <c r="T41" s="107"/>
      <c r="U41" s="107"/>
      <c r="V41" s="107"/>
      <c r="Y41" s="107"/>
      <c r="AA41" s="107"/>
      <c r="AC41" s="107"/>
      <c r="AE41" s="107"/>
      <c r="AG41" s="107"/>
      <c r="AU41" s="130"/>
      <c r="AV41" s="114"/>
      <c r="BE41" s="108"/>
      <c r="BF41" s="109"/>
    </row>
    <row r="42" spans="3:58" ht="98.1" customHeight="1">
      <c r="C42" s="120"/>
      <c r="G42" s="114"/>
      <c r="M42" s="135"/>
      <c r="N42" s="135"/>
      <c r="O42" s="135"/>
      <c r="P42" s="135"/>
      <c r="Q42" s="136"/>
      <c r="R42" s="135"/>
      <c r="S42" s="135"/>
      <c r="T42" s="107"/>
      <c r="U42" s="107"/>
      <c r="V42" s="107"/>
      <c r="Y42" s="107"/>
      <c r="AA42" s="107"/>
      <c r="AC42" s="107"/>
      <c r="AE42" s="107"/>
      <c r="AG42" s="107"/>
      <c r="AU42" s="130"/>
      <c r="AV42" s="114"/>
      <c r="BE42" s="108"/>
      <c r="BF42" s="109"/>
    </row>
    <row r="43" spans="3:58" ht="98.1" customHeight="1">
      <c r="C43" s="120"/>
      <c r="G43" s="114"/>
      <c r="M43" s="135"/>
      <c r="N43" s="135"/>
      <c r="O43" s="135"/>
      <c r="P43" s="135"/>
      <c r="Q43" s="136"/>
      <c r="R43" s="135"/>
      <c r="S43" s="135"/>
      <c r="T43" s="107"/>
      <c r="U43" s="107"/>
      <c r="V43" s="107"/>
      <c r="Y43" s="107"/>
      <c r="AA43" s="107"/>
      <c r="AC43" s="107"/>
      <c r="AE43" s="107"/>
      <c r="AG43" s="107"/>
      <c r="AU43" s="130"/>
      <c r="AV43" s="114"/>
      <c r="BE43" s="108"/>
      <c r="BF43" s="109"/>
    </row>
    <row r="44" spans="3:58" ht="98.1" customHeight="1">
      <c r="C44" s="120"/>
      <c r="G44" s="114"/>
      <c r="L44" s="134"/>
      <c r="M44" s="135"/>
      <c r="N44" s="135"/>
      <c r="O44" s="135"/>
      <c r="P44" s="135"/>
      <c r="Q44" s="136"/>
      <c r="R44" s="135"/>
      <c r="S44" s="135"/>
      <c r="T44" s="107"/>
      <c r="U44" s="107"/>
      <c r="V44" s="107"/>
      <c r="Y44" s="107"/>
      <c r="AA44" s="107"/>
      <c r="AC44" s="107"/>
      <c r="AE44" s="107"/>
      <c r="AG44" s="107"/>
      <c r="AU44" s="130"/>
      <c r="AV44" s="114"/>
      <c r="BE44" s="108"/>
      <c r="BF44" s="109"/>
    </row>
    <row r="45" spans="3:58" ht="98.1" customHeight="1">
      <c r="C45" s="120"/>
      <c r="G45" s="114"/>
      <c r="M45" s="135"/>
      <c r="N45" s="135"/>
      <c r="O45" s="135"/>
      <c r="P45" s="135"/>
      <c r="Q45" s="136"/>
      <c r="R45" s="135"/>
      <c r="S45" s="135"/>
      <c r="T45" s="107"/>
      <c r="U45" s="107"/>
      <c r="V45" s="107"/>
      <c r="Y45" s="107"/>
      <c r="AA45" s="107"/>
      <c r="AC45" s="107"/>
      <c r="AE45" s="107"/>
      <c r="AG45" s="107"/>
      <c r="AU45" s="130"/>
      <c r="AV45" s="114"/>
      <c r="BE45" s="108"/>
      <c r="BF45" s="109"/>
    </row>
    <row r="46" spans="3:58" ht="98.1" customHeight="1">
      <c r="C46" s="120"/>
      <c r="G46" s="114"/>
      <c r="L46" s="134"/>
      <c r="M46" s="135"/>
      <c r="N46" s="135"/>
      <c r="O46" s="135"/>
      <c r="P46" s="135"/>
      <c r="Q46" s="136"/>
      <c r="R46" s="135"/>
      <c r="S46" s="135"/>
      <c r="T46" s="107"/>
      <c r="U46" s="107"/>
      <c r="V46" s="107"/>
      <c r="Y46" s="107"/>
      <c r="AA46" s="107"/>
      <c r="AC46" s="107"/>
      <c r="AE46" s="107"/>
      <c r="AG46" s="107"/>
      <c r="AU46" s="130"/>
      <c r="AV46" s="114"/>
      <c r="BE46" s="108"/>
      <c r="BF46" s="109"/>
    </row>
    <row r="47" spans="3:58" ht="98.1" customHeight="1">
      <c r="C47" s="120"/>
      <c r="G47" s="114"/>
      <c r="L47" s="134"/>
      <c r="M47" s="135"/>
      <c r="N47" s="135"/>
      <c r="O47" s="135"/>
      <c r="P47" s="135"/>
      <c r="Q47" s="136"/>
      <c r="R47" s="135"/>
      <c r="S47" s="135"/>
      <c r="T47" s="107"/>
      <c r="U47" s="107"/>
      <c r="V47" s="107"/>
      <c r="Y47" s="107"/>
      <c r="AA47" s="107"/>
      <c r="AC47" s="107"/>
      <c r="AE47" s="107"/>
      <c r="AG47" s="107"/>
      <c r="AU47" s="130"/>
      <c r="AV47" s="114"/>
      <c r="BE47" s="108"/>
      <c r="BF47" s="109"/>
    </row>
    <row r="48" spans="3:58" ht="98.1" customHeight="1">
      <c r="C48" s="120"/>
      <c r="G48" s="114"/>
      <c r="L48" s="134"/>
      <c r="M48" s="135"/>
      <c r="N48" s="135"/>
      <c r="O48" s="135"/>
      <c r="P48" s="135"/>
      <c r="Q48" s="136"/>
      <c r="R48" s="135"/>
      <c r="S48" s="135"/>
      <c r="T48" s="107"/>
      <c r="U48" s="107"/>
      <c r="V48" s="107"/>
      <c r="Y48" s="107"/>
      <c r="AA48" s="107"/>
      <c r="AC48" s="107"/>
      <c r="AE48" s="107"/>
      <c r="AG48" s="107"/>
      <c r="AU48" s="130"/>
      <c r="AV48" s="114"/>
      <c r="BE48" s="108"/>
      <c r="BF48" s="109"/>
    </row>
    <row r="49" spans="3:58" ht="98.1" customHeight="1">
      <c r="C49" s="120"/>
      <c r="G49" s="114"/>
      <c r="L49" s="134"/>
      <c r="M49" s="135"/>
      <c r="N49" s="135"/>
      <c r="O49" s="135"/>
      <c r="P49" s="135"/>
      <c r="Q49" s="136"/>
      <c r="R49" s="135"/>
      <c r="S49" s="135"/>
      <c r="T49" s="107"/>
      <c r="U49" s="107"/>
      <c r="V49" s="107"/>
      <c r="Y49" s="107"/>
      <c r="AA49" s="107"/>
      <c r="AC49" s="107"/>
      <c r="AE49" s="107"/>
      <c r="AG49" s="107"/>
      <c r="AU49" s="130"/>
      <c r="AV49" s="114"/>
      <c r="BE49" s="108"/>
      <c r="BF49" s="109"/>
    </row>
    <row r="50" spans="3:58" ht="98.1" customHeight="1">
      <c r="C50" s="120"/>
      <c r="G50" s="114"/>
      <c r="M50" s="135"/>
      <c r="N50" s="135"/>
      <c r="O50" s="135"/>
      <c r="P50" s="135"/>
      <c r="Q50" s="136"/>
      <c r="R50" s="135"/>
      <c r="S50" s="135"/>
      <c r="T50" s="107"/>
      <c r="U50" s="107"/>
      <c r="V50" s="107"/>
      <c r="Y50" s="107"/>
      <c r="AA50" s="107"/>
      <c r="AC50" s="107"/>
      <c r="AE50" s="107"/>
      <c r="AG50" s="107"/>
      <c r="AU50" s="130"/>
      <c r="AV50" s="114"/>
      <c r="BE50" s="108"/>
      <c r="BF50" s="109"/>
    </row>
    <row r="51" spans="3:58" ht="98.1" customHeight="1">
      <c r="C51" s="120"/>
      <c r="G51" s="114"/>
      <c r="M51" s="135"/>
      <c r="N51" s="135"/>
      <c r="O51" s="135"/>
      <c r="P51" s="135"/>
      <c r="Q51" s="136"/>
      <c r="R51" s="135"/>
      <c r="S51" s="135"/>
      <c r="T51" s="107"/>
      <c r="U51" s="107"/>
      <c r="V51" s="107"/>
      <c r="Y51" s="107"/>
      <c r="AA51" s="107"/>
      <c r="AC51" s="107"/>
      <c r="AE51" s="107"/>
      <c r="AG51" s="107"/>
      <c r="AU51" s="130"/>
      <c r="AV51" s="114"/>
      <c r="BE51" s="108"/>
      <c r="BF51" s="109"/>
    </row>
    <row r="52" spans="3:58" ht="98.1" customHeight="1">
      <c r="C52" s="120"/>
      <c r="G52" s="114"/>
      <c r="M52" s="135"/>
      <c r="N52" s="135"/>
      <c r="O52" s="135"/>
      <c r="P52" s="135"/>
      <c r="Q52" s="136"/>
      <c r="R52" s="135"/>
      <c r="S52" s="135"/>
      <c r="T52" s="107"/>
      <c r="U52" s="107"/>
      <c r="V52" s="107"/>
      <c r="Y52" s="107"/>
      <c r="AA52" s="107"/>
      <c r="AC52" s="107"/>
      <c r="AE52" s="107"/>
      <c r="AG52" s="107"/>
      <c r="AU52" s="130"/>
      <c r="AV52" s="114"/>
      <c r="BE52" s="108"/>
      <c r="BF52" s="109"/>
    </row>
    <row r="53" spans="3:58" ht="98.1" customHeight="1">
      <c r="C53" s="120"/>
      <c r="G53" s="114"/>
      <c r="M53" s="130"/>
      <c r="N53" s="135"/>
      <c r="O53" s="135"/>
      <c r="P53" s="135"/>
      <c r="Q53" s="136"/>
      <c r="R53" s="135"/>
      <c r="S53" s="135"/>
      <c r="T53" s="107"/>
      <c r="U53" s="107"/>
      <c r="V53" s="107"/>
      <c r="Y53" s="107"/>
      <c r="AA53" s="107"/>
      <c r="AC53" s="107"/>
      <c r="AE53" s="107"/>
      <c r="AG53" s="107"/>
      <c r="AU53" s="130"/>
      <c r="AV53" s="114"/>
      <c r="BE53" s="108"/>
      <c r="BF53" s="109"/>
    </row>
    <row r="54" spans="3:58" ht="98.1" customHeight="1">
      <c r="C54" s="120"/>
      <c r="G54" s="114"/>
      <c r="M54" s="130"/>
      <c r="N54" s="135"/>
      <c r="O54" s="135"/>
      <c r="P54" s="135"/>
      <c r="Q54" s="136"/>
      <c r="R54" s="135"/>
      <c r="S54" s="135"/>
      <c r="T54" s="107"/>
      <c r="U54" s="107"/>
      <c r="V54" s="107"/>
      <c r="Y54" s="107"/>
      <c r="AA54" s="107"/>
      <c r="AC54" s="107"/>
      <c r="AE54" s="107"/>
      <c r="AG54" s="107"/>
      <c r="AU54" s="130"/>
      <c r="AV54" s="114"/>
      <c r="BE54" s="108"/>
      <c r="BF54" s="109"/>
    </row>
    <row r="55" spans="3:58" ht="98.1" customHeight="1">
      <c r="C55" s="120"/>
      <c r="G55" s="114"/>
      <c r="L55" s="134"/>
      <c r="M55" s="130"/>
      <c r="N55" s="135"/>
      <c r="O55" s="135"/>
      <c r="P55" s="135"/>
      <c r="Q55" s="136"/>
      <c r="R55" s="135"/>
      <c r="S55" s="135"/>
      <c r="T55" s="107"/>
      <c r="U55" s="107"/>
      <c r="V55" s="107"/>
      <c r="Y55" s="107"/>
      <c r="AA55" s="107"/>
      <c r="AC55" s="107"/>
      <c r="AE55" s="107"/>
      <c r="AG55" s="107"/>
      <c r="AU55" s="130"/>
      <c r="AV55" s="114"/>
      <c r="BE55" s="108"/>
      <c r="BF55" s="109"/>
    </row>
    <row r="56" spans="3:58" ht="98.1" customHeight="1">
      <c r="C56" s="120"/>
      <c r="G56" s="114"/>
      <c r="L56" s="134"/>
      <c r="M56" s="130"/>
      <c r="N56" s="135"/>
      <c r="O56" s="135"/>
      <c r="P56" s="135"/>
      <c r="Q56" s="136"/>
      <c r="R56" s="135"/>
      <c r="S56" s="135"/>
      <c r="T56" s="107"/>
      <c r="U56" s="107"/>
      <c r="V56" s="107"/>
      <c r="Y56" s="107"/>
      <c r="AA56" s="107"/>
      <c r="AC56" s="107"/>
      <c r="AE56" s="107"/>
      <c r="AG56" s="107"/>
      <c r="AU56" s="130"/>
      <c r="AV56" s="114"/>
      <c r="BE56" s="108"/>
      <c r="BF56" s="109"/>
    </row>
    <row r="57" spans="3:58" ht="98.1" customHeight="1">
      <c r="C57" s="120"/>
      <c r="G57" s="114"/>
      <c r="L57" s="134"/>
      <c r="M57" s="130"/>
      <c r="N57" s="135"/>
      <c r="O57" s="135"/>
      <c r="P57" s="135"/>
      <c r="Q57" s="136"/>
      <c r="R57" s="135"/>
      <c r="S57" s="135"/>
      <c r="T57" s="107"/>
      <c r="U57" s="107"/>
      <c r="V57" s="107"/>
      <c r="Y57" s="107"/>
      <c r="AA57" s="107"/>
      <c r="AC57" s="107"/>
      <c r="AE57" s="107"/>
      <c r="AG57" s="107"/>
      <c r="AU57" s="130"/>
      <c r="AV57" s="114"/>
      <c r="BE57" s="108"/>
      <c r="BF57" s="109"/>
    </row>
    <row r="58" spans="3:58" ht="98.1" customHeight="1">
      <c r="C58" s="120"/>
      <c r="G58" s="114"/>
      <c r="L58" s="134"/>
      <c r="M58" s="130"/>
      <c r="N58" s="135"/>
      <c r="O58" s="135"/>
      <c r="P58" s="135"/>
      <c r="Q58" s="136"/>
      <c r="R58" s="135"/>
      <c r="S58" s="135"/>
      <c r="T58" s="107"/>
      <c r="U58" s="107"/>
      <c r="V58" s="107"/>
      <c r="Y58" s="107"/>
      <c r="AA58" s="107"/>
      <c r="AC58" s="107"/>
      <c r="AE58" s="107"/>
      <c r="AG58" s="107"/>
      <c r="AU58" s="130"/>
      <c r="AV58" s="114"/>
      <c r="BE58" s="108"/>
      <c r="BF58" s="109"/>
    </row>
    <row r="59" spans="3:58" ht="98.1" customHeight="1">
      <c r="C59" s="120"/>
      <c r="G59" s="114"/>
      <c r="L59" s="134"/>
      <c r="M59" s="130"/>
      <c r="N59" s="135"/>
      <c r="O59" s="135"/>
      <c r="P59" s="135"/>
      <c r="Q59" s="136"/>
      <c r="R59" s="135"/>
      <c r="S59" s="135"/>
      <c r="T59" s="107"/>
      <c r="U59" s="107"/>
      <c r="V59" s="107"/>
      <c r="Y59" s="107"/>
      <c r="AA59" s="107"/>
      <c r="AC59" s="107"/>
      <c r="AE59" s="107"/>
      <c r="AG59" s="107"/>
      <c r="AU59" s="130"/>
      <c r="AV59" s="114"/>
      <c r="BE59" s="108"/>
      <c r="BF59" s="109"/>
    </row>
    <row r="60" spans="3:58" ht="98.1" customHeight="1">
      <c r="C60" s="120"/>
      <c r="G60" s="114"/>
      <c r="M60" s="130"/>
      <c r="N60" s="135"/>
      <c r="O60" s="135"/>
      <c r="P60" s="135"/>
      <c r="Q60" s="136"/>
      <c r="R60" s="135"/>
      <c r="S60" s="135"/>
      <c r="T60" s="107"/>
      <c r="U60" s="107"/>
      <c r="V60" s="107"/>
      <c r="Y60" s="107"/>
      <c r="AA60" s="107"/>
      <c r="AC60" s="107"/>
      <c r="AE60" s="107"/>
      <c r="AG60" s="107"/>
      <c r="AU60" s="130"/>
      <c r="AV60" s="114"/>
      <c r="BE60" s="108"/>
      <c r="BF60" s="109"/>
    </row>
    <row r="61" spans="3:58" ht="98.1" customHeight="1">
      <c r="C61" s="120"/>
      <c r="G61" s="114"/>
      <c r="M61" s="130"/>
      <c r="N61" s="135"/>
      <c r="O61" s="135"/>
      <c r="P61" s="135"/>
      <c r="Q61" s="136"/>
      <c r="R61" s="135"/>
      <c r="S61" s="135"/>
      <c r="T61" s="107"/>
      <c r="U61" s="107"/>
      <c r="V61" s="107"/>
      <c r="Y61" s="107"/>
      <c r="AA61" s="107"/>
      <c r="AC61" s="107"/>
      <c r="AE61" s="107"/>
      <c r="AG61" s="107"/>
      <c r="AU61" s="130"/>
      <c r="AV61" s="114"/>
      <c r="BE61" s="108"/>
      <c r="BF61" s="109"/>
    </row>
    <row r="62" spans="3:58" ht="98.1" customHeight="1">
      <c r="C62" s="120"/>
      <c r="G62" s="114"/>
      <c r="M62" s="130"/>
      <c r="N62" s="135"/>
      <c r="O62" s="135"/>
      <c r="P62" s="135"/>
      <c r="Q62" s="136"/>
      <c r="R62" s="135"/>
      <c r="S62" s="135"/>
      <c r="T62" s="107"/>
      <c r="U62" s="107"/>
      <c r="V62" s="107"/>
      <c r="Y62" s="107"/>
      <c r="AA62" s="107"/>
      <c r="AC62" s="107"/>
      <c r="AE62" s="107"/>
      <c r="AG62" s="107"/>
      <c r="AU62" s="130"/>
      <c r="AV62" s="114"/>
      <c r="BE62" s="108"/>
      <c r="BF62" s="109"/>
    </row>
    <row r="63" spans="3:58" ht="98.1" customHeight="1">
      <c r="C63" s="120"/>
      <c r="G63" s="114"/>
      <c r="M63" s="130"/>
      <c r="N63" s="135"/>
      <c r="O63" s="135"/>
      <c r="P63" s="135"/>
      <c r="Q63" s="136"/>
      <c r="R63" s="135"/>
      <c r="S63" s="135"/>
      <c r="T63" s="107"/>
      <c r="U63" s="107"/>
      <c r="V63" s="107"/>
      <c r="Y63" s="107"/>
      <c r="AA63" s="107"/>
      <c r="AC63" s="107"/>
      <c r="AE63" s="107"/>
      <c r="AG63" s="107"/>
      <c r="AU63" s="130"/>
      <c r="AV63" s="114"/>
      <c r="BE63" s="108"/>
      <c r="BF63" s="109"/>
    </row>
    <row r="64" spans="3:58" ht="98.1" customHeight="1">
      <c r="C64" s="120"/>
      <c r="G64" s="114"/>
      <c r="M64" s="130"/>
      <c r="N64" s="135"/>
      <c r="O64" s="135"/>
      <c r="P64" s="135"/>
      <c r="Q64" s="136"/>
      <c r="R64" s="135"/>
      <c r="S64" s="135"/>
      <c r="T64" s="107"/>
      <c r="U64" s="107"/>
      <c r="V64" s="107"/>
      <c r="Y64" s="107"/>
      <c r="AA64" s="107"/>
      <c r="AC64" s="107"/>
      <c r="AE64" s="107"/>
      <c r="AG64" s="107"/>
      <c r="AU64" s="130"/>
      <c r="AV64" s="114"/>
      <c r="BE64" s="108"/>
      <c r="BF64" s="109"/>
    </row>
    <row r="65" spans="3:58" ht="98.1" customHeight="1">
      <c r="C65" s="120"/>
      <c r="G65" s="114"/>
      <c r="L65" s="134"/>
      <c r="M65" s="130"/>
      <c r="N65" s="135"/>
      <c r="O65" s="135"/>
      <c r="P65" s="135"/>
      <c r="Q65" s="136"/>
      <c r="R65" s="135"/>
      <c r="S65" s="135"/>
      <c r="T65" s="107"/>
      <c r="U65" s="107"/>
      <c r="V65" s="107"/>
      <c r="Y65" s="107"/>
      <c r="AA65" s="107"/>
      <c r="AC65" s="107"/>
      <c r="AE65" s="107"/>
      <c r="AG65" s="107"/>
      <c r="AU65" s="130"/>
      <c r="AV65" s="114"/>
      <c r="BE65" s="108"/>
      <c r="BF65" s="109"/>
    </row>
    <row r="66" spans="3:58" ht="98.1" customHeight="1">
      <c r="C66" s="120"/>
      <c r="G66" s="114"/>
      <c r="L66" s="134"/>
      <c r="M66" s="130"/>
      <c r="N66" s="135"/>
      <c r="O66" s="135"/>
      <c r="P66" s="135"/>
      <c r="Q66" s="136"/>
      <c r="R66" s="135"/>
      <c r="S66" s="135"/>
      <c r="T66" s="107"/>
      <c r="U66" s="107"/>
      <c r="V66" s="107"/>
      <c r="Y66" s="107"/>
      <c r="AA66" s="107"/>
      <c r="AC66" s="107"/>
      <c r="AE66" s="107"/>
      <c r="AG66" s="107"/>
      <c r="AU66" s="130"/>
      <c r="AV66" s="114"/>
      <c r="BE66" s="108"/>
      <c r="BF66" s="109"/>
    </row>
    <row r="67" spans="3:58" ht="98.1" customHeight="1">
      <c r="C67" s="120"/>
      <c r="G67" s="114"/>
      <c r="L67" s="134"/>
      <c r="M67" s="130"/>
      <c r="N67" s="135"/>
      <c r="O67" s="135"/>
      <c r="P67" s="135"/>
      <c r="Q67" s="136"/>
      <c r="R67" s="135"/>
      <c r="S67" s="135"/>
      <c r="T67" s="107"/>
      <c r="U67" s="107"/>
      <c r="V67" s="107"/>
      <c r="Y67" s="107"/>
      <c r="AA67" s="107"/>
      <c r="AC67" s="107"/>
      <c r="AE67" s="107"/>
      <c r="AG67" s="107"/>
      <c r="AU67" s="130"/>
      <c r="AV67" s="114"/>
      <c r="BE67" s="108"/>
      <c r="BF67" s="109"/>
    </row>
    <row r="68" spans="3:58" ht="98.1" customHeight="1">
      <c r="C68" s="120"/>
      <c r="G68" s="114"/>
      <c r="L68" s="134"/>
      <c r="M68" s="130"/>
      <c r="N68" s="135"/>
      <c r="O68" s="135"/>
      <c r="P68" s="135"/>
      <c r="Q68" s="136"/>
      <c r="R68" s="135"/>
      <c r="S68" s="135"/>
      <c r="T68" s="107"/>
      <c r="U68" s="107"/>
      <c r="V68" s="107"/>
      <c r="Y68" s="107"/>
      <c r="AA68" s="107"/>
      <c r="AC68" s="107"/>
      <c r="AE68" s="107"/>
      <c r="AG68" s="107"/>
      <c r="AU68" s="130"/>
      <c r="AV68" s="114"/>
      <c r="BE68" s="108"/>
      <c r="BF68" s="109"/>
    </row>
    <row r="69" spans="3:58" ht="98.1" customHeight="1">
      <c r="C69" s="120"/>
      <c r="G69" s="114"/>
      <c r="L69" s="134"/>
      <c r="M69" s="130"/>
      <c r="N69" s="135"/>
      <c r="O69" s="135"/>
      <c r="P69" s="135"/>
      <c r="Q69" s="136"/>
      <c r="R69" s="135"/>
      <c r="S69" s="135"/>
      <c r="T69" s="107"/>
      <c r="U69" s="107"/>
      <c r="V69" s="107"/>
      <c r="Y69" s="107"/>
      <c r="AA69" s="107"/>
      <c r="AC69" s="107"/>
      <c r="AE69" s="107"/>
      <c r="AG69" s="107"/>
      <c r="AU69" s="130"/>
      <c r="AV69" s="114"/>
      <c r="BE69" s="108"/>
      <c r="BF69" s="109"/>
    </row>
    <row r="70" spans="3:58" ht="98.1" customHeight="1">
      <c r="C70" s="120"/>
      <c r="G70" s="114"/>
      <c r="L70" s="134"/>
      <c r="M70" s="130"/>
      <c r="N70" s="135"/>
      <c r="O70" s="135"/>
      <c r="P70" s="135"/>
      <c r="Q70" s="136"/>
      <c r="R70" s="135"/>
      <c r="S70" s="135"/>
      <c r="T70" s="107"/>
      <c r="U70" s="107"/>
      <c r="V70" s="107"/>
      <c r="Y70" s="107"/>
      <c r="AA70" s="107"/>
      <c r="AC70" s="107"/>
      <c r="AE70" s="107"/>
      <c r="AG70" s="107"/>
      <c r="AU70" s="130"/>
      <c r="AV70" s="114"/>
      <c r="BE70" s="108"/>
      <c r="BF70" s="109"/>
    </row>
    <row r="71" spans="3:58" ht="98.1" customHeight="1">
      <c r="C71" s="120"/>
      <c r="G71" s="114"/>
      <c r="L71" s="134"/>
      <c r="M71" s="130"/>
      <c r="N71" s="135"/>
      <c r="O71" s="135"/>
      <c r="P71" s="135"/>
      <c r="Q71" s="136"/>
      <c r="R71" s="135"/>
      <c r="S71" s="135"/>
      <c r="T71" s="107"/>
      <c r="U71" s="107"/>
      <c r="V71" s="107"/>
      <c r="Y71" s="107"/>
      <c r="AA71" s="107"/>
      <c r="AC71" s="107"/>
      <c r="AE71" s="107"/>
      <c r="AG71" s="107"/>
      <c r="AU71" s="130"/>
      <c r="AV71" s="114"/>
      <c r="BE71" s="108"/>
      <c r="BF71" s="109"/>
    </row>
    <row r="72" spans="3:58" ht="98.1" customHeight="1">
      <c r="C72" s="120"/>
      <c r="G72" s="114"/>
      <c r="M72" s="130"/>
      <c r="N72" s="135"/>
      <c r="O72" s="135"/>
      <c r="P72" s="135"/>
      <c r="Q72" s="136"/>
      <c r="R72" s="135"/>
      <c r="S72" s="135"/>
      <c r="T72" s="107"/>
      <c r="U72" s="107"/>
      <c r="V72" s="107"/>
      <c r="Y72" s="107"/>
      <c r="AA72" s="107"/>
      <c r="AC72" s="107"/>
      <c r="AE72" s="107"/>
      <c r="AG72" s="107"/>
      <c r="AU72" s="130"/>
      <c r="AV72" s="114"/>
      <c r="BE72" s="108"/>
      <c r="BF72" s="109"/>
    </row>
    <row r="73" spans="3:58" ht="98.1" customHeight="1">
      <c r="C73" s="120"/>
      <c r="G73" s="114"/>
      <c r="M73" s="130"/>
      <c r="N73" s="135"/>
      <c r="O73" s="135"/>
      <c r="P73" s="135"/>
      <c r="Q73" s="136"/>
      <c r="R73" s="135"/>
      <c r="S73" s="135"/>
      <c r="T73" s="107"/>
      <c r="U73" s="107"/>
      <c r="V73" s="107"/>
      <c r="Y73" s="107"/>
      <c r="AA73" s="107"/>
      <c r="AC73" s="107"/>
      <c r="AE73" s="107"/>
      <c r="AG73" s="107"/>
      <c r="AU73" s="130"/>
      <c r="AV73" s="114"/>
      <c r="BE73" s="108"/>
      <c r="BF73" s="109"/>
    </row>
    <row r="74" spans="3:58" ht="98.1" customHeight="1">
      <c r="C74" s="120"/>
      <c r="G74" s="114"/>
      <c r="M74" s="130"/>
      <c r="N74" s="135"/>
      <c r="O74" s="135"/>
      <c r="P74" s="135"/>
      <c r="Q74" s="136"/>
      <c r="R74" s="135"/>
      <c r="S74" s="135"/>
      <c r="T74" s="107"/>
      <c r="U74" s="107"/>
      <c r="V74" s="107"/>
      <c r="Y74" s="107"/>
      <c r="AA74" s="107"/>
      <c r="AC74" s="107"/>
      <c r="AE74" s="107"/>
      <c r="AG74" s="107"/>
      <c r="AU74" s="130"/>
      <c r="AV74" s="114"/>
      <c r="BE74" s="108"/>
      <c r="BF74" s="109"/>
    </row>
    <row r="75" spans="3:58" ht="98.1" customHeight="1">
      <c r="C75" s="120"/>
      <c r="G75" s="114"/>
      <c r="M75" s="130"/>
      <c r="N75" s="135"/>
      <c r="O75" s="135"/>
      <c r="P75" s="135"/>
      <c r="Q75" s="136"/>
      <c r="R75" s="135"/>
      <c r="S75" s="135"/>
      <c r="T75" s="107"/>
      <c r="U75" s="107"/>
      <c r="V75" s="107"/>
      <c r="Y75" s="107"/>
      <c r="AA75" s="107"/>
      <c r="AC75" s="107"/>
      <c r="AE75" s="107"/>
      <c r="AG75" s="107"/>
      <c r="AU75" s="130"/>
      <c r="AV75" s="114"/>
      <c r="BE75" s="108"/>
      <c r="BF75" s="109"/>
    </row>
    <row r="76" spans="3:58" ht="98.1" customHeight="1">
      <c r="C76" s="120"/>
      <c r="G76" s="114"/>
      <c r="M76" s="130"/>
      <c r="N76" s="135"/>
      <c r="O76" s="135"/>
      <c r="P76" s="135"/>
      <c r="Q76" s="136"/>
      <c r="R76" s="135"/>
      <c r="S76" s="135"/>
      <c r="T76" s="107"/>
      <c r="U76" s="107"/>
      <c r="V76" s="107"/>
      <c r="Y76" s="107"/>
      <c r="AA76" s="107"/>
      <c r="AC76" s="107"/>
      <c r="AE76" s="107"/>
      <c r="AG76" s="107"/>
      <c r="AU76" s="130"/>
      <c r="AV76" s="114"/>
      <c r="BE76" s="108"/>
      <c r="BF76" s="109"/>
    </row>
    <row r="77" spans="3:58" ht="98.1" customHeight="1">
      <c r="C77" s="120"/>
      <c r="G77" s="114"/>
      <c r="L77" s="134"/>
      <c r="M77" s="130"/>
      <c r="N77" s="135"/>
      <c r="O77" s="135"/>
      <c r="P77" s="135"/>
      <c r="Q77" s="136"/>
      <c r="R77" s="135"/>
      <c r="S77" s="135"/>
      <c r="T77" s="107"/>
      <c r="U77" s="107"/>
      <c r="V77" s="107"/>
      <c r="Y77" s="107"/>
      <c r="AA77" s="107"/>
      <c r="AC77" s="107"/>
      <c r="AE77" s="107"/>
      <c r="AG77" s="107"/>
      <c r="AU77" s="130"/>
      <c r="AV77" s="114"/>
      <c r="BE77" s="108"/>
      <c r="BF77" s="109"/>
    </row>
    <row r="78" spans="3:58" ht="98.1" customHeight="1">
      <c r="C78" s="120"/>
      <c r="G78" s="114"/>
      <c r="M78" s="130"/>
      <c r="N78" s="135"/>
      <c r="O78" s="135"/>
      <c r="P78" s="135"/>
      <c r="Q78" s="136"/>
      <c r="R78" s="135"/>
      <c r="S78" s="135"/>
      <c r="T78" s="107"/>
      <c r="U78" s="107"/>
      <c r="V78" s="107"/>
      <c r="Y78" s="107"/>
      <c r="AA78" s="107"/>
      <c r="AC78" s="107"/>
      <c r="AE78" s="107"/>
      <c r="AG78" s="107"/>
      <c r="AU78" s="130"/>
      <c r="AV78" s="114"/>
      <c r="BE78" s="108"/>
      <c r="BF78" s="109"/>
    </row>
    <row r="79" spans="3:58" ht="98.1" customHeight="1">
      <c r="C79" s="120"/>
      <c r="G79" s="114"/>
      <c r="M79" s="130"/>
      <c r="N79" s="135"/>
      <c r="O79" s="135"/>
      <c r="P79" s="135"/>
      <c r="Q79" s="136"/>
      <c r="R79" s="135"/>
      <c r="S79" s="135"/>
      <c r="T79" s="107"/>
      <c r="U79" s="107"/>
      <c r="V79" s="107"/>
      <c r="Y79" s="107"/>
      <c r="AA79" s="107"/>
      <c r="AC79" s="107"/>
      <c r="AE79" s="107"/>
      <c r="AG79" s="107"/>
      <c r="AU79" s="130"/>
      <c r="AV79" s="114"/>
      <c r="BE79" s="108"/>
      <c r="BF79" s="109"/>
    </row>
    <row r="80" spans="3:58" ht="98.1" customHeight="1">
      <c r="C80" s="120"/>
      <c r="G80" s="114"/>
      <c r="M80" s="130"/>
      <c r="N80" s="135"/>
      <c r="O80" s="135"/>
      <c r="P80" s="135"/>
      <c r="Q80" s="136"/>
      <c r="R80" s="135"/>
      <c r="S80" s="135"/>
      <c r="T80" s="107"/>
      <c r="U80" s="107"/>
      <c r="V80" s="107"/>
      <c r="Y80" s="107"/>
      <c r="AA80" s="107"/>
      <c r="AC80" s="107"/>
      <c r="AE80" s="107"/>
      <c r="AG80" s="107"/>
      <c r="AU80" s="130"/>
      <c r="AV80" s="114"/>
      <c r="BE80" s="108"/>
      <c r="BF80" s="109"/>
    </row>
    <row r="81" spans="3:58" ht="98.1" customHeight="1">
      <c r="C81" s="120"/>
      <c r="G81" s="114"/>
      <c r="M81" s="130"/>
      <c r="N81" s="135"/>
      <c r="O81" s="135"/>
      <c r="P81" s="135"/>
      <c r="Q81" s="136"/>
      <c r="R81" s="135"/>
      <c r="S81" s="135"/>
      <c r="T81" s="107"/>
      <c r="U81" s="107"/>
      <c r="V81" s="107"/>
      <c r="Y81" s="107"/>
      <c r="AA81" s="107"/>
      <c r="AC81" s="107"/>
      <c r="AE81" s="107"/>
      <c r="AG81" s="107"/>
      <c r="AU81" s="130"/>
      <c r="AV81" s="114"/>
      <c r="BE81" s="108"/>
      <c r="BF81" s="109"/>
    </row>
    <row r="82" spans="3:58" ht="98.1" customHeight="1">
      <c r="C82" s="120"/>
      <c r="G82" s="114"/>
      <c r="M82" s="130"/>
      <c r="N82" s="135"/>
      <c r="O82" s="135"/>
      <c r="P82" s="135"/>
      <c r="Q82" s="136"/>
      <c r="R82" s="135"/>
      <c r="S82" s="135"/>
      <c r="T82" s="107"/>
      <c r="U82" s="107"/>
      <c r="V82" s="107"/>
      <c r="Y82" s="107"/>
      <c r="AA82" s="107"/>
      <c r="AC82" s="107"/>
      <c r="AE82" s="107"/>
      <c r="AG82" s="107"/>
      <c r="AU82" s="130"/>
      <c r="AV82" s="114"/>
      <c r="BE82" s="108"/>
      <c r="BF82" s="109"/>
    </row>
    <row r="83" spans="3:58" ht="98.1" customHeight="1">
      <c r="C83" s="120"/>
      <c r="G83" s="114"/>
      <c r="M83" s="130"/>
      <c r="N83" s="135"/>
      <c r="O83" s="135"/>
      <c r="P83" s="135"/>
      <c r="Q83" s="136"/>
      <c r="R83" s="135"/>
      <c r="S83" s="135"/>
      <c r="T83" s="107"/>
      <c r="U83" s="107"/>
      <c r="V83" s="107"/>
      <c r="Y83" s="107"/>
      <c r="AA83" s="107"/>
      <c r="AC83" s="107"/>
      <c r="AE83" s="107"/>
      <c r="AG83" s="107"/>
      <c r="AU83" s="130"/>
      <c r="AV83" s="114"/>
      <c r="BE83" s="108"/>
      <c r="BF83" s="109"/>
    </row>
    <row r="84" spans="3:58" ht="98.1" customHeight="1">
      <c r="C84" s="120"/>
      <c r="G84" s="114"/>
      <c r="M84" s="130"/>
      <c r="N84" s="135"/>
      <c r="O84" s="135"/>
      <c r="P84" s="135"/>
      <c r="Q84" s="136"/>
      <c r="R84" s="135"/>
      <c r="S84" s="135"/>
      <c r="T84" s="107"/>
      <c r="AU84" s="130"/>
      <c r="AV84" s="114"/>
      <c r="BE84" s="108"/>
    </row>
    <row r="85" spans="3:58" ht="98.1" customHeight="1">
      <c r="C85" s="120"/>
      <c r="G85" s="114"/>
      <c r="M85" s="130"/>
      <c r="N85" s="135"/>
      <c r="O85" s="135"/>
      <c r="P85" s="135"/>
      <c r="Q85" s="136"/>
      <c r="R85" s="135"/>
      <c r="S85" s="135"/>
      <c r="T85" s="107"/>
      <c r="AU85" s="130"/>
      <c r="AV85" s="114"/>
      <c r="BE85" s="108"/>
    </row>
    <row r="86" spans="3:58" ht="98.1" customHeight="1">
      <c r="C86" s="120"/>
      <c r="G86" s="114"/>
      <c r="L86" s="134"/>
      <c r="M86" s="130"/>
      <c r="N86" s="135"/>
      <c r="O86" s="135"/>
      <c r="P86" s="135"/>
      <c r="Q86" s="136"/>
      <c r="R86" s="135"/>
      <c r="S86" s="135"/>
      <c r="T86" s="107"/>
      <c r="U86" s="107"/>
      <c r="AU86" s="130"/>
      <c r="AV86" s="114"/>
      <c r="BE86" s="108"/>
    </row>
    <row r="87" spans="3:58" ht="98.1" customHeight="1">
      <c r="C87" s="120"/>
      <c r="G87" s="114"/>
      <c r="M87" s="130"/>
      <c r="N87" s="135"/>
      <c r="O87" s="135"/>
      <c r="P87" s="135"/>
      <c r="Q87" s="136"/>
      <c r="R87" s="135"/>
      <c r="S87" s="135"/>
      <c r="T87" s="107"/>
      <c r="AU87" s="130"/>
      <c r="AV87" s="114"/>
      <c r="BE87" s="108"/>
    </row>
    <row r="88" spans="3:58" ht="98.1" customHeight="1">
      <c r="C88" s="120"/>
      <c r="G88" s="114"/>
      <c r="M88" s="130"/>
      <c r="N88" s="135"/>
      <c r="O88" s="135"/>
      <c r="P88" s="135"/>
      <c r="Q88" s="136"/>
      <c r="R88" s="135"/>
      <c r="S88" s="135"/>
      <c r="T88" s="107"/>
      <c r="AU88" s="130"/>
      <c r="AV88" s="114"/>
      <c r="BE88" s="108"/>
    </row>
    <row r="89" spans="3:58" ht="98.1" customHeight="1">
      <c r="C89" s="120"/>
      <c r="G89" s="114"/>
      <c r="M89" s="130"/>
      <c r="N89" s="135"/>
      <c r="O89" s="135"/>
      <c r="P89" s="135"/>
      <c r="Q89" s="136"/>
      <c r="R89" s="135"/>
      <c r="S89" s="135"/>
      <c r="T89" s="107"/>
      <c r="AV89" s="114"/>
      <c r="BE89" s="108"/>
    </row>
    <row r="90" spans="3:58" ht="98.1" customHeight="1">
      <c r="G90" s="114"/>
      <c r="M90" s="130"/>
      <c r="N90" s="135"/>
      <c r="O90" s="135"/>
      <c r="P90" s="135"/>
      <c r="Q90" s="136"/>
      <c r="R90" s="135"/>
      <c r="S90" s="135"/>
      <c r="T90" s="107"/>
      <c r="AV90" s="114"/>
      <c r="BE90" s="108"/>
    </row>
    <row r="91" spans="3:58" ht="98.1" customHeight="1">
      <c r="G91" s="114"/>
      <c r="M91" s="130"/>
      <c r="N91" s="135"/>
      <c r="O91" s="135"/>
      <c r="P91" s="135"/>
      <c r="Q91" s="136"/>
      <c r="R91" s="135"/>
      <c r="S91" s="135"/>
      <c r="T91" s="107"/>
      <c r="AV91" s="114"/>
      <c r="BE91" s="108"/>
    </row>
    <row r="92" spans="3:58" ht="98.1" customHeight="1">
      <c r="G92" s="114"/>
      <c r="M92" s="130"/>
      <c r="N92" s="135"/>
      <c r="O92" s="135"/>
      <c r="P92" s="135"/>
      <c r="Q92" s="136"/>
      <c r="R92" s="135"/>
      <c r="S92" s="135"/>
      <c r="T92" s="107"/>
      <c r="AV92" s="114"/>
      <c r="BE92" s="108"/>
    </row>
    <row r="93" spans="3:58" ht="98.1" customHeight="1">
      <c r="G93" s="114"/>
      <c r="L93" s="134"/>
      <c r="M93" s="130"/>
      <c r="N93" s="135"/>
      <c r="O93" s="135"/>
      <c r="P93" s="135"/>
      <c r="Q93" s="136"/>
      <c r="R93" s="135"/>
      <c r="S93" s="135"/>
      <c r="T93" s="107"/>
      <c r="U93" s="107"/>
      <c r="AV93" s="114"/>
      <c r="BE93" s="108"/>
    </row>
    <row r="94" spans="3:58" ht="98.1" customHeight="1">
      <c r="G94" s="114"/>
      <c r="M94" s="130"/>
      <c r="N94" s="135"/>
      <c r="O94" s="135"/>
      <c r="P94" s="135"/>
      <c r="Q94" s="136"/>
      <c r="R94" s="135"/>
      <c r="S94" s="135"/>
      <c r="T94" s="107"/>
      <c r="AV94" s="114"/>
      <c r="BE94" s="108"/>
    </row>
    <row r="95" spans="3:58" ht="98.1" customHeight="1">
      <c r="G95" s="114"/>
      <c r="L95" s="134"/>
      <c r="M95" s="130"/>
      <c r="N95" s="135"/>
      <c r="O95" s="135"/>
      <c r="P95" s="135"/>
      <c r="Q95" s="136"/>
      <c r="R95" s="135"/>
      <c r="S95" s="135"/>
      <c r="T95" s="107"/>
      <c r="U95" s="107"/>
      <c r="AV95" s="114"/>
      <c r="BE95" s="108"/>
    </row>
    <row r="96" spans="3:58" ht="98.1" customHeight="1">
      <c r="G96" s="114"/>
      <c r="M96" s="130"/>
      <c r="N96" s="135"/>
      <c r="O96" s="135"/>
      <c r="P96" s="135"/>
      <c r="Q96" s="136"/>
      <c r="R96" s="135"/>
      <c r="S96" s="135"/>
      <c r="T96" s="107"/>
      <c r="AV96" s="114"/>
      <c r="BE96" s="108"/>
    </row>
    <row r="97" spans="7:57" ht="98.1" customHeight="1">
      <c r="G97" s="114"/>
      <c r="M97" s="130"/>
      <c r="N97" s="135"/>
      <c r="O97" s="135"/>
      <c r="P97" s="135"/>
      <c r="Q97" s="136"/>
      <c r="R97" s="135"/>
      <c r="S97" s="135"/>
      <c r="T97" s="107"/>
      <c r="AV97" s="114"/>
      <c r="BE97" s="108"/>
    </row>
    <row r="98" spans="7:57" ht="98.1" customHeight="1">
      <c r="G98" s="114"/>
      <c r="L98" s="134"/>
      <c r="M98" s="130"/>
      <c r="N98" s="135"/>
      <c r="O98" s="135"/>
      <c r="P98" s="135"/>
      <c r="Q98" s="135"/>
      <c r="R98" s="135"/>
      <c r="S98" s="135"/>
      <c r="T98" s="107"/>
      <c r="U98" s="107"/>
      <c r="AV98" s="114"/>
      <c r="BE98" s="108"/>
    </row>
    <row r="99" spans="7:57" ht="98.1" customHeight="1">
      <c r="G99" s="114"/>
      <c r="L99" s="134"/>
      <c r="M99" s="130"/>
      <c r="N99" s="135"/>
      <c r="O99" s="135"/>
      <c r="P99" s="135"/>
      <c r="Q99" s="135"/>
      <c r="R99" s="135"/>
      <c r="S99" s="135"/>
      <c r="T99" s="107"/>
      <c r="U99" s="107"/>
      <c r="AV99" s="114"/>
      <c r="BE99" s="108"/>
    </row>
    <row r="100" spans="7:57" ht="98.1" customHeight="1">
      <c r="G100" s="114"/>
      <c r="M100" s="130"/>
      <c r="N100" s="135"/>
      <c r="O100" s="135"/>
      <c r="P100" s="135"/>
      <c r="R100" s="135"/>
      <c r="S100" s="135"/>
      <c r="T100" s="107"/>
      <c r="AV100" s="114"/>
      <c r="BE100" s="108"/>
    </row>
    <row r="101" spans="7:57" ht="98.1" customHeight="1">
      <c r="G101" s="114"/>
      <c r="L101" s="134"/>
      <c r="M101" s="130"/>
      <c r="N101" s="135"/>
      <c r="O101" s="135"/>
      <c r="P101" s="135"/>
      <c r="Q101" s="136"/>
      <c r="R101" s="135"/>
      <c r="S101" s="135"/>
      <c r="T101" s="107"/>
      <c r="AV101" s="114"/>
      <c r="BE101" s="108"/>
    </row>
    <row r="102" spans="7:57" ht="98.1" customHeight="1">
      <c r="G102" s="114"/>
      <c r="L102" s="134"/>
      <c r="M102" s="130"/>
      <c r="N102" s="135"/>
      <c r="O102" s="135"/>
      <c r="P102" s="135"/>
      <c r="Q102" s="135"/>
      <c r="R102" s="135"/>
      <c r="S102" s="135"/>
      <c r="T102" s="107"/>
      <c r="U102" s="107"/>
      <c r="AV102" s="114"/>
      <c r="BE102" s="108"/>
    </row>
    <row r="103" spans="7:57" ht="98.1" customHeight="1">
      <c r="G103" s="114"/>
      <c r="L103" s="134"/>
      <c r="M103" s="130"/>
      <c r="N103" s="135"/>
      <c r="O103" s="135"/>
      <c r="P103" s="135"/>
      <c r="Q103" s="136"/>
      <c r="R103" s="135"/>
      <c r="S103" s="135"/>
      <c r="T103" s="107"/>
      <c r="U103" s="107"/>
      <c r="AV103" s="114"/>
      <c r="BE103" s="108"/>
    </row>
    <row r="104" spans="7:57" ht="98.1" customHeight="1">
      <c r="G104" s="114"/>
      <c r="M104" s="130"/>
      <c r="N104" s="135"/>
      <c r="O104" s="135"/>
      <c r="P104" s="135"/>
      <c r="R104" s="135"/>
      <c r="S104" s="135"/>
      <c r="T104" s="107"/>
      <c r="AV104" s="114"/>
      <c r="BE104" s="108"/>
    </row>
    <row r="105" spans="7:57" ht="98.1" customHeight="1">
      <c r="G105" s="114"/>
      <c r="M105" s="130"/>
      <c r="N105" s="135"/>
      <c r="O105" s="135"/>
      <c r="P105" s="135"/>
      <c r="Q105" s="136"/>
      <c r="R105" s="135"/>
      <c r="S105" s="135"/>
      <c r="T105" s="107"/>
      <c r="AV105" s="114"/>
      <c r="BE105" s="108"/>
    </row>
    <row r="106" spans="7:57" ht="98.1" customHeight="1">
      <c r="G106" s="114"/>
      <c r="L106" s="134"/>
      <c r="M106" s="130"/>
      <c r="N106" s="135"/>
      <c r="O106" s="135"/>
      <c r="P106" s="135"/>
      <c r="Q106" s="136"/>
      <c r="R106" s="135"/>
      <c r="S106" s="135"/>
      <c r="T106" s="107"/>
      <c r="U106" s="107"/>
      <c r="AV106" s="114"/>
      <c r="BE106" s="108"/>
    </row>
    <row r="107" spans="7:57" ht="98.1" customHeight="1">
      <c r="G107" s="114"/>
      <c r="L107" s="134"/>
      <c r="M107" s="130"/>
      <c r="N107" s="135"/>
      <c r="O107" s="135"/>
      <c r="P107" s="135"/>
      <c r="Q107" s="136"/>
      <c r="R107" s="135"/>
      <c r="S107" s="135"/>
      <c r="T107" s="107"/>
      <c r="U107" s="107"/>
      <c r="AV107" s="114"/>
      <c r="BE107" s="108"/>
    </row>
    <row r="108" spans="7:57" ht="98.1" customHeight="1">
      <c r="G108" s="114"/>
      <c r="L108" s="134"/>
      <c r="M108" s="130"/>
      <c r="N108" s="135"/>
      <c r="O108" s="135"/>
      <c r="P108" s="135"/>
      <c r="Q108" s="136"/>
      <c r="R108" s="135"/>
      <c r="S108" s="135"/>
      <c r="T108" s="107"/>
      <c r="U108" s="107"/>
      <c r="AV108" s="114"/>
      <c r="BE108" s="108"/>
    </row>
    <row r="109" spans="7:57" ht="98.1" customHeight="1">
      <c r="G109" s="114"/>
      <c r="L109" s="134"/>
      <c r="M109" s="130"/>
      <c r="N109" s="135"/>
      <c r="O109" s="135"/>
      <c r="P109" s="135"/>
      <c r="Q109" s="136"/>
      <c r="R109" s="135"/>
      <c r="S109" s="135"/>
      <c r="T109" s="107"/>
      <c r="U109" s="107"/>
      <c r="AV109" s="114"/>
      <c r="BE109" s="108"/>
    </row>
    <row r="110" spans="7:57" ht="98.1" customHeight="1">
      <c r="G110" s="114"/>
      <c r="L110" s="134"/>
      <c r="M110" s="130"/>
      <c r="N110" s="135"/>
      <c r="O110" s="135"/>
      <c r="P110" s="135"/>
      <c r="Q110" s="136"/>
      <c r="R110" s="135"/>
      <c r="S110" s="135"/>
      <c r="T110" s="107"/>
      <c r="U110" s="107"/>
      <c r="AV110" s="114"/>
      <c r="BE110" s="108"/>
    </row>
    <row r="111" spans="7:57" ht="98.1" customHeight="1">
      <c r="G111" s="114"/>
      <c r="L111" s="134"/>
      <c r="M111" s="130"/>
      <c r="N111" s="135"/>
      <c r="O111" s="135"/>
      <c r="P111" s="135"/>
      <c r="Q111" s="136"/>
      <c r="R111" s="135"/>
      <c r="S111" s="135"/>
      <c r="T111" s="107"/>
      <c r="U111" s="107"/>
      <c r="AV111" s="114"/>
      <c r="BE111" s="108"/>
    </row>
    <row r="112" spans="7:57" ht="98.1" customHeight="1">
      <c r="G112" s="114"/>
      <c r="M112" s="130"/>
      <c r="N112" s="135"/>
      <c r="O112" s="135"/>
      <c r="P112" s="135"/>
      <c r="Q112" s="136"/>
      <c r="R112" s="135"/>
      <c r="S112" s="135"/>
      <c r="T112" s="107"/>
      <c r="AV112" s="114"/>
      <c r="BE112" s="108"/>
    </row>
    <row r="113" spans="7:57" ht="98.1" customHeight="1">
      <c r="G113" s="114"/>
      <c r="M113" s="130"/>
      <c r="N113" s="135"/>
      <c r="O113" s="135"/>
      <c r="P113" s="135"/>
      <c r="Q113" s="136"/>
      <c r="R113" s="135"/>
      <c r="S113" s="135"/>
      <c r="T113" s="107"/>
      <c r="AV113" s="114"/>
      <c r="BE113" s="108"/>
    </row>
    <row r="114" spans="7:57" ht="98.1" customHeight="1">
      <c r="G114" s="114"/>
      <c r="L114" s="134"/>
      <c r="M114" s="130"/>
      <c r="N114" s="135"/>
      <c r="O114" s="135"/>
      <c r="P114" s="135"/>
      <c r="Q114" s="136"/>
      <c r="R114" s="135"/>
      <c r="S114" s="135"/>
      <c r="T114" s="107"/>
      <c r="U114" s="107"/>
      <c r="AV114" s="114"/>
      <c r="BE114" s="108"/>
    </row>
    <row r="115" spans="7:57" ht="98.1" customHeight="1">
      <c r="G115" s="114"/>
      <c r="L115" s="134"/>
      <c r="M115" s="130"/>
      <c r="N115" s="135"/>
      <c r="O115" s="135"/>
      <c r="P115" s="135"/>
      <c r="Q115" s="136"/>
      <c r="R115" s="135"/>
      <c r="S115" s="135"/>
      <c r="T115" s="107"/>
      <c r="U115" s="107"/>
      <c r="AV115" s="114"/>
      <c r="BE115" s="108"/>
    </row>
    <row r="116" spans="7:57" ht="98.1" customHeight="1">
      <c r="G116" s="114"/>
      <c r="L116" s="134"/>
      <c r="M116" s="130"/>
      <c r="N116" s="135"/>
      <c r="O116" s="135"/>
      <c r="P116" s="135"/>
      <c r="Q116" s="136"/>
      <c r="R116" s="135"/>
      <c r="S116" s="135"/>
      <c r="T116" s="107"/>
      <c r="U116" s="107"/>
      <c r="AV116" s="114"/>
      <c r="BE116" s="108"/>
    </row>
    <row r="117" spans="7:57" ht="98.1" customHeight="1">
      <c r="G117" s="114"/>
      <c r="L117" s="134"/>
      <c r="M117" s="130"/>
      <c r="N117" s="135"/>
      <c r="O117" s="135"/>
      <c r="P117" s="135"/>
      <c r="Q117" s="136"/>
      <c r="R117" s="135"/>
      <c r="S117" s="135"/>
      <c r="T117" s="107"/>
      <c r="U117" s="107"/>
      <c r="AV117" s="114"/>
      <c r="BE117" s="108"/>
    </row>
    <row r="118" spans="7:57" ht="98.1" customHeight="1">
      <c r="G118" s="114"/>
      <c r="M118" s="130"/>
      <c r="N118" s="135"/>
      <c r="O118" s="135"/>
      <c r="P118" s="135"/>
      <c r="Q118" s="136"/>
      <c r="R118" s="135"/>
      <c r="S118" s="135"/>
      <c r="T118" s="107"/>
      <c r="AV118" s="114"/>
      <c r="BE118" s="108"/>
    </row>
    <row r="119" spans="7:57" ht="98.1" customHeight="1">
      <c r="G119" s="114"/>
      <c r="M119" s="130"/>
      <c r="N119" s="135"/>
      <c r="O119" s="135"/>
      <c r="P119" s="135"/>
      <c r="Q119" s="136"/>
      <c r="R119" s="135"/>
      <c r="S119" s="135"/>
      <c r="T119" s="107"/>
      <c r="AV119" s="114"/>
      <c r="BE119" s="108"/>
    </row>
    <row r="120" spans="7:57" ht="98.1" customHeight="1">
      <c r="G120" s="114"/>
      <c r="M120" s="130"/>
      <c r="N120" s="135"/>
      <c r="O120" s="135"/>
      <c r="P120" s="135"/>
      <c r="Q120" s="136"/>
      <c r="R120" s="135"/>
      <c r="S120" s="135"/>
      <c r="T120" s="107"/>
      <c r="AV120" s="114"/>
      <c r="BE120" s="108"/>
    </row>
    <row r="121" spans="7:57" ht="98.1" customHeight="1">
      <c r="G121" s="114"/>
      <c r="M121" s="130"/>
      <c r="N121" s="135"/>
      <c r="O121" s="135"/>
      <c r="P121" s="135"/>
      <c r="Q121" s="136"/>
      <c r="R121" s="135"/>
      <c r="S121" s="135"/>
      <c r="T121" s="107"/>
      <c r="AV121" s="114"/>
      <c r="BE121" s="108"/>
    </row>
    <row r="122" spans="7:57" ht="98.1" customHeight="1">
      <c r="G122" s="114"/>
      <c r="M122" s="130"/>
      <c r="N122" s="135"/>
      <c r="O122" s="135"/>
      <c r="P122" s="135"/>
      <c r="Q122" s="136"/>
      <c r="R122" s="135"/>
      <c r="S122" s="135"/>
      <c r="T122" s="107"/>
      <c r="AV122" s="114"/>
      <c r="BE122" s="108"/>
    </row>
    <row r="123" spans="7:57" ht="98.1" customHeight="1">
      <c r="G123" s="114"/>
      <c r="M123" s="130"/>
      <c r="N123" s="135"/>
      <c r="O123" s="135"/>
      <c r="P123" s="135"/>
      <c r="Q123" s="136"/>
      <c r="R123" s="135"/>
      <c r="S123" s="135"/>
      <c r="T123" s="107"/>
      <c r="AV123" s="114"/>
      <c r="BE123" s="108"/>
    </row>
    <row r="124" spans="7:57" ht="98.1" customHeight="1">
      <c r="G124" s="114"/>
      <c r="M124" s="130"/>
      <c r="N124" s="135"/>
      <c r="O124" s="135"/>
      <c r="P124" s="135"/>
      <c r="Q124" s="136"/>
      <c r="R124" s="135"/>
      <c r="S124" s="135"/>
      <c r="T124" s="107"/>
      <c r="AV124" s="114"/>
      <c r="BE124" s="108"/>
    </row>
    <row r="125" spans="7:57" ht="98.1" customHeight="1">
      <c r="G125" s="114"/>
      <c r="M125" s="130"/>
      <c r="N125" s="135"/>
      <c r="O125" s="135"/>
      <c r="P125" s="135"/>
      <c r="Q125" s="136"/>
      <c r="R125" s="135"/>
      <c r="S125" s="135"/>
      <c r="T125" s="107"/>
      <c r="AV125" s="114"/>
      <c r="BE125" s="108"/>
    </row>
    <row r="126" spans="7:57" ht="98.1" customHeight="1">
      <c r="G126" s="114"/>
      <c r="L126" s="134"/>
      <c r="M126" s="130"/>
      <c r="N126" s="135"/>
      <c r="O126" s="135"/>
      <c r="P126" s="135"/>
      <c r="Q126" s="136"/>
      <c r="R126" s="135"/>
      <c r="S126" s="135"/>
      <c r="T126" s="107"/>
      <c r="U126" s="107"/>
      <c r="AV126" s="114"/>
      <c r="BE126" s="108"/>
    </row>
    <row r="127" spans="7:57" ht="98.1" customHeight="1">
      <c r="G127" s="114"/>
      <c r="M127" s="130"/>
      <c r="N127" s="135"/>
      <c r="O127" s="135"/>
      <c r="P127" s="135"/>
      <c r="Q127" s="136"/>
      <c r="R127" s="135"/>
      <c r="S127" s="135"/>
      <c r="T127" s="107"/>
      <c r="AV127" s="114"/>
      <c r="BE127" s="108"/>
    </row>
    <row r="128" spans="7:57" ht="98.1" customHeight="1">
      <c r="G128" s="114"/>
      <c r="L128" s="134"/>
      <c r="M128" s="130"/>
      <c r="N128" s="135"/>
      <c r="O128" s="135"/>
      <c r="P128" s="135"/>
      <c r="Q128" s="136"/>
      <c r="R128" s="135"/>
      <c r="S128" s="135"/>
      <c r="T128" s="107"/>
      <c r="U128" s="107"/>
      <c r="AV128" s="114"/>
      <c r="BE128" s="108"/>
    </row>
    <row r="129" spans="7:57" ht="98.1" customHeight="1">
      <c r="G129" s="114"/>
      <c r="M129" s="130"/>
      <c r="N129" s="135"/>
      <c r="O129" s="135"/>
      <c r="P129" s="135"/>
      <c r="Q129" s="136"/>
      <c r="R129" s="135"/>
      <c r="S129" s="135"/>
      <c r="T129" s="107"/>
      <c r="AV129" s="114"/>
      <c r="BE129" s="108"/>
    </row>
    <row r="130" spans="7:57" ht="98.1" customHeight="1">
      <c r="G130" s="114"/>
      <c r="M130" s="130"/>
      <c r="N130" s="135"/>
      <c r="O130" s="135"/>
      <c r="P130" s="135"/>
      <c r="Q130" s="136"/>
      <c r="R130" s="135"/>
      <c r="S130" s="135"/>
      <c r="T130" s="107"/>
      <c r="AV130" s="114"/>
      <c r="BE130" s="108"/>
    </row>
    <row r="131" spans="7:57" ht="98.1" customHeight="1">
      <c r="G131" s="114"/>
      <c r="M131" s="130"/>
      <c r="N131" s="135"/>
      <c r="O131" s="135"/>
      <c r="P131" s="135"/>
      <c r="Q131" s="136"/>
      <c r="R131" s="135"/>
      <c r="S131" s="135"/>
      <c r="T131" s="107"/>
      <c r="AV131" s="114"/>
      <c r="BE131" s="108"/>
    </row>
    <row r="132" spans="7:57" ht="98.1" customHeight="1">
      <c r="G132" s="114"/>
      <c r="M132" s="130"/>
      <c r="N132" s="135"/>
      <c r="O132" s="135"/>
      <c r="P132" s="135"/>
      <c r="Q132" s="136"/>
      <c r="R132" s="135"/>
      <c r="S132" s="135"/>
      <c r="T132" s="107"/>
      <c r="AV132" s="114"/>
      <c r="BE132" s="108"/>
    </row>
    <row r="133" spans="7:57" ht="98.1" customHeight="1">
      <c r="G133" s="114"/>
      <c r="M133" s="130"/>
      <c r="N133" s="135"/>
      <c r="O133" s="135"/>
      <c r="P133" s="135"/>
      <c r="Q133" s="136"/>
      <c r="R133" s="135"/>
      <c r="S133" s="135"/>
      <c r="T133" s="107"/>
      <c r="AV133" s="114"/>
      <c r="BE133" s="108"/>
    </row>
    <row r="134" spans="7:57" ht="98.1" customHeight="1">
      <c r="G134" s="114"/>
      <c r="M134" s="130"/>
      <c r="N134" s="135"/>
      <c r="O134" s="135"/>
      <c r="P134" s="135"/>
      <c r="Q134" s="136"/>
      <c r="R134" s="135"/>
      <c r="S134" s="135"/>
      <c r="T134" s="107"/>
      <c r="AV134" s="114"/>
      <c r="BE134" s="108"/>
    </row>
    <row r="135" spans="7:57" ht="98.1" customHeight="1">
      <c r="G135" s="114"/>
      <c r="L135" s="134"/>
      <c r="M135" s="130"/>
      <c r="N135" s="135"/>
      <c r="O135" s="135"/>
      <c r="P135" s="135"/>
      <c r="Q135" s="136"/>
      <c r="R135" s="135"/>
      <c r="S135" s="135"/>
      <c r="T135" s="107"/>
      <c r="U135" s="107"/>
      <c r="AV135" s="114"/>
      <c r="BE135" s="108"/>
    </row>
    <row r="136" spans="7:57" ht="98.1" customHeight="1">
      <c r="G136" s="114"/>
      <c r="L136" s="134"/>
      <c r="M136" s="130"/>
      <c r="N136" s="135"/>
      <c r="O136" s="135"/>
      <c r="P136" s="135"/>
      <c r="Q136" s="136"/>
      <c r="R136" s="135"/>
      <c r="S136" s="135"/>
      <c r="T136" s="107"/>
      <c r="U136" s="107"/>
      <c r="AV136" s="114"/>
      <c r="BE136" s="108"/>
    </row>
    <row r="137" spans="7:57" ht="98.1" customHeight="1">
      <c r="G137" s="114"/>
      <c r="L137" s="134"/>
      <c r="M137" s="130"/>
      <c r="N137" s="135"/>
      <c r="O137" s="135"/>
      <c r="P137" s="135"/>
      <c r="Q137" s="135"/>
      <c r="R137" s="135"/>
      <c r="S137" s="135"/>
      <c r="T137" s="107"/>
      <c r="U137" s="107"/>
      <c r="AV137" s="114"/>
      <c r="BE137" s="108"/>
    </row>
    <row r="138" spans="7:57" ht="98.1" customHeight="1">
      <c r="G138" s="114"/>
      <c r="M138" s="130"/>
      <c r="N138" s="135"/>
      <c r="O138" s="135"/>
      <c r="P138" s="135"/>
      <c r="Q138" s="136"/>
      <c r="R138" s="135"/>
      <c r="S138" s="135"/>
      <c r="T138" s="107"/>
      <c r="AV138" s="114"/>
      <c r="BE138" s="108"/>
    </row>
    <row r="139" spans="7:57" ht="98.1" customHeight="1">
      <c r="G139" s="114"/>
      <c r="L139" s="134"/>
      <c r="M139" s="130"/>
      <c r="N139" s="135"/>
      <c r="O139" s="135"/>
      <c r="P139" s="135"/>
      <c r="Q139" s="136"/>
      <c r="R139" s="135"/>
      <c r="S139" s="135"/>
      <c r="T139" s="107"/>
      <c r="U139" s="107"/>
      <c r="AV139" s="114"/>
      <c r="BE139" s="108"/>
    </row>
    <row r="140" spans="7:57" ht="98.1" customHeight="1">
      <c r="G140" s="114"/>
      <c r="L140" s="134"/>
      <c r="M140" s="130"/>
      <c r="N140" s="135"/>
      <c r="O140" s="135"/>
      <c r="P140" s="135"/>
      <c r="Q140" s="136"/>
      <c r="R140" s="135"/>
      <c r="S140" s="135"/>
      <c r="T140" s="107"/>
      <c r="U140" s="107"/>
      <c r="AV140" s="114"/>
      <c r="BE140" s="108"/>
    </row>
    <row r="141" spans="7:57" ht="98.1" customHeight="1">
      <c r="G141" s="114"/>
      <c r="M141" s="130"/>
      <c r="N141" s="135"/>
      <c r="O141" s="135"/>
      <c r="P141" s="135"/>
      <c r="Q141" s="136"/>
      <c r="R141" s="135"/>
      <c r="S141" s="135"/>
      <c r="T141" s="107"/>
      <c r="AV141" s="114"/>
      <c r="BE141" s="108"/>
    </row>
    <row r="142" spans="7:57" ht="98.1" customHeight="1">
      <c r="G142" s="114"/>
      <c r="M142" s="130"/>
      <c r="N142" s="135"/>
      <c r="O142" s="135"/>
      <c r="P142" s="135"/>
      <c r="Q142" s="136"/>
      <c r="R142" s="135"/>
      <c r="S142" s="135"/>
      <c r="T142" s="107"/>
      <c r="AV142" s="114"/>
      <c r="BE142" s="108"/>
    </row>
    <row r="143" spans="7:57" ht="98.1" customHeight="1">
      <c r="G143" s="114"/>
      <c r="M143" s="130"/>
      <c r="N143" s="135"/>
      <c r="O143" s="135"/>
      <c r="P143" s="135"/>
      <c r="Q143" s="136"/>
      <c r="R143" s="135"/>
      <c r="S143" s="135"/>
      <c r="T143" s="107"/>
      <c r="AV143" s="114"/>
      <c r="BE143" s="108"/>
    </row>
    <row r="144" spans="7:57" ht="98.1" customHeight="1">
      <c r="M144" s="130"/>
      <c r="N144" s="135"/>
      <c r="O144" s="135"/>
      <c r="P144" s="135"/>
      <c r="Q144" s="136"/>
      <c r="R144" s="135"/>
      <c r="S144" s="135"/>
      <c r="AV144" s="114"/>
      <c r="BE144" s="108"/>
    </row>
    <row r="145" spans="13:57" ht="98.1" customHeight="1">
      <c r="M145" s="130"/>
      <c r="N145" s="135"/>
      <c r="O145" s="135"/>
      <c r="P145" s="135"/>
      <c r="Q145" s="136"/>
      <c r="R145" s="135"/>
      <c r="S145" s="135"/>
      <c r="AV145" s="114"/>
      <c r="BE145" s="108"/>
    </row>
    <row r="146" spans="13:57" ht="98.1" customHeight="1">
      <c r="M146" s="130"/>
      <c r="N146" s="135"/>
      <c r="O146" s="135"/>
      <c r="P146" s="135"/>
      <c r="Q146" s="136"/>
      <c r="R146" s="135"/>
      <c r="S146" s="135"/>
      <c r="AV146" s="114"/>
      <c r="BE146" s="108"/>
    </row>
    <row r="147" spans="13:57" ht="98.1" customHeight="1">
      <c r="M147" s="130"/>
      <c r="N147" s="135"/>
      <c r="O147" s="135"/>
      <c r="P147" s="135"/>
      <c r="Q147" s="136"/>
      <c r="R147" s="135"/>
      <c r="S147" s="135"/>
      <c r="AV147" s="114"/>
      <c r="BE147" s="108"/>
    </row>
    <row r="148" spans="13:57" ht="98.1" customHeight="1">
      <c r="M148" s="130"/>
      <c r="N148" s="135"/>
      <c r="O148" s="135"/>
      <c r="P148" s="135"/>
      <c r="Q148" s="136"/>
      <c r="R148" s="135"/>
      <c r="S148" s="135"/>
      <c r="AV148" s="114"/>
      <c r="BE148" s="108"/>
    </row>
    <row r="149" spans="13:57" ht="98.1" customHeight="1">
      <c r="M149" s="130"/>
      <c r="N149" s="135"/>
      <c r="O149" s="135"/>
      <c r="P149" s="135"/>
      <c r="Q149" s="136"/>
      <c r="R149" s="135"/>
      <c r="S149" s="135"/>
      <c r="AV149" s="114"/>
      <c r="BE149" s="108"/>
    </row>
    <row r="150" spans="13:57" ht="98.1" customHeight="1">
      <c r="M150" s="130"/>
      <c r="N150" s="135"/>
      <c r="O150" s="135"/>
      <c r="P150" s="135"/>
      <c r="Q150" s="136"/>
      <c r="R150" s="135"/>
      <c r="S150" s="135"/>
      <c r="AV150" s="114"/>
      <c r="BE150" s="108"/>
    </row>
    <row r="151" spans="13:57" ht="98.1" customHeight="1">
      <c r="M151" s="130"/>
      <c r="N151" s="135"/>
      <c r="O151" s="135"/>
      <c r="P151" s="135"/>
      <c r="Q151" s="136"/>
      <c r="R151" s="135"/>
      <c r="S151" s="135"/>
      <c r="AV151" s="114"/>
      <c r="BE151" s="108"/>
    </row>
    <row r="152" spans="13:57" ht="98.1" customHeight="1">
      <c r="M152" s="130"/>
      <c r="N152" s="135"/>
      <c r="O152" s="135"/>
      <c r="P152" s="135"/>
      <c r="Q152" s="136"/>
      <c r="R152" s="135"/>
      <c r="S152" s="135"/>
      <c r="AV152" s="114"/>
      <c r="BE152" s="108"/>
    </row>
    <row r="153" spans="13:57" ht="98.1" customHeight="1">
      <c r="M153" s="130"/>
      <c r="N153" s="135"/>
      <c r="O153" s="135"/>
      <c r="P153" s="135"/>
      <c r="Q153" s="136"/>
      <c r="R153" s="135"/>
      <c r="S153" s="135"/>
      <c r="AV153" s="114"/>
      <c r="BE153" s="108"/>
    </row>
    <row r="154" spans="13:57" ht="98.1" customHeight="1">
      <c r="N154" s="135"/>
      <c r="O154" s="135"/>
      <c r="P154" s="135"/>
      <c r="Q154" s="136"/>
      <c r="S154" s="135"/>
      <c r="AV154" s="114"/>
      <c r="BE154" s="108"/>
    </row>
    <row r="155" spans="13:57" ht="98.1" customHeight="1">
      <c r="N155" s="135"/>
      <c r="O155" s="135"/>
      <c r="P155" s="135"/>
      <c r="Q155" s="136"/>
      <c r="S155" s="135"/>
      <c r="AV155" s="114"/>
      <c r="BE155" s="108"/>
    </row>
    <row r="156" spans="13:57" ht="98.1" customHeight="1">
      <c r="N156" s="135"/>
      <c r="O156" s="135"/>
      <c r="P156" s="135"/>
      <c r="Q156" s="136"/>
      <c r="S156" s="135"/>
      <c r="AV156" s="114"/>
      <c r="BE156" s="108"/>
    </row>
    <row r="157" spans="13:57" ht="98.1" customHeight="1">
      <c r="N157" s="135"/>
      <c r="O157" s="135"/>
      <c r="P157" s="135"/>
      <c r="Q157" s="136"/>
      <c r="S157" s="135"/>
      <c r="AV157" s="114"/>
      <c r="BE157" s="108"/>
    </row>
    <row r="158" spans="13:57" ht="98.1" customHeight="1">
      <c r="N158" s="135"/>
      <c r="O158" s="135"/>
      <c r="P158" s="135"/>
      <c r="Q158" s="136"/>
      <c r="S158" s="135"/>
      <c r="AV158" s="114"/>
      <c r="BE158" s="108"/>
    </row>
    <row r="159" spans="13:57" ht="98.1" customHeight="1">
      <c r="N159" s="135"/>
      <c r="O159" s="135"/>
      <c r="P159" s="135"/>
      <c r="S159" s="135"/>
      <c r="AV159" s="114"/>
      <c r="BE159" s="108"/>
    </row>
    <row r="160" spans="13:57" ht="98.1" customHeight="1">
      <c r="N160" s="135"/>
      <c r="O160" s="135"/>
      <c r="P160" s="135"/>
      <c r="S160" s="135"/>
      <c r="AV160" s="114"/>
      <c r="BE160" s="108"/>
    </row>
    <row r="161" spans="14:57" ht="98.1" customHeight="1">
      <c r="N161" s="135"/>
      <c r="O161" s="135"/>
      <c r="P161" s="135"/>
      <c r="S161" s="135"/>
      <c r="AV161" s="114"/>
      <c r="BE161" s="108"/>
    </row>
    <row r="162" spans="14:57" ht="98.1" customHeight="1">
      <c r="N162" s="135"/>
      <c r="O162" s="135"/>
      <c r="P162" s="135"/>
      <c r="S162" s="135"/>
      <c r="AV162" s="114"/>
      <c r="BE162" s="108"/>
    </row>
    <row r="163" spans="14:57" ht="98.1" customHeight="1">
      <c r="N163" s="135"/>
      <c r="O163" s="135"/>
      <c r="P163" s="135"/>
      <c r="Q163" s="136"/>
      <c r="S163" s="135"/>
      <c r="AV163" s="114"/>
      <c r="BE163" s="108"/>
    </row>
    <row r="164" spans="14:57" ht="98.1" customHeight="1">
      <c r="N164" s="135"/>
      <c r="O164" s="135"/>
      <c r="P164" s="135"/>
      <c r="Q164" s="136"/>
      <c r="S164" s="135"/>
      <c r="AV164" s="114"/>
      <c r="BE164" s="108"/>
    </row>
    <row r="165" spans="14:57" ht="98.1" customHeight="1">
      <c r="N165" s="135"/>
      <c r="O165" s="135"/>
      <c r="P165" s="135"/>
      <c r="Q165" s="136"/>
      <c r="S165" s="135"/>
      <c r="AV165" s="114"/>
      <c r="BE165" s="108"/>
    </row>
    <row r="166" spans="14:57" ht="98.1" customHeight="1">
      <c r="N166" s="135"/>
      <c r="O166" s="135"/>
      <c r="P166" s="135"/>
      <c r="S166" s="135"/>
      <c r="AV166" s="114"/>
      <c r="BE166" s="108"/>
    </row>
    <row r="167" spans="14:57" ht="98.1" customHeight="1">
      <c r="N167" s="135"/>
      <c r="O167" s="135"/>
      <c r="P167" s="135"/>
      <c r="Q167" s="136"/>
      <c r="S167" s="135"/>
      <c r="AV167" s="114"/>
      <c r="BE167" s="108"/>
    </row>
    <row r="168" spans="14:57" ht="98.1" customHeight="1">
      <c r="N168" s="135"/>
      <c r="O168" s="135"/>
      <c r="P168" s="135"/>
      <c r="Q168" s="136"/>
      <c r="S168" s="135"/>
      <c r="AV168" s="114"/>
      <c r="BE168" s="108"/>
    </row>
    <row r="169" spans="14:57" ht="98.1" customHeight="1">
      <c r="N169" s="135"/>
      <c r="O169" s="135"/>
      <c r="P169" s="135"/>
      <c r="Q169" s="136"/>
      <c r="S169" s="135"/>
      <c r="AV169" s="114"/>
      <c r="BE169" s="108"/>
    </row>
    <row r="170" spans="14:57" ht="98.1" customHeight="1">
      <c r="N170" s="135"/>
      <c r="O170" s="135"/>
      <c r="P170" s="135"/>
      <c r="S170" s="135"/>
      <c r="AV170" s="114"/>
      <c r="BE170" s="108"/>
    </row>
    <row r="171" spans="14:57" ht="98.1" customHeight="1">
      <c r="N171" s="135"/>
      <c r="O171" s="135"/>
      <c r="P171" s="135"/>
      <c r="Q171" s="136"/>
      <c r="S171" s="135"/>
      <c r="AV171" s="114"/>
      <c r="BE171" s="108"/>
    </row>
    <row r="172" spans="14:57" ht="98.1" customHeight="1">
      <c r="N172" s="135"/>
      <c r="O172" s="135"/>
      <c r="P172" s="135"/>
      <c r="Q172" s="136"/>
      <c r="S172" s="135"/>
      <c r="AV172" s="114"/>
      <c r="BE172" s="108"/>
    </row>
    <row r="173" spans="14:57" ht="98.1" customHeight="1">
      <c r="N173" s="135"/>
      <c r="O173" s="135"/>
      <c r="P173" s="135"/>
      <c r="Q173" s="136"/>
      <c r="S173" s="135"/>
      <c r="AV173" s="114"/>
      <c r="BE173" s="108"/>
    </row>
    <row r="174" spans="14:57" ht="98.1" customHeight="1">
      <c r="N174" s="135"/>
      <c r="O174" s="135"/>
      <c r="P174" s="135"/>
      <c r="Q174" s="136"/>
      <c r="S174" s="135"/>
      <c r="AV174" s="114"/>
      <c r="BE174" s="108"/>
    </row>
    <row r="175" spans="14:57" ht="98.1" customHeight="1">
      <c r="N175" s="135"/>
      <c r="O175" s="135"/>
      <c r="P175" s="135"/>
      <c r="Q175" s="136"/>
      <c r="S175" s="135"/>
      <c r="AV175" s="114"/>
      <c r="BE175" s="108"/>
    </row>
    <row r="176" spans="14:57" ht="98.1" customHeight="1">
      <c r="N176" s="135"/>
      <c r="O176" s="135"/>
      <c r="P176" s="135"/>
      <c r="Q176" s="136"/>
      <c r="S176" s="135"/>
      <c r="AV176" s="114"/>
      <c r="BE176" s="108"/>
    </row>
    <row r="177" spans="14:57" ht="98.1" customHeight="1">
      <c r="N177" s="135"/>
      <c r="O177" s="135"/>
      <c r="P177" s="135"/>
      <c r="Q177" s="136"/>
      <c r="S177" s="135"/>
      <c r="AV177" s="114"/>
      <c r="BE177" s="108"/>
    </row>
    <row r="178" spans="14:57" ht="98.1" customHeight="1">
      <c r="N178" s="135"/>
      <c r="O178" s="135"/>
      <c r="P178" s="135"/>
      <c r="Q178" s="136"/>
      <c r="S178" s="135"/>
      <c r="AV178" s="114"/>
      <c r="BE178" s="108"/>
    </row>
    <row r="179" spans="14:57" ht="98.1" customHeight="1">
      <c r="N179" s="135"/>
      <c r="O179" s="135"/>
      <c r="P179" s="135"/>
      <c r="Q179" s="136"/>
      <c r="S179" s="135"/>
      <c r="AV179" s="114"/>
      <c r="BE179" s="108"/>
    </row>
    <row r="180" spans="14:57" ht="98.1" customHeight="1">
      <c r="N180" s="135"/>
      <c r="O180" s="135"/>
      <c r="P180" s="135"/>
      <c r="Q180" s="136"/>
      <c r="S180" s="135"/>
      <c r="AV180" s="114"/>
      <c r="BE180" s="108"/>
    </row>
    <row r="181" spans="14:57" ht="98.1" customHeight="1">
      <c r="N181" s="135"/>
      <c r="O181" s="135"/>
      <c r="P181" s="135"/>
      <c r="Q181" s="136"/>
      <c r="S181" s="135"/>
      <c r="AV181" s="114"/>
      <c r="BE181" s="108"/>
    </row>
    <row r="182" spans="14:57" ht="98.1" customHeight="1">
      <c r="N182" s="135"/>
      <c r="O182" s="135"/>
      <c r="P182" s="135"/>
      <c r="Q182" s="136"/>
      <c r="S182" s="135"/>
      <c r="AV182" s="114"/>
      <c r="BE182" s="108"/>
    </row>
    <row r="183" spans="14:57" ht="98.1" customHeight="1">
      <c r="N183" s="135"/>
      <c r="O183" s="135"/>
      <c r="P183" s="135"/>
      <c r="Q183" s="136"/>
      <c r="S183" s="135"/>
      <c r="AV183" s="114"/>
      <c r="BE183" s="108"/>
    </row>
    <row r="184" spans="14:57" ht="98.1" customHeight="1">
      <c r="N184" s="135"/>
      <c r="O184" s="135"/>
      <c r="P184" s="135"/>
      <c r="Q184" s="136"/>
      <c r="S184" s="135"/>
      <c r="AV184" s="114"/>
      <c r="BE184" s="108"/>
    </row>
    <row r="185" spans="14:57" ht="98.1" customHeight="1">
      <c r="N185" s="135"/>
      <c r="O185" s="135"/>
      <c r="P185" s="135"/>
      <c r="Q185" s="136"/>
      <c r="S185" s="135"/>
      <c r="AV185" s="114"/>
      <c r="BE185" s="108"/>
    </row>
    <row r="186" spans="14:57" ht="98.1" customHeight="1">
      <c r="N186" s="135"/>
      <c r="O186" s="135"/>
      <c r="P186" s="135"/>
      <c r="Q186" s="136"/>
      <c r="S186" s="135"/>
      <c r="AV186" s="114"/>
      <c r="BE186" s="108"/>
    </row>
    <row r="187" spans="14:57" ht="98.1" customHeight="1">
      <c r="N187" s="135"/>
      <c r="O187" s="135"/>
      <c r="P187" s="135"/>
      <c r="Q187" s="136"/>
      <c r="S187" s="135"/>
      <c r="AV187" s="114"/>
      <c r="BE187" s="108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B3:B187 A1:O2 D3:D22 N3:O187 A3:M3 A4:O356 P1:BD356">
    <cfRule type="expression" dxfId="25" priority="16">
      <formula>IF(УФ_Переключатель=1,IFERROR(TEXT(RIGHT(A1,255),"###"),TRUE))</formula>
    </cfRule>
  </conditionalFormatting>
  <conditionalFormatting sqref="M3:O52 B3:B187 A1:O2 D3:D22 N3:O187 A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0" bestFit="1" customWidth="1"/>
    <col min="2" max="2" width="15.28515625" style="150" bestFit="1" customWidth="1"/>
    <col min="3" max="3" width="37" style="150" bestFit="1" customWidth="1"/>
    <col min="4" max="16384" width="9.140625" style="151"/>
  </cols>
  <sheetData>
    <row r="1" spans="1:5" s="149" customFormat="1" ht="15.75">
      <c r="A1" s="146" t="s">
        <v>921</v>
      </c>
      <c r="B1" s="146" t="s">
        <v>474</v>
      </c>
      <c r="C1" s="146" t="s">
        <v>922</v>
      </c>
      <c r="D1" s="147" t="s">
        <v>923</v>
      </c>
      <c r="E1" s="148">
        <v>0</v>
      </c>
    </row>
    <row r="2" spans="1:5">
      <c r="A2" s="150" t="s">
        <v>924</v>
      </c>
      <c r="B2" s="150" t="s">
        <v>925</v>
      </c>
      <c r="C2" s="150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0" t="s">
        <v>924</v>
      </c>
      <c r="B3" s="150" t="s">
        <v>925</v>
      </c>
      <c r="C3" s="150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0" t="s">
        <v>926</v>
      </c>
      <c r="B4" s="150" t="s">
        <v>927</v>
      </c>
      <c r="C4" s="150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0" t="s">
        <v>928</v>
      </c>
      <c r="B5" s="150" t="s">
        <v>927</v>
      </c>
      <c r="C5" s="150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0" t="s">
        <v>929</v>
      </c>
      <c r="B6" s="150" t="s">
        <v>930</v>
      </c>
      <c r="C6" s="150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0" t="s">
        <v>931</v>
      </c>
      <c r="B7" s="150" t="s">
        <v>932</v>
      </c>
      <c r="C7" s="150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0" t="s">
        <v>931</v>
      </c>
      <c r="B8" s="150" t="s">
        <v>932</v>
      </c>
      <c r="C8" s="150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0" t="s">
        <v>933</v>
      </c>
      <c r="B9" s="150" t="s">
        <v>934</v>
      </c>
      <c r="C9" s="150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0" t="s">
        <v>935</v>
      </c>
      <c r="B10" s="150" t="s">
        <v>934</v>
      </c>
      <c r="C10" s="150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0" t="s">
        <v>936</v>
      </c>
      <c r="B11" s="150" t="s">
        <v>937</v>
      </c>
      <c r="C11" s="150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0" t="s">
        <v>938</v>
      </c>
      <c r="B12" s="150" t="s">
        <v>939</v>
      </c>
      <c r="C12" s="150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0" t="s">
        <v>940</v>
      </c>
      <c r="B13" s="150" t="s">
        <v>941</v>
      </c>
      <c r="C13" s="150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0" t="s">
        <v>942</v>
      </c>
      <c r="B14" s="150" t="s">
        <v>943</v>
      </c>
      <c r="C14" s="150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0" t="s">
        <v>942</v>
      </c>
      <c r="B15" s="150" t="s">
        <v>943</v>
      </c>
      <c r="C15" s="150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0" t="s">
        <v>942</v>
      </c>
      <c r="B16" s="150" t="s">
        <v>943</v>
      </c>
      <c r="C16" s="150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0" t="s">
        <v>944</v>
      </c>
      <c r="B17" s="150" t="s">
        <v>943</v>
      </c>
      <c r="C17" s="150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0" t="s">
        <v>944</v>
      </c>
      <c r="B18" s="150" t="s">
        <v>943</v>
      </c>
      <c r="C18" s="150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0" t="s">
        <v>945</v>
      </c>
      <c r="B19" s="150" t="s">
        <v>943</v>
      </c>
      <c r="C19" s="150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0" t="s">
        <v>945</v>
      </c>
      <c r="B20" s="150" t="s">
        <v>943</v>
      </c>
      <c r="C20" s="150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0" t="s">
        <v>945</v>
      </c>
      <c r="B21" s="150" t="s">
        <v>943</v>
      </c>
      <c r="C21" s="150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0" t="s">
        <v>945</v>
      </c>
      <c r="B22" s="150" t="s">
        <v>943</v>
      </c>
      <c r="C22" s="150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0" t="s">
        <v>946</v>
      </c>
      <c r="B23" s="150" t="s">
        <v>947</v>
      </c>
      <c r="C23" s="150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0" t="s">
        <v>946</v>
      </c>
      <c r="B24" s="150" t="s">
        <v>947</v>
      </c>
      <c r="C24" s="150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0" t="s">
        <v>948</v>
      </c>
      <c r="B25" s="150" t="s">
        <v>947</v>
      </c>
      <c r="C25" s="150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0" t="s">
        <v>948</v>
      </c>
      <c r="B26" s="150" t="s">
        <v>947</v>
      </c>
      <c r="C26" s="150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0" t="s">
        <v>946</v>
      </c>
      <c r="B27" s="150" t="s">
        <v>947</v>
      </c>
      <c r="C27" s="150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0" t="s">
        <v>946</v>
      </c>
      <c r="B28" s="150" t="s">
        <v>947</v>
      </c>
      <c r="C28" s="150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0" t="s">
        <v>946</v>
      </c>
      <c r="B29" s="150" t="s">
        <v>947</v>
      </c>
      <c r="C29" s="150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0" t="s">
        <v>949</v>
      </c>
      <c r="B30" s="150" t="s">
        <v>950</v>
      </c>
      <c r="C30" s="150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0" t="s">
        <v>949</v>
      </c>
      <c r="B31" s="150" t="s">
        <v>950</v>
      </c>
      <c r="C31" s="150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0" t="s">
        <v>951</v>
      </c>
      <c r="B32" s="150" t="s">
        <v>952</v>
      </c>
      <c r="C32" s="150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0" t="s">
        <v>951</v>
      </c>
      <c r="B33" s="150" t="s">
        <v>952</v>
      </c>
      <c r="C33" s="150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0" t="s">
        <v>951</v>
      </c>
      <c r="B34" s="150" t="s">
        <v>952</v>
      </c>
      <c r="C34" s="150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0" t="s">
        <v>951</v>
      </c>
      <c r="B35" s="150" t="s">
        <v>952</v>
      </c>
      <c r="C35" s="150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0" t="s">
        <v>951</v>
      </c>
      <c r="B36" s="150" t="s">
        <v>952</v>
      </c>
      <c r="C36" s="150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0" t="s">
        <v>953</v>
      </c>
      <c r="B37" s="150" t="s">
        <v>954</v>
      </c>
      <c r="C37" s="150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0" t="s">
        <v>953</v>
      </c>
      <c r="B38" s="150" t="s">
        <v>954</v>
      </c>
      <c r="C38" s="150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0" t="s">
        <v>953</v>
      </c>
      <c r="B39" s="150" t="s">
        <v>954</v>
      </c>
      <c r="C39" s="150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0" t="s">
        <v>955</v>
      </c>
      <c r="B40" s="150" t="s">
        <v>956</v>
      </c>
      <c r="C40" s="150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0" t="s">
        <v>955</v>
      </c>
      <c r="B41" s="150" t="s">
        <v>956</v>
      </c>
      <c r="C41" s="150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0" t="s">
        <v>957</v>
      </c>
      <c r="B42" s="150" t="s">
        <v>956</v>
      </c>
      <c r="C42" s="150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0" t="s">
        <v>957</v>
      </c>
      <c r="B43" s="150" t="s">
        <v>956</v>
      </c>
      <c r="C43" s="150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0" t="s">
        <v>958</v>
      </c>
      <c r="B44" s="150" t="s">
        <v>959</v>
      </c>
      <c r="C44" s="150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0" t="s">
        <v>958</v>
      </c>
      <c r="B45" s="150" t="s">
        <v>959</v>
      </c>
      <c r="C45" s="150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0" t="s">
        <v>958</v>
      </c>
      <c r="B46" s="150" t="s">
        <v>959</v>
      </c>
      <c r="C46" s="150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0" t="s">
        <v>960</v>
      </c>
      <c r="B47" s="150" t="s">
        <v>959</v>
      </c>
      <c r="C47" s="150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0" t="s">
        <v>960</v>
      </c>
      <c r="B48" s="150" t="s">
        <v>959</v>
      </c>
      <c r="C48" s="150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0" t="s">
        <v>961</v>
      </c>
      <c r="B49" s="150" t="s">
        <v>962</v>
      </c>
      <c r="C49" s="150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0" t="s">
        <v>961</v>
      </c>
      <c r="B50" s="150" t="s">
        <v>962</v>
      </c>
      <c r="C50" s="150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0" t="s">
        <v>963</v>
      </c>
      <c r="B51" s="150" t="s">
        <v>964</v>
      </c>
      <c r="C51" s="150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0" t="s">
        <v>965</v>
      </c>
      <c r="B52" s="150" t="s">
        <v>966</v>
      </c>
      <c r="C52" s="150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0" t="s">
        <v>967</v>
      </c>
      <c r="B53" s="150" t="s">
        <v>968</v>
      </c>
      <c r="C53" s="150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0" t="s">
        <v>969</v>
      </c>
      <c r="B54" s="150" t="s">
        <v>970</v>
      </c>
      <c r="C54" s="150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0" t="s">
        <v>971</v>
      </c>
      <c r="B55" s="150" t="s">
        <v>972</v>
      </c>
      <c r="C55" s="150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0" t="s">
        <v>973</v>
      </c>
      <c r="B56" s="150" t="s">
        <v>974</v>
      </c>
      <c r="C56" s="150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0" t="s">
        <v>973</v>
      </c>
      <c r="B57" s="150" t="s">
        <v>974</v>
      </c>
      <c r="C57" s="150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4" t="s">
        <v>466</v>
      </c>
      <c r="C5" s="164"/>
      <c r="D5" s="16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5"/>
      <c r="C6" s="166"/>
      <c r="D6" s="166"/>
      <c r="E6" s="16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1" t="s">
        <v>543</v>
      </c>
      <c r="C8" s="162"/>
      <c r="D8" s="162"/>
      <c r="E8" s="16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8" t="s">
        <v>572</v>
      </c>
      <c r="C9" s="169"/>
      <c r="D9" s="17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8"/>
      <c r="C17" s="159"/>
      <c r="D17" s="159"/>
      <c r="E17" s="16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9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9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9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9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9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9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9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9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9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9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9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9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15" activePane="bottomLeft" state="frozen"/>
      <selection pane="bottomLeft" activeCell="U2" sqref="U2:U22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0" t="s">
        <v>368</v>
      </c>
      <c r="F1" s="141" t="s">
        <v>369</v>
      </c>
      <c r="G1" s="145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212</v>
      </c>
      <c r="AF1" s="55" t="str">
        <f>RIGHT("000"&amp;AC1,2)&amp;"-"&amp;RIGHT("000"&amp;AE1,3)</f>
        <v>96-212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96-213-</v>
      </c>
      <c r="AI1" s="57" t="s">
        <v>582</v>
      </c>
      <c r="AJ1" s="97" t="s">
        <v>887</v>
      </c>
      <c r="AK1" s="57" t="s">
        <v>852</v>
      </c>
      <c r="AL1" s="98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2" t="s">
        <v>1587</v>
      </c>
      <c r="D2" s="72" t="s">
        <v>1588</v>
      </c>
      <c r="E2" s="72" t="s">
        <v>909</v>
      </c>
      <c r="F2" s="73">
        <v>0</v>
      </c>
      <c r="G2" s="73" t="s">
        <v>1589</v>
      </c>
      <c r="H2" s="72" t="s">
        <v>217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978</v>
      </c>
      <c r="Q2" s="72" t="s">
        <v>1590</v>
      </c>
      <c r="R2" s="72" t="s">
        <v>86</v>
      </c>
      <c r="T2" s="72" t="s">
        <v>911</v>
      </c>
      <c r="U2" s="72" t="s">
        <v>912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2" t="s">
        <v>1591</v>
      </c>
      <c r="D3" s="72" t="s">
        <v>1592</v>
      </c>
      <c r="E3" s="72" t="s">
        <v>909</v>
      </c>
      <c r="F3" s="73">
        <v>0</v>
      </c>
      <c r="G3" s="73" t="s">
        <v>1593</v>
      </c>
      <c r="H3" s="72" t="s">
        <v>244</v>
      </c>
      <c r="I3" s="72" t="s">
        <v>918</v>
      </c>
      <c r="J3" s="72" t="s">
        <v>327</v>
      </c>
      <c r="K3" s="72" t="s">
        <v>387</v>
      </c>
      <c r="L3" s="72" t="s">
        <v>887</v>
      </c>
      <c r="M3" s="72" t="s">
        <v>388</v>
      </c>
      <c r="O3" s="72" t="s">
        <v>386</v>
      </c>
      <c r="P3" s="72" t="s">
        <v>978</v>
      </c>
      <c r="Q3" s="72" t="s">
        <v>1594</v>
      </c>
      <c r="R3" s="72" t="s">
        <v>83</v>
      </c>
      <c r="T3" s="72" t="s">
        <v>911</v>
      </c>
      <c r="U3" s="72" t="s">
        <v>912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2" t="s">
        <v>1595</v>
      </c>
      <c r="D4" s="72" t="s">
        <v>1596</v>
      </c>
      <c r="E4" s="72" t="s">
        <v>909</v>
      </c>
      <c r="F4" s="73">
        <v>0</v>
      </c>
      <c r="G4" s="73" t="s">
        <v>1597</v>
      </c>
      <c r="H4" s="72" t="s">
        <v>195</v>
      </c>
      <c r="I4" s="72" t="s">
        <v>910</v>
      </c>
      <c r="J4" s="72" t="s">
        <v>356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978</v>
      </c>
      <c r="Q4" s="72" t="s">
        <v>1205</v>
      </c>
      <c r="R4" s="72" t="s">
        <v>195</v>
      </c>
      <c r="T4" s="72" t="s">
        <v>911</v>
      </c>
      <c r="U4" s="72" t="s">
        <v>914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2" t="s">
        <v>1598</v>
      </c>
      <c r="D5" s="72" t="s">
        <v>1599</v>
      </c>
      <c r="E5" s="72" t="s">
        <v>909</v>
      </c>
      <c r="F5" s="73">
        <v>0</v>
      </c>
      <c r="G5" s="73" t="s">
        <v>1600</v>
      </c>
      <c r="H5" s="72" t="s">
        <v>307</v>
      </c>
      <c r="I5" s="72" t="s">
        <v>910</v>
      </c>
      <c r="J5" s="72" t="s">
        <v>327</v>
      </c>
      <c r="K5" s="72" t="s">
        <v>387</v>
      </c>
      <c r="L5" s="72" t="s">
        <v>887</v>
      </c>
      <c r="M5" s="72" t="s">
        <v>388</v>
      </c>
      <c r="N5" s="72" t="s">
        <v>43</v>
      </c>
      <c r="O5" s="72" t="s">
        <v>541</v>
      </c>
      <c r="P5" s="72" t="s">
        <v>978</v>
      </c>
      <c r="Q5" s="72" t="s">
        <v>1162</v>
      </c>
      <c r="R5" s="72" t="s">
        <v>53</v>
      </c>
      <c r="T5" s="72" t="s">
        <v>911</v>
      </c>
      <c r="U5" s="72" t="s">
        <v>912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2" t="s">
        <v>1601</v>
      </c>
      <c r="D6" s="72" t="s">
        <v>1602</v>
      </c>
      <c r="E6" s="72" t="s">
        <v>909</v>
      </c>
      <c r="F6" s="73">
        <v>0</v>
      </c>
      <c r="G6" s="73" t="s">
        <v>1603</v>
      </c>
      <c r="H6" s="72" t="s">
        <v>231</v>
      </c>
      <c r="I6" s="72" t="s">
        <v>910</v>
      </c>
      <c r="J6" s="72" t="s">
        <v>327</v>
      </c>
      <c r="K6" s="72" t="s">
        <v>387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978</v>
      </c>
      <c r="Q6" s="72" t="s">
        <v>983</v>
      </c>
      <c r="R6" s="72" t="s">
        <v>83</v>
      </c>
      <c r="T6" s="72" t="s">
        <v>911</v>
      </c>
      <c r="U6" s="72" t="s">
        <v>914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2" t="s">
        <v>1604</v>
      </c>
      <c r="D7" s="72" t="s">
        <v>1605</v>
      </c>
      <c r="E7" s="72" t="s">
        <v>909</v>
      </c>
      <c r="F7" s="73">
        <v>0</v>
      </c>
      <c r="G7" s="73" t="s">
        <v>1606</v>
      </c>
      <c r="H7" s="72" t="s">
        <v>199</v>
      </c>
      <c r="I7" s="72" t="s">
        <v>910</v>
      </c>
      <c r="J7" s="72" t="s">
        <v>356</v>
      </c>
      <c r="K7" s="72" t="s">
        <v>382</v>
      </c>
      <c r="L7" s="72" t="s">
        <v>887</v>
      </c>
      <c r="M7" s="72" t="s">
        <v>388</v>
      </c>
      <c r="N7" s="72" t="s">
        <v>43</v>
      </c>
      <c r="O7" s="72" t="s">
        <v>541</v>
      </c>
      <c r="P7" s="72" t="s">
        <v>978</v>
      </c>
      <c r="Q7" s="72" t="s">
        <v>1562</v>
      </c>
      <c r="R7" s="72" t="s">
        <v>199</v>
      </c>
      <c r="T7" s="72" t="s">
        <v>911</v>
      </c>
      <c r="U7" s="72" t="s">
        <v>914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2" t="s">
        <v>1607</v>
      </c>
      <c r="D8" s="72" t="s">
        <v>1608</v>
      </c>
      <c r="E8" s="72" t="s">
        <v>909</v>
      </c>
      <c r="F8" s="73">
        <v>0</v>
      </c>
      <c r="G8" s="73" t="s">
        <v>1609</v>
      </c>
      <c r="H8" s="72" t="s">
        <v>71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978</v>
      </c>
      <c r="Q8" s="72" t="s">
        <v>1135</v>
      </c>
      <c r="R8" s="72" t="s">
        <v>71</v>
      </c>
      <c r="T8" s="72" t="s">
        <v>911</v>
      </c>
      <c r="U8" s="72" t="s">
        <v>914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2" t="s">
        <v>1610</v>
      </c>
      <c r="D9" s="72" t="s">
        <v>1611</v>
      </c>
      <c r="E9" s="72" t="s">
        <v>909</v>
      </c>
      <c r="F9" s="73">
        <v>0</v>
      </c>
      <c r="G9" s="73" t="s">
        <v>1612</v>
      </c>
      <c r="H9" s="72" t="s">
        <v>53</v>
      </c>
      <c r="I9" s="72" t="s">
        <v>918</v>
      </c>
      <c r="J9" s="72" t="s">
        <v>327</v>
      </c>
      <c r="K9" s="72" t="s">
        <v>382</v>
      </c>
      <c r="L9" s="72" t="s">
        <v>887</v>
      </c>
      <c r="M9" s="72" t="s">
        <v>388</v>
      </c>
      <c r="O9" s="72" t="s">
        <v>541</v>
      </c>
      <c r="P9" s="72" t="s">
        <v>978</v>
      </c>
      <c r="Q9" s="72" t="s">
        <v>987</v>
      </c>
      <c r="R9" s="72" t="s">
        <v>53</v>
      </c>
      <c r="T9" s="72" t="s">
        <v>911</v>
      </c>
      <c r="U9" s="72" t="s">
        <v>914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2" t="s">
        <v>1613</v>
      </c>
      <c r="D10" s="72" t="s">
        <v>1614</v>
      </c>
      <c r="E10" s="72" t="s">
        <v>909</v>
      </c>
      <c r="F10" s="73">
        <v>0</v>
      </c>
      <c r="G10" s="73" t="s">
        <v>1615</v>
      </c>
      <c r="H10" s="72" t="s">
        <v>120</v>
      </c>
      <c r="I10" s="72" t="s">
        <v>910</v>
      </c>
      <c r="J10" s="72" t="s">
        <v>327</v>
      </c>
      <c r="K10" s="72" t="s">
        <v>387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978</v>
      </c>
      <c r="Q10" s="72" t="s">
        <v>983</v>
      </c>
      <c r="R10" s="72" t="s">
        <v>91</v>
      </c>
      <c r="T10" s="72" t="s">
        <v>911</v>
      </c>
      <c r="U10" s="72" t="s">
        <v>914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2" t="s">
        <v>1616</v>
      </c>
      <c r="D11" s="72" t="s">
        <v>1617</v>
      </c>
      <c r="E11" s="72" t="s">
        <v>909</v>
      </c>
      <c r="F11" s="73">
        <v>0</v>
      </c>
      <c r="G11" s="73" t="s">
        <v>1618</v>
      </c>
      <c r="H11" s="72" t="s">
        <v>55</v>
      </c>
      <c r="I11" s="72" t="s">
        <v>918</v>
      </c>
      <c r="J11" s="72" t="s">
        <v>327</v>
      </c>
      <c r="K11" s="72" t="s">
        <v>382</v>
      </c>
      <c r="L11" s="72" t="s">
        <v>887</v>
      </c>
      <c r="M11" s="72" t="s">
        <v>388</v>
      </c>
      <c r="O11" s="72" t="s">
        <v>541</v>
      </c>
      <c r="P11" s="72" t="s">
        <v>978</v>
      </c>
      <c r="Q11" s="72" t="s">
        <v>1159</v>
      </c>
      <c r="R11" s="72" t="s">
        <v>71</v>
      </c>
      <c r="T11" s="72" t="s">
        <v>911</v>
      </c>
      <c r="U11" s="72" t="s">
        <v>912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2" t="s">
        <v>1619</v>
      </c>
      <c r="D12" s="72" t="s">
        <v>1620</v>
      </c>
      <c r="E12" s="72" t="s">
        <v>909</v>
      </c>
      <c r="F12" s="73">
        <v>0</v>
      </c>
      <c r="G12" s="73" t="s">
        <v>1621</v>
      </c>
      <c r="H12" s="72" t="s">
        <v>301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978</v>
      </c>
      <c r="Q12" s="72" t="s">
        <v>1517</v>
      </c>
      <c r="R12" s="72" t="s">
        <v>53</v>
      </c>
      <c r="T12" s="72" t="s">
        <v>911</v>
      </c>
      <c r="U12" s="72" t="s">
        <v>914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2" t="s">
        <v>1622</v>
      </c>
      <c r="D13" s="72" t="s">
        <v>1623</v>
      </c>
      <c r="E13" s="72" t="s">
        <v>909</v>
      </c>
      <c r="F13" s="73">
        <v>0</v>
      </c>
      <c r="G13" s="73" t="s">
        <v>1624</v>
      </c>
      <c r="H13" s="72" t="s">
        <v>71</v>
      </c>
      <c r="I13" s="72" t="s">
        <v>910</v>
      </c>
      <c r="J13" s="72" t="s">
        <v>327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978</v>
      </c>
      <c r="Q13" s="72" t="s">
        <v>1135</v>
      </c>
      <c r="R13" s="72" t="s">
        <v>71</v>
      </c>
      <c r="T13" s="72" t="s">
        <v>911</v>
      </c>
      <c r="U13" s="72" t="s">
        <v>912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2" t="s">
        <v>1625</v>
      </c>
      <c r="D14" s="72" t="s">
        <v>1626</v>
      </c>
      <c r="E14" s="72" t="s">
        <v>1038</v>
      </c>
      <c r="F14" s="73">
        <v>58</v>
      </c>
      <c r="G14" s="73" t="s">
        <v>1627</v>
      </c>
      <c r="H14" s="72" t="s">
        <v>71</v>
      </c>
      <c r="I14" s="72" t="s">
        <v>910</v>
      </c>
      <c r="J14" s="72" t="s">
        <v>783</v>
      </c>
      <c r="K14" s="72" t="s">
        <v>382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978</v>
      </c>
      <c r="Q14" s="72" t="s">
        <v>1086</v>
      </c>
      <c r="R14" s="72" t="s">
        <v>71</v>
      </c>
      <c r="T14" s="72" t="s">
        <v>911</v>
      </c>
      <c r="U14" s="72" t="s">
        <v>912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2" t="s">
        <v>1628</v>
      </c>
      <c r="D15" s="72" t="s">
        <v>1626</v>
      </c>
      <c r="E15" s="72" t="s">
        <v>1043</v>
      </c>
      <c r="F15" s="73">
        <v>56</v>
      </c>
      <c r="G15" s="73" t="s">
        <v>1627</v>
      </c>
      <c r="H15" s="72" t="s">
        <v>71</v>
      </c>
      <c r="I15" s="72" t="s">
        <v>910</v>
      </c>
      <c r="J15" s="72" t="s">
        <v>783</v>
      </c>
      <c r="K15" s="72" t="s">
        <v>382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978</v>
      </c>
      <c r="Q15" s="72" t="s">
        <v>1086</v>
      </c>
      <c r="R15" s="72" t="s">
        <v>71</v>
      </c>
      <c r="T15" s="72" t="s">
        <v>911</v>
      </c>
      <c r="U15" s="72" t="s">
        <v>912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2" t="s">
        <v>1566</v>
      </c>
      <c r="D16" s="72" t="s">
        <v>1567</v>
      </c>
      <c r="E16" s="72" t="s">
        <v>909</v>
      </c>
      <c r="F16" s="73">
        <v>0</v>
      </c>
      <c r="G16" s="73" t="s">
        <v>1568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386</v>
      </c>
      <c r="P16" s="72" t="s">
        <v>978</v>
      </c>
      <c r="Q16" s="72" t="s">
        <v>1028</v>
      </c>
      <c r="R16" s="72" t="s">
        <v>53</v>
      </c>
      <c r="S16" s="72" t="s">
        <v>913</v>
      </c>
      <c r="T16" s="72" t="s">
        <v>911</v>
      </c>
      <c r="U16" s="72" t="s">
        <v>912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2" t="s">
        <v>1569</v>
      </c>
      <c r="D17" s="72" t="s">
        <v>1570</v>
      </c>
      <c r="E17" s="72" t="s">
        <v>909</v>
      </c>
      <c r="F17" s="73">
        <v>0</v>
      </c>
      <c r="G17" s="73" t="s">
        <v>1571</v>
      </c>
      <c r="H17" s="72" t="s">
        <v>53</v>
      </c>
      <c r="I17" s="72" t="s">
        <v>910</v>
      </c>
      <c r="J17" s="72" t="s">
        <v>356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386</v>
      </c>
      <c r="P17" s="72" t="s">
        <v>978</v>
      </c>
      <c r="Q17" s="72" t="s">
        <v>987</v>
      </c>
      <c r="R17" s="72" t="s">
        <v>53</v>
      </c>
      <c r="S17" s="72" t="s">
        <v>913</v>
      </c>
      <c r="T17" s="72" t="s">
        <v>911</v>
      </c>
      <c r="U17" s="72" t="s">
        <v>914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2" t="s">
        <v>1572</v>
      </c>
      <c r="D18" s="72" t="s">
        <v>1573</v>
      </c>
      <c r="E18" s="72" t="s">
        <v>909</v>
      </c>
      <c r="F18" s="73">
        <v>0</v>
      </c>
      <c r="G18" s="73" t="s">
        <v>1574</v>
      </c>
      <c r="H18" s="72" t="s">
        <v>195</v>
      </c>
      <c r="I18" s="72" t="s">
        <v>910</v>
      </c>
      <c r="J18" s="72" t="s">
        <v>327</v>
      </c>
      <c r="K18" s="72" t="s">
        <v>382</v>
      </c>
      <c r="L18" s="72" t="s">
        <v>887</v>
      </c>
      <c r="M18" s="72" t="s">
        <v>388</v>
      </c>
      <c r="N18" s="72" t="s">
        <v>43</v>
      </c>
      <c r="O18" s="72" t="s">
        <v>386</v>
      </c>
      <c r="P18" s="72" t="s">
        <v>978</v>
      </c>
      <c r="Q18" s="72" t="s">
        <v>1205</v>
      </c>
      <c r="R18" s="72" t="s">
        <v>195</v>
      </c>
      <c r="S18" s="72" t="s">
        <v>913</v>
      </c>
      <c r="T18" s="72" t="s">
        <v>911</v>
      </c>
      <c r="U18" s="72" t="s">
        <v>914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2" t="s">
        <v>1575</v>
      </c>
      <c r="D19" s="72" t="s">
        <v>1576</v>
      </c>
      <c r="E19" s="72" t="s">
        <v>909</v>
      </c>
      <c r="F19" s="73">
        <v>0</v>
      </c>
      <c r="G19" s="73" t="s">
        <v>1577</v>
      </c>
      <c r="H19" s="72" t="s">
        <v>68</v>
      </c>
      <c r="I19" s="72" t="s">
        <v>910</v>
      </c>
      <c r="J19" s="72" t="s">
        <v>327</v>
      </c>
      <c r="K19" s="72" t="s">
        <v>382</v>
      </c>
      <c r="L19" s="72" t="s">
        <v>887</v>
      </c>
      <c r="M19" s="72" t="s">
        <v>388</v>
      </c>
      <c r="N19" s="72" t="s">
        <v>43</v>
      </c>
      <c r="O19" s="72" t="s">
        <v>386</v>
      </c>
      <c r="P19" s="72" t="s">
        <v>978</v>
      </c>
      <c r="Q19" s="72" t="s">
        <v>1168</v>
      </c>
      <c r="R19" s="72" t="s">
        <v>68</v>
      </c>
      <c r="S19" s="72" t="s">
        <v>913</v>
      </c>
      <c r="T19" s="72" t="s">
        <v>911</v>
      </c>
      <c r="U19" s="72" t="s">
        <v>914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2" t="s">
        <v>1578</v>
      </c>
      <c r="D20" s="72" t="s">
        <v>1579</v>
      </c>
      <c r="E20" s="72" t="s">
        <v>909</v>
      </c>
      <c r="F20" s="73">
        <v>0</v>
      </c>
      <c r="G20" s="73" t="s">
        <v>1580</v>
      </c>
      <c r="H20" s="72" t="s">
        <v>53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386</v>
      </c>
      <c r="P20" s="72" t="s">
        <v>978</v>
      </c>
      <c r="Q20" s="72" t="s">
        <v>997</v>
      </c>
      <c r="R20" s="72" t="s">
        <v>53</v>
      </c>
      <c r="S20" s="72" t="s">
        <v>913</v>
      </c>
      <c r="T20" s="72" t="s">
        <v>1061</v>
      </c>
      <c r="U20" s="72" t="s">
        <v>1062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2" t="s">
        <v>1581</v>
      </c>
      <c r="D21" s="72" t="s">
        <v>1582</v>
      </c>
      <c r="E21" s="72" t="s">
        <v>909</v>
      </c>
      <c r="F21" s="73">
        <v>0</v>
      </c>
      <c r="G21" s="73" t="s">
        <v>1583</v>
      </c>
      <c r="H21" s="72" t="s">
        <v>53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386</v>
      </c>
      <c r="P21" s="72" t="s">
        <v>978</v>
      </c>
      <c r="Q21" s="72" t="s">
        <v>997</v>
      </c>
      <c r="R21" s="72" t="s">
        <v>53</v>
      </c>
      <c r="S21" s="72" t="s">
        <v>913</v>
      </c>
      <c r="T21" s="72" t="s">
        <v>1061</v>
      </c>
      <c r="U21" s="72" t="s">
        <v>1155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2" t="s">
        <v>1584</v>
      </c>
      <c r="D22" s="72" t="s">
        <v>1585</v>
      </c>
      <c r="E22" s="72" t="s">
        <v>909</v>
      </c>
      <c r="F22" s="73">
        <v>0</v>
      </c>
      <c r="G22" s="73" t="s">
        <v>1586</v>
      </c>
      <c r="H22" s="72" t="s">
        <v>78</v>
      </c>
      <c r="I22" s="72" t="s">
        <v>910</v>
      </c>
      <c r="J22" s="72" t="s">
        <v>327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386</v>
      </c>
      <c r="P22" s="72" t="s">
        <v>978</v>
      </c>
      <c r="Q22" s="72" t="s">
        <v>1051</v>
      </c>
      <c r="R22" s="72" t="s">
        <v>78</v>
      </c>
      <c r="S22" s="72" t="s">
        <v>913</v>
      </c>
      <c r="T22" s="72" t="s">
        <v>911</v>
      </c>
      <c r="U22" s="72" t="s">
        <v>914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60112702blk</v>
      </c>
      <c r="B23" s="60" t="str">
        <f t="shared" si="3"/>
        <v>96-046-09</v>
      </c>
      <c r="C23" s="72" t="s">
        <v>1473</v>
      </c>
      <c r="D23" s="72" t="s">
        <v>1474</v>
      </c>
      <c r="E23" s="72" t="s">
        <v>909</v>
      </c>
      <c r="F23" s="73">
        <v>0</v>
      </c>
      <c r="G23" s="73" t="s">
        <v>1475</v>
      </c>
      <c r="H23" s="72" t="s">
        <v>53</v>
      </c>
      <c r="I23" s="72" t="s">
        <v>910</v>
      </c>
      <c r="J23" s="72" t="s">
        <v>356</v>
      </c>
      <c r="K23" s="72" t="s">
        <v>382</v>
      </c>
      <c r="L23" s="72" t="s">
        <v>887</v>
      </c>
      <c r="M23" s="72" t="s">
        <v>388</v>
      </c>
      <c r="N23" s="72" t="s">
        <v>43</v>
      </c>
      <c r="O23" s="72" t="s">
        <v>541</v>
      </c>
      <c r="P23" s="72" t="s">
        <v>978</v>
      </c>
      <c r="Q23" s="72" t="s">
        <v>987</v>
      </c>
      <c r="R23" s="72" t="s">
        <v>53</v>
      </c>
      <c r="S23" s="72" t="s">
        <v>913</v>
      </c>
      <c r="T23" s="72" t="s">
        <v>911</v>
      </c>
      <c r="U23" s="72" t="s">
        <v>915</v>
      </c>
      <c r="V23" s="60" t="str">
        <f t="shared" si="4"/>
        <v>60112702черный</v>
      </c>
      <c r="W23" s="60" t="str">
        <f t="shared" si="0"/>
        <v>60112702</v>
      </c>
      <c r="X23" s="60" t="str">
        <f t="shared" si="5"/>
        <v>Boston Red Sox</v>
      </c>
      <c r="AC23" s="51">
        <f t="shared" si="6"/>
        <v>96</v>
      </c>
      <c r="AD23" s="44">
        <f t="shared" si="1"/>
        <v>46</v>
      </c>
      <c r="AE23" s="51">
        <f t="shared" si="7"/>
        <v>96046</v>
      </c>
    </row>
    <row r="24" spans="1:31">
      <c r="A24" s="60" t="str">
        <f t="shared" si="2"/>
        <v>60222526whi</v>
      </c>
      <c r="B24" s="60" t="str">
        <f t="shared" si="3"/>
        <v>96-045-35</v>
      </c>
      <c r="C24" s="72" t="s">
        <v>1476</v>
      </c>
      <c r="D24" s="72" t="s">
        <v>1477</v>
      </c>
      <c r="E24" s="72" t="s">
        <v>909</v>
      </c>
      <c r="F24" s="73">
        <v>0</v>
      </c>
      <c r="G24" s="73" t="s">
        <v>1478</v>
      </c>
      <c r="H24" s="72" t="s">
        <v>1479</v>
      </c>
      <c r="I24" s="72" t="s">
        <v>910</v>
      </c>
      <c r="J24" s="72" t="s">
        <v>327</v>
      </c>
      <c r="K24" s="72" t="s">
        <v>387</v>
      </c>
      <c r="L24" s="72" t="s">
        <v>887</v>
      </c>
      <c r="M24" s="72" t="s">
        <v>388</v>
      </c>
      <c r="N24" s="72" t="s">
        <v>43</v>
      </c>
      <c r="O24" s="72" t="s">
        <v>541</v>
      </c>
      <c r="P24" s="72" t="s">
        <v>978</v>
      </c>
      <c r="Q24" s="72" t="s">
        <v>983</v>
      </c>
      <c r="R24" s="72" t="s">
        <v>68</v>
      </c>
      <c r="S24" s="72" t="s">
        <v>913</v>
      </c>
      <c r="T24" s="72" t="s">
        <v>911</v>
      </c>
      <c r="U24" s="72" t="s">
        <v>914</v>
      </c>
      <c r="V24" s="60" t="str">
        <f t="shared" si="4"/>
        <v>60222526персиковый / белый</v>
      </c>
      <c r="W24" s="60" t="str">
        <f t="shared" si="0"/>
        <v>60222526</v>
      </c>
      <c r="X24" s="60" t="str">
        <f t="shared" si="5"/>
        <v>New York Yankees</v>
      </c>
      <c r="AC24" s="51">
        <f t="shared" si="6"/>
        <v>96</v>
      </c>
      <c r="AD24" s="44">
        <f t="shared" si="1"/>
        <v>45</v>
      </c>
      <c r="AE24" s="51">
        <f t="shared" si="7"/>
        <v>96045</v>
      </c>
    </row>
    <row r="25" spans="1:31">
      <c r="A25" s="60" t="str">
        <f t="shared" si="2"/>
        <v>60222524whi</v>
      </c>
      <c r="B25" s="60" t="str">
        <f t="shared" si="3"/>
        <v>96-044-32</v>
      </c>
      <c r="C25" s="72" t="s">
        <v>1480</v>
      </c>
      <c r="D25" s="72" t="s">
        <v>1481</v>
      </c>
      <c r="E25" s="72" t="s">
        <v>909</v>
      </c>
      <c r="F25" s="73">
        <v>0</v>
      </c>
      <c r="G25" s="73" t="s">
        <v>1482</v>
      </c>
      <c r="H25" s="72" t="s">
        <v>1483</v>
      </c>
      <c r="I25" s="72" t="s">
        <v>910</v>
      </c>
      <c r="J25" s="72" t="s">
        <v>327</v>
      </c>
      <c r="K25" s="72" t="s">
        <v>387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978</v>
      </c>
      <c r="Q25" s="72" t="s">
        <v>983</v>
      </c>
      <c r="R25" s="72" t="s">
        <v>286</v>
      </c>
      <c r="S25" s="72" t="s">
        <v>913</v>
      </c>
      <c r="T25" s="72" t="s">
        <v>911</v>
      </c>
      <c r="U25" s="72" t="s">
        <v>914</v>
      </c>
      <c r="V25" s="60" t="str">
        <f t="shared" si="4"/>
        <v>60222524сиреневый / белый</v>
      </c>
      <c r="W25" s="60" t="str">
        <f t="shared" si="0"/>
        <v>60222524</v>
      </c>
      <c r="X25" s="60" t="str">
        <f t="shared" si="5"/>
        <v>New York Yankees</v>
      </c>
      <c r="AC25" s="51">
        <f t="shared" si="6"/>
        <v>96</v>
      </c>
      <c r="AD25" s="44">
        <f t="shared" si="1"/>
        <v>44</v>
      </c>
      <c r="AE25" s="51">
        <f t="shared" si="7"/>
        <v>96044</v>
      </c>
    </row>
    <row r="26" spans="1:31">
      <c r="A26" s="60" t="str">
        <f t="shared" si="2"/>
        <v>60222496blk</v>
      </c>
      <c r="B26" s="60" t="str">
        <f t="shared" si="3"/>
        <v>96-043-72</v>
      </c>
      <c r="C26" s="72" t="s">
        <v>1484</v>
      </c>
      <c r="D26" s="72" t="s">
        <v>1485</v>
      </c>
      <c r="E26" s="72" t="s">
        <v>909</v>
      </c>
      <c r="F26" s="73">
        <v>0</v>
      </c>
      <c r="G26" s="73" t="s">
        <v>1486</v>
      </c>
      <c r="H26" s="72" t="s">
        <v>293</v>
      </c>
      <c r="I26" s="72" t="s">
        <v>918</v>
      </c>
      <c r="J26" s="72" t="s">
        <v>327</v>
      </c>
      <c r="K26" s="72" t="s">
        <v>382</v>
      </c>
      <c r="L26" s="72" t="s">
        <v>887</v>
      </c>
      <c r="M26" s="72" t="s">
        <v>388</v>
      </c>
      <c r="O26" s="72" t="s">
        <v>386</v>
      </c>
      <c r="P26" s="72" t="s">
        <v>978</v>
      </c>
      <c r="Q26" s="72" t="s">
        <v>987</v>
      </c>
      <c r="R26" s="72" t="s">
        <v>53</v>
      </c>
      <c r="S26" s="72" t="s">
        <v>913</v>
      </c>
      <c r="T26" s="72" t="s">
        <v>911</v>
      </c>
      <c r="U26" s="72" t="s">
        <v>912</v>
      </c>
      <c r="V26" s="60" t="str">
        <f t="shared" si="4"/>
        <v>60222496черный / белый</v>
      </c>
      <c r="W26" s="60" t="str">
        <f t="shared" si="0"/>
        <v>60222496</v>
      </c>
      <c r="X26" s="60" t="str">
        <f t="shared" si="5"/>
        <v>Los Angeles Dodgers</v>
      </c>
      <c r="AC26" s="51">
        <f t="shared" si="6"/>
        <v>96</v>
      </c>
      <c r="AD26" s="44">
        <f t="shared" si="1"/>
        <v>43</v>
      </c>
      <c r="AE26" s="51">
        <f t="shared" si="7"/>
        <v>96043</v>
      </c>
    </row>
    <row r="27" spans="1:31">
      <c r="A27" s="60" t="str">
        <f t="shared" si="2"/>
        <v>60222493blk</v>
      </c>
      <c r="B27" s="60" t="str">
        <f t="shared" si="3"/>
        <v>96-042-72</v>
      </c>
      <c r="C27" s="72" t="s">
        <v>1487</v>
      </c>
      <c r="D27" s="72" t="s">
        <v>1488</v>
      </c>
      <c r="E27" s="72" t="s">
        <v>909</v>
      </c>
      <c r="F27" s="73">
        <v>0</v>
      </c>
      <c r="G27" s="73" t="s">
        <v>1489</v>
      </c>
      <c r="H27" s="72" t="s">
        <v>293</v>
      </c>
      <c r="I27" s="72" t="s">
        <v>918</v>
      </c>
      <c r="J27" s="72" t="s">
        <v>327</v>
      </c>
      <c r="K27" s="72" t="s">
        <v>382</v>
      </c>
      <c r="L27" s="72" t="s">
        <v>887</v>
      </c>
      <c r="M27" s="72" t="s">
        <v>388</v>
      </c>
      <c r="O27" s="72" t="s">
        <v>386</v>
      </c>
      <c r="P27" s="72" t="s">
        <v>978</v>
      </c>
      <c r="Q27" s="72" t="s">
        <v>987</v>
      </c>
      <c r="R27" s="72" t="s">
        <v>53</v>
      </c>
      <c r="S27" s="72" t="s">
        <v>913</v>
      </c>
      <c r="T27" s="72" t="s">
        <v>1061</v>
      </c>
      <c r="U27" s="72" t="s">
        <v>1155</v>
      </c>
      <c r="V27" s="60" t="str">
        <f t="shared" si="4"/>
        <v>60222493черный / белый</v>
      </c>
      <c r="W27" s="60" t="str">
        <f t="shared" si="0"/>
        <v>60222493</v>
      </c>
      <c r="X27" s="60" t="str">
        <f t="shared" si="5"/>
        <v>Los Angeles Lakers</v>
      </c>
      <c r="AC27" s="51">
        <f t="shared" si="6"/>
        <v>96</v>
      </c>
      <c r="AD27" s="44">
        <f t="shared" si="1"/>
        <v>42</v>
      </c>
      <c r="AE27" s="51">
        <f t="shared" si="7"/>
        <v>96042</v>
      </c>
    </row>
    <row r="28" spans="1:31">
      <c r="A28" s="60" t="str">
        <f t="shared" si="2"/>
        <v>60222486blk</v>
      </c>
      <c r="B28" s="60" t="str">
        <f t="shared" si="3"/>
        <v>96-041-72</v>
      </c>
      <c r="C28" s="72" t="s">
        <v>1490</v>
      </c>
      <c r="D28" s="72" t="s">
        <v>1491</v>
      </c>
      <c r="E28" s="72" t="s">
        <v>909</v>
      </c>
      <c r="F28" s="73">
        <v>0</v>
      </c>
      <c r="G28" s="73" t="s">
        <v>1492</v>
      </c>
      <c r="H28" s="72" t="s">
        <v>293</v>
      </c>
      <c r="I28" s="72" t="s">
        <v>918</v>
      </c>
      <c r="J28" s="72" t="s">
        <v>327</v>
      </c>
      <c r="K28" s="72" t="s">
        <v>382</v>
      </c>
      <c r="L28" s="72" t="s">
        <v>887</v>
      </c>
      <c r="M28" s="72" t="s">
        <v>388</v>
      </c>
      <c r="O28" s="72" t="s">
        <v>386</v>
      </c>
      <c r="P28" s="72" t="s">
        <v>978</v>
      </c>
      <c r="Q28" s="72" t="s">
        <v>987</v>
      </c>
      <c r="R28" s="72" t="s">
        <v>53</v>
      </c>
      <c r="S28" s="72" t="s">
        <v>913</v>
      </c>
      <c r="T28" s="72" t="s">
        <v>1061</v>
      </c>
      <c r="U28" s="72" t="s">
        <v>1062</v>
      </c>
      <c r="V28" s="60" t="str">
        <f t="shared" si="4"/>
        <v>60222486черный / белый</v>
      </c>
      <c r="W28" s="60" t="str">
        <f t="shared" si="0"/>
        <v>60222486</v>
      </c>
      <c r="X28" s="60" t="str">
        <f t="shared" si="5"/>
        <v>Chicago Bulls</v>
      </c>
      <c r="AC28" s="51">
        <f t="shared" si="6"/>
        <v>96</v>
      </c>
      <c r="AD28" s="44">
        <f t="shared" si="1"/>
        <v>41</v>
      </c>
      <c r="AE28" s="51">
        <f t="shared" si="7"/>
        <v>96041</v>
      </c>
    </row>
    <row r="29" spans="1:31">
      <c r="A29" s="60" t="str">
        <f t="shared" si="2"/>
        <v>60222480atbirf</v>
      </c>
      <c r="B29" s="60" t="str">
        <f t="shared" si="3"/>
        <v>96-040-06</v>
      </c>
      <c r="C29" s="72" t="s">
        <v>1493</v>
      </c>
      <c r="D29" s="72" t="s">
        <v>1494</v>
      </c>
      <c r="E29" s="72" t="s">
        <v>909</v>
      </c>
      <c r="F29" s="73">
        <v>0</v>
      </c>
      <c r="G29" s="73" t="s">
        <v>1495</v>
      </c>
      <c r="H29" s="72" t="s">
        <v>71</v>
      </c>
      <c r="I29" s="72" t="s">
        <v>910</v>
      </c>
      <c r="J29" s="72" t="s">
        <v>327</v>
      </c>
      <c r="K29" s="72" t="s">
        <v>382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978</v>
      </c>
      <c r="Q29" s="72" t="s">
        <v>1496</v>
      </c>
      <c r="R29" s="72" t="s">
        <v>71</v>
      </c>
      <c r="S29" s="72" t="s">
        <v>913</v>
      </c>
      <c r="T29" s="72" t="s">
        <v>911</v>
      </c>
      <c r="U29" s="72" t="s">
        <v>914</v>
      </c>
      <c r="V29" s="60" t="str">
        <f t="shared" si="4"/>
        <v>60222480синий</v>
      </c>
      <c r="W29" s="60" t="str">
        <f t="shared" si="0"/>
        <v>60222480</v>
      </c>
      <c r="X29" s="60" t="str">
        <f t="shared" si="5"/>
        <v>New York Yankees</v>
      </c>
      <c r="AC29" s="51">
        <f t="shared" si="6"/>
        <v>96</v>
      </c>
      <c r="AD29" s="44">
        <f t="shared" si="1"/>
        <v>40</v>
      </c>
      <c r="AE29" s="51">
        <f t="shared" si="7"/>
        <v>96040</v>
      </c>
    </row>
    <row r="30" spans="1:31">
      <c r="A30" s="60" t="str">
        <f t="shared" si="2"/>
        <v>60222459blt</v>
      </c>
      <c r="B30" s="60" t="str">
        <f t="shared" si="3"/>
        <v>96-039-11</v>
      </c>
      <c r="C30" s="72" t="s">
        <v>1497</v>
      </c>
      <c r="D30" s="72" t="s">
        <v>1498</v>
      </c>
      <c r="E30" s="72" t="s">
        <v>909</v>
      </c>
      <c r="F30" s="73">
        <v>0</v>
      </c>
      <c r="G30" s="73" t="s">
        <v>1499</v>
      </c>
      <c r="H30" s="72" t="s">
        <v>149</v>
      </c>
      <c r="I30" s="72" t="s">
        <v>1500</v>
      </c>
      <c r="J30" s="72" t="s">
        <v>327</v>
      </c>
      <c r="K30" s="72" t="s">
        <v>387</v>
      </c>
      <c r="L30" s="72" t="s">
        <v>887</v>
      </c>
      <c r="M30" s="72" t="s">
        <v>388</v>
      </c>
      <c r="N30" s="72" t="s">
        <v>43</v>
      </c>
      <c r="O30" s="72" t="s">
        <v>386</v>
      </c>
      <c r="P30" s="72" t="s">
        <v>978</v>
      </c>
      <c r="Q30" s="72" t="s">
        <v>1501</v>
      </c>
      <c r="R30" s="72" t="s">
        <v>60</v>
      </c>
      <c r="S30" s="72" t="s">
        <v>913</v>
      </c>
      <c r="T30" s="72" t="s">
        <v>911</v>
      </c>
      <c r="U30" s="72" t="s">
        <v>914</v>
      </c>
      <c r="V30" s="60" t="str">
        <f t="shared" si="4"/>
        <v>60222459зеленый / белый</v>
      </c>
      <c r="W30" s="60" t="str">
        <f t="shared" si="0"/>
        <v>60222459</v>
      </c>
      <c r="X30" s="60" t="str">
        <f t="shared" si="5"/>
        <v>New York Yankees</v>
      </c>
      <c r="AC30" s="51">
        <f t="shared" si="6"/>
        <v>96</v>
      </c>
      <c r="AD30" s="44">
        <f t="shared" si="1"/>
        <v>39</v>
      </c>
      <c r="AE30" s="51">
        <f t="shared" si="7"/>
        <v>96039</v>
      </c>
    </row>
    <row r="31" spans="1:31">
      <c r="A31" s="60" t="str">
        <f t="shared" si="2"/>
        <v>60222458gra</v>
      </c>
      <c r="B31" s="60" t="str">
        <f t="shared" si="3"/>
        <v>96-038-50</v>
      </c>
      <c r="C31" s="72" t="s">
        <v>1502</v>
      </c>
      <c r="D31" s="72" t="s">
        <v>1503</v>
      </c>
      <c r="E31" s="72" t="s">
        <v>909</v>
      </c>
      <c r="F31" s="73">
        <v>0</v>
      </c>
      <c r="G31" s="73" t="s">
        <v>1504</v>
      </c>
      <c r="H31" s="72" t="s">
        <v>237</v>
      </c>
      <c r="I31" s="72" t="s">
        <v>1500</v>
      </c>
      <c r="J31" s="72" t="s">
        <v>327</v>
      </c>
      <c r="K31" s="72" t="s">
        <v>387</v>
      </c>
      <c r="L31" s="72" t="s">
        <v>887</v>
      </c>
      <c r="M31" s="72" t="s">
        <v>388</v>
      </c>
      <c r="N31" s="72" t="s">
        <v>43</v>
      </c>
      <c r="O31" s="72" t="s">
        <v>386</v>
      </c>
      <c r="P31" s="72" t="s">
        <v>978</v>
      </c>
      <c r="Q31" s="72" t="s">
        <v>1142</v>
      </c>
      <c r="R31" s="72" t="s">
        <v>83</v>
      </c>
      <c r="S31" s="72" t="s">
        <v>913</v>
      </c>
      <c r="T31" s="72" t="s">
        <v>911</v>
      </c>
      <c r="U31" s="72" t="s">
        <v>914</v>
      </c>
      <c r="V31" s="60" t="str">
        <f t="shared" si="4"/>
        <v>60222458серый / белый</v>
      </c>
      <c r="W31" s="60" t="str">
        <f t="shared" si="0"/>
        <v>60222458</v>
      </c>
      <c r="X31" s="60" t="str">
        <f t="shared" si="5"/>
        <v>New York Yankees</v>
      </c>
      <c r="AC31" s="51">
        <f t="shared" si="6"/>
        <v>96</v>
      </c>
      <c r="AD31" s="44">
        <f t="shared" si="1"/>
        <v>38</v>
      </c>
      <c r="AE31" s="51">
        <f t="shared" si="7"/>
        <v>96038</v>
      </c>
    </row>
    <row r="32" spans="1:31">
      <c r="A32" s="60" t="str">
        <f t="shared" si="2"/>
        <v>60222441wht</v>
      </c>
      <c r="B32" s="60" t="str">
        <f t="shared" si="3"/>
        <v>96-037-12</v>
      </c>
      <c r="C32" s="72" t="s">
        <v>1505</v>
      </c>
      <c r="D32" s="72" t="s">
        <v>1506</v>
      </c>
      <c r="E32" s="72" t="s">
        <v>909</v>
      </c>
      <c r="F32" s="73">
        <v>0</v>
      </c>
      <c r="G32" s="73" t="s">
        <v>1507</v>
      </c>
      <c r="H32" s="72" t="s">
        <v>1508</v>
      </c>
      <c r="I32" s="72" t="s">
        <v>910</v>
      </c>
      <c r="J32" s="72" t="s">
        <v>327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386</v>
      </c>
      <c r="P32" s="72" t="s">
        <v>978</v>
      </c>
      <c r="Q32" s="72" t="s">
        <v>1287</v>
      </c>
      <c r="R32" s="72" t="s">
        <v>60</v>
      </c>
      <c r="S32" s="72" t="s">
        <v>913</v>
      </c>
      <c r="T32" s="72" t="s">
        <v>911</v>
      </c>
      <c r="U32" s="72" t="s">
        <v>914</v>
      </c>
      <c r="V32" s="60" t="str">
        <f t="shared" si="4"/>
        <v>60222441зеленый / камуфляж</v>
      </c>
      <c r="W32" s="60" t="str">
        <f t="shared" si="0"/>
        <v>60222441</v>
      </c>
      <c r="X32" s="60" t="str">
        <f t="shared" si="5"/>
        <v>New York Yankees</v>
      </c>
      <c r="AC32" s="51">
        <f t="shared" si="6"/>
        <v>96</v>
      </c>
      <c r="AD32" s="44">
        <f t="shared" si="1"/>
        <v>37</v>
      </c>
      <c r="AE32" s="51">
        <f t="shared" si="7"/>
        <v>96037</v>
      </c>
    </row>
    <row r="33" spans="1:31">
      <c r="A33" s="60" t="str">
        <f t="shared" si="2"/>
        <v>60222436atb</v>
      </c>
      <c r="B33" s="60" t="str">
        <f t="shared" si="3"/>
        <v>96-036-95</v>
      </c>
      <c r="C33" s="72" t="s">
        <v>1509</v>
      </c>
      <c r="D33" s="72" t="s">
        <v>1510</v>
      </c>
      <c r="E33" s="72" t="s">
        <v>909</v>
      </c>
      <c r="F33" s="73">
        <v>0</v>
      </c>
      <c r="G33" s="73" t="s">
        <v>1511</v>
      </c>
      <c r="H33" s="72" t="s">
        <v>248</v>
      </c>
      <c r="I33" s="72" t="s">
        <v>1512</v>
      </c>
      <c r="J33" s="72" t="s">
        <v>356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978</v>
      </c>
      <c r="Q33" s="72" t="s">
        <v>1197</v>
      </c>
      <c r="R33" s="72" t="s">
        <v>71</v>
      </c>
      <c r="S33" s="72" t="s">
        <v>913</v>
      </c>
      <c r="T33" s="72" t="s">
        <v>911</v>
      </c>
      <c r="U33" s="72" t="s">
        <v>912</v>
      </c>
      <c r="V33" s="60" t="str">
        <f t="shared" si="4"/>
        <v>60222436синий / белый</v>
      </c>
      <c r="W33" s="60" t="str">
        <f t="shared" si="0"/>
        <v>60222436</v>
      </c>
      <c r="X33" s="60" t="str">
        <f t="shared" si="5"/>
        <v>Los Angeles Dodgers</v>
      </c>
      <c r="AC33" s="51">
        <f t="shared" si="6"/>
        <v>96</v>
      </c>
      <c r="AD33" s="44">
        <f t="shared" si="1"/>
        <v>36</v>
      </c>
      <c r="AE33" s="51">
        <f t="shared" si="7"/>
        <v>96036</v>
      </c>
    </row>
    <row r="34" spans="1:31">
      <c r="A34" s="60" t="str">
        <f t="shared" si="2"/>
        <v>60222426tof</v>
      </c>
      <c r="B34" s="60" t="str">
        <f t="shared" si="3"/>
        <v>96-035-15</v>
      </c>
      <c r="C34" s="72" t="s">
        <v>1513</v>
      </c>
      <c r="D34" s="72" t="s">
        <v>1514</v>
      </c>
      <c r="E34" s="72" t="s">
        <v>909</v>
      </c>
      <c r="F34" s="73">
        <v>0</v>
      </c>
      <c r="G34" s="73" t="s">
        <v>1515</v>
      </c>
      <c r="H34" s="72" t="s">
        <v>1516</v>
      </c>
      <c r="I34" s="72" t="s">
        <v>910</v>
      </c>
      <c r="J34" s="72" t="s">
        <v>327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386</v>
      </c>
      <c r="P34" s="72" t="s">
        <v>978</v>
      </c>
      <c r="Q34" s="72" t="s">
        <v>1517</v>
      </c>
      <c r="R34" s="72" t="s">
        <v>86</v>
      </c>
      <c r="S34" s="72" t="s">
        <v>913</v>
      </c>
      <c r="T34" s="72" t="s">
        <v>911</v>
      </c>
      <c r="U34" s="72" t="s">
        <v>912</v>
      </c>
      <c r="V34" s="60" t="str">
        <f t="shared" si="4"/>
        <v>60222426рыжий / камуфляж</v>
      </c>
      <c r="W34" s="60" t="str">
        <f t="shared" si="0"/>
        <v>60222426</v>
      </c>
      <c r="X34" s="60" t="str">
        <f t="shared" si="5"/>
        <v>Los Angeles Dodgers</v>
      </c>
      <c r="AC34" s="51">
        <f t="shared" si="6"/>
        <v>96</v>
      </c>
      <c r="AD34" s="44">
        <f t="shared" si="1"/>
        <v>35</v>
      </c>
      <c r="AE34" s="51">
        <f t="shared" si="7"/>
        <v>96035</v>
      </c>
    </row>
    <row r="35" spans="1:31">
      <c r="A35" s="60" t="str">
        <f t="shared" si="2"/>
        <v>60222424whi</v>
      </c>
      <c r="B35" s="60" t="str">
        <f t="shared" si="3"/>
        <v>96-034-65</v>
      </c>
      <c r="C35" s="72" t="s">
        <v>1518</v>
      </c>
      <c r="D35" s="72" t="s">
        <v>1519</v>
      </c>
      <c r="E35" s="72" t="s">
        <v>909</v>
      </c>
      <c r="F35" s="73">
        <v>0</v>
      </c>
      <c r="G35" s="73" t="s">
        <v>1520</v>
      </c>
      <c r="H35" s="72" t="s">
        <v>678</v>
      </c>
      <c r="I35" s="72" t="s">
        <v>918</v>
      </c>
      <c r="J35" s="72" t="s">
        <v>356</v>
      </c>
      <c r="K35" s="72" t="s">
        <v>382</v>
      </c>
      <c r="L35" s="72" t="s">
        <v>887</v>
      </c>
      <c r="M35" s="72" t="s">
        <v>388</v>
      </c>
      <c r="O35" s="72" t="s">
        <v>386</v>
      </c>
      <c r="P35" s="72" t="s">
        <v>978</v>
      </c>
      <c r="Q35" s="72" t="s">
        <v>983</v>
      </c>
      <c r="R35" s="72" t="s">
        <v>71</v>
      </c>
      <c r="S35" s="72" t="s">
        <v>913</v>
      </c>
      <c r="T35" s="72" t="s">
        <v>911</v>
      </c>
      <c r="U35" s="72" t="s">
        <v>914</v>
      </c>
      <c r="V35" s="60" t="str">
        <f t="shared" si="4"/>
        <v>60222424темно-синий / белый</v>
      </c>
      <c r="W35" s="60" t="str">
        <f t="shared" si="0"/>
        <v>60222424</v>
      </c>
      <c r="X35" s="60" t="str">
        <f t="shared" si="5"/>
        <v>New York Yankees</v>
      </c>
      <c r="AC35" s="51">
        <f t="shared" si="6"/>
        <v>96</v>
      </c>
      <c r="AD35" s="44">
        <f t="shared" si="1"/>
        <v>34</v>
      </c>
      <c r="AE35" s="51">
        <f t="shared" si="7"/>
        <v>96034</v>
      </c>
    </row>
    <row r="36" spans="1:31">
      <c r="A36" s="60" t="str">
        <f t="shared" si="2"/>
        <v>60222423sgr</v>
      </c>
      <c r="B36" s="60" t="str">
        <f t="shared" si="3"/>
        <v>96-033-47</v>
      </c>
      <c r="C36" s="72" t="s">
        <v>1521</v>
      </c>
      <c r="D36" s="72" t="s">
        <v>1522</v>
      </c>
      <c r="E36" s="72" t="s">
        <v>909</v>
      </c>
      <c r="F36" s="73">
        <v>0</v>
      </c>
      <c r="G36" s="73" t="s">
        <v>1523</v>
      </c>
      <c r="H36" s="72" t="s">
        <v>246</v>
      </c>
      <c r="I36" s="72" t="s">
        <v>918</v>
      </c>
      <c r="J36" s="72" t="s">
        <v>356</v>
      </c>
      <c r="K36" s="72" t="s">
        <v>382</v>
      </c>
      <c r="L36" s="72" t="s">
        <v>887</v>
      </c>
      <c r="M36" s="72" t="s">
        <v>388</v>
      </c>
      <c r="O36" s="72" t="s">
        <v>386</v>
      </c>
      <c r="P36" s="72" t="s">
        <v>978</v>
      </c>
      <c r="Q36" s="72" t="s">
        <v>1524</v>
      </c>
      <c r="R36" s="72" t="s">
        <v>83</v>
      </c>
      <c r="S36" s="72" t="s">
        <v>913</v>
      </c>
      <c r="T36" s="72" t="s">
        <v>1080</v>
      </c>
      <c r="U36" s="72" t="s">
        <v>1081</v>
      </c>
      <c r="V36" s="60" t="str">
        <f t="shared" si="4"/>
        <v>60222423серый / черный</v>
      </c>
      <c r="W36" s="60" t="str">
        <f t="shared" si="0"/>
        <v>60222423</v>
      </c>
      <c r="X36" s="60" t="str">
        <f t="shared" si="5"/>
        <v>Las Vegas Raiders</v>
      </c>
      <c r="AC36" s="51">
        <f t="shared" si="6"/>
        <v>96</v>
      </c>
      <c r="AD36" s="44">
        <f t="shared" si="1"/>
        <v>33</v>
      </c>
      <c r="AE36" s="51">
        <f t="shared" si="7"/>
        <v>96033</v>
      </c>
    </row>
    <row r="37" spans="1:31">
      <c r="A37" s="60" t="str">
        <f t="shared" si="2"/>
        <v>60222402tof</v>
      </c>
      <c r="B37" s="60" t="str">
        <f t="shared" si="3"/>
        <v>96-032-13</v>
      </c>
      <c r="C37" s="72" t="s">
        <v>1525</v>
      </c>
      <c r="D37" s="72" t="s">
        <v>1526</v>
      </c>
      <c r="E37" s="72" t="s">
        <v>909</v>
      </c>
      <c r="F37" s="73">
        <v>0</v>
      </c>
      <c r="G37" s="73" t="s">
        <v>1527</v>
      </c>
      <c r="H37" s="72" t="s">
        <v>769</v>
      </c>
      <c r="I37" s="72" t="s">
        <v>910</v>
      </c>
      <c r="J37" s="72" t="s">
        <v>356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978</v>
      </c>
      <c r="Q37" s="72" t="s">
        <v>1517</v>
      </c>
      <c r="R37" s="72" t="s">
        <v>86</v>
      </c>
      <c r="S37" s="72" t="s">
        <v>913</v>
      </c>
      <c r="T37" s="72" t="s">
        <v>911</v>
      </c>
      <c r="U37" s="72" t="s">
        <v>914</v>
      </c>
      <c r="V37" s="60" t="str">
        <f t="shared" si="4"/>
        <v>60222402рыжий / белый</v>
      </c>
      <c r="W37" s="60" t="str">
        <f t="shared" si="0"/>
        <v>60222402</v>
      </c>
      <c r="X37" s="60" t="str">
        <f t="shared" si="5"/>
        <v>New York Yankees</v>
      </c>
      <c r="AC37" s="51">
        <f t="shared" si="6"/>
        <v>96</v>
      </c>
      <c r="AD37" s="44">
        <f t="shared" si="1"/>
        <v>32</v>
      </c>
      <c r="AE37" s="51">
        <f t="shared" si="7"/>
        <v>96032</v>
      </c>
    </row>
    <row r="38" spans="1:31">
      <c r="A38" s="60" t="str">
        <f t="shared" si="2"/>
        <v>60222361nvymnc</v>
      </c>
      <c r="B38" s="60" t="str">
        <f t="shared" si="3"/>
        <v>96-031-75</v>
      </c>
      <c r="C38" s="72" t="s">
        <v>1528</v>
      </c>
      <c r="D38" s="72" t="s">
        <v>1529</v>
      </c>
      <c r="E38" s="72" t="s">
        <v>909</v>
      </c>
      <c r="F38" s="73">
        <v>0</v>
      </c>
      <c r="G38" s="73" t="s">
        <v>1530</v>
      </c>
      <c r="H38" s="72" t="s">
        <v>690</v>
      </c>
      <c r="I38" s="72" t="s">
        <v>910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386</v>
      </c>
      <c r="P38" s="72" t="s">
        <v>978</v>
      </c>
      <c r="Q38" s="72" t="s">
        <v>1531</v>
      </c>
      <c r="R38" s="72" t="s">
        <v>53</v>
      </c>
      <c r="S38" s="72" t="s">
        <v>913</v>
      </c>
      <c r="T38" s="72" t="s">
        <v>911</v>
      </c>
      <c r="U38" s="72" t="s">
        <v>915</v>
      </c>
      <c r="V38" s="60" t="str">
        <f t="shared" si="4"/>
        <v>60222361черный / камуфляж</v>
      </c>
      <c r="W38" s="60" t="str">
        <f t="shared" si="0"/>
        <v>60222361</v>
      </c>
      <c r="X38" s="60" t="str">
        <f t="shared" si="5"/>
        <v>Boston Red Sox</v>
      </c>
      <c r="AC38" s="51">
        <f t="shared" si="6"/>
        <v>96</v>
      </c>
      <c r="AD38" s="44">
        <f t="shared" si="1"/>
        <v>31</v>
      </c>
      <c r="AE38" s="51">
        <f t="shared" si="7"/>
        <v>96031</v>
      </c>
    </row>
    <row r="39" spans="1:31">
      <c r="A39" s="60" t="str">
        <f t="shared" si="2"/>
        <v>60222360pnk</v>
      </c>
      <c r="B39" s="60" t="str">
        <f t="shared" si="3"/>
        <v>96-030-34</v>
      </c>
      <c r="C39" s="72" t="s">
        <v>1532</v>
      </c>
      <c r="D39" s="72" t="s">
        <v>1533</v>
      </c>
      <c r="E39" s="72" t="s">
        <v>909</v>
      </c>
      <c r="F39" s="73">
        <v>0</v>
      </c>
      <c r="G39" s="73" t="s">
        <v>1534</v>
      </c>
      <c r="H39" s="72" t="s">
        <v>212</v>
      </c>
      <c r="I39" s="72" t="s">
        <v>1500</v>
      </c>
      <c r="J39" s="72" t="s">
        <v>327</v>
      </c>
      <c r="K39" s="72" t="s">
        <v>387</v>
      </c>
      <c r="L39" s="72" t="s">
        <v>887</v>
      </c>
      <c r="M39" s="72" t="s">
        <v>388</v>
      </c>
      <c r="O39" s="72" t="s">
        <v>386</v>
      </c>
      <c r="P39" s="72" t="s">
        <v>978</v>
      </c>
      <c r="Q39" s="72" t="s">
        <v>1162</v>
      </c>
      <c r="R39" s="72" t="s">
        <v>68</v>
      </c>
      <c r="S39" s="72" t="s">
        <v>913</v>
      </c>
      <c r="T39" s="72" t="s">
        <v>911</v>
      </c>
      <c r="U39" s="72" t="s">
        <v>914</v>
      </c>
      <c r="V39" s="60" t="str">
        <f t="shared" si="4"/>
        <v>60222360розовый / белый</v>
      </c>
      <c r="W39" s="60" t="str">
        <f t="shared" si="0"/>
        <v>60222360</v>
      </c>
      <c r="X39" s="60" t="str">
        <f t="shared" si="5"/>
        <v>New York Yankees</v>
      </c>
      <c r="AC39" s="51">
        <f t="shared" si="6"/>
        <v>96</v>
      </c>
      <c r="AD39" s="44">
        <f t="shared" si="1"/>
        <v>30</v>
      </c>
      <c r="AE39" s="51">
        <f t="shared" si="7"/>
        <v>96030</v>
      </c>
    </row>
    <row r="40" spans="1:31">
      <c r="A40" s="60" t="str">
        <f t="shared" si="2"/>
        <v>60222329ilg</v>
      </c>
      <c r="B40" s="60" t="str">
        <f t="shared" si="3"/>
        <v>96-029-11</v>
      </c>
      <c r="C40" s="72" t="s">
        <v>1535</v>
      </c>
      <c r="D40" s="72" t="s">
        <v>1536</v>
      </c>
      <c r="E40" s="72" t="s">
        <v>909</v>
      </c>
      <c r="F40" s="73">
        <v>0</v>
      </c>
      <c r="G40" s="73" t="s">
        <v>1537</v>
      </c>
      <c r="H40" s="72" t="s">
        <v>149</v>
      </c>
      <c r="I40" s="72" t="s">
        <v>910</v>
      </c>
      <c r="J40" s="72" t="s">
        <v>356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978</v>
      </c>
      <c r="Q40" s="72" t="s">
        <v>1538</v>
      </c>
      <c r="R40" s="72" t="s">
        <v>60</v>
      </c>
      <c r="S40" s="72" t="s">
        <v>913</v>
      </c>
      <c r="T40" s="72" t="s">
        <v>911</v>
      </c>
      <c r="U40" s="72" t="s">
        <v>914</v>
      </c>
      <c r="V40" s="60" t="str">
        <f t="shared" si="4"/>
        <v>60222329зеленый / белый</v>
      </c>
      <c r="W40" s="60" t="str">
        <f t="shared" si="0"/>
        <v>60222329</v>
      </c>
      <c r="X40" s="60" t="str">
        <f t="shared" si="5"/>
        <v>New York Yankees</v>
      </c>
      <c r="AC40" s="51">
        <f t="shared" si="6"/>
        <v>96</v>
      </c>
      <c r="AD40" s="44">
        <f t="shared" si="1"/>
        <v>29</v>
      </c>
      <c r="AE40" s="51">
        <f t="shared" si="7"/>
        <v>96029</v>
      </c>
    </row>
    <row r="41" spans="1:31">
      <c r="A41" s="60" t="str">
        <f t="shared" si="2"/>
        <v>60222308blk</v>
      </c>
      <c r="B41" s="60" t="str">
        <f t="shared" si="3"/>
        <v>96-028-09</v>
      </c>
      <c r="C41" s="72" t="s">
        <v>1539</v>
      </c>
      <c r="D41" s="72" t="s">
        <v>1540</v>
      </c>
      <c r="E41" s="72" t="s">
        <v>909</v>
      </c>
      <c r="F41" s="73">
        <v>0</v>
      </c>
      <c r="G41" s="73" t="s">
        <v>1541</v>
      </c>
      <c r="H41" s="72" t="s">
        <v>53</v>
      </c>
      <c r="I41" s="72" t="s">
        <v>910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386</v>
      </c>
      <c r="P41" s="72" t="s">
        <v>978</v>
      </c>
      <c r="Q41" s="72" t="s">
        <v>987</v>
      </c>
      <c r="R41" s="72" t="s">
        <v>53</v>
      </c>
      <c r="S41" s="72" t="s">
        <v>913</v>
      </c>
      <c r="T41" s="72" t="s">
        <v>911</v>
      </c>
      <c r="U41" s="72" t="s">
        <v>914</v>
      </c>
      <c r="V41" s="60" t="str">
        <f t="shared" si="4"/>
        <v>60222308черный</v>
      </c>
      <c r="W41" s="60" t="str">
        <f t="shared" si="0"/>
        <v>60222308</v>
      </c>
      <c r="X41" s="60" t="str">
        <f t="shared" si="5"/>
        <v>New York Yankees</v>
      </c>
      <c r="AC41" s="51">
        <f t="shared" si="6"/>
        <v>96</v>
      </c>
      <c r="AD41" s="44">
        <f t="shared" si="1"/>
        <v>28</v>
      </c>
      <c r="AE41" s="51">
        <f t="shared" si="7"/>
        <v>96028</v>
      </c>
    </row>
    <row r="42" spans="1:31">
      <c r="A42" s="60" t="str">
        <f t="shared" si="2"/>
        <v>60222306lry</v>
      </c>
      <c r="B42" s="60" t="str">
        <f t="shared" si="3"/>
        <v>96-027-06</v>
      </c>
      <c r="C42" s="72" t="s">
        <v>1542</v>
      </c>
      <c r="D42" s="72" t="s">
        <v>1543</v>
      </c>
      <c r="E42" s="72" t="s">
        <v>909</v>
      </c>
      <c r="F42" s="73">
        <v>0</v>
      </c>
      <c r="G42" s="73" t="s">
        <v>1544</v>
      </c>
      <c r="H42" s="72" t="s">
        <v>71</v>
      </c>
      <c r="I42" s="72" t="s">
        <v>918</v>
      </c>
      <c r="J42" s="72" t="s">
        <v>356</v>
      </c>
      <c r="K42" s="72" t="s">
        <v>382</v>
      </c>
      <c r="L42" s="72" t="s">
        <v>887</v>
      </c>
      <c r="M42" s="72" t="s">
        <v>388</v>
      </c>
      <c r="O42" s="72" t="s">
        <v>386</v>
      </c>
      <c r="P42" s="72" t="s">
        <v>978</v>
      </c>
      <c r="Q42" s="72" t="s">
        <v>1545</v>
      </c>
      <c r="R42" s="72" t="s">
        <v>71</v>
      </c>
      <c r="S42" s="72" t="s">
        <v>913</v>
      </c>
      <c r="T42" s="72" t="s">
        <v>911</v>
      </c>
      <c r="U42" s="72" t="s">
        <v>912</v>
      </c>
      <c r="V42" s="60" t="str">
        <f t="shared" si="4"/>
        <v>60222306синий</v>
      </c>
      <c r="W42" s="60" t="str">
        <f t="shared" si="0"/>
        <v>60222306</v>
      </c>
      <c r="X42" s="60" t="str">
        <f t="shared" si="5"/>
        <v>Los Angeles Dodgers</v>
      </c>
      <c r="AC42" s="51">
        <f t="shared" si="6"/>
        <v>96</v>
      </c>
      <c r="AD42" s="44">
        <f t="shared" si="1"/>
        <v>27</v>
      </c>
      <c r="AE42" s="51">
        <f t="shared" si="7"/>
        <v>96027</v>
      </c>
    </row>
    <row r="43" spans="1:31">
      <c r="A43" s="60" t="str">
        <f t="shared" si="2"/>
        <v>60222284brr</v>
      </c>
      <c r="B43" s="60" t="str">
        <f t="shared" si="3"/>
        <v>96-026-40</v>
      </c>
      <c r="C43" s="72" t="s">
        <v>1546</v>
      </c>
      <c r="D43" s="72" t="s">
        <v>1547</v>
      </c>
      <c r="E43" s="72" t="s">
        <v>909</v>
      </c>
      <c r="F43" s="73">
        <v>0</v>
      </c>
      <c r="G43" s="73" t="s">
        <v>1548</v>
      </c>
      <c r="H43" s="72" t="s">
        <v>307</v>
      </c>
      <c r="I43" s="72" t="s">
        <v>910</v>
      </c>
      <c r="J43" s="72" t="s">
        <v>327</v>
      </c>
      <c r="K43" s="72" t="s">
        <v>382</v>
      </c>
      <c r="L43" s="72" t="s">
        <v>887</v>
      </c>
      <c r="M43" s="72" t="s">
        <v>388</v>
      </c>
      <c r="N43" s="72" t="s">
        <v>43</v>
      </c>
      <c r="O43" s="72" t="s">
        <v>541</v>
      </c>
      <c r="P43" s="72" t="s">
        <v>978</v>
      </c>
      <c r="Q43" s="72" t="s">
        <v>1549</v>
      </c>
      <c r="R43" s="72" t="s">
        <v>53</v>
      </c>
      <c r="S43" s="72" t="s">
        <v>913</v>
      </c>
      <c r="T43" s="72" t="s">
        <v>911</v>
      </c>
      <c r="U43" s="72" t="s">
        <v>912</v>
      </c>
      <c r="V43" s="60" t="str">
        <f t="shared" si="4"/>
        <v>60222284черный / розовый</v>
      </c>
      <c r="W43" s="60" t="str">
        <f t="shared" si="0"/>
        <v>60222284</v>
      </c>
      <c r="X43" s="60" t="str">
        <f t="shared" si="5"/>
        <v>Los Angeles Dodgers</v>
      </c>
      <c r="AC43" s="51">
        <f t="shared" si="6"/>
        <v>96</v>
      </c>
      <c r="AD43" s="44">
        <f t="shared" si="1"/>
        <v>26</v>
      </c>
      <c r="AE43" s="51">
        <f t="shared" si="7"/>
        <v>96026</v>
      </c>
    </row>
    <row r="44" spans="1:31">
      <c r="A44" s="60" t="str">
        <f t="shared" si="2"/>
        <v>60222283tof</v>
      </c>
      <c r="B44" s="60" t="str">
        <f t="shared" si="3"/>
        <v>96-025-16</v>
      </c>
      <c r="C44" s="72" t="s">
        <v>1550</v>
      </c>
      <c r="D44" s="72" t="s">
        <v>1551</v>
      </c>
      <c r="E44" s="72" t="s">
        <v>909</v>
      </c>
      <c r="F44" s="73">
        <v>0</v>
      </c>
      <c r="G44" s="73" t="s">
        <v>1552</v>
      </c>
      <c r="H44" s="72" t="s">
        <v>594</v>
      </c>
      <c r="I44" s="72" t="s">
        <v>910</v>
      </c>
      <c r="J44" s="72" t="s">
        <v>327</v>
      </c>
      <c r="K44" s="72" t="s">
        <v>382</v>
      </c>
      <c r="L44" s="72" t="s">
        <v>887</v>
      </c>
      <c r="M44" s="72" t="s">
        <v>388</v>
      </c>
      <c r="N44" s="72" t="s">
        <v>43</v>
      </c>
      <c r="O44" s="72" t="s">
        <v>541</v>
      </c>
      <c r="P44" s="72" t="s">
        <v>978</v>
      </c>
      <c r="Q44" s="72" t="s">
        <v>1517</v>
      </c>
      <c r="R44" s="72" t="s">
        <v>71</v>
      </c>
      <c r="S44" s="72" t="s">
        <v>913</v>
      </c>
      <c r="T44" s="72" t="s">
        <v>911</v>
      </c>
      <c r="U44" s="72" t="s">
        <v>915</v>
      </c>
      <c r="V44" s="60" t="str">
        <f t="shared" si="4"/>
        <v>60222283темно-синий / рыжий</v>
      </c>
      <c r="W44" s="60" t="str">
        <f t="shared" si="0"/>
        <v>60222283</v>
      </c>
      <c r="X44" s="60" t="str">
        <f t="shared" si="5"/>
        <v>Boston Red Sox</v>
      </c>
      <c r="AC44" s="51">
        <f t="shared" si="6"/>
        <v>96</v>
      </c>
      <c r="AD44" s="44">
        <f t="shared" si="1"/>
        <v>25</v>
      </c>
      <c r="AE44" s="51">
        <f t="shared" si="7"/>
        <v>96025</v>
      </c>
    </row>
    <row r="45" spans="1:31">
      <c r="A45" s="60" t="str">
        <f t="shared" si="2"/>
        <v>60222271fdr</v>
      </c>
      <c r="B45" s="60" t="str">
        <f t="shared" si="3"/>
        <v>96-024-72</v>
      </c>
      <c r="C45" s="72" t="s">
        <v>1553</v>
      </c>
      <c r="D45" s="72" t="s">
        <v>1554</v>
      </c>
      <c r="E45" s="72" t="s">
        <v>909</v>
      </c>
      <c r="F45" s="73">
        <v>0</v>
      </c>
      <c r="G45" s="73" t="s">
        <v>1555</v>
      </c>
      <c r="H45" s="72" t="s">
        <v>302</v>
      </c>
      <c r="I45" s="72" t="s">
        <v>918</v>
      </c>
      <c r="J45" s="72" t="s">
        <v>356</v>
      </c>
      <c r="K45" s="72" t="s">
        <v>382</v>
      </c>
      <c r="L45" s="72" t="s">
        <v>887</v>
      </c>
      <c r="M45" s="72" t="s">
        <v>388</v>
      </c>
      <c r="O45" s="72" t="s">
        <v>386</v>
      </c>
      <c r="P45" s="72" t="s">
        <v>978</v>
      </c>
      <c r="Q45" s="72" t="s">
        <v>1321</v>
      </c>
      <c r="R45" s="72" t="s">
        <v>53</v>
      </c>
      <c r="S45" s="72" t="s">
        <v>913</v>
      </c>
      <c r="T45" s="72" t="s">
        <v>1061</v>
      </c>
      <c r="U45" s="72" t="s">
        <v>1062</v>
      </c>
      <c r="V45" s="60" t="str">
        <f t="shared" si="4"/>
        <v>60222271черный / красный</v>
      </c>
      <c r="W45" s="60" t="str">
        <f t="shared" si="0"/>
        <v>60222271</v>
      </c>
      <c r="X45" s="60" t="str">
        <f t="shared" si="5"/>
        <v>Chicago Bulls</v>
      </c>
      <c r="AC45" s="51">
        <f t="shared" si="6"/>
        <v>96</v>
      </c>
      <c r="AD45" s="44">
        <f t="shared" si="1"/>
        <v>24</v>
      </c>
      <c r="AE45" s="51">
        <f t="shared" si="7"/>
        <v>96024</v>
      </c>
    </row>
    <row r="46" spans="1:31">
      <c r="A46" s="60" t="str">
        <f t="shared" si="2"/>
        <v>60222240grh</v>
      </c>
      <c r="B46" s="60" t="str">
        <f t="shared" si="3"/>
        <v>96-023-00</v>
      </c>
      <c r="C46" s="72" t="s">
        <v>1556</v>
      </c>
      <c r="D46" s="72" t="s">
        <v>1557</v>
      </c>
      <c r="E46" s="72" t="s">
        <v>909</v>
      </c>
      <c r="F46" s="73">
        <v>0</v>
      </c>
      <c r="G46" s="73" t="s">
        <v>1558</v>
      </c>
      <c r="H46" s="72" t="s">
        <v>847</v>
      </c>
      <c r="I46" s="72" t="s">
        <v>910</v>
      </c>
      <c r="J46" s="72" t="s">
        <v>327</v>
      </c>
      <c r="K46" s="72" t="s">
        <v>382</v>
      </c>
      <c r="L46" s="72" t="s">
        <v>887</v>
      </c>
      <c r="M46" s="72" t="s">
        <v>388</v>
      </c>
      <c r="N46" s="72" t="s">
        <v>43</v>
      </c>
      <c r="O46" s="72" t="s">
        <v>386</v>
      </c>
      <c r="P46" s="72" t="s">
        <v>978</v>
      </c>
      <c r="Q46" s="72" t="s">
        <v>1444</v>
      </c>
      <c r="R46" s="72" t="s">
        <v>60</v>
      </c>
      <c r="S46" s="72" t="s">
        <v>913</v>
      </c>
      <c r="T46" s="72" t="s">
        <v>911</v>
      </c>
      <c r="U46" s="72" t="s">
        <v>914</v>
      </c>
      <c r="V46" s="60" t="str">
        <f t="shared" si="4"/>
        <v>60222240камуфляж / белый</v>
      </c>
      <c r="W46" s="60" t="str">
        <f t="shared" si="0"/>
        <v>60222240</v>
      </c>
      <c r="X46" s="60" t="str">
        <f t="shared" si="5"/>
        <v>New York Yankees</v>
      </c>
      <c r="AC46" s="51">
        <f t="shared" si="6"/>
        <v>96</v>
      </c>
      <c r="AD46" s="44">
        <f t="shared" si="1"/>
        <v>23</v>
      </c>
      <c r="AE46" s="51">
        <f t="shared" si="7"/>
        <v>96023</v>
      </c>
    </row>
    <row r="47" spans="1:31">
      <c r="A47" s="60" t="str">
        <f t="shared" si="2"/>
        <v>60222238rgd</v>
      </c>
      <c r="B47" s="60" t="str">
        <f t="shared" si="3"/>
        <v>96-022-09</v>
      </c>
      <c r="C47" s="72" t="s">
        <v>1559</v>
      </c>
      <c r="D47" s="72" t="s">
        <v>1560</v>
      </c>
      <c r="E47" s="72" t="s">
        <v>909</v>
      </c>
      <c r="F47" s="73">
        <v>0</v>
      </c>
      <c r="G47" s="73" t="s">
        <v>1561</v>
      </c>
      <c r="H47" s="72" t="s">
        <v>298</v>
      </c>
      <c r="I47" s="72" t="s">
        <v>918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978</v>
      </c>
      <c r="Q47" s="72" t="s">
        <v>1562</v>
      </c>
      <c r="R47" s="72" t="s">
        <v>53</v>
      </c>
      <c r="S47" s="72" t="s">
        <v>913</v>
      </c>
      <c r="T47" s="72" t="s">
        <v>911</v>
      </c>
      <c r="U47" s="72" t="s">
        <v>914</v>
      </c>
      <c r="V47" s="60" t="str">
        <f t="shared" si="4"/>
        <v>60222238черный / желтый</v>
      </c>
      <c r="W47" s="60" t="str">
        <f t="shared" si="0"/>
        <v>60222238</v>
      </c>
      <c r="X47" s="60" t="str">
        <f t="shared" si="5"/>
        <v>New York Yankees</v>
      </c>
      <c r="AC47" s="51">
        <f t="shared" si="6"/>
        <v>96</v>
      </c>
      <c r="AD47" s="44">
        <f t="shared" si="1"/>
        <v>22</v>
      </c>
      <c r="AE47" s="51">
        <f t="shared" si="7"/>
        <v>96022</v>
      </c>
    </row>
    <row r="48" spans="1:31">
      <c r="A48" s="60" t="str">
        <f t="shared" si="2"/>
        <v>60222230tof</v>
      </c>
      <c r="B48" s="60" t="str">
        <f t="shared" si="3"/>
        <v>96-021-13</v>
      </c>
      <c r="C48" s="72" t="s">
        <v>1563</v>
      </c>
      <c r="D48" s="72" t="s">
        <v>1564</v>
      </c>
      <c r="E48" s="72" t="s">
        <v>909</v>
      </c>
      <c r="F48" s="73">
        <v>0</v>
      </c>
      <c r="G48" s="73" t="s">
        <v>1565</v>
      </c>
      <c r="H48" s="72" t="s">
        <v>769</v>
      </c>
      <c r="I48" s="72" t="s">
        <v>910</v>
      </c>
      <c r="J48" s="72" t="s">
        <v>327</v>
      </c>
      <c r="K48" s="72" t="s">
        <v>382</v>
      </c>
      <c r="L48" s="72" t="s">
        <v>887</v>
      </c>
      <c r="M48" s="72" t="s">
        <v>388</v>
      </c>
      <c r="N48" s="72" t="s">
        <v>43</v>
      </c>
      <c r="O48" s="72" t="s">
        <v>541</v>
      </c>
      <c r="P48" s="72" t="s">
        <v>978</v>
      </c>
      <c r="Q48" s="72" t="s">
        <v>1517</v>
      </c>
      <c r="R48" s="72" t="s">
        <v>86</v>
      </c>
      <c r="S48" s="72" t="s">
        <v>913</v>
      </c>
      <c r="T48" s="72" t="s">
        <v>911</v>
      </c>
      <c r="U48" s="72" t="s">
        <v>914</v>
      </c>
      <c r="V48" s="60" t="str">
        <f t="shared" si="4"/>
        <v>60222230рыжий / белый</v>
      </c>
      <c r="W48" s="60" t="str">
        <f t="shared" si="0"/>
        <v>60222230</v>
      </c>
      <c r="X48" s="60" t="str">
        <f t="shared" si="5"/>
        <v>New York Yankees</v>
      </c>
      <c r="AC48" s="51">
        <f t="shared" si="6"/>
        <v>96</v>
      </c>
      <c r="AD48" s="44">
        <f t="shared" si="1"/>
        <v>21</v>
      </c>
      <c r="AE48" s="51">
        <f t="shared" si="7"/>
        <v>96021</v>
      </c>
    </row>
    <row r="49" spans="1:31">
      <c r="A49" s="60" t="str">
        <f t="shared" si="2"/>
        <v>60222553irf</v>
      </c>
      <c r="B49" s="60" t="str">
        <f t="shared" si="3"/>
        <v>96-146-19</v>
      </c>
      <c r="C49" s="72" t="s">
        <v>1132</v>
      </c>
      <c r="D49" s="72" t="s">
        <v>1133</v>
      </c>
      <c r="E49" s="72" t="s">
        <v>1134</v>
      </c>
      <c r="F49" s="73">
        <v>59</v>
      </c>
      <c r="G49" s="73">
        <v>60222553</v>
      </c>
      <c r="H49" s="72" t="s">
        <v>233</v>
      </c>
      <c r="I49" s="72" t="s">
        <v>910</v>
      </c>
      <c r="J49" s="72" t="s">
        <v>325</v>
      </c>
      <c r="K49" s="72" t="s">
        <v>387</v>
      </c>
      <c r="L49" s="72" t="s">
        <v>887</v>
      </c>
      <c r="M49" s="72" t="s">
        <v>388</v>
      </c>
      <c r="N49" s="72" t="s">
        <v>43</v>
      </c>
      <c r="O49" s="72" t="s">
        <v>541</v>
      </c>
      <c r="P49" s="72" t="s">
        <v>978</v>
      </c>
      <c r="Q49" s="72" t="s">
        <v>1135</v>
      </c>
      <c r="R49" s="72" t="s">
        <v>71</v>
      </c>
      <c r="V49" s="60" t="str">
        <f t="shared" si="4"/>
        <v>60222553светло-синий</v>
      </c>
      <c r="W49" s="60" t="str">
        <f t="shared" si="0"/>
        <v>60222553</v>
      </c>
      <c r="X49" s="60" t="str">
        <f t="shared" si="5"/>
        <v/>
      </c>
      <c r="AC49" s="51">
        <f t="shared" si="6"/>
        <v>96</v>
      </c>
      <c r="AD49" s="44">
        <f t="shared" si="1"/>
        <v>146</v>
      </c>
      <c r="AE49" s="51">
        <f t="shared" si="7"/>
        <v>96146</v>
      </c>
    </row>
    <row r="50" spans="1:31">
      <c r="A50" s="60" t="str">
        <f t="shared" si="2"/>
        <v>60222553irf</v>
      </c>
      <c r="B50" s="60" t="str">
        <f t="shared" si="3"/>
        <v>96-146-19</v>
      </c>
      <c r="C50" s="72" t="s">
        <v>1136</v>
      </c>
      <c r="D50" s="72" t="s">
        <v>1133</v>
      </c>
      <c r="E50" s="72" t="s">
        <v>990</v>
      </c>
      <c r="F50" s="73">
        <v>57</v>
      </c>
      <c r="G50" s="73">
        <v>60222553</v>
      </c>
      <c r="H50" s="72" t="s">
        <v>233</v>
      </c>
      <c r="I50" s="72" t="s">
        <v>910</v>
      </c>
      <c r="J50" s="72" t="s">
        <v>325</v>
      </c>
      <c r="K50" s="72" t="s">
        <v>387</v>
      </c>
      <c r="L50" s="72" t="s">
        <v>887</v>
      </c>
      <c r="M50" s="72" t="s">
        <v>388</v>
      </c>
      <c r="N50" s="72" t="s">
        <v>43</v>
      </c>
      <c r="O50" s="72" t="s">
        <v>541</v>
      </c>
      <c r="P50" s="72" t="s">
        <v>978</v>
      </c>
      <c r="Q50" s="72" t="s">
        <v>1135</v>
      </c>
      <c r="R50" s="72" t="s">
        <v>71</v>
      </c>
      <c r="V50" s="60" t="str">
        <f t="shared" si="4"/>
        <v>60222553светло-синий</v>
      </c>
      <c r="W50" s="60" t="str">
        <f t="shared" si="0"/>
        <v>60222553</v>
      </c>
      <c r="X50" s="60" t="str">
        <f t="shared" si="5"/>
        <v/>
      </c>
      <c r="AC50" s="51">
        <f t="shared" si="6"/>
        <v>96</v>
      </c>
      <c r="AD50" s="44">
        <f t="shared" si="1"/>
        <v>146</v>
      </c>
      <c r="AE50" s="51">
        <f t="shared" si="7"/>
        <v>96146</v>
      </c>
    </row>
    <row r="51" spans="1:31">
      <c r="A51" s="60" t="str">
        <f t="shared" si="2"/>
        <v>60222551blk</v>
      </c>
      <c r="B51" s="60" t="str">
        <f t="shared" si="3"/>
        <v>96-145-09</v>
      </c>
      <c r="C51" s="72" t="s">
        <v>1137</v>
      </c>
      <c r="D51" s="72" t="s">
        <v>1138</v>
      </c>
      <c r="E51" s="72" t="s">
        <v>909</v>
      </c>
      <c r="F51" s="73">
        <v>0</v>
      </c>
      <c r="G51" s="73">
        <v>60222551</v>
      </c>
      <c r="H51" s="72" t="s">
        <v>53</v>
      </c>
      <c r="I51" s="72" t="s">
        <v>910</v>
      </c>
      <c r="J51" s="72" t="s">
        <v>327</v>
      </c>
      <c r="K51" s="72" t="s">
        <v>382</v>
      </c>
      <c r="L51" s="72" t="s">
        <v>887</v>
      </c>
      <c r="M51" s="72" t="s">
        <v>388</v>
      </c>
      <c r="N51" s="72" t="s">
        <v>43</v>
      </c>
      <c r="O51" s="72" t="s">
        <v>541</v>
      </c>
      <c r="P51" s="72" t="s">
        <v>978</v>
      </c>
      <c r="Q51" s="72" t="s">
        <v>987</v>
      </c>
      <c r="R51" s="72" t="s">
        <v>53</v>
      </c>
      <c r="V51" s="60" t="str">
        <f t="shared" si="4"/>
        <v>60222551черный</v>
      </c>
      <c r="W51" s="60" t="str">
        <f t="shared" si="0"/>
        <v>60222551</v>
      </c>
      <c r="X51" s="60" t="str">
        <f t="shared" si="5"/>
        <v/>
      </c>
      <c r="AC51" s="51">
        <f t="shared" si="6"/>
        <v>96</v>
      </c>
      <c r="AD51" s="44">
        <f t="shared" si="1"/>
        <v>145</v>
      </c>
      <c r="AE51" s="51">
        <f t="shared" si="7"/>
        <v>96145</v>
      </c>
    </row>
    <row r="52" spans="1:31">
      <c r="A52" s="60" t="str">
        <f t="shared" si="2"/>
        <v>60222506gra</v>
      </c>
      <c r="B52" s="60" t="str">
        <f t="shared" si="3"/>
        <v>96-144-01</v>
      </c>
      <c r="C52" s="72" t="s">
        <v>1139</v>
      </c>
      <c r="D52" s="72" t="s">
        <v>1140</v>
      </c>
      <c r="E52" s="72" t="s">
        <v>1134</v>
      </c>
      <c r="F52" s="73">
        <v>59</v>
      </c>
      <c r="G52" s="73" t="s">
        <v>1141</v>
      </c>
      <c r="H52" s="72" t="s">
        <v>231</v>
      </c>
      <c r="I52" s="72" t="s">
        <v>910</v>
      </c>
      <c r="J52" s="72" t="s">
        <v>325</v>
      </c>
      <c r="K52" s="72" t="s">
        <v>382</v>
      </c>
      <c r="L52" s="72" t="s">
        <v>887</v>
      </c>
      <c r="M52" s="72" t="s">
        <v>388</v>
      </c>
      <c r="N52" s="72" t="s">
        <v>43</v>
      </c>
      <c r="O52" s="72" t="s">
        <v>541</v>
      </c>
      <c r="P52" s="72" t="s">
        <v>978</v>
      </c>
      <c r="Q52" s="72" t="s">
        <v>1142</v>
      </c>
      <c r="R52" s="72" t="s">
        <v>83</v>
      </c>
      <c r="T52" s="72" t="s">
        <v>911</v>
      </c>
      <c r="U52" s="72" t="s">
        <v>914</v>
      </c>
      <c r="V52" s="60" t="str">
        <f t="shared" si="4"/>
        <v>60222506светло-серый</v>
      </c>
      <c r="W52" s="60" t="str">
        <f t="shared" si="0"/>
        <v>60222506</v>
      </c>
      <c r="X52" s="60" t="str">
        <f t="shared" si="5"/>
        <v>New York Yankees</v>
      </c>
      <c r="AC52" s="51">
        <f t="shared" si="6"/>
        <v>96</v>
      </c>
      <c r="AD52" s="44">
        <f t="shared" si="1"/>
        <v>144</v>
      </c>
      <c r="AE52" s="51">
        <f t="shared" si="7"/>
        <v>96144</v>
      </c>
    </row>
    <row r="53" spans="1:31">
      <c r="A53" s="60" t="str">
        <f t="shared" si="2"/>
        <v>60222506gra</v>
      </c>
      <c r="B53" s="60" t="str">
        <f t="shared" si="3"/>
        <v>96-144-01</v>
      </c>
      <c r="C53" s="72" t="s">
        <v>1143</v>
      </c>
      <c r="D53" s="72" t="s">
        <v>1140</v>
      </c>
      <c r="E53" s="72" t="s">
        <v>1144</v>
      </c>
      <c r="F53" s="73">
        <v>55</v>
      </c>
      <c r="G53" s="73" t="s">
        <v>1141</v>
      </c>
      <c r="H53" s="72" t="s">
        <v>231</v>
      </c>
      <c r="I53" s="72" t="s">
        <v>910</v>
      </c>
      <c r="J53" s="72" t="s">
        <v>325</v>
      </c>
      <c r="K53" s="72" t="s">
        <v>382</v>
      </c>
      <c r="L53" s="72" t="s">
        <v>887</v>
      </c>
      <c r="M53" s="72" t="s">
        <v>388</v>
      </c>
      <c r="N53" s="72" t="s">
        <v>43</v>
      </c>
      <c r="O53" s="72" t="s">
        <v>541</v>
      </c>
      <c r="P53" s="72" t="s">
        <v>978</v>
      </c>
      <c r="Q53" s="72" t="s">
        <v>1142</v>
      </c>
      <c r="R53" s="72" t="s">
        <v>83</v>
      </c>
      <c r="T53" s="72" t="s">
        <v>911</v>
      </c>
      <c r="U53" s="72" t="s">
        <v>914</v>
      </c>
      <c r="V53" s="60" t="str">
        <f t="shared" si="4"/>
        <v>60222506светло-серый</v>
      </c>
      <c r="W53" s="60" t="str">
        <f t="shared" si="0"/>
        <v>60222506</v>
      </c>
      <c r="X53" s="60" t="str">
        <f t="shared" si="5"/>
        <v>New York Yankees</v>
      </c>
      <c r="AC53" s="51">
        <f t="shared" si="6"/>
        <v>96</v>
      </c>
      <c r="AD53" s="44">
        <f t="shared" si="1"/>
        <v>144</v>
      </c>
      <c r="AE53" s="51">
        <f t="shared" si="7"/>
        <v>96144</v>
      </c>
    </row>
    <row r="54" spans="1:31">
      <c r="A54" s="60" t="str">
        <f t="shared" si="2"/>
        <v>60222505blk</v>
      </c>
      <c r="B54" s="60" t="str">
        <f t="shared" si="3"/>
        <v>96-143-09</v>
      </c>
      <c r="C54" s="72" t="s">
        <v>1145</v>
      </c>
      <c r="D54" s="72" t="s">
        <v>1146</v>
      </c>
      <c r="E54" s="72" t="s">
        <v>1134</v>
      </c>
      <c r="F54" s="73">
        <v>59</v>
      </c>
      <c r="G54" s="73" t="s">
        <v>1147</v>
      </c>
      <c r="H54" s="72" t="s">
        <v>53</v>
      </c>
      <c r="I54" s="72" t="s">
        <v>910</v>
      </c>
      <c r="J54" s="72" t="s">
        <v>325</v>
      </c>
      <c r="K54" s="72" t="s">
        <v>382</v>
      </c>
      <c r="L54" s="72" t="s">
        <v>887</v>
      </c>
      <c r="M54" s="72" t="s">
        <v>388</v>
      </c>
      <c r="N54" s="72" t="s">
        <v>43</v>
      </c>
      <c r="O54" s="72" t="s">
        <v>541</v>
      </c>
      <c r="P54" s="72" t="s">
        <v>978</v>
      </c>
      <c r="Q54" s="72" t="s">
        <v>987</v>
      </c>
      <c r="R54" s="72" t="s">
        <v>53</v>
      </c>
      <c r="T54" s="72" t="s">
        <v>1061</v>
      </c>
      <c r="U54" s="72" t="s">
        <v>1062</v>
      </c>
      <c r="V54" s="60" t="str">
        <f t="shared" si="4"/>
        <v>60222505черный</v>
      </c>
      <c r="W54" s="60" t="str">
        <f t="shared" si="0"/>
        <v>60222505</v>
      </c>
      <c r="X54" s="60" t="str">
        <f t="shared" si="5"/>
        <v>Chicago Bulls</v>
      </c>
      <c r="AC54" s="51">
        <f t="shared" si="6"/>
        <v>96</v>
      </c>
      <c r="AD54" s="44">
        <f t="shared" si="1"/>
        <v>143</v>
      </c>
      <c r="AE54" s="51">
        <f t="shared" si="7"/>
        <v>96143</v>
      </c>
    </row>
    <row r="55" spans="1:31">
      <c r="A55" s="60" t="str">
        <f t="shared" si="2"/>
        <v>60222498bsk</v>
      </c>
      <c r="B55" s="60" t="str">
        <f t="shared" si="3"/>
        <v>96-142-34</v>
      </c>
      <c r="C55" s="72" t="s">
        <v>1148</v>
      </c>
      <c r="D55" s="72" t="s">
        <v>1149</v>
      </c>
      <c r="E55" s="72" t="s">
        <v>1134</v>
      </c>
      <c r="F55" s="73">
        <v>59</v>
      </c>
      <c r="G55" s="73">
        <v>60222498</v>
      </c>
      <c r="H55" s="72" t="s">
        <v>68</v>
      </c>
      <c r="I55" s="72" t="s">
        <v>910</v>
      </c>
      <c r="J55" s="72" t="s">
        <v>325</v>
      </c>
      <c r="K55" s="72" t="s">
        <v>387</v>
      </c>
      <c r="L55" s="72" t="s">
        <v>887</v>
      </c>
      <c r="M55" s="72" t="s">
        <v>388</v>
      </c>
      <c r="N55" s="72" t="s">
        <v>43</v>
      </c>
      <c r="O55" s="72" t="s">
        <v>541</v>
      </c>
      <c r="P55" s="72" t="s">
        <v>978</v>
      </c>
      <c r="Q55" s="72" t="s">
        <v>1150</v>
      </c>
      <c r="R55" s="72" t="s">
        <v>68</v>
      </c>
      <c r="V55" s="60" t="str">
        <f t="shared" si="4"/>
        <v>60222498розовый</v>
      </c>
      <c r="W55" s="60" t="str">
        <f t="shared" si="0"/>
        <v>60222498</v>
      </c>
      <c r="X55" s="60" t="str">
        <f t="shared" si="5"/>
        <v/>
      </c>
      <c r="AC55" s="51">
        <f t="shared" si="6"/>
        <v>96</v>
      </c>
      <c r="AD55" s="44">
        <f t="shared" si="1"/>
        <v>142</v>
      </c>
      <c r="AE55" s="51">
        <f t="shared" si="7"/>
        <v>96142</v>
      </c>
    </row>
    <row r="56" spans="1:31">
      <c r="A56" s="60" t="str">
        <f t="shared" si="2"/>
        <v>60222498bsk</v>
      </c>
      <c r="B56" s="60" t="str">
        <f t="shared" si="3"/>
        <v>96-142-34</v>
      </c>
      <c r="C56" s="72" t="s">
        <v>1151</v>
      </c>
      <c r="D56" s="72" t="s">
        <v>1149</v>
      </c>
      <c r="E56" s="72" t="s">
        <v>990</v>
      </c>
      <c r="F56" s="73">
        <v>57</v>
      </c>
      <c r="G56" s="73">
        <v>60222498</v>
      </c>
      <c r="H56" s="72" t="s">
        <v>68</v>
      </c>
      <c r="I56" s="72" t="s">
        <v>910</v>
      </c>
      <c r="J56" s="72" t="s">
        <v>325</v>
      </c>
      <c r="K56" s="72" t="s">
        <v>387</v>
      </c>
      <c r="L56" s="72" t="s">
        <v>887</v>
      </c>
      <c r="M56" s="72" t="s">
        <v>388</v>
      </c>
      <c r="N56" s="72" t="s">
        <v>43</v>
      </c>
      <c r="O56" s="72" t="s">
        <v>541</v>
      </c>
      <c r="P56" s="72" t="s">
        <v>978</v>
      </c>
      <c r="Q56" s="72" t="s">
        <v>1150</v>
      </c>
      <c r="R56" s="72" t="s">
        <v>68</v>
      </c>
      <c r="V56" s="60" t="str">
        <f t="shared" si="4"/>
        <v>60222498розовый</v>
      </c>
      <c r="W56" s="60" t="str">
        <f t="shared" si="0"/>
        <v>60222498</v>
      </c>
      <c r="X56" s="60" t="str">
        <f t="shared" si="5"/>
        <v/>
      </c>
      <c r="AC56" s="51">
        <f t="shared" si="6"/>
        <v>96</v>
      </c>
      <c r="AD56" s="44">
        <f t="shared" si="1"/>
        <v>142</v>
      </c>
      <c r="AE56" s="51">
        <f t="shared" si="7"/>
        <v>96142</v>
      </c>
    </row>
    <row r="57" spans="1:31">
      <c r="A57" s="60" t="str">
        <f t="shared" si="2"/>
        <v>60222489gra</v>
      </c>
      <c r="B57" s="60" t="str">
        <f t="shared" si="3"/>
        <v>96-141-80</v>
      </c>
      <c r="C57" s="72" t="s">
        <v>1152</v>
      </c>
      <c r="D57" s="72" t="s">
        <v>1153</v>
      </c>
      <c r="E57" s="72" t="s">
        <v>909</v>
      </c>
      <c r="F57" s="73">
        <v>0</v>
      </c>
      <c r="G57" s="73" t="s">
        <v>1154</v>
      </c>
      <c r="H57" s="72" t="s">
        <v>83</v>
      </c>
      <c r="I57" s="72" t="s">
        <v>910</v>
      </c>
      <c r="J57" s="72" t="s">
        <v>356</v>
      </c>
      <c r="K57" s="72" t="s">
        <v>382</v>
      </c>
      <c r="L57" s="72" t="s">
        <v>887</v>
      </c>
      <c r="M57" s="72" t="s">
        <v>388</v>
      </c>
      <c r="N57" s="72" t="s">
        <v>43</v>
      </c>
      <c r="O57" s="72" t="s">
        <v>386</v>
      </c>
      <c r="P57" s="72" t="s">
        <v>978</v>
      </c>
      <c r="Q57" s="72" t="s">
        <v>1142</v>
      </c>
      <c r="R57" s="72" t="s">
        <v>83</v>
      </c>
      <c r="T57" s="72" t="s">
        <v>1061</v>
      </c>
      <c r="U57" s="72" t="s">
        <v>1155</v>
      </c>
      <c r="V57" s="60" t="str">
        <f t="shared" si="4"/>
        <v>60222489серый</v>
      </c>
      <c r="W57" s="60" t="str">
        <f t="shared" si="0"/>
        <v>60222489</v>
      </c>
      <c r="X57" s="60" t="str">
        <f t="shared" si="5"/>
        <v>Los Angeles Lakers</v>
      </c>
      <c r="AC57" s="51">
        <f t="shared" si="6"/>
        <v>96</v>
      </c>
      <c r="AD57" s="44">
        <f t="shared" si="1"/>
        <v>141</v>
      </c>
      <c r="AE57" s="51">
        <f t="shared" si="7"/>
        <v>96141</v>
      </c>
    </row>
    <row r="58" spans="1:31">
      <c r="A58" s="60" t="str">
        <f t="shared" si="2"/>
        <v>60222488nvy</v>
      </c>
      <c r="B58" s="60" t="str">
        <f t="shared" si="3"/>
        <v>96-140-09</v>
      </c>
      <c r="C58" s="72" t="s">
        <v>1156</v>
      </c>
      <c r="D58" s="72" t="s">
        <v>1157</v>
      </c>
      <c r="E58" s="72" t="s">
        <v>909</v>
      </c>
      <c r="F58" s="73">
        <v>0</v>
      </c>
      <c r="G58" s="73" t="s">
        <v>1158</v>
      </c>
      <c r="H58" s="72" t="s">
        <v>53</v>
      </c>
      <c r="I58" s="72" t="s">
        <v>910</v>
      </c>
      <c r="J58" s="72" t="s">
        <v>356</v>
      </c>
      <c r="K58" s="72" t="s">
        <v>382</v>
      </c>
      <c r="L58" s="72" t="s">
        <v>887</v>
      </c>
      <c r="M58" s="72" t="s">
        <v>388</v>
      </c>
      <c r="N58" s="72" t="s">
        <v>43</v>
      </c>
      <c r="O58" s="72" t="s">
        <v>386</v>
      </c>
      <c r="P58" s="72" t="s">
        <v>978</v>
      </c>
      <c r="Q58" s="72" t="s">
        <v>1159</v>
      </c>
      <c r="R58" s="72" t="s">
        <v>53</v>
      </c>
      <c r="T58" s="72" t="s">
        <v>911</v>
      </c>
      <c r="U58" s="72" t="s">
        <v>914</v>
      </c>
      <c r="V58" s="60" t="str">
        <f t="shared" si="4"/>
        <v>60222488черный</v>
      </c>
      <c r="W58" s="60" t="str">
        <f t="shared" si="0"/>
        <v>60222488</v>
      </c>
      <c r="X58" s="60" t="str">
        <f t="shared" si="5"/>
        <v>New York Yankees</v>
      </c>
      <c r="AC58" s="51">
        <f t="shared" si="6"/>
        <v>96</v>
      </c>
      <c r="AD58" s="44">
        <f t="shared" si="1"/>
        <v>140</v>
      </c>
      <c r="AE58" s="51">
        <f t="shared" si="7"/>
        <v>96140</v>
      </c>
    </row>
    <row r="59" spans="1:31">
      <c r="A59" s="60" t="str">
        <f t="shared" si="2"/>
        <v>60222449pnk</v>
      </c>
      <c r="B59" s="60" t="str">
        <f t="shared" si="3"/>
        <v>96-139-34</v>
      </c>
      <c r="C59" s="72" t="s">
        <v>1160</v>
      </c>
      <c r="D59" s="72" t="s">
        <v>1161</v>
      </c>
      <c r="E59" s="72" t="s">
        <v>1134</v>
      </c>
      <c r="F59" s="73">
        <v>59</v>
      </c>
      <c r="G59" s="73">
        <v>60222449</v>
      </c>
      <c r="H59" s="72" t="s">
        <v>68</v>
      </c>
      <c r="I59" s="72" t="s">
        <v>910</v>
      </c>
      <c r="J59" s="72" t="s">
        <v>325</v>
      </c>
      <c r="K59" s="72" t="s">
        <v>387</v>
      </c>
      <c r="L59" s="72" t="s">
        <v>887</v>
      </c>
      <c r="M59" s="72" t="s">
        <v>388</v>
      </c>
      <c r="N59" s="72" t="s">
        <v>43</v>
      </c>
      <c r="O59" s="72" t="s">
        <v>386</v>
      </c>
      <c r="P59" s="72" t="s">
        <v>978</v>
      </c>
      <c r="Q59" s="72" t="s">
        <v>1162</v>
      </c>
      <c r="R59" s="72" t="s">
        <v>68</v>
      </c>
      <c r="V59" s="60" t="str">
        <f t="shared" si="4"/>
        <v>60222449розовый</v>
      </c>
      <c r="W59" s="60" t="str">
        <f t="shared" si="0"/>
        <v>60222449</v>
      </c>
      <c r="X59" s="60" t="str">
        <f t="shared" si="5"/>
        <v/>
      </c>
      <c r="AC59" s="51">
        <f t="shared" si="6"/>
        <v>96</v>
      </c>
      <c r="AD59" s="44">
        <f t="shared" si="1"/>
        <v>139</v>
      </c>
      <c r="AE59" s="51">
        <f t="shared" si="7"/>
        <v>96139</v>
      </c>
    </row>
    <row r="60" spans="1:31">
      <c r="A60" s="60" t="str">
        <f t="shared" si="2"/>
        <v>60222449pnk</v>
      </c>
      <c r="B60" s="60" t="str">
        <f t="shared" si="3"/>
        <v>96-139-34</v>
      </c>
      <c r="C60" s="72" t="s">
        <v>1163</v>
      </c>
      <c r="D60" s="72" t="s">
        <v>1161</v>
      </c>
      <c r="E60" s="72" t="s">
        <v>990</v>
      </c>
      <c r="F60" s="73">
        <v>57</v>
      </c>
      <c r="G60" s="73">
        <v>60222449</v>
      </c>
      <c r="H60" s="72" t="s">
        <v>68</v>
      </c>
      <c r="I60" s="72" t="s">
        <v>910</v>
      </c>
      <c r="J60" s="72" t="s">
        <v>325</v>
      </c>
      <c r="K60" s="72" t="s">
        <v>387</v>
      </c>
      <c r="L60" s="72" t="s">
        <v>887</v>
      </c>
      <c r="M60" s="72" t="s">
        <v>388</v>
      </c>
      <c r="N60" s="72" t="s">
        <v>43</v>
      </c>
      <c r="O60" s="72" t="s">
        <v>386</v>
      </c>
      <c r="P60" s="72" t="s">
        <v>978</v>
      </c>
      <c r="Q60" s="72" t="s">
        <v>1162</v>
      </c>
      <c r="R60" s="72" t="s">
        <v>68</v>
      </c>
      <c r="V60" s="60" t="str">
        <f t="shared" si="4"/>
        <v>60222449розовый</v>
      </c>
      <c r="W60" s="60" t="str">
        <f t="shared" si="0"/>
        <v>60222449</v>
      </c>
      <c r="X60" s="60" t="str">
        <f t="shared" si="5"/>
        <v/>
      </c>
      <c r="AC60" s="51">
        <f t="shared" si="6"/>
        <v>96</v>
      </c>
      <c r="AD60" s="44">
        <f t="shared" si="1"/>
        <v>139</v>
      </c>
      <c r="AE60" s="51">
        <f t="shared" si="7"/>
        <v>96139</v>
      </c>
    </row>
    <row r="61" spans="1:31">
      <c r="A61" s="60" t="str">
        <f t="shared" si="2"/>
        <v>60222449pnk</v>
      </c>
      <c r="B61" s="60" t="str">
        <f t="shared" si="3"/>
        <v>96-139-34</v>
      </c>
      <c r="C61" s="72" t="s">
        <v>1164</v>
      </c>
      <c r="D61" s="72" t="s">
        <v>1161</v>
      </c>
      <c r="E61" s="72" t="s">
        <v>1144</v>
      </c>
      <c r="F61" s="73">
        <v>55</v>
      </c>
      <c r="G61" s="73">
        <v>60222449</v>
      </c>
      <c r="H61" s="72" t="s">
        <v>68</v>
      </c>
      <c r="I61" s="72" t="s">
        <v>910</v>
      </c>
      <c r="J61" s="72" t="s">
        <v>325</v>
      </c>
      <c r="K61" s="72" t="s">
        <v>387</v>
      </c>
      <c r="L61" s="72" t="s">
        <v>887</v>
      </c>
      <c r="M61" s="72" t="s">
        <v>388</v>
      </c>
      <c r="N61" s="72" t="s">
        <v>43</v>
      </c>
      <c r="O61" s="72" t="s">
        <v>386</v>
      </c>
      <c r="P61" s="72" t="s">
        <v>978</v>
      </c>
      <c r="Q61" s="72" t="s">
        <v>1162</v>
      </c>
      <c r="R61" s="72" t="s">
        <v>68</v>
      </c>
      <c r="V61" s="60" t="str">
        <f t="shared" si="4"/>
        <v>60222449розовый</v>
      </c>
      <c r="W61" s="60" t="str">
        <f t="shared" si="0"/>
        <v>60222449</v>
      </c>
      <c r="X61" s="60" t="str">
        <f t="shared" si="5"/>
        <v/>
      </c>
      <c r="AC61" s="51">
        <f t="shared" si="6"/>
        <v>96</v>
      </c>
      <c r="AD61" s="44">
        <f t="shared" si="1"/>
        <v>139</v>
      </c>
      <c r="AE61" s="51">
        <f t="shared" si="7"/>
        <v>96139</v>
      </c>
    </row>
    <row r="62" spans="1:31">
      <c r="A62" s="60" t="str">
        <f t="shared" si="2"/>
        <v>60222405plm</v>
      </c>
      <c r="B62" s="60" t="str">
        <f t="shared" si="3"/>
        <v>96-138-34</v>
      </c>
      <c r="C62" s="72" t="s">
        <v>1165</v>
      </c>
      <c r="D62" s="72" t="s">
        <v>1166</v>
      </c>
      <c r="E62" s="72" t="s">
        <v>909</v>
      </c>
      <c r="F62" s="73">
        <v>0</v>
      </c>
      <c r="G62" s="73" t="s">
        <v>1167</v>
      </c>
      <c r="H62" s="72" t="s">
        <v>68</v>
      </c>
      <c r="I62" s="72" t="s">
        <v>910</v>
      </c>
      <c r="J62" s="72" t="s">
        <v>327</v>
      </c>
      <c r="K62" s="72" t="s">
        <v>387</v>
      </c>
      <c r="L62" s="72" t="s">
        <v>887</v>
      </c>
      <c r="M62" s="72" t="s">
        <v>388</v>
      </c>
      <c r="N62" s="72" t="s">
        <v>43</v>
      </c>
      <c r="O62" s="72" t="s">
        <v>386</v>
      </c>
      <c r="P62" s="72" t="s">
        <v>978</v>
      </c>
      <c r="Q62" s="72" t="s">
        <v>1168</v>
      </c>
      <c r="R62" s="72" t="s">
        <v>68</v>
      </c>
      <c r="T62" s="72" t="s">
        <v>911</v>
      </c>
      <c r="U62" s="72" t="s">
        <v>914</v>
      </c>
      <c r="V62" s="60" t="str">
        <f t="shared" si="4"/>
        <v>60222405розовый</v>
      </c>
      <c r="W62" s="60" t="str">
        <f t="shared" si="0"/>
        <v>60222405</v>
      </c>
      <c r="X62" s="60" t="str">
        <f t="shared" si="5"/>
        <v>New York Yankees</v>
      </c>
      <c r="AC62" s="51">
        <f t="shared" si="6"/>
        <v>96</v>
      </c>
      <c r="AD62" s="44">
        <f t="shared" si="1"/>
        <v>138</v>
      </c>
      <c r="AE62" s="51">
        <f t="shared" si="7"/>
        <v>96138</v>
      </c>
    </row>
    <row r="63" spans="1:31">
      <c r="A63" s="60" t="str">
        <f t="shared" si="2"/>
        <v>60222382grp</v>
      </c>
      <c r="B63" s="60" t="str">
        <f t="shared" si="3"/>
        <v>96-137-80</v>
      </c>
      <c r="C63" s="72" t="s">
        <v>1169</v>
      </c>
      <c r="D63" s="72" t="s">
        <v>1170</v>
      </c>
      <c r="E63" s="72" t="s">
        <v>1134</v>
      </c>
      <c r="F63" s="73">
        <v>59</v>
      </c>
      <c r="G63" s="73">
        <v>60222382</v>
      </c>
      <c r="H63" s="72" t="s">
        <v>83</v>
      </c>
      <c r="I63" s="72" t="s">
        <v>910</v>
      </c>
      <c r="J63" s="72" t="s">
        <v>325</v>
      </c>
      <c r="K63" s="72" t="s">
        <v>382</v>
      </c>
      <c r="L63" s="72" t="s">
        <v>887</v>
      </c>
      <c r="M63" s="72" t="s">
        <v>388</v>
      </c>
      <c r="N63" s="72" t="s">
        <v>43</v>
      </c>
      <c r="O63" s="72" t="s">
        <v>386</v>
      </c>
      <c r="P63" s="72" t="s">
        <v>978</v>
      </c>
      <c r="Q63" s="72" t="s">
        <v>1171</v>
      </c>
      <c r="R63" s="72" t="s">
        <v>83</v>
      </c>
      <c r="V63" s="60" t="str">
        <f t="shared" si="4"/>
        <v>60222382серый</v>
      </c>
      <c r="W63" s="60" t="str">
        <f t="shared" si="0"/>
        <v>60222382</v>
      </c>
      <c r="X63" s="60" t="str">
        <f t="shared" si="5"/>
        <v/>
      </c>
      <c r="AC63" s="51">
        <f t="shared" si="6"/>
        <v>96</v>
      </c>
      <c r="AD63" s="44">
        <f t="shared" si="1"/>
        <v>137</v>
      </c>
      <c r="AE63" s="51">
        <f t="shared" si="7"/>
        <v>96137</v>
      </c>
    </row>
    <row r="64" spans="1:31">
      <c r="A64" s="60" t="str">
        <f t="shared" si="2"/>
        <v>60222382grp</v>
      </c>
      <c r="B64" s="60" t="str">
        <f t="shared" si="3"/>
        <v>96-137-80</v>
      </c>
      <c r="C64" s="72" t="s">
        <v>1172</v>
      </c>
      <c r="D64" s="72" t="s">
        <v>1170</v>
      </c>
      <c r="E64" s="72" t="s">
        <v>990</v>
      </c>
      <c r="F64" s="73">
        <v>57</v>
      </c>
      <c r="G64" s="73">
        <v>60222382</v>
      </c>
      <c r="H64" s="72" t="s">
        <v>83</v>
      </c>
      <c r="I64" s="72" t="s">
        <v>910</v>
      </c>
      <c r="J64" s="72" t="s">
        <v>325</v>
      </c>
      <c r="K64" s="72" t="s">
        <v>382</v>
      </c>
      <c r="L64" s="72" t="s">
        <v>887</v>
      </c>
      <c r="M64" s="72" t="s">
        <v>388</v>
      </c>
      <c r="N64" s="72" t="s">
        <v>43</v>
      </c>
      <c r="O64" s="72" t="s">
        <v>386</v>
      </c>
      <c r="P64" s="72" t="s">
        <v>978</v>
      </c>
      <c r="Q64" s="72" t="s">
        <v>1171</v>
      </c>
      <c r="R64" s="72" t="s">
        <v>83</v>
      </c>
      <c r="V64" s="60" t="str">
        <f t="shared" si="4"/>
        <v>60222382серый</v>
      </c>
      <c r="W64" s="60" t="str">
        <f t="shared" si="0"/>
        <v>60222382</v>
      </c>
      <c r="X64" s="60" t="str">
        <f t="shared" si="5"/>
        <v/>
      </c>
      <c r="AC64" s="51">
        <f t="shared" si="6"/>
        <v>96</v>
      </c>
      <c r="AD64" s="44">
        <f t="shared" si="1"/>
        <v>137</v>
      </c>
      <c r="AE64" s="51">
        <f t="shared" si="7"/>
        <v>96137</v>
      </c>
    </row>
    <row r="65" spans="1:31">
      <c r="A65" s="60" t="str">
        <f t="shared" si="2"/>
        <v>60222382grp</v>
      </c>
      <c r="B65" s="60" t="str">
        <f t="shared" si="3"/>
        <v>96-137-80</v>
      </c>
      <c r="C65" s="72" t="s">
        <v>1173</v>
      </c>
      <c r="D65" s="72" t="s">
        <v>1170</v>
      </c>
      <c r="E65" s="72" t="s">
        <v>1144</v>
      </c>
      <c r="F65" s="73">
        <v>55</v>
      </c>
      <c r="G65" s="73">
        <v>60222382</v>
      </c>
      <c r="H65" s="72" t="s">
        <v>83</v>
      </c>
      <c r="I65" s="72" t="s">
        <v>910</v>
      </c>
      <c r="J65" s="72" t="s">
        <v>325</v>
      </c>
      <c r="K65" s="72" t="s">
        <v>382</v>
      </c>
      <c r="L65" s="72" t="s">
        <v>887</v>
      </c>
      <c r="M65" s="72" t="s">
        <v>388</v>
      </c>
      <c r="N65" s="72" t="s">
        <v>43</v>
      </c>
      <c r="O65" s="72" t="s">
        <v>386</v>
      </c>
      <c r="P65" s="72" t="s">
        <v>978</v>
      </c>
      <c r="Q65" s="72" t="s">
        <v>1171</v>
      </c>
      <c r="R65" s="72" t="s">
        <v>83</v>
      </c>
      <c r="V65" s="60" t="str">
        <f t="shared" si="4"/>
        <v>60222382серый</v>
      </c>
      <c r="W65" s="60" t="str">
        <f t="shared" si="0"/>
        <v>60222382</v>
      </c>
      <c r="X65" s="60" t="str">
        <f t="shared" si="5"/>
        <v/>
      </c>
      <c r="AC65" s="51">
        <f t="shared" si="6"/>
        <v>96</v>
      </c>
      <c r="AD65" s="44">
        <f t="shared" si="1"/>
        <v>137</v>
      </c>
      <c r="AE65" s="51">
        <f t="shared" si="7"/>
        <v>96137</v>
      </c>
    </row>
    <row r="66" spans="1:31">
      <c r="A66" s="60" t="str">
        <f t="shared" si="2"/>
        <v>60222375car</v>
      </c>
      <c r="B66" s="60" t="str">
        <f t="shared" si="3"/>
        <v>96-136-18</v>
      </c>
      <c r="C66" s="72" t="s">
        <v>1174</v>
      </c>
      <c r="D66" s="72" t="s">
        <v>1175</v>
      </c>
      <c r="E66" s="72" t="s">
        <v>909</v>
      </c>
      <c r="F66" s="73">
        <v>0</v>
      </c>
      <c r="G66" s="73">
        <v>60222375</v>
      </c>
      <c r="H66" s="72" t="s">
        <v>78</v>
      </c>
      <c r="I66" s="72" t="s">
        <v>910</v>
      </c>
      <c r="J66" s="72" t="s">
        <v>327</v>
      </c>
      <c r="K66" s="72" t="s">
        <v>382</v>
      </c>
      <c r="L66" s="72" t="s">
        <v>887</v>
      </c>
      <c r="M66" s="72" t="s">
        <v>388</v>
      </c>
      <c r="N66" s="72" t="s">
        <v>43</v>
      </c>
      <c r="O66" s="72" t="s">
        <v>386</v>
      </c>
      <c r="P66" s="72" t="s">
        <v>978</v>
      </c>
      <c r="Q66" s="72" t="s">
        <v>1176</v>
      </c>
      <c r="R66" s="72" t="s">
        <v>78</v>
      </c>
      <c r="V66" s="60" t="str">
        <f t="shared" si="4"/>
        <v>60222375красный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60222375</v>
      </c>
      <c r="X66" s="60" t="str">
        <f t="shared" si="5"/>
        <v/>
      </c>
      <c r="AC66" s="51">
        <f t="shared" si="6"/>
        <v>96</v>
      </c>
      <c r="AD66" s="44">
        <f t="shared" si="1"/>
        <v>136</v>
      </c>
      <c r="AE66" s="51">
        <f t="shared" si="7"/>
        <v>96136</v>
      </c>
    </row>
    <row r="67" spans="1:31">
      <c r="A67" s="60" t="str">
        <f t="shared" ref="A67:A130" si="9">IF(G67&amp;Q67&lt;&gt;"",W67&amp;Q67,"")</f>
        <v>60222332blk</v>
      </c>
      <c r="B67" s="60" t="str">
        <f t="shared" ref="B67:B130" si="10">IF(C67&lt;&gt;"",LEFT(C67,9),"")</f>
        <v>96-135-09</v>
      </c>
      <c r="C67" s="72" t="s">
        <v>1177</v>
      </c>
      <c r="D67" s="72" t="s">
        <v>1178</v>
      </c>
      <c r="E67" s="72" t="s">
        <v>1134</v>
      </c>
      <c r="F67" s="73">
        <v>59</v>
      </c>
      <c r="G67" s="73">
        <v>60222332</v>
      </c>
      <c r="H67" s="72" t="s">
        <v>53</v>
      </c>
      <c r="I67" s="72" t="s">
        <v>918</v>
      </c>
      <c r="J67" s="72" t="s">
        <v>325</v>
      </c>
      <c r="K67" s="72" t="s">
        <v>382</v>
      </c>
      <c r="L67" s="72" t="s">
        <v>887</v>
      </c>
      <c r="M67" s="72" t="s">
        <v>388</v>
      </c>
      <c r="O67" s="72" t="s">
        <v>386</v>
      </c>
      <c r="P67" s="72" t="s">
        <v>978</v>
      </c>
      <c r="Q67" s="72" t="s">
        <v>987</v>
      </c>
      <c r="R67" s="72" t="s">
        <v>53</v>
      </c>
      <c r="V67" s="60" t="str">
        <f t="shared" ref="V67:V130" si="11">W67&amp;H67</f>
        <v>60222332черный</v>
      </c>
      <c r="W67" s="60" t="str">
        <f t="shared" si="8"/>
        <v>60222332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96</v>
      </c>
      <c r="AD67" s="44">
        <f t="shared" ref="AD67:AD130" si="14">IFERROR(VALUE(MID($C67,4,3)),0)</f>
        <v>135</v>
      </c>
      <c r="AE67" s="51">
        <f t="shared" ref="AE67:AE130" si="15">VALUE(RIGHT("00"&amp;AC67,2)&amp;RIGHT("000"&amp;AD67,3))</f>
        <v>96135</v>
      </c>
    </row>
    <row r="68" spans="1:31">
      <c r="A68" s="60" t="str">
        <f t="shared" si="9"/>
        <v>60222332blk</v>
      </c>
      <c r="B68" s="60" t="str">
        <f t="shared" si="10"/>
        <v>96-135-09</v>
      </c>
      <c r="C68" s="72" t="s">
        <v>1179</v>
      </c>
      <c r="D68" s="72" t="s">
        <v>1178</v>
      </c>
      <c r="E68" s="72" t="s">
        <v>990</v>
      </c>
      <c r="F68" s="73">
        <v>57</v>
      </c>
      <c r="G68" s="73">
        <v>60222332</v>
      </c>
      <c r="H68" s="72" t="s">
        <v>53</v>
      </c>
      <c r="I68" s="72" t="s">
        <v>918</v>
      </c>
      <c r="J68" s="72" t="s">
        <v>325</v>
      </c>
      <c r="K68" s="72" t="s">
        <v>382</v>
      </c>
      <c r="L68" s="72" t="s">
        <v>887</v>
      </c>
      <c r="M68" s="72" t="s">
        <v>388</v>
      </c>
      <c r="O68" s="72" t="s">
        <v>386</v>
      </c>
      <c r="P68" s="72" t="s">
        <v>978</v>
      </c>
      <c r="Q68" s="72" t="s">
        <v>987</v>
      </c>
      <c r="R68" s="72" t="s">
        <v>53</v>
      </c>
      <c r="V68" s="60" t="str">
        <f t="shared" si="11"/>
        <v>60222332черный</v>
      </c>
      <c r="W68" s="60" t="str">
        <f t="shared" si="8"/>
        <v>60222332</v>
      </c>
      <c r="X68" s="60" t="str">
        <f t="shared" si="12"/>
        <v/>
      </c>
      <c r="AC68" s="51">
        <f t="shared" si="13"/>
        <v>96</v>
      </c>
      <c r="AD68" s="44">
        <f t="shared" si="14"/>
        <v>135</v>
      </c>
      <c r="AE68" s="51">
        <f t="shared" si="15"/>
        <v>96135</v>
      </c>
    </row>
    <row r="69" spans="1:31">
      <c r="A69" s="60" t="str">
        <f t="shared" si="9"/>
        <v>60222332blk</v>
      </c>
      <c r="B69" s="60" t="str">
        <f t="shared" si="10"/>
        <v>96-135-09</v>
      </c>
      <c r="C69" s="72" t="s">
        <v>1180</v>
      </c>
      <c r="D69" s="72" t="s">
        <v>1178</v>
      </c>
      <c r="E69" s="72" t="s">
        <v>1144</v>
      </c>
      <c r="F69" s="73">
        <v>55</v>
      </c>
      <c r="G69" s="73">
        <v>60222332</v>
      </c>
      <c r="H69" s="72" t="s">
        <v>53</v>
      </c>
      <c r="I69" s="72" t="s">
        <v>918</v>
      </c>
      <c r="J69" s="72" t="s">
        <v>325</v>
      </c>
      <c r="K69" s="72" t="s">
        <v>382</v>
      </c>
      <c r="L69" s="72" t="s">
        <v>887</v>
      </c>
      <c r="M69" s="72" t="s">
        <v>388</v>
      </c>
      <c r="O69" s="72" t="s">
        <v>386</v>
      </c>
      <c r="P69" s="72" t="s">
        <v>978</v>
      </c>
      <c r="Q69" s="72" t="s">
        <v>987</v>
      </c>
      <c r="R69" s="72" t="s">
        <v>53</v>
      </c>
      <c r="V69" s="60" t="str">
        <f t="shared" si="11"/>
        <v>60222332черный</v>
      </c>
      <c r="W69" s="60" t="str">
        <f t="shared" si="8"/>
        <v>60222332</v>
      </c>
      <c r="X69" s="60" t="str">
        <f t="shared" si="12"/>
        <v/>
      </c>
      <c r="AC69" s="51">
        <f t="shared" si="13"/>
        <v>96</v>
      </c>
      <c r="AD69" s="44">
        <f t="shared" si="14"/>
        <v>135</v>
      </c>
      <c r="AE69" s="51">
        <f t="shared" si="15"/>
        <v>96135</v>
      </c>
    </row>
    <row r="70" spans="1:31">
      <c r="A70" s="60" t="str">
        <f t="shared" si="9"/>
        <v>60222327blk</v>
      </c>
      <c r="B70" s="60" t="str">
        <f t="shared" si="10"/>
        <v>96-134-09</v>
      </c>
      <c r="C70" s="72" t="s">
        <v>1181</v>
      </c>
      <c r="D70" s="72" t="s">
        <v>1182</v>
      </c>
      <c r="E70" s="72" t="s">
        <v>990</v>
      </c>
      <c r="F70" s="73">
        <v>57</v>
      </c>
      <c r="G70" s="73">
        <v>60222327</v>
      </c>
      <c r="H70" s="72" t="s">
        <v>53</v>
      </c>
      <c r="I70" s="72" t="s">
        <v>910</v>
      </c>
      <c r="J70" s="72" t="s">
        <v>325</v>
      </c>
      <c r="K70" s="72" t="s">
        <v>382</v>
      </c>
      <c r="L70" s="72" t="s">
        <v>887</v>
      </c>
      <c r="M70" s="72" t="s">
        <v>388</v>
      </c>
      <c r="N70" s="72" t="s">
        <v>43</v>
      </c>
      <c r="O70" s="72" t="s">
        <v>541</v>
      </c>
      <c r="P70" s="72" t="s">
        <v>978</v>
      </c>
      <c r="Q70" s="72" t="s">
        <v>987</v>
      </c>
      <c r="R70" s="72" t="s">
        <v>53</v>
      </c>
      <c r="V70" s="60" t="str">
        <f t="shared" si="11"/>
        <v>60222327черный</v>
      </c>
      <c r="W70" s="60" t="str">
        <f t="shared" si="8"/>
        <v>60222327</v>
      </c>
      <c r="X70" s="60" t="str">
        <f t="shared" si="12"/>
        <v/>
      </c>
      <c r="AC70" s="51">
        <f t="shared" si="13"/>
        <v>96</v>
      </c>
      <c r="AD70" s="44">
        <f t="shared" si="14"/>
        <v>134</v>
      </c>
      <c r="AE70" s="51">
        <f t="shared" si="15"/>
        <v>96134</v>
      </c>
    </row>
    <row r="71" spans="1:31">
      <c r="A71" s="60" t="str">
        <f t="shared" si="9"/>
        <v>60222310nvy</v>
      </c>
      <c r="B71" s="60" t="str">
        <f t="shared" si="10"/>
        <v>96-133-16</v>
      </c>
      <c r="C71" s="72" t="s">
        <v>1183</v>
      </c>
      <c r="D71" s="72" t="s">
        <v>1184</v>
      </c>
      <c r="E71" s="72" t="s">
        <v>1134</v>
      </c>
      <c r="F71" s="73">
        <v>59</v>
      </c>
      <c r="G71" s="73" t="s">
        <v>1185</v>
      </c>
      <c r="H71" s="72" t="s">
        <v>55</v>
      </c>
      <c r="I71" s="72" t="s">
        <v>910</v>
      </c>
      <c r="J71" s="72" t="s">
        <v>325</v>
      </c>
      <c r="K71" s="72" t="s">
        <v>382</v>
      </c>
      <c r="L71" s="72" t="s">
        <v>887</v>
      </c>
      <c r="M71" s="72" t="s">
        <v>388</v>
      </c>
      <c r="N71" s="72" t="s">
        <v>43</v>
      </c>
      <c r="O71" s="72" t="s">
        <v>541</v>
      </c>
      <c r="P71" s="72" t="s">
        <v>978</v>
      </c>
      <c r="Q71" s="72" t="s">
        <v>1159</v>
      </c>
      <c r="R71" s="72" t="s">
        <v>71</v>
      </c>
      <c r="T71" s="72" t="s">
        <v>911</v>
      </c>
      <c r="U71" s="72" t="s">
        <v>914</v>
      </c>
      <c r="V71" s="60" t="str">
        <f t="shared" si="11"/>
        <v>60222310темно-синий</v>
      </c>
      <c r="W71" s="60" t="str">
        <f t="shared" si="8"/>
        <v>60222310</v>
      </c>
      <c r="X71" s="60" t="str">
        <f t="shared" si="12"/>
        <v>New York Yankees</v>
      </c>
      <c r="AC71" s="51">
        <f t="shared" si="13"/>
        <v>96</v>
      </c>
      <c r="AD71" s="44">
        <f t="shared" si="14"/>
        <v>133</v>
      </c>
      <c r="AE71" s="51">
        <f t="shared" si="15"/>
        <v>96133</v>
      </c>
    </row>
    <row r="72" spans="1:31">
      <c r="A72" s="60" t="str">
        <f t="shared" si="9"/>
        <v>60222310nvy</v>
      </c>
      <c r="B72" s="60" t="str">
        <f t="shared" si="10"/>
        <v>96-133-16</v>
      </c>
      <c r="C72" s="72" t="s">
        <v>1186</v>
      </c>
      <c r="D72" s="72" t="s">
        <v>1184</v>
      </c>
      <c r="E72" s="72" t="s">
        <v>1144</v>
      </c>
      <c r="F72" s="73">
        <v>55</v>
      </c>
      <c r="G72" s="73" t="s">
        <v>1185</v>
      </c>
      <c r="H72" s="72" t="s">
        <v>55</v>
      </c>
      <c r="I72" s="72" t="s">
        <v>910</v>
      </c>
      <c r="J72" s="72" t="s">
        <v>325</v>
      </c>
      <c r="K72" s="72" t="s">
        <v>382</v>
      </c>
      <c r="L72" s="72" t="s">
        <v>887</v>
      </c>
      <c r="M72" s="72" t="s">
        <v>388</v>
      </c>
      <c r="N72" s="72" t="s">
        <v>43</v>
      </c>
      <c r="O72" s="72" t="s">
        <v>541</v>
      </c>
      <c r="P72" s="72" t="s">
        <v>978</v>
      </c>
      <c r="Q72" s="72" t="s">
        <v>1159</v>
      </c>
      <c r="R72" s="72" t="s">
        <v>71</v>
      </c>
      <c r="T72" s="72" t="s">
        <v>911</v>
      </c>
      <c r="U72" s="72" t="s">
        <v>914</v>
      </c>
      <c r="V72" s="60" t="str">
        <f t="shared" si="11"/>
        <v>60222310темно-синий</v>
      </c>
      <c r="W72" s="60" t="str">
        <f t="shared" si="8"/>
        <v>60222310</v>
      </c>
      <c r="X72" s="60" t="str">
        <f t="shared" si="12"/>
        <v>New York Yankees</v>
      </c>
      <c r="AC72" s="51">
        <f t="shared" si="13"/>
        <v>96</v>
      </c>
      <c r="AD72" s="44">
        <f t="shared" si="14"/>
        <v>133</v>
      </c>
      <c r="AE72" s="51">
        <f t="shared" si="15"/>
        <v>96133</v>
      </c>
    </row>
    <row r="73" spans="1:31">
      <c r="A73" s="60" t="str">
        <f t="shared" si="9"/>
        <v>60222258dkg</v>
      </c>
      <c r="B73" s="60" t="str">
        <f t="shared" si="10"/>
        <v>96-132-07</v>
      </c>
      <c r="C73" s="72" t="s">
        <v>1187</v>
      </c>
      <c r="D73" s="72" t="s">
        <v>1188</v>
      </c>
      <c r="E73" s="72" t="s">
        <v>909</v>
      </c>
      <c r="F73" s="73">
        <v>0</v>
      </c>
      <c r="G73" s="73">
        <v>60222258</v>
      </c>
      <c r="H73" s="72" t="s">
        <v>269</v>
      </c>
      <c r="I73" s="72" t="s">
        <v>910</v>
      </c>
      <c r="J73" s="72" t="s">
        <v>356</v>
      </c>
      <c r="K73" s="72" t="s">
        <v>382</v>
      </c>
      <c r="L73" s="72" t="s">
        <v>887</v>
      </c>
      <c r="M73" s="72" t="s">
        <v>388</v>
      </c>
      <c r="N73" s="72" t="s">
        <v>43</v>
      </c>
      <c r="O73" s="72" t="s">
        <v>386</v>
      </c>
      <c r="P73" s="72" t="s">
        <v>978</v>
      </c>
      <c r="Q73" s="72" t="s">
        <v>1189</v>
      </c>
      <c r="R73" s="72" t="s">
        <v>60</v>
      </c>
      <c r="V73" s="60" t="str">
        <f t="shared" si="11"/>
        <v>60222258темно-зеленый</v>
      </c>
      <c r="W73" s="60" t="str">
        <f t="shared" si="8"/>
        <v>60222258</v>
      </c>
      <c r="X73" s="60" t="str">
        <f t="shared" si="12"/>
        <v/>
      </c>
      <c r="AC73" s="51">
        <f t="shared" si="13"/>
        <v>96</v>
      </c>
      <c r="AD73" s="44">
        <f t="shared" si="14"/>
        <v>132</v>
      </c>
      <c r="AE73" s="51">
        <f t="shared" si="15"/>
        <v>96132</v>
      </c>
    </row>
    <row r="74" spans="1:31">
      <c r="A74" s="60" t="str">
        <f t="shared" si="9"/>
        <v>60222255urc</v>
      </c>
      <c r="B74" s="60" t="str">
        <f t="shared" si="10"/>
        <v>96-131-00</v>
      </c>
      <c r="C74" s="72" t="s">
        <v>1190</v>
      </c>
      <c r="D74" s="72" t="s">
        <v>1191</v>
      </c>
      <c r="E74" s="72" t="s">
        <v>1134</v>
      </c>
      <c r="F74" s="73">
        <v>59</v>
      </c>
      <c r="G74" s="73">
        <v>60222255</v>
      </c>
      <c r="H74" s="72" t="s">
        <v>847</v>
      </c>
      <c r="I74" s="72" t="s">
        <v>910</v>
      </c>
      <c r="J74" s="72" t="s">
        <v>325</v>
      </c>
      <c r="K74" s="72" t="s">
        <v>382</v>
      </c>
      <c r="L74" s="72" t="s">
        <v>887</v>
      </c>
      <c r="M74" s="72" t="s">
        <v>388</v>
      </c>
      <c r="N74" s="72" t="s">
        <v>43</v>
      </c>
      <c r="O74" s="72" t="s">
        <v>386</v>
      </c>
      <c r="P74" s="72" t="s">
        <v>978</v>
      </c>
      <c r="Q74" s="72" t="s">
        <v>1192</v>
      </c>
      <c r="R74" s="72" t="s">
        <v>60</v>
      </c>
      <c r="V74" s="60" t="str">
        <f t="shared" si="11"/>
        <v>60222255камуфляж / белый</v>
      </c>
      <c r="W74" s="60" t="str">
        <f t="shared" si="8"/>
        <v>60222255</v>
      </c>
      <c r="X74" s="60" t="str">
        <f t="shared" si="12"/>
        <v/>
      </c>
      <c r="AC74" s="51">
        <f t="shared" si="13"/>
        <v>96</v>
      </c>
      <c r="AD74" s="44">
        <f t="shared" si="14"/>
        <v>131</v>
      </c>
      <c r="AE74" s="51">
        <f t="shared" si="15"/>
        <v>96131</v>
      </c>
    </row>
    <row r="75" spans="1:31">
      <c r="A75" s="60" t="str">
        <f t="shared" si="9"/>
        <v>60222255urc</v>
      </c>
      <c r="B75" s="60" t="str">
        <f t="shared" si="10"/>
        <v>96-131-00</v>
      </c>
      <c r="C75" s="72" t="s">
        <v>1193</v>
      </c>
      <c r="D75" s="72" t="s">
        <v>1191</v>
      </c>
      <c r="E75" s="72" t="s">
        <v>990</v>
      </c>
      <c r="F75" s="73">
        <v>57</v>
      </c>
      <c r="G75" s="73">
        <v>60222255</v>
      </c>
      <c r="H75" s="72" t="s">
        <v>847</v>
      </c>
      <c r="I75" s="72" t="s">
        <v>910</v>
      </c>
      <c r="J75" s="72" t="s">
        <v>325</v>
      </c>
      <c r="K75" s="72" t="s">
        <v>382</v>
      </c>
      <c r="L75" s="72" t="s">
        <v>887</v>
      </c>
      <c r="M75" s="72" t="s">
        <v>388</v>
      </c>
      <c r="N75" s="72" t="s">
        <v>43</v>
      </c>
      <c r="O75" s="72" t="s">
        <v>386</v>
      </c>
      <c r="P75" s="72" t="s">
        <v>978</v>
      </c>
      <c r="Q75" s="72" t="s">
        <v>1192</v>
      </c>
      <c r="R75" s="72" t="s">
        <v>60</v>
      </c>
      <c r="V75" s="60" t="str">
        <f t="shared" si="11"/>
        <v>60222255камуфляж / белый</v>
      </c>
      <c r="W75" s="60" t="str">
        <f t="shared" si="8"/>
        <v>60222255</v>
      </c>
      <c r="X75" s="60" t="str">
        <f t="shared" si="12"/>
        <v/>
      </c>
      <c r="AC75" s="51">
        <f t="shared" si="13"/>
        <v>96</v>
      </c>
      <c r="AD75" s="44">
        <f t="shared" si="14"/>
        <v>131</v>
      </c>
      <c r="AE75" s="51">
        <f t="shared" si="15"/>
        <v>96131</v>
      </c>
    </row>
    <row r="76" spans="1:31">
      <c r="A76" s="60" t="str">
        <f t="shared" si="9"/>
        <v>60222255urc</v>
      </c>
      <c r="B76" s="60" t="str">
        <f t="shared" si="10"/>
        <v>96-131-00</v>
      </c>
      <c r="C76" s="72" t="s">
        <v>1194</v>
      </c>
      <c r="D76" s="72" t="s">
        <v>1191</v>
      </c>
      <c r="E76" s="72" t="s">
        <v>1144</v>
      </c>
      <c r="F76" s="73">
        <v>55</v>
      </c>
      <c r="G76" s="73">
        <v>60222255</v>
      </c>
      <c r="H76" s="72" t="s">
        <v>847</v>
      </c>
      <c r="I76" s="72" t="s">
        <v>910</v>
      </c>
      <c r="J76" s="72" t="s">
        <v>325</v>
      </c>
      <c r="K76" s="72" t="s">
        <v>382</v>
      </c>
      <c r="L76" s="72" t="s">
        <v>887</v>
      </c>
      <c r="M76" s="72" t="s">
        <v>388</v>
      </c>
      <c r="N76" s="72" t="s">
        <v>43</v>
      </c>
      <c r="O76" s="72" t="s">
        <v>386</v>
      </c>
      <c r="P76" s="72" t="s">
        <v>978</v>
      </c>
      <c r="Q76" s="72" t="s">
        <v>1192</v>
      </c>
      <c r="R76" s="72" t="s">
        <v>60</v>
      </c>
      <c r="V76" s="60" t="str">
        <f t="shared" si="11"/>
        <v>60222255камуфляж / белый</v>
      </c>
      <c r="W76" s="60" t="str">
        <f t="shared" si="8"/>
        <v>60222255</v>
      </c>
      <c r="X76" s="60" t="str">
        <f t="shared" si="12"/>
        <v/>
      </c>
      <c r="AC76" s="51">
        <f t="shared" si="13"/>
        <v>96</v>
      </c>
      <c r="AD76" s="44">
        <f t="shared" si="14"/>
        <v>131</v>
      </c>
      <c r="AE76" s="51">
        <f t="shared" si="15"/>
        <v>96131</v>
      </c>
    </row>
    <row r="77" spans="1:31">
      <c r="A77" s="60" t="str">
        <f t="shared" si="9"/>
        <v>60222249atb</v>
      </c>
      <c r="B77" s="60" t="str">
        <f t="shared" si="10"/>
        <v>96-130-06</v>
      </c>
      <c r="C77" s="72" t="s">
        <v>1195</v>
      </c>
      <c r="D77" s="72" t="s">
        <v>1196</v>
      </c>
      <c r="E77" s="72" t="s">
        <v>1134</v>
      </c>
      <c r="F77" s="73">
        <v>59</v>
      </c>
      <c r="G77" s="73">
        <v>60222249</v>
      </c>
      <c r="H77" s="72" t="s">
        <v>71</v>
      </c>
      <c r="I77" s="72" t="s">
        <v>910</v>
      </c>
      <c r="J77" s="72" t="s">
        <v>325</v>
      </c>
      <c r="K77" s="72" t="s">
        <v>382</v>
      </c>
      <c r="L77" s="72" t="s">
        <v>887</v>
      </c>
      <c r="M77" s="72" t="s">
        <v>388</v>
      </c>
      <c r="N77" s="72" t="s">
        <v>43</v>
      </c>
      <c r="O77" s="72" t="s">
        <v>541</v>
      </c>
      <c r="P77" s="72" t="s">
        <v>978</v>
      </c>
      <c r="Q77" s="72" t="s">
        <v>1197</v>
      </c>
      <c r="R77" s="72" t="s">
        <v>71</v>
      </c>
      <c r="V77" s="60" t="str">
        <f t="shared" si="11"/>
        <v>60222249синий</v>
      </c>
      <c r="W77" s="60" t="str">
        <f t="shared" si="8"/>
        <v>60222249</v>
      </c>
      <c r="X77" s="60" t="str">
        <f t="shared" si="12"/>
        <v/>
      </c>
      <c r="AC77" s="51">
        <f t="shared" si="13"/>
        <v>96</v>
      </c>
      <c r="AD77" s="44">
        <f t="shared" si="14"/>
        <v>130</v>
      </c>
      <c r="AE77" s="51">
        <f t="shared" si="15"/>
        <v>96130</v>
      </c>
    </row>
    <row r="78" spans="1:31">
      <c r="A78" s="60" t="str">
        <f t="shared" si="9"/>
        <v>60222249atb</v>
      </c>
      <c r="B78" s="60" t="str">
        <f t="shared" si="10"/>
        <v>96-130-06</v>
      </c>
      <c r="C78" s="72" t="s">
        <v>1198</v>
      </c>
      <c r="D78" s="72" t="s">
        <v>1196</v>
      </c>
      <c r="E78" s="72" t="s">
        <v>990</v>
      </c>
      <c r="F78" s="73">
        <v>57</v>
      </c>
      <c r="G78" s="73">
        <v>60222249</v>
      </c>
      <c r="H78" s="72" t="s">
        <v>71</v>
      </c>
      <c r="I78" s="72" t="s">
        <v>910</v>
      </c>
      <c r="J78" s="72" t="s">
        <v>325</v>
      </c>
      <c r="K78" s="72" t="s">
        <v>382</v>
      </c>
      <c r="L78" s="72" t="s">
        <v>887</v>
      </c>
      <c r="M78" s="72" t="s">
        <v>388</v>
      </c>
      <c r="N78" s="72" t="s">
        <v>43</v>
      </c>
      <c r="O78" s="72" t="s">
        <v>541</v>
      </c>
      <c r="P78" s="72" t="s">
        <v>978</v>
      </c>
      <c r="Q78" s="72" t="s">
        <v>1197</v>
      </c>
      <c r="R78" s="72" t="s">
        <v>71</v>
      </c>
      <c r="V78" s="60" t="str">
        <f t="shared" si="11"/>
        <v>60222249синий</v>
      </c>
      <c r="W78" s="60" t="str">
        <f t="shared" si="8"/>
        <v>60222249</v>
      </c>
      <c r="X78" s="60" t="str">
        <f t="shared" si="12"/>
        <v/>
      </c>
      <c r="AC78" s="51">
        <f t="shared" si="13"/>
        <v>96</v>
      </c>
      <c r="AD78" s="44">
        <f t="shared" si="14"/>
        <v>130</v>
      </c>
      <c r="AE78" s="51">
        <f t="shared" si="15"/>
        <v>96130</v>
      </c>
    </row>
    <row r="79" spans="1:31">
      <c r="A79" s="60" t="str">
        <f t="shared" si="9"/>
        <v>60222249atb</v>
      </c>
      <c r="B79" s="60" t="str">
        <f t="shared" si="10"/>
        <v>96-130-06</v>
      </c>
      <c r="C79" s="72" t="s">
        <v>1199</v>
      </c>
      <c r="D79" s="72" t="s">
        <v>1196</v>
      </c>
      <c r="E79" s="72" t="s">
        <v>1144</v>
      </c>
      <c r="F79" s="73">
        <v>55</v>
      </c>
      <c r="G79" s="73">
        <v>60222249</v>
      </c>
      <c r="H79" s="72" t="s">
        <v>71</v>
      </c>
      <c r="I79" s="72" t="s">
        <v>910</v>
      </c>
      <c r="J79" s="72" t="s">
        <v>325</v>
      </c>
      <c r="K79" s="72" t="s">
        <v>382</v>
      </c>
      <c r="L79" s="72" t="s">
        <v>887</v>
      </c>
      <c r="M79" s="72" t="s">
        <v>388</v>
      </c>
      <c r="N79" s="72" t="s">
        <v>43</v>
      </c>
      <c r="O79" s="72" t="s">
        <v>541</v>
      </c>
      <c r="P79" s="72" t="s">
        <v>978</v>
      </c>
      <c r="Q79" s="72" t="s">
        <v>1197</v>
      </c>
      <c r="R79" s="72" t="s">
        <v>71</v>
      </c>
      <c r="V79" s="60" t="str">
        <f t="shared" si="11"/>
        <v>60222249синий</v>
      </c>
      <c r="W79" s="60" t="str">
        <f t="shared" si="8"/>
        <v>60222249</v>
      </c>
      <c r="X79" s="60" t="str">
        <f t="shared" si="12"/>
        <v/>
      </c>
      <c r="AC79" s="51">
        <f t="shared" si="13"/>
        <v>96</v>
      </c>
      <c r="AD79" s="44">
        <f t="shared" si="14"/>
        <v>130</v>
      </c>
      <c r="AE79" s="51">
        <f t="shared" si="15"/>
        <v>96130</v>
      </c>
    </row>
    <row r="80" spans="1:31">
      <c r="A80" s="60" t="str">
        <f t="shared" si="9"/>
        <v>60222227stn</v>
      </c>
      <c r="B80" s="60" t="str">
        <f t="shared" si="10"/>
        <v>96-129-17</v>
      </c>
      <c r="C80" s="72" t="s">
        <v>1200</v>
      </c>
      <c r="D80" s="72" t="s">
        <v>1201</v>
      </c>
      <c r="E80" s="72" t="s">
        <v>1134</v>
      </c>
      <c r="F80" s="73">
        <v>59</v>
      </c>
      <c r="G80" s="73">
        <v>60222227</v>
      </c>
      <c r="H80" s="72" t="s">
        <v>57</v>
      </c>
      <c r="I80" s="72" t="s">
        <v>910</v>
      </c>
      <c r="J80" s="72" t="s">
        <v>325</v>
      </c>
      <c r="K80" s="72" t="s">
        <v>382</v>
      </c>
      <c r="L80" s="72" t="s">
        <v>887</v>
      </c>
      <c r="M80" s="72" t="s">
        <v>388</v>
      </c>
      <c r="N80" s="72" t="s">
        <v>43</v>
      </c>
      <c r="O80" s="72" t="s">
        <v>541</v>
      </c>
      <c r="P80" s="72" t="s">
        <v>978</v>
      </c>
      <c r="Q80" s="72" t="s">
        <v>1018</v>
      </c>
      <c r="R80" s="72" t="s">
        <v>57</v>
      </c>
      <c r="V80" s="60" t="str">
        <f t="shared" si="11"/>
        <v>60222227белый</v>
      </c>
      <c r="W80" s="60" t="str">
        <f t="shared" si="8"/>
        <v>60222227</v>
      </c>
      <c r="X80" s="60" t="str">
        <f t="shared" si="12"/>
        <v/>
      </c>
      <c r="AC80" s="51">
        <f t="shared" si="13"/>
        <v>96</v>
      </c>
      <c r="AD80" s="44">
        <f t="shared" si="14"/>
        <v>129</v>
      </c>
      <c r="AE80" s="51">
        <f t="shared" si="15"/>
        <v>96129</v>
      </c>
    </row>
    <row r="81" spans="1:31">
      <c r="A81" s="60" t="str">
        <f t="shared" si="9"/>
        <v>60222227stn</v>
      </c>
      <c r="B81" s="60" t="str">
        <f t="shared" si="10"/>
        <v>96-129-17</v>
      </c>
      <c r="C81" s="72" t="s">
        <v>1202</v>
      </c>
      <c r="D81" s="72" t="s">
        <v>1201</v>
      </c>
      <c r="E81" s="72" t="s">
        <v>990</v>
      </c>
      <c r="F81" s="73">
        <v>57</v>
      </c>
      <c r="G81" s="73">
        <v>60222227</v>
      </c>
      <c r="H81" s="72" t="s">
        <v>57</v>
      </c>
      <c r="I81" s="72" t="s">
        <v>910</v>
      </c>
      <c r="J81" s="72" t="s">
        <v>325</v>
      </c>
      <c r="K81" s="72" t="s">
        <v>382</v>
      </c>
      <c r="L81" s="72" t="s">
        <v>887</v>
      </c>
      <c r="M81" s="72" t="s">
        <v>388</v>
      </c>
      <c r="N81" s="72" t="s">
        <v>43</v>
      </c>
      <c r="O81" s="72" t="s">
        <v>541</v>
      </c>
      <c r="P81" s="72" t="s">
        <v>978</v>
      </c>
      <c r="Q81" s="72" t="s">
        <v>1018</v>
      </c>
      <c r="R81" s="72" t="s">
        <v>57</v>
      </c>
      <c r="V81" s="60" t="str">
        <f t="shared" si="11"/>
        <v>60222227белый</v>
      </c>
      <c r="W81" s="60" t="str">
        <f t="shared" si="8"/>
        <v>60222227</v>
      </c>
      <c r="X81" s="60" t="str">
        <f t="shared" si="12"/>
        <v/>
      </c>
      <c r="AC81" s="51">
        <f t="shared" si="13"/>
        <v>96</v>
      </c>
      <c r="AD81" s="44">
        <f t="shared" si="14"/>
        <v>129</v>
      </c>
      <c r="AE81" s="51">
        <f t="shared" si="15"/>
        <v>96129</v>
      </c>
    </row>
    <row r="82" spans="1:31">
      <c r="A82" s="60" t="str">
        <f t="shared" si="9"/>
        <v>60222226nov</v>
      </c>
      <c r="B82" s="60" t="str">
        <f t="shared" si="10"/>
        <v>96-128-03</v>
      </c>
      <c r="C82" s="72" t="s">
        <v>1203</v>
      </c>
      <c r="D82" s="72" t="s">
        <v>1204</v>
      </c>
      <c r="E82" s="72" t="s">
        <v>1134</v>
      </c>
      <c r="F82" s="73">
        <v>59</v>
      </c>
      <c r="G82" s="73">
        <v>60222226</v>
      </c>
      <c r="H82" s="72" t="s">
        <v>195</v>
      </c>
      <c r="I82" s="72" t="s">
        <v>910</v>
      </c>
      <c r="J82" s="72" t="s">
        <v>325</v>
      </c>
      <c r="K82" s="72" t="s">
        <v>382</v>
      </c>
      <c r="L82" s="72" t="s">
        <v>887</v>
      </c>
      <c r="M82" s="72" t="s">
        <v>388</v>
      </c>
      <c r="N82" s="72" t="s">
        <v>43</v>
      </c>
      <c r="O82" s="72" t="s">
        <v>541</v>
      </c>
      <c r="P82" s="72" t="s">
        <v>978</v>
      </c>
      <c r="Q82" s="72" t="s">
        <v>1205</v>
      </c>
      <c r="R82" s="72" t="s">
        <v>195</v>
      </c>
      <c r="V82" s="60" t="str">
        <f t="shared" si="11"/>
        <v>60222226оливковый</v>
      </c>
      <c r="W82" s="60" t="str">
        <f t="shared" si="8"/>
        <v>60222226</v>
      </c>
      <c r="X82" s="60" t="str">
        <f t="shared" si="12"/>
        <v/>
      </c>
      <c r="AC82" s="51">
        <f t="shared" si="13"/>
        <v>96</v>
      </c>
      <c r="AD82" s="44">
        <f t="shared" si="14"/>
        <v>128</v>
      </c>
      <c r="AE82" s="51">
        <f t="shared" si="15"/>
        <v>96128</v>
      </c>
    </row>
    <row r="83" spans="1:31">
      <c r="A83" s="60" t="str">
        <f t="shared" si="9"/>
        <v>60222226nov</v>
      </c>
      <c r="B83" s="60" t="str">
        <f t="shared" si="10"/>
        <v>96-128-03</v>
      </c>
      <c r="C83" s="72" t="s">
        <v>1206</v>
      </c>
      <c r="D83" s="72" t="s">
        <v>1204</v>
      </c>
      <c r="E83" s="72" t="s">
        <v>990</v>
      </c>
      <c r="F83" s="73">
        <v>57</v>
      </c>
      <c r="G83" s="73">
        <v>60222226</v>
      </c>
      <c r="H83" s="72" t="s">
        <v>195</v>
      </c>
      <c r="I83" s="72" t="s">
        <v>910</v>
      </c>
      <c r="J83" s="72" t="s">
        <v>325</v>
      </c>
      <c r="K83" s="72" t="s">
        <v>382</v>
      </c>
      <c r="L83" s="72" t="s">
        <v>887</v>
      </c>
      <c r="M83" s="72" t="s">
        <v>388</v>
      </c>
      <c r="N83" s="72" t="s">
        <v>43</v>
      </c>
      <c r="O83" s="72" t="s">
        <v>541</v>
      </c>
      <c r="P83" s="72" t="s">
        <v>978</v>
      </c>
      <c r="Q83" s="72" t="s">
        <v>1205</v>
      </c>
      <c r="R83" s="72" t="s">
        <v>195</v>
      </c>
      <c r="V83" s="60" t="str">
        <f t="shared" si="11"/>
        <v>60222226оливковый</v>
      </c>
      <c r="W83" s="60" t="str">
        <f t="shared" si="8"/>
        <v>60222226</v>
      </c>
      <c r="X83" s="60" t="str">
        <f t="shared" si="12"/>
        <v/>
      </c>
      <c r="AC83" s="51">
        <f t="shared" si="13"/>
        <v>96</v>
      </c>
      <c r="AD83" s="44">
        <f t="shared" si="14"/>
        <v>128</v>
      </c>
      <c r="AE83" s="51">
        <f t="shared" si="15"/>
        <v>96128</v>
      </c>
    </row>
    <row r="84" spans="1:31">
      <c r="A84" s="60" t="str">
        <f t="shared" si="9"/>
        <v>60222226nov</v>
      </c>
      <c r="B84" s="60" t="str">
        <f t="shared" si="10"/>
        <v>96-128-03</v>
      </c>
      <c r="C84" s="72" t="s">
        <v>1207</v>
      </c>
      <c r="D84" s="72" t="s">
        <v>1204</v>
      </c>
      <c r="E84" s="72" t="s">
        <v>1144</v>
      </c>
      <c r="F84" s="73">
        <v>55</v>
      </c>
      <c r="G84" s="73">
        <v>60222226</v>
      </c>
      <c r="H84" s="72" t="s">
        <v>195</v>
      </c>
      <c r="I84" s="72" t="s">
        <v>910</v>
      </c>
      <c r="J84" s="72" t="s">
        <v>325</v>
      </c>
      <c r="K84" s="72" t="s">
        <v>382</v>
      </c>
      <c r="L84" s="72" t="s">
        <v>887</v>
      </c>
      <c r="M84" s="72" t="s">
        <v>388</v>
      </c>
      <c r="N84" s="72" t="s">
        <v>43</v>
      </c>
      <c r="O84" s="72" t="s">
        <v>541</v>
      </c>
      <c r="P84" s="72" t="s">
        <v>978</v>
      </c>
      <c r="Q84" s="72" t="s">
        <v>1205</v>
      </c>
      <c r="R84" s="72" t="s">
        <v>195</v>
      </c>
      <c r="V84" s="60" t="str">
        <f t="shared" si="11"/>
        <v>60222226оливковый</v>
      </c>
      <c r="W84" s="60" t="str">
        <f t="shared" si="8"/>
        <v>60222226</v>
      </c>
      <c r="X84" s="60" t="str">
        <f t="shared" si="12"/>
        <v/>
      </c>
      <c r="AC84" s="51">
        <f t="shared" si="13"/>
        <v>96</v>
      </c>
      <c r="AD84" s="44">
        <f t="shared" si="14"/>
        <v>128</v>
      </c>
      <c r="AE84" s="51">
        <f t="shared" si="15"/>
        <v>96128</v>
      </c>
    </row>
    <row r="85" spans="1:31">
      <c r="A85" s="60" t="str">
        <f t="shared" si="9"/>
        <v>60221462blk</v>
      </c>
      <c r="B85" s="60" t="str">
        <f t="shared" si="10"/>
        <v>96-127-09</v>
      </c>
      <c r="C85" s="72" t="s">
        <v>1208</v>
      </c>
      <c r="D85" s="72" t="s">
        <v>1209</v>
      </c>
      <c r="E85" s="72" t="s">
        <v>909</v>
      </c>
      <c r="F85" s="73">
        <v>0</v>
      </c>
      <c r="G85" s="73" t="s">
        <v>1210</v>
      </c>
      <c r="H85" s="72" t="s">
        <v>53</v>
      </c>
      <c r="I85" s="72" t="s">
        <v>910</v>
      </c>
      <c r="J85" s="72" t="s">
        <v>327</v>
      </c>
      <c r="K85" s="72" t="s">
        <v>382</v>
      </c>
      <c r="L85" s="72" t="s">
        <v>887</v>
      </c>
      <c r="M85" s="72" t="s">
        <v>388</v>
      </c>
      <c r="N85" s="72" t="s">
        <v>43</v>
      </c>
      <c r="O85" s="72" t="s">
        <v>541</v>
      </c>
      <c r="P85" s="72" t="s">
        <v>978</v>
      </c>
      <c r="Q85" s="72" t="s">
        <v>987</v>
      </c>
      <c r="R85" s="72" t="s">
        <v>53</v>
      </c>
      <c r="T85" s="72" t="s">
        <v>920</v>
      </c>
      <c r="U85" s="72" t="s">
        <v>1211</v>
      </c>
      <c r="V85" s="60" t="str">
        <f t="shared" si="11"/>
        <v>60221462черный</v>
      </c>
      <c r="W85" s="60" t="str">
        <f t="shared" si="8"/>
        <v>60221462</v>
      </c>
      <c r="X85" s="60" t="str">
        <f t="shared" si="12"/>
        <v>Manchester United</v>
      </c>
      <c r="AC85" s="51">
        <f t="shared" si="13"/>
        <v>96</v>
      </c>
      <c r="AD85" s="44">
        <f t="shared" si="14"/>
        <v>127</v>
      </c>
      <c r="AE85" s="51">
        <f t="shared" si="15"/>
        <v>96127</v>
      </c>
    </row>
    <row r="86" spans="1:31">
      <c r="A86" s="60" t="str">
        <f t="shared" si="9"/>
        <v>60179011nvy</v>
      </c>
      <c r="B86" s="60" t="str">
        <f t="shared" si="10"/>
        <v>96-126-16</v>
      </c>
      <c r="C86" s="72" t="s">
        <v>1212</v>
      </c>
      <c r="D86" s="72" t="s">
        <v>1213</v>
      </c>
      <c r="E86" s="72" t="s">
        <v>909</v>
      </c>
      <c r="F86" s="73">
        <v>0</v>
      </c>
      <c r="G86" s="73" t="s">
        <v>1214</v>
      </c>
      <c r="H86" s="72" t="s">
        <v>55</v>
      </c>
      <c r="I86" s="72" t="s">
        <v>910</v>
      </c>
      <c r="J86" s="72" t="s">
        <v>327</v>
      </c>
      <c r="K86" s="72" t="s">
        <v>382</v>
      </c>
      <c r="L86" s="72" t="s">
        <v>887</v>
      </c>
      <c r="M86" s="72" t="s">
        <v>388</v>
      </c>
      <c r="N86" s="72" t="s">
        <v>43</v>
      </c>
      <c r="O86" s="72" t="s">
        <v>386</v>
      </c>
      <c r="P86" s="72" t="s">
        <v>978</v>
      </c>
      <c r="Q86" s="72" t="s">
        <v>1159</v>
      </c>
      <c r="R86" s="72" t="s">
        <v>71</v>
      </c>
      <c r="T86" s="72" t="s">
        <v>920</v>
      </c>
      <c r="U86" s="72" t="s">
        <v>1215</v>
      </c>
      <c r="V86" s="60" t="str">
        <f t="shared" si="11"/>
        <v>60179011темно-синий</v>
      </c>
      <c r="W86" s="60" t="str">
        <f t="shared" si="8"/>
        <v>60179011</v>
      </c>
      <c r="X86" s="60" t="str">
        <f t="shared" si="12"/>
        <v>Crystal Palace EPL</v>
      </c>
      <c r="AC86" s="51">
        <f t="shared" si="13"/>
        <v>96</v>
      </c>
      <c r="AD86" s="44">
        <f t="shared" si="14"/>
        <v>126</v>
      </c>
      <c r="AE86" s="51">
        <f t="shared" si="15"/>
        <v>96126</v>
      </c>
    </row>
    <row r="87" spans="1:31">
      <c r="A87" s="60" t="str">
        <f t="shared" si="9"/>
        <v>60144011grp</v>
      </c>
      <c r="B87" s="60" t="str">
        <f t="shared" si="10"/>
        <v>96-125-80</v>
      </c>
      <c r="C87" s="72" t="s">
        <v>1216</v>
      </c>
      <c r="D87" s="72" t="s">
        <v>1217</v>
      </c>
      <c r="E87" s="72" t="s">
        <v>909</v>
      </c>
      <c r="F87" s="73">
        <v>0</v>
      </c>
      <c r="G87" s="73">
        <v>60144011</v>
      </c>
      <c r="H87" s="72" t="s">
        <v>83</v>
      </c>
      <c r="I87" s="72" t="s">
        <v>1218</v>
      </c>
      <c r="J87" s="72" t="s">
        <v>340</v>
      </c>
      <c r="K87" s="72" t="s">
        <v>387</v>
      </c>
      <c r="L87" s="72" t="s">
        <v>887</v>
      </c>
      <c r="M87" s="72" t="s">
        <v>389</v>
      </c>
      <c r="O87" s="72" t="s">
        <v>386</v>
      </c>
      <c r="P87" s="72" t="s">
        <v>978</v>
      </c>
      <c r="Q87" s="72" t="s">
        <v>1171</v>
      </c>
      <c r="R87" s="72" t="s">
        <v>83</v>
      </c>
      <c r="V87" s="60" t="str">
        <f t="shared" si="11"/>
        <v>60144011серый</v>
      </c>
      <c r="W87" s="60" t="str">
        <f t="shared" si="8"/>
        <v>60144011</v>
      </c>
      <c r="X87" s="60" t="str">
        <f t="shared" si="12"/>
        <v/>
      </c>
      <c r="AC87" s="51">
        <f t="shared" si="13"/>
        <v>96</v>
      </c>
      <c r="AD87" s="44">
        <f t="shared" si="14"/>
        <v>125</v>
      </c>
      <c r="AE87" s="51">
        <f t="shared" si="15"/>
        <v>96125</v>
      </c>
    </row>
    <row r="88" spans="1:31">
      <c r="A88" s="60" t="str">
        <f t="shared" si="9"/>
        <v>60144009blu</v>
      </c>
      <c r="B88" s="60" t="str">
        <f t="shared" si="10"/>
        <v>96-124-01</v>
      </c>
      <c r="C88" s="72" t="s">
        <v>1219</v>
      </c>
      <c r="D88" s="72" t="s">
        <v>1220</v>
      </c>
      <c r="E88" s="72" t="s">
        <v>909</v>
      </c>
      <c r="F88" s="73">
        <v>0</v>
      </c>
      <c r="G88" s="73">
        <v>60144009</v>
      </c>
      <c r="H88" s="72" t="s">
        <v>120</v>
      </c>
      <c r="I88" s="72" t="s">
        <v>1218</v>
      </c>
      <c r="J88" s="72" t="s">
        <v>340</v>
      </c>
      <c r="K88" s="72" t="s">
        <v>387</v>
      </c>
      <c r="L88" s="72" t="s">
        <v>887</v>
      </c>
      <c r="M88" s="72" t="s">
        <v>389</v>
      </c>
      <c r="O88" s="72" t="s">
        <v>386</v>
      </c>
      <c r="P88" s="72" t="s">
        <v>978</v>
      </c>
      <c r="Q88" s="72" t="s">
        <v>1221</v>
      </c>
      <c r="R88" s="72" t="s">
        <v>91</v>
      </c>
      <c r="V88" s="60" t="str">
        <f t="shared" si="11"/>
        <v>60144009бирюзовый</v>
      </c>
      <c r="W88" s="60" t="str">
        <f t="shared" si="8"/>
        <v>60144009</v>
      </c>
      <c r="X88" s="60" t="str">
        <f t="shared" si="12"/>
        <v/>
      </c>
      <c r="AC88" s="51">
        <f t="shared" si="13"/>
        <v>96</v>
      </c>
      <c r="AD88" s="44">
        <f t="shared" si="14"/>
        <v>124</v>
      </c>
      <c r="AE88" s="51">
        <f t="shared" si="15"/>
        <v>96124</v>
      </c>
    </row>
    <row r="89" spans="1:31">
      <c r="A89" s="60" t="str">
        <f t="shared" si="9"/>
        <v>60143425lnv</v>
      </c>
      <c r="B89" s="60" t="str">
        <f t="shared" si="10"/>
        <v>96-123-16</v>
      </c>
      <c r="C89" s="72" t="s">
        <v>1222</v>
      </c>
      <c r="D89" s="72" t="s">
        <v>1223</v>
      </c>
      <c r="E89" s="72" t="s">
        <v>909</v>
      </c>
      <c r="F89" s="73">
        <v>0</v>
      </c>
      <c r="G89" s="73" t="s">
        <v>1224</v>
      </c>
      <c r="H89" s="72" t="s">
        <v>55</v>
      </c>
      <c r="I89" s="72" t="s">
        <v>1218</v>
      </c>
      <c r="J89" s="72" t="s">
        <v>340</v>
      </c>
      <c r="K89" s="72" t="s">
        <v>382</v>
      </c>
      <c r="L89" s="72" t="s">
        <v>887</v>
      </c>
      <c r="M89" s="72" t="s">
        <v>389</v>
      </c>
      <c r="O89" s="72" t="s">
        <v>386</v>
      </c>
      <c r="P89" s="72" t="s">
        <v>978</v>
      </c>
      <c r="Q89" s="72" t="s">
        <v>1226</v>
      </c>
      <c r="R89" s="72" t="s">
        <v>71</v>
      </c>
      <c r="T89" s="72" t="s">
        <v>920</v>
      </c>
      <c r="U89" s="72" t="s">
        <v>1225</v>
      </c>
      <c r="V89" s="60" t="str">
        <f t="shared" si="11"/>
        <v>60143425темно-синий</v>
      </c>
      <c r="W89" s="60" t="str">
        <f t="shared" si="8"/>
        <v>60143425</v>
      </c>
      <c r="X89" s="60" t="str">
        <f t="shared" si="12"/>
        <v>Tottenham Hotspur EPL</v>
      </c>
      <c r="AC89" s="51">
        <f t="shared" si="13"/>
        <v>96</v>
      </c>
      <c r="AD89" s="44">
        <f t="shared" si="14"/>
        <v>123</v>
      </c>
      <c r="AE89" s="51">
        <f t="shared" si="15"/>
        <v>96123</v>
      </c>
    </row>
    <row r="90" spans="1:31">
      <c r="A90" s="60" t="str">
        <f t="shared" si="9"/>
        <v>60143421whi</v>
      </c>
      <c r="B90" s="60" t="str">
        <f t="shared" si="10"/>
        <v>96-122-17</v>
      </c>
      <c r="C90" s="72" t="s">
        <v>1227</v>
      </c>
      <c r="D90" s="72" t="s">
        <v>1228</v>
      </c>
      <c r="E90" s="72" t="s">
        <v>909</v>
      </c>
      <c r="F90" s="73">
        <v>0</v>
      </c>
      <c r="G90" s="73" t="s">
        <v>1229</v>
      </c>
      <c r="H90" s="72" t="s">
        <v>57</v>
      </c>
      <c r="I90" s="72" t="s">
        <v>918</v>
      </c>
      <c r="J90" s="72" t="s">
        <v>327</v>
      </c>
      <c r="K90" s="72" t="s">
        <v>382</v>
      </c>
      <c r="L90" s="72" t="s">
        <v>887</v>
      </c>
      <c r="M90" s="72" t="s">
        <v>388</v>
      </c>
      <c r="O90" s="72" t="s">
        <v>386</v>
      </c>
      <c r="P90" s="72" t="s">
        <v>978</v>
      </c>
      <c r="Q90" s="72" t="s">
        <v>983</v>
      </c>
      <c r="R90" s="72" t="s">
        <v>57</v>
      </c>
      <c r="T90" s="72" t="s">
        <v>920</v>
      </c>
      <c r="U90" s="72" t="s">
        <v>1225</v>
      </c>
      <c r="V90" s="60" t="str">
        <f t="shared" si="11"/>
        <v>60143421белый</v>
      </c>
      <c r="W90" s="60" t="str">
        <f t="shared" si="8"/>
        <v>60143421</v>
      </c>
      <c r="X90" s="60" t="str">
        <f t="shared" si="12"/>
        <v>Tottenham Hotspur EPL</v>
      </c>
      <c r="AC90" s="51">
        <f t="shared" si="13"/>
        <v>96</v>
      </c>
      <c r="AD90" s="44">
        <f t="shared" si="14"/>
        <v>122</v>
      </c>
      <c r="AE90" s="51">
        <f t="shared" si="15"/>
        <v>96122</v>
      </c>
    </row>
    <row r="91" spans="1:31">
      <c r="A91" s="60" t="str">
        <f t="shared" si="9"/>
        <v>60143408blksca</v>
      </c>
      <c r="B91" s="60" t="str">
        <f t="shared" si="10"/>
        <v>96-121-72</v>
      </c>
      <c r="C91" s="72" t="s">
        <v>1230</v>
      </c>
      <c r="D91" s="72" t="s">
        <v>1231</v>
      </c>
      <c r="E91" s="72" t="s">
        <v>909</v>
      </c>
      <c r="F91" s="73">
        <v>0</v>
      </c>
      <c r="G91" s="73" t="s">
        <v>1232</v>
      </c>
      <c r="H91" s="72" t="s">
        <v>302</v>
      </c>
      <c r="I91" s="72" t="s">
        <v>1218</v>
      </c>
      <c r="J91" s="72" t="s">
        <v>342</v>
      </c>
      <c r="K91" s="72" t="s">
        <v>382</v>
      </c>
      <c r="L91" s="72" t="s">
        <v>887</v>
      </c>
      <c r="M91" s="72" t="s">
        <v>389</v>
      </c>
      <c r="O91" s="72" t="s">
        <v>386</v>
      </c>
      <c r="P91" s="72" t="s">
        <v>978</v>
      </c>
      <c r="Q91" s="72" t="s">
        <v>1233</v>
      </c>
      <c r="R91" s="72" t="s">
        <v>53</v>
      </c>
      <c r="T91" s="72" t="s">
        <v>920</v>
      </c>
      <c r="U91" s="72" t="s">
        <v>1211</v>
      </c>
      <c r="V91" s="60" t="str">
        <f t="shared" si="11"/>
        <v>60143408черный / красный</v>
      </c>
      <c r="W91" s="60" t="str">
        <f t="shared" si="8"/>
        <v>60143408</v>
      </c>
      <c r="X91" s="60" t="str">
        <f t="shared" si="12"/>
        <v>Manchester United</v>
      </c>
      <c r="AC91" s="51">
        <f t="shared" si="13"/>
        <v>96</v>
      </c>
      <c r="AD91" s="44">
        <f t="shared" si="14"/>
        <v>121</v>
      </c>
      <c r="AE91" s="51">
        <f t="shared" si="15"/>
        <v>96121</v>
      </c>
    </row>
    <row r="92" spans="1:31">
      <c r="A92" s="60" t="str">
        <f t="shared" si="9"/>
        <v>60143400nvy</v>
      </c>
      <c r="B92" s="60" t="str">
        <f t="shared" si="10"/>
        <v>96-120-72</v>
      </c>
      <c r="C92" s="72" t="s">
        <v>1234</v>
      </c>
      <c r="D92" s="72" t="s">
        <v>1235</v>
      </c>
      <c r="E92" s="72" t="s">
        <v>909</v>
      </c>
      <c r="F92" s="73">
        <v>0</v>
      </c>
      <c r="G92" s="73" t="s">
        <v>1236</v>
      </c>
      <c r="H92" s="72" t="s">
        <v>302</v>
      </c>
      <c r="I92" s="72" t="s">
        <v>910</v>
      </c>
      <c r="J92" s="72" t="s">
        <v>327</v>
      </c>
      <c r="K92" s="72" t="s">
        <v>382</v>
      </c>
      <c r="L92" s="72" t="s">
        <v>887</v>
      </c>
      <c r="M92" s="72" t="s">
        <v>388</v>
      </c>
      <c r="N92" s="72" t="s">
        <v>43</v>
      </c>
      <c r="O92" s="72" t="s">
        <v>386</v>
      </c>
      <c r="P92" s="72" t="s">
        <v>978</v>
      </c>
      <c r="Q92" s="72" t="s">
        <v>1159</v>
      </c>
      <c r="R92" s="72" t="s">
        <v>53</v>
      </c>
      <c r="T92" s="72" t="s">
        <v>920</v>
      </c>
      <c r="U92" s="72" t="s">
        <v>1211</v>
      </c>
      <c r="V92" s="60" t="str">
        <f t="shared" si="11"/>
        <v>60143400черный / красный</v>
      </c>
      <c r="W92" s="60" t="str">
        <f t="shared" si="8"/>
        <v>60143400</v>
      </c>
      <c r="X92" s="60" t="str">
        <f t="shared" si="12"/>
        <v>Manchester United</v>
      </c>
      <c r="AC92" s="51">
        <f t="shared" si="13"/>
        <v>96</v>
      </c>
      <c r="AD92" s="44">
        <f t="shared" si="14"/>
        <v>120</v>
      </c>
      <c r="AE92" s="51">
        <f t="shared" si="15"/>
        <v>96120</v>
      </c>
    </row>
    <row r="93" spans="1:31">
      <c r="A93" s="60" t="str">
        <f t="shared" si="9"/>
        <v>60143394blksca</v>
      </c>
      <c r="B93" s="60" t="str">
        <f t="shared" si="10"/>
        <v>96-119-18</v>
      </c>
      <c r="C93" s="72" t="s">
        <v>1237</v>
      </c>
      <c r="D93" s="72" t="s">
        <v>1238</v>
      </c>
      <c r="E93" s="72" t="s">
        <v>909</v>
      </c>
      <c r="F93" s="73">
        <v>0</v>
      </c>
      <c r="G93" s="73" t="s">
        <v>1239</v>
      </c>
      <c r="H93" s="72" t="s">
        <v>78</v>
      </c>
      <c r="I93" s="72" t="s">
        <v>1218</v>
      </c>
      <c r="J93" s="72" t="s">
        <v>340</v>
      </c>
      <c r="K93" s="72" t="s">
        <v>382</v>
      </c>
      <c r="L93" s="72" t="s">
        <v>887</v>
      </c>
      <c r="M93" s="72" t="s">
        <v>389</v>
      </c>
      <c r="O93" s="72" t="s">
        <v>386</v>
      </c>
      <c r="P93" s="72" t="s">
        <v>978</v>
      </c>
      <c r="Q93" s="72" t="s">
        <v>1233</v>
      </c>
      <c r="R93" s="72" t="s">
        <v>78</v>
      </c>
      <c r="T93" s="72" t="s">
        <v>920</v>
      </c>
      <c r="U93" s="72" t="s">
        <v>1211</v>
      </c>
      <c r="V93" s="60" t="str">
        <f t="shared" si="11"/>
        <v>60143394красный</v>
      </c>
      <c r="W93" s="60" t="str">
        <f t="shared" si="8"/>
        <v>60143394</v>
      </c>
      <c r="X93" s="60" t="str">
        <f t="shared" si="12"/>
        <v>Manchester United</v>
      </c>
      <c r="AC93" s="51">
        <f t="shared" si="13"/>
        <v>96</v>
      </c>
      <c r="AD93" s="44">
        <f t="shared" si="14"/>
        <v>119</v>
      </c>
      <c r="AE93" s="51">
        <f t="shared" si="15"/>
        <v>96119</v>
      </c>
    </row>
    <row r="94" spans="1:31">
      <c r="A94" s="60" t="str">
        <f t="shared" si="9"/>
        <v>60143393grablk</v>
      </c>
      <c r="B94" s="60" t="str">
        <f t="shared" si="10"/>
        <v>96-118-80</v>
      </c>
      <c r="C94" s="72" t="s">
        <v>1240</v>
      </c>
      <c r="D94" s="72" t="s">
        <v>1241</v>
      </c>
      <c r="E94" s="72" t="s">
        <v>909</v>
      </c>
      <c r="F94" s="73">
        <v>0</v>
      </c>
      <c r="G94" s="73" t="s">
        <v>1242</v>
      </c>
      <c r="H94" s="72" t="s">
        <v>83</v>
      </c>
      <c r="I94" s="72" t="s">
        <v>1218</v>
      </c>
      <c r="J94" s="72" t="s">
        <v>342</v>
      </c>
      <c r="K94" s="72" t="s">
        <v>382</v>
      </c>
      <c r="L94" s="72" t="s">
        <v>887</v>
      </c>
      <c r="M94" s="72" t="s">
        <v>389</v>
      </c>
      <c r="O94" s="72" t="s">
        <v>386</v>
      </c>
      <c r="P94" s="72" t="s">
        <v>978</v>
      </c>
      <c r="Q94" s="72" t="s">
        <v>1243</v>
      </c>
      <c r="R94" s="72" t="s">
        <v>83</v>
      </c>
      <c r="T94" s="72" t="s">
        <v>920</v>
      </c>
      <c r="U94" s="72" t="s">
        <v>1211</v>
      </c>
      <c r="V94" s="60" t="str">
        <f t="shared" si="11"/>
        <v>60143393серый</v>
      </c>
      <c r="W94" s="60" t="str">
        <f t="shared" si="8"/>
        <v>60143393</v>
      </c>
      <c r="X94" s="60" t="str">
        <f t="shared" si="12"/>
        <v>Manchester United</v>
      </c>
      <c r="AC94" s="51">
        <f t="shared" si="13"/>
        <v>96</v>
      </c>
      <c r="AD94" s="44">
        <f t="shared" si="14"/>
        <v>118</v>
      </c>
      <c r="AE94" s="51">
        <f t="shared" si="15"/>
        <v>96118</v>
      </c>
    </row>
    <row r="95" spans="1:31">
      <c r="A95" s="60" t="str">
        <f t="shared" si="9"/>
        <v>60143391sca</v>
      </c>
      <c r="B95" s="60" t="str">
        <f t="shared" si="10"/>
        <v>96-117-18</v>
      </c>
      <c r="C95" s="72" t="s">
        <v>1244</v>
      </c>
      <c r="D95" s="72" t="s">
        <v>1245</v>
      </c>
      <c r="E95" s="72" t="s">
        <v>909</v>
      </c>
      <c r="F95" s="73">
        <v>0</v>
      </c>
      <c r="G95" s="73" t="s">
        <v>1246</v>
      </c>
      <c r="H95" s="72" t="s">
        <v>78</v>
      </c>
      <c r="I95" s="72" t="s">
        <v>1247</v>
      </c>
      <c r="J95" s="72" t="s">
        <v>327</v>
      </c>
      <c r="K95" s="72" t="s">
        <v>382</v>
      </c>
      <c r="L95" s="72" t="s">
        <v>887</v>
      </c>
      <c r="M95" s="72" t="s">
        <v>388</v>
      </c>
      <c r="N95" s="72" t="s">
        <v>43</v>
      </c>
      <c r="O95" s="72" t="s">
        <v>386</v>
      </c>
      <c r="P95" s="72" t="s">
        <v>978</v>
      </c>
      <c r="Q95" s="72" t="s">
        <v>1248</v>
      </c>
      <c r="R95" s="72" t="s">
        <v>78</v>
      </c>
      <c r="T95" s="72" t="s">
        <v>920</v>
      </c>
      <c r="U95" s="72" t="s">
        <v>1211</v>
      </c>
      <c r="V95" s="60" t="str">
        <f t="shared" si="11"/>
        <v>60143391красный</v>
      </c>
      <c r="W95" s="60" t="str">
        <f t="shared" si="8"/>
        <v>60143391</v>
      </c>
      <c r="X95" s="60" t="str">
        <f t="shared" si="12"/>
        <v>Manchester United</v>
      </c>
      <c r="AC95" s="51">
        <f t="shared" si="13"/>
        <v>96</v>
      </c>
      <c r="AD95" s="44">
        <f t="shared" si="14"/>
        <v>117</v>
      </c>
      <c r="AE95" s="51">
        <f t="shared" si="15"/>
        <v>96117</v>
      </c>
    </row>
    <row r="96" spans="1:31">
      <c r="A96" s="60" t="str">
        <f t="shared" si="9"/>
        <v>60143388blk</v>
      </c>
      <c r="B96" s="60" t="str">
        <f t="shared" si="10"/>
        <v>96-116-09</v>
      </c>
      <c r="C96" s="72" t="s">
        <v>1249</v>
      </c>
      <c r="D96" s="72" t="s">
        <v>1250</v>
      </c>
      <c r="E96" s="72" t="s">
        <v>909</v>
      </c>
      <c r="F96" s="73">
        <v>0</v>
      </c>
      <c r="G96" s="73" t="s">
        <v>1251</v>
      </c>
      <c r="H96" s="72" t="s">
        <v>53</v>
      </c>
      <c r="I96" s="72" t="s">
        <v>910</v>
      </c>
      <c r="J96" s="72" t="s">
        <v>356</v>
      </c>
      <c r="K96" s="72" t="s">
        <v>382</v>
      </c>
      <c r="L96" s="72" t="s">
        <v>887</v>
      </c>
      <c r="M96" s="72" t="s">
        <v>388</v>
      </c>
      <c r="N96" s="72" t="s">
        <v>43</v>
      </c>
      <c r="O96" s="72" t="s">
        <v>386</v>
      </c>
      <c r="P96" s="72" t="s">
        <v>978</v>
      </c>
      <c r="Q96" s="72" t="s">
        <v>987</v>
      </c>
      <c r="R96" s="72" t="s">
        <v>53</v>
      </c>
      <c r="T96" s="72" t="s">
        <v>920</v>
      </c>
      <c r="U96" s="72" t="s">
        <v>1211</v>
      </c>
      <c r="V96" s="60" t="str">
        <f t="shared" si="11"/>
        <v>60143388черный</v>
      </c>
      <c r="W96" s="60" t="str">
        <f t="shared" si="8"/>
        <v>60143388</v>
      </c>
      <c r="X96" s="60" t="str">
        <f t="shared" si="12"/>
        <v>Manchester United</v>
      </c>
      <c r="AC96" s="51">
        <f t="shared" si="13"/>
        <v>96</v>
      </c>
      <c r="AD96" s="44">
        <f t="shared" si="14"/>
        <v>116</v>
      </c>
      <c r="AE96" s="51">
        <f t="shared" si="15"/>
        <v>96116</v>
      </c>
    </row>
    <row r="97" spans="1:31">
      <c r="A97" s="60" t="str">
        <f t="shared" si="9"/>
        <v>60143387blk</v>
      </c>
      <c r="B97" s="60" t="str">
        <f t="shared" si="10"/>
        <v>96-115-09</v>
      </c>
      <c r="C97" s="72" t="s">
        <v>1252</v>
      </c>
      <c r="D97" s="72" t="s">
        <v>1253</v>
      </c>
      <c r="E97" s="72" t="s">
        <v>909</v>
      </c>
      <c r="F97" s="73">
        <v>0</v>
      </c>
      <c r="G97" s="73" t="s">
        <v>1254</v>
      </c>
      <c r="H97" s="72" t="s">
        <v>53</v>
      </c>
      <c r="I97" s="72" t="s">
        <v>918</v>
      </c>
      <c r="J97" s="72" t="s">
        <v>327</v>
      </c>
      <c r="K97" s="72" t="s">
        <v>382</v>
      </c>
      <c r="L97" s="72" t="s">
        <v>887</v>
      </c>
      <c r="M97" s="72" t="s">
        <v>388</v>
      </c>
      <c r="O97" s="72" t="s">
        <v>386</v>
      </c>
      <c r="P97" s="72" t="s">
        <v>978</v>
      </c>
      <c r="Q97" s="72" t="s">
        <v>987</v>
      </c>
      <c r="R97" s="72" t="s">
        <v>53</v>
      </c>
      <c r="T97" s="72" t="s">
        <v>920</v>
      </c>
      <c r="U97" s="72" t="s">
        <v>1211</v>
      </c>
      <c r="V97" s="60" t="str">
        <f t="shared" si="11"/>
        <v>60143387черный</v>
      </c>
      <c r="W97" s="60" t="str">
        <f t="shared" si="8"/>
        <v>60143387</v>
      </c>
      <c r="X97" s="60" t="str">
        <f t="shared" si="12"/>
        <v>Manchester United</v>
      </c>
      <c r="AC97" s="51">
        <f t="shared" si="13"/>
        <v>96</v>
      </c>
      <c r="AD97" s="44">
        <f t="shared" si="14"/>
        <v>115</v>
      </c>
      <c r="AE97" s="51">
        <f t="shared" si="15"/>
        <v>96115</v>
      </c>
    </row>
    <row r="98" spans="1:31">
      <c r="A98" s="60" t="str">
        <f t="shared" si="9"/>
        <v>60143386sca</v>
      </c>
      <c r="B98" s="60" t="str">
        <f t="shared" si="10"/>
        <v>96-114-18</v>
      </c>
      <c r="C98" s="72" t="s">
        <v>1255</v>
      </c>
      <c r="D98" s="72" t="s">
        <v>1256</v>
      </c>
      <c r="E98" s="72" t="s">
        <v>909</v>
      </c>
      <c r="F98" s="73">
        <v>0</v>
      </c>
      <c r="G98" s="73" t="s">
        <v>1257</v>
      </c>
      <c r="H98" s="72" t="s">
        <v>78</v>
      </c>
      <c r="I98" s="72" t="s">
        <v>918</v>
      </c>
      <c r="J98" s="72" t="s">
        <v>327</v>
      </c>
      <c r="K98" s="72" t="s">
        <v>382</v>
      </c>
      <c r="L98" s="72" t="s">
        <v>887</v>
      </c>
      <c r="M98" s="72" t="s">
        <v>388</v>
      </c>
      <c r="O98" s="72" t="s">
        <v>386</v>
      </c>
      <c r="P98" s="72" t="s">
        <v>978</v>
      </c>
      <c r="Q98" s="72" t="s">
        <v>1248</v>
      </c>
      <c r="R98" s="72" t="s">
        <v>78</v>
      </c>
      <c r="T98" s="72" t="s">
        <v>920</v>
      </c>
      <c r="U98" s="72" t="s">
        <v>1211</v>
      </c>
      <c r="V98" s="60" t="str">
        <f t="shared" si="11"/>
        <v>60143386красный</v>
      </c>
      <c r="W98" s="60" t="str">
        <f t="shared" si="8"/>
        <v>60143386</v>
      </c>
      <c r="X98" s="60" t="str">
        <f t="shared" si="12"/>
        <v>Manchester United</v>
      </c>
      <c r="AC98" s="51">
        <f t="shared" si="13"/>
        <v>96</v>
      </c>
      <c r="AD98" s="44">
        <f t="shared" si="14"/>
        <v>114</v>
      </c>
      <c r="AE98" s="51">
        <f t="shared" si="15"/>
        <v>96114</v>
      </c>
    </row>
    <row r="99" spans="1:31">
      <c r="A99" s="60" t="str">
        <f t="shared" si="9"/>
        <v>60143379cab</v>
      </c>
      <c r="B99" s="60" t="str">
        <f t="shared" si="10"/>
        <v>96-113-06</v>
      </c>
      <c r="C99" s="72" t="s">
        <v>1258</v>
      </c>
      <c r="D99" s="72" t="s">
        <v>1259</v>
      </c>
      <c r="E99" s="72" t="s">
        <v>909</v>
      </c>
      <c r="F99" s="73">
        <v>0</v>
      </c>
      <c r="G99" s="73" t="s">
        <v>1260</v>
      </c>
      <c r="H99" s="72" t="s">
        <v>71</v>
      </c>
      <c r="I99" s="72" t="s">
        <v>910</v>
      </c>
      <c r="J99" s="72" t="s">
        <v>356</v>
      </c>
      <c r="K99" s="72" t="s">
        <v>382</v>
      </c>
      <c r="L99" s="72" t="s">
        <v>887</v>
      </c>
      <c r="M99" s="72" t="s">
        <v>388</v>
      </c>
      <c r="N99" s="72" t="s">
        <v>43</v>
      </c>
      <c r="O99" s="72" t="s">
        <v>386</v>
      </c>
      <c r="P99" s="72" t="s">
        <v>978</v>
      </c>
      <c r="Q99" s="72" t="s">
        <v>1262</v>
      </c>
      <c r="R99" s="72" t="s">
        <v>71</v>
      </c>
      <c r="T99" s="72" t="s">
        <v>920</v>
      </c>
      <c r="U99" s="72" t="s">
        <v>1261</v>
      </c>
      <c r="V99" s="60" t="str">
        <f t="shared" si="11"/>
        <v>60143379синий</v>
      </c>
      <c r="W99" s="60" t="str">
        <f t="shared" si="8"/>
        <v>60143379</v>
      </c>
      <c r="X99" s="60" t="str">
        <f t="shared" si="12"/>
        <v>Chelsea</v>
      </c>
      <c r="AC99" s="51">
        <f t="shared" si="13"/>
        <v>96</v>
      </c>
      <c r="AD99" s="44">
        <f t="shared" si="14"/>
        <v>113</v>
      </c>
      <c r="AE99" s="51">
        <f t="shared" si="15"/>
        <v>96113</v>
      </c>
    </row>
    <row r="100" spans="1:31">
      <c r="A100" s="60" t="str">
        <f t="shared" si="9"/>
        <v>60143369whi</v>
      </c>
      <c r="B100" s="60" t="str">
        <f t="shared" si="10"/>
        <v>96-112-06</v>
      </c>
      <c r="C100" s="72" t="s">
        <v>1263</v>
      </c>
      <c r="D100" s="72" t="s">
        <v>1264</v>
      </c>
      <c r="E100" s="72" t="s">
        <v>909</v>
      </c>
      <c r="F100" s="73">
        <v>0</v>
      </c>
      <c r="G100" s="73" t="s">
        <v>1265</v>
      </c>
      <c r="H100" s="72" t="s">
        <v>71</v>
      </c>
      <c r="I100" s="72" t="s">
        <v>918</v>
      </c>
      <c r="J100" s="72" t="s">
        <v>327</v>
      </c>
      <c r="K100" s="72" t="s">
        <v>382</v>
      </c>
      <c r="L100" s="72" t="s">
        <v>887</v>
      </c>
      <c r="M100" s="72" t="s">
        <v>388</v>
      </c>
      <c r="O100" s="72" t="s">
        <v>386</v>
      </c>
      <c r="P100" s="72" t="s">
        <v>978</v>
      </c>
      <c r="Q100" s="72" t="s">
        <v>983</v>
      </c>
      <c r="R100" s="72" t="s">
        <v>71</v>
      </c>
      <c r="T100" s="72" t="s">
        <v>920</v>
      </c>
      <c r="U100" s="72" t="s">
        <v>1261</v>
      </c>
      <c r="V100" s="60" t="str">
        <f t="shared" si="11"/>
        <v>60143369синий</v>
      </c>
      <c r="W100" s="60" t="str">
        <f t="shared" si="8"/>
        <v>60143369</v>
      </c>
      <c r="X100" s="60" t="str">
        <f t="shared" si="12"/>
        <v>Chelsea</v>
      </c>
      <c r="AC100" s="51">
        <f t="shared" si="13"/>
        <v>96</v>
      </c>
      <c r="AD100" s="44">
        <f t="shared" si="14"/>
        <v>112</v>
      </c>
      <c r="AE100" s="51">
        <f t="shared" si="15"/>
        <v>96112</v>
      </c>
    </row>
    <row r="101" spans="1:31">
      <c r="A101" s="60" t="str">
        <f t="shared" si="9"/>
        <v>60143365cab</v>
      </c>
      <c r="B101" s="60" t="str">
        <f t="shared" si="10"/>
        <v>96-111-06</v>
      </c>
      <c r="C101" s="72" t="s">
        <v>1266</v>
      </c>
      <c r="D101" s="72" t="s">
        <v>1267</v>
      </c>
      <c r="E101" s="72" t="s">
        <v>909</v>
      </c>
      <c r="F101" s="73">
        <v>0</v>
      </c>
      <c r="G101" s="73" t="s">
        <v>1268</v>
      </c>
      <c r="H101" s="72" t="s">
        <v>71</v>
      </c>
      <c r="I101" s="72" t="s">
        <v>1218</v>
      </c>
      <c r="J101" s="72" t="s">
        <v>340</v>
      </c>
      <c r="K101" s="72" t="s">
        <v>382</v>
      </c>
      <c r="L101" s="72" t="s">
        <v>887</v>
      </c>
      <c r="M101" s="72" t="s">
        <v>389</v>
      </c>
      <c r="O101" s="72" t="s">
        <v>386</v>
      </c>
      <c r="P101" s="72" t="s">
        <v>978</v>
      </c>
      <c r="Q101" s="72" t="s">
        <v>1262</v>
      </c>
      <c r="R101" s="72" t="s">
        <v>71</v>
      </c>
      <c r="T101" s="72" t="s">
        <v>920</v>
      </c>
      <c r="U101" s="72" t="s">
        <v>1261</v>
      </c>
      <c r="V101" s="60" t="str">
        <f t="shared" si="11"/>
        <v>60143365синий</v>
      </c>
      <c r="W101" s="60" t="str">
        <f t="shared" si="8"/>
        <v>60143365</v>
      </c>
      <c r="X101" s="60" t="str">
        <f t="shared" si="12"/>
        <v>Chelsea</v>
      </c>
      <c r="AC101" s="51">
        <f t="shared" si="13"/>
        <v>96</v>
      </c>
      <c r="AD101" s="44">
        <f t="shared" si="14"/>
        <v>111</v>
      </c>
      <c r="AE101" s="51">
        <f t="shared" si="15"/>
        <v>96111</v>
      </c>
    </row>
    <row r="102" spans="1:31">
      <c r="A102" s="60" t="str">
        <f t="shared" si="9"/>
        <v>60143362lnv</v>
      </c>
      <c r="B102" s="60" t="str">
        <f t="shared" si="10"/>
        <v>96-110-06</v>
      </c>
      <c r="C102" s="72" t="s">
        <v>1269</v>
      </c>
      <c r="D102" s="72" t="s">
        <v>1270</v>
      </c>
      <c r="E102" s="72" t="s">
        <v>909</v>
      </c>
      <c r="F102" s="73">
        <v>0</v>
      </c>
      <c r="G102" s="73" t="s">
        <v>1271</v>
      </c>
      <c r="H102" s="72" t="s">
        <v>71</v>
      </c>
      <c r="I102" s="72" t="s">
        <v>1218</v>
      </c>
      <c r="J102" s="72" t="s">
        <v>342</v>
      </c>
      <c r="K102" s="72" t="s">
        <v>382</v>
      </c>
      <c r="L102" s="72" t="s">
        <v>887</v>
      </c>
      <c r="M102" s="72" t="s">
        <v>389</v>
      </c>
      <c r="O102" s="72" t="s">
        <v>386</v>
      </c>
      <c r="P102" s="72" t="s">
        <v>978</v>
      </c>
      <c r="Q102" s="72" t="s">
        <v>1226</v>
      </c>
      <c r="R102" s="72" t="s">
        <v>71</v>
      </c>
      <c r="T102" s="72" t="s">
        <v>920</v>
      </c>
      <c r="U102" s="72" t="s">
        <v>1261</v>
      </c>
      <c r="V102" s="60" t="str">
        <f t="shared" si="11"/>
        <v>60143362синий</v>
      </c>
      <c r="W102" s="60" t="str">
        <f t="shared" si="8"/>
        <v>60143362</v>
      </c>
      <c r="X102" s="60" t="str">
        <f t="shared" si="12"/>
        <v>Chelsea</v>
      </c>
      <c r="AC102" s="51">
        <f t="shared" si="13"/>
        <v>96</v>
      </c>
      <c r="AD102" s="44">
        <f t="shared" si="14"/>
        <v>110</v>
      </c>
      <c r="AE102" s="51">
        <f t="shared" si="15"/>
        <v>96110</v>
      </c>
    </row>
    <row r="103" spans="1:31">
      <c r="A103" s="60" t="str">
        <f t="shared" si="9"/>
        <v>60142978ltckgr</v>
      </c>
      <c r="B103" s="60" t="str">
        <f t="shared" si="10"/>
        <v>96-109-11</v>
      </c>
      <c r="C103" s="72" t="s">
        <v>1272</v>
      </c>
      <c r="D103" s="72" t="s">
        <v>1273</v>
      </c>
      <c r="E103" s="72" t="s">
        <v>909</v>
      </c>
      <c r="F103" s="73">
        <v>0</v>
      </c>
      <c r="G103" s="73" t="s">
        <v>1274</v>
      </c>
      <c r="H103" s="72" t="s">
        <v>60</v>
      </c>
      <c r="I103" s="72" t="s">
        <v>910</v>
      </c>
      <c r="J103" s="72" t="s">
        <v>327</v>
      </c>
      <c r="K103" s="72" t="s">
        <v>382</v>
      </c>
      <c r="L103" s="72" t="s">
        <v>887</v>
      </c>
      <c r="M103" s="72" t="s">
        <v>388</v>
      </c>
      <c r="N103" s="72" t="s">
        <v>43</v>
      </c>
      <c r="O103" s="72" t="s">
        <v>386</v>
      </c>
      <c r="P103" s="72" t="s">
        <v>978</v>
      </c>
      <c r="Q103" s="72" t="s">
        <v>1277</v>
      </c>
      <c r="R103" s="72" t="s">
        <v>60</v>
      </c>
      <c r="T103" s="72" t="s">
        <v>1275</v>
      </c>
      <c r="U103" s="72" t="s">
        <v>1276</v>
      </c>
      <c r="V103" s="60" t="str">
        <f t="shared" si="11"/>
        <v>60142978зеленый</v>
      </c>
      <c r="W103" s="60" t="str">
        <f t="shared" si="8"/>
        <v>60142978</v>
      </c>
      <c r="X103" s="60" t="str">
        <f t="shared" si="12"/>
        <v>FA Ireland</v>
      </c>
      <c r="AC103" s="51">
        <f t="shared" si="13"/>
        <v>96</v>
      </c>
      <c r="AD103" s="44">
        <f t="shared" si="14"/>
        <v>109</v>
      </c>
      <c r="AE103" s="51">
        <f t="shared" si="15"/>
        <v>96109</v>
      </c>
    </row>
    <row r="104" spans="1:31">
      <c r="A104" s="60" t="str">
        <f t="shared" si="9"/>
        <v>60142926drywhi</v>
      </c>
      <c r="B104" s="60" t="str">
        <f t="shared" si="10"/>
        <v>96-108-06</v>
      </c>
      <c r="C104" s="72" t="s">
        <v>1278</v>
      </c>
      <c r="D104" s="72" t="s">
        <v>1279</v>
      </c>
      <c r="E104" s="72" t="s">
        <v>909</v>
      </c>
      <c r="F104" s="73">
        <v>0</v>
      </c>
      <c r="G104" s="73" t="s">
        <v>1280</v>
      </c>
      <c r="H104" s="72" t="s">
        <v>71</v>
      </c>
      <c r="I104" s="72" t="s">
        <v>910</v>
      </c>
      <c r="J104" s="72" t="s">
        <v>356</v>
      </c>
      <c r="K104" s="72" t="s">
        <v>382</v>
      </c>
      <c r="L104" s="72" t="s">
        <v>887</v>
      </c>
      <c r="M104" s="72" t="s">
        <v>388</v>
      </c>
      <c r="N104" s="72" t="s">
        <v>43</v>
      </c>
      <c r="O104" s="72" t="s">
        <v>386</v>
      </c>
      <c r="P104" s="72" t="s">
        <v>978</v>
      </c>
      <c r="Q104" s="72" t="s">
        <v>1283</v>
      </c>
      <c r="R104" s="72" t="s">
        <v>71</v>
      </c>
      <c r="T104" s="72" t="s">
        <v>1281</v>
      </c>
      <c r="U104" s="72" t="s">
        <v>1282</v>
      </c>
      <c r="V104" s="60" t="str">
        <f t="shared" si="11"/>
        <v>60142926синий</v>
      </c>
      <c r="W104" s="60" t="str">
        <f t="shared" si="8"/>
        <v>60142926</v>
      </c>
      <c r="X104" s="60" t="str">
        <f t="shared" si="12"/>
        <v>Atletico Madrid LaLiga</v>
      </c>
      <c r="AC104" s="51">
        <f t="shared" si="13"/>
        <v>96</v>
      </c>
      <c r="AD104" s="44">
        <f t="shared" si="14"/>
        <v>108</v>
      </c>
      <c r="AE104" s="51">
        <f t="shared" si="15"/>
        <v>96108</v>
      </c>
    </row>
    <row r="105" spans="1:31">
      <c r="A105" s="60" t="str">
        <f t="shared" si="9"/>
        <v>60141873wht</v>
      </c>
      <c r="B105" s="60" t="str">
        <f t="shared" si="10"/>
        <v>96-107-14</v>
      </c>
      <c r="C105" s="72" t="s">
        <v>1284</v>
      </c>
      <c r="D105" s="72" t="s">
        <v>1285</v>
      </c>
      <c r="E105" s="72" t="s">
        <v>909</v>
      </c>
      <c r="F105" s="73">
        <v>0</v>
      </c>
      <c r="G105" s="73" t="s">
        <v>1286</v>
      </c>
      <c r="H105" s="72" t="s">
        <v>86</v>
      </c>
      <c r="I105" s="72" t="s">
        <v>1218</v>
      </c>
      <c r="J105" s="72" t="s">
        <v>340</v>
      </c>
      <c r="K105" s="72" t="s">
        <v>382</v>
      </c>
      <c r="L105" s="72" t="s">
        <v>887</v>
      </c>
      <c r="M105" s="72" t="s">
        <v>389</v>
      </c>
      <c r="O105" s="72" t="s">
        <v>386</v>
      </c>
      <c r="P105" s="72" t="s">
        <v>978</v>
      </c>
      <c r="Q105" s="72" t="s">
        <v>1287</v>
      </c>
      <c r="R105" s="72" t="s">
        <v>86</v>
      </c>
      <c r="T105" s="72" t="s">
        <v>911</v>
      </c>
      <c r="U105" s="72" t="s">
        <v>914</v>
      </c>
      <c r="V105" s="60" t="str">
        <f t="shared" si="11"/>
        <v>60141873коричневый</v>
      </c>
      <c r="W105" s="60" t="str">
        <f t="shared" si="8"/>
        <v>60141873</v>
      </c>
      <c r="X105" s="60" t="str">
        <f t="shared" si="12"/>
        <v>New York Yankees</v>
      </c>
      <c r="AC105" s="51">
        <f t="shared" si="13"/>
        <v>96</v>
      </c>
      <c r="AD105" s="44">
        <f t="shared" si="14"/>
        <v>107</v>
      </c>
      <c r="AE105" s="51">
        <f t="shared" si="15"/>
        <v>96107</v>
      </c>
    </row>
    <row r="106" spans="1:31">
      <c r="A106" s="60" t="str">
        <f t="shared" si="9"/>
        <v>60141872mrn</v>
      </c>
      <c r="B106" s="60" t="str">
        <f t="shared" si="10"/>
        <v>96-106-12</v>
      </c>
      <c r="C106" s="72" t="s">
        <v>1288</v>
      </c>
      <c r="D106" s="72" t="s">
        <v>1289</v>
      </c>
      <c r="E106" s="72" t="s">
        <v>909</v>
      </c>
      <c r="F106" s="73">
        <v>0</v>
      </c>
      <c r="G106" s="73" t="s">
        <v>1290</v>
      </c>
      <c r="H106" s="72" t="s">
        <v>121</v>
      </c>
      <c r="I106" s="72" t="s">
        <v>1218</v>
      </c>
      <c r="J106" s="72" t="s">
        <v>340</v>
      </c>
      <c r="K106" s="72" t="s">
        <v>382</v>
      </c>
      <c r="L106" s="72" t="s">
        <v>887</v>
      </c>
      <c r="M106" s="72" t="s">
        <v>389</v>
      </c>
      <c r="O106" s="72" t="s">
        <v>386</v>
      </c>
      <c r="P106" s="72" t="s">
        <v>978</v>
      </c>
      <c r="Q106" s="72" t="s">
        <v>1291</v>
      </c>
      <c r="R106" s="72" t="s">
        <v>121</v>
      </c>
      <c r="T106" s="72" t="s">
        <v>911</v>
      </c>
      <c r="U106" s="72" t="s">
        <v>914</v>
      </c>
      <c r="V106" s="60" t="str">
        <f t="shared" si="11"/>
        <v>60141872бордовый</v>
      </c>
      <c r="W106" s="60" t="str">
        <f t="shared" si="8"/>
        <v>60141872</v>
      </c>
      <c r="X106" s="60" t="str">
        <f t="shared" si="12"/>
        <v>New York Yankees</v>
      </c>
      <c r="AC106" s="51">
        <f t="shared" si="13"/>
        <v>96</v>
      </c>
      <c r="AD106" s="44">
        <f t="shared" si="14"/>
        <v>106</v>
      </c>
      <c r="AE106" s="51">
        <f t="shared" si="15"/>
        <v>96106</v>
      </c>
    </row>
    <row r="107" spans="1:31">
      <c r="A107" s="60" t="str">
        <f t="shared" si="9"/>
        <v>60141714blktel</v>
      </c>
      <c r="B107" s="60" t="str">
        <f t="shared" si="10"/>
        <v>96-105-09</v>
      </c>
      <c r="C107" s="72" t="s">
        <v>1292</v>
      </c>
      <c r="D107" s="72" t="s">
        <v>1293</v>
      </c>
      <c r="E107" s="72" t="s">
        <v>909</v>
      </c>
      <c r="F107" s="73">
        <v>0</v>
      </c>
      <c r="G107" s="73" t="s">
        <v>1294</v>
      </c>
      <c r="H107" s="72" t="s">
        <v>53</v>
      </c>
      <c r="I107" s="72" t="s">
        <v>1218</v>
      </c>
      <c r="J107" s="72" t="s">
        <v>340</v>
      </c>
      <c r="K107" s="72" t="s">
        <v>382</v>
      </c>
      <c r="L107" s="72" t="s">
        <v>887</v>
      </c>
      <c r="M107" s="72" t="s">
        <v>389</v>
      </c>
      <c r="O107" s="72" t="s">
        <v>386</v>
      </c>
      <c r="P107" s="72" t="s">
        <v>978</v>
      </c>
      <c r="Q107" s="72" t="s">
        <v>1295</v>
      </c>
      <c r="R107" s="72" t="s">
        <v>53</v>
      </c>
      <c r="T107" s="72" t="s">
        <v>911</v>
      </c>
      <c r="U107" s="72" t="s">
        <v>914</v>
      </c>
      <c r="V107" s="60" t="str">
        <f t="shared" si="11"/>
        <v>60141714черный</v>
      </c>
      <c r="W107" s="60" t="str">
        <f t="shared" si="8"/>
        <v>60141714</v>
      </c>
      <c r="X107" s="60" t="str">
        <f t="shared" si="12"/>
        <v>New York Yankees</v>
      </c>
      <c r="AC107" s="51">
        <f t="shared" si="13"/>
        <v>96</v>
      </c>
      <c r="AD107" s="44">
        <f t="shared" si="14"/>
        <v>105</v>
      </c>
      <c r="AE107" s="51">
        <f t="shared" si="15"/>
        <v>96105</v>
      </c>
    </row>
    <row r="108" spans="1:31">
      <c r="A108" s="60" t="str">
        <f t="shared" si="9"/>
        <v>60141713blkfur</v>
      </c>
      <c r="B108" s="60" t="str">
        <f t="shared" si="10"/>
        <v>96-104-09</v>
      </c>
      <c r="C108" s="72" t="s">
        <v>1296</v>
      </c>
      <c r="D108" s="72" t="s">
        <v>1297</v>
      </c>
      <c r="E108" s="72" t="s">
        <v>909</v>
      </c>
      <c r="F108" s="73">
        <v>0</v>
      </c>
      <c r="G108" s="73" t="s">
        <v>1298</v>
      </c>
      <c r="H108" s="72" t="s">
        <v>53</v>
      </c>
      <c r="I108" s="72" t="s">
        <v>1218</v>
      </c>
      <c r="J108" s="72" t="s">
        <v>340</v>
      </c>
      <c r="K108" s="72" t="s">
        <v>382</v>
      </c>
      <c r="L108" s="72" t="s">
        <v>887</v>
      </c>
      <c r="M108" s="72" t="s">
        <v>389</v>
      </c>
      <c r="O108" s="72" t="s">
        <v>386</v>
      </c>
      <c r="P108" s="72" t="s">
        <v>978</v>
      </c>
      <c r="Q108" s="72" t="s">
        <v>1299</v>
      </c>
      <c r="R108" s="72" t="s">
        <v>53</v>
      </c>
      <c r="T108" s="72" t="s">
        <v>911</v>
      </c>
      <c r="U108" s="72" t="s">
        <v>914</v>
      </c>
      <c r="V108" s="60" t="str">
        <f t="shared" si="11"/>
        <v>60141713черный</v>
      </c>
      <c r="W108" s="60" t="str">
        <f t="shared" si="8"/>
        <v>60141713</v>
      </c>
      <c r="X108" s="60" t="str">
        <f t="shared" si="12"/>
        <v>New York Yankees</v>
      </c>
      <c r="AC108" s="51">
        <f t="shared" si="13"/>
        <v>96</v>
      </c>
      <c r="AD108" s="44">
        <f t="shared" si="14"/>
        <v>104</v>
      </c>
      <c r="AE108" s="51">
        <f t="shared" si="15"/>
        <v>96104</v>
      </c>
    </row>
    <row r="109" spans="1:31">
      <c r="A109" s="60" t="str">
        <f t="shared" si="9"/>
        <v>60141694stn</v>
      </c>
      <c r="B109" s="60" t="str">
        <f t="shared" si="10"/>
        <v>96-103-02</v>
      </c>
      <c r="C109" s="72" t="s">
        <v>1300</v>
      </c>
      <c r="D109" s="72" t="s">
        <v>1301</v>
      </c>
      <c r="E109" s="72" t="s">
        <v>909</v>
      </c>
      <c r="F109" s="73">
        <v>0</v>
      </c>
      <c r="G109" s="73" t="s">
        <v>1302</v>
      </c>
      <c r="H109" s="72" t="s">
        <v>205</v>
      </c>
      <c r="I109" s="72" t="s">
        <v>1218</v>
      </c>
      <c r="J109" s="72" t="s">
        <v>340</v>
      </c>
      <c r="K109" s="72" t="s">
        <v>382</v>
      </c>
      <c r="L109" s="72" t="s">
        <v>887</v>
      </c>
      <c r="M109" s="72" t="s">
        <v>389</v>
      </c>
      <c r="O109" s="72" t="s">
        <v>386</v>
      </c>
      <c r="P109" s="72" t="s">
        <v>978</v>
      </c>
      <c r="Q109" s="72" t="s">
        <v>1018</v>
      </c>
      <c r="R109" s="72" t="s">
        <v>63</v>
      </c>
      <c r="T109" s="72" t="s">
        <v>911</v>
      </c>
      <c r="U109" s="72" t="s">
        <v>914</v>
      </c>
      <c r="V109" s="60" t="str">
        <f t="shared" si="11"/>
        <v>60141694песочный</v>
      </c>
      <c r="W109" s="60" t="str">
        <f t="shared" si="8"/>
        <v>60141694</v>
      </c>
      <c r="X109" s="60" t="str">
        <f t="shared" si="12"/>
        <v>New York Yankees</v>
      </c>
      <c r="AC109" s="51">
        <f t="shared" si="13"/>
        <v>96</v>
      </c>
      <c r="AD109" s="44">
        <f t="shared" si="14"/>
        <v>103</v>
      </c>
      <c r="AE109" s="51">
        <f t="shared" si="15"/>
        <v>96103</v>
      </c>
    </row>
    <row r="110" spans="1:31">
      <c r="A110" s="60" t="str">
        <f t="shared" si="9"/>
        <v>60141650nov</v>
      </c>
      <c r="B110" s="60" t="str">
        <f t="shared" si="10"/>
        <v>96-102-03</v>
      </c>
      <c r="C110" s="72" t="s">
        <v>1303</v>
      </c>
      <c r="D110" s="72" t="s">
        <v>1304</v>
      </c>
      <c r="E110" s="72" t="s">
        <v>909</v>
      </c>
      <c r="F110" s="73">
        <v>0</v>
      </c>
      <c r="G110" s="73">
        <v>60141650</v>
      </c>
      <c r="H110" s="72" t="s">
        <v>195</v>
      </c>
      <c r="I110" s="72" t="s">
        <v>1218</v>
      </c>
      <c r="J110" s="72" t="s">
        <v>340</v>
      </c>
      <c r="K110" s="72" t="s">
        <v>382</v>
      </c>
      <c r="L110" s="72" t="s">
        <v>887</v>
      </c>
      <c r="M110" s="72" t="s">
        <v>389</v>
      </c>
      <c r="O110" s="72" t="s">
        <v>386</v>
      </c>
      <c r="P110" s="72" t="s">
        <v>978</v>
      </c>
      <c r="Q110" s="72" t="s">
        <v>1205</v>
      </c>
      <c r="R110" s="72" t="s">
        <v>195</v>
      </c>
      <c r="V110" s="60" t="str">
        <f t="shared" si="11"/>
        <v>60141650оливковый</v>
      </c>
      <c r="W110" s="60" t="str">
        <f t="shared" si="8"/>
        <v>60141650</v>
      </c>
      <c r="X110" s="60" t="str">
        <f t="shared" si="12"/>
        <v/>
      </c>
      <c r="AC110" s="51">
        <f t="shared" si="13"/>
        <v>96</v>
      </c>
      <c r="AD110" s="44">
        <f t="shared" si="14"/>
        <v>102</v>
      </c>
      <c r="AE110" s="51">
        <f t="shared" si="15"/>
        <v>96102</v>
      </c>
    </row>
    <row r="111" spans="1:31">
      <c r="A111" s="60" t="str">
        <f t="shared" si="9"/>
        <v>60141649ind</v>
      </c>
      <c r="B111" s="60" t="str">
        <f t="shared" si="10"/>
        <v>96-101-06</v>
      </c>
      <c r="C111" s="72" t="s">
        <v>1305</v>
      </c>
      <c r="D111" s="72" t="s">
        <v>1306</v>
      </c>
      <c r="E111" s="72" t="s">
        <v>909</v>
      </c>
      <c r="F111" s="73">
        <v>0</v>
      </c>
      <c r="G111" s="73">
        <v>60141649</v>
      </c>
      <c r="H111" s="72" t="s">
        <v>71</v>
      </c>
      <c r="I111" s="72" t="s">
        <v>1218</v>
      </c>
      <c r="J111" s="72" t="s">
        <v>340</v>
      </c>
      <c r="K111" s="72" t="s">
        <v>382</v>
      </c>
      <c r="L111" s="72" t="s">
        <v>887</v>
      </c>
      <c r="M111" s="72" t="s">
        <v>389</v>
      </c>
      <c r="O111" s="72" t="s">
        <v>386</v>
      </c>
      <c r="P111" s="72" t="s">
        <v>978</v>
      </c>
      <c r="Q111" s="72" t="s">
        <v>1307</v>
      </c>
      <c r="R111" s="72" t="s">
        <v>71</v>
      </c>
      <c r="V111" s="60" t="str">
        <f t="shared" si="11"/>
        <v>60141649синий</v>
      </c>
      <c r="W111" s="60" t="str">
        <f t="shared" si="8"/>
        <v>60141649</v>
      </c>
      <c r="X111" s="60" t="str">
        <f t="shared" si="12"/>
        <v/>
      </c>
      <c r="AC111" s="51">
        <f t="shared" si="13"/>
        <v>96</v>
      </c>
      <c r="AD111" s="44">
        <f t="shared" si="14"/>
        <v>101</v>
      </c>
      <c r="AE111" s="51">
        <f t="shared" si="15"/>
        <v>96101</v>
      </c>
    </row>
    <row r="112" spans="1:31">
      <c r="A112" s="60" t="str">
        <f t="shared" si="9"/>
        <v>60141613org</v>
      </c>
      <c r="B112" s="60" t="str">
        <f t="shared" si="10"/>
        <v>96-100-13</v>
      </c>
      <c r="C112" s="72" t="s">
        <v>1308</v>
      </c>
      <c r="D112" s="72" t="s">
        <v>1309</v>
      </c>
      <c r="E112" s="72" t="s">
        <v>909</v>
      </c>
      <c r="F112" s="73">
        <v>0</v>
      </c>
      <c r="G112" s="73">
        <v>60141613</v>
      </c>
      <c r="H112" s="72" t="s">
        <v>199</v>
      </c>
      <c r="I112" s="72" t="s">
        <v>1218</v>
      </c>
      <c r="J112" s="72" t="s">
        <v>340</v>
      </c>
      <c r="K112" s="72" t="s">
        <v>382</v>
      </c>
      <c r="L112" s="72" t="s">
        <v>887</v>
      </c>
      <c r="M112" s="72" t="s">
        <v>389</v>
      </c>
      <c r="O112" s="72" t="s">
        <v>386</v>
      </c>
      <c r="P112" s="72" t="s">
        <v>978</v>
      </c>
      <c r="Q112" s="72" t="s">
        <v>1310</v>
      </c>
      <c r="R112" s="72" t="s">
        <v>199</v>
      </c>
      <c r="V112" s="60" t="str">
        <f t="shared" si="11"/>
        <v>60141613оранжевый</v>
      </c>
      <c r="W112" s="60" t="str">
        <f t="shared" si="8"/>
        <v>60141613</v>
      </c>
      <c r="X112" s="60" t="str">
        <f t="shared" si="12"/>
        <v/>
      </c>
      <c r="AC112" s="51">
        <f t="shared" si="13"/>
        <v>96</v>
      </c>
      <c r="AD112" s="44">
        <f t="shared" si="14"/>
        <v>100</v>
      </c>
      <c r="AE112" s="51">
        <f t="shared" si="15"/>
        <v>96100</v>
      </c>
    </row>
    <row r="113" spans="1:31">
      <c r="A113" s="60" t="str">
        <f t="shared" si="9"/>
        <v>60141518gra</v>
      </c>
      <c r="B113" s="60" t="str">
        <f t="shared" si="10"/>
        <v>96-099-80</v>
      </c>
      <c r="C113" s="72" t="s">
        <v>1311</v>
      </c>
      <c r="D113" s="72" t="s">
        <v>1312</v>
      </c>
      <c r="E113" s="72" t="s">
        <v>909</v>
      </c>
      <c r="F113" s="73">
        <v>0</v>
      </c>
      <c r="G113" s="73" t="s">
        <v>1313</v>
      </c>
      <c r="H113" s="72" t="s">
        <v>83</v>
      </c>
      <c r="I113" s="72" t="s">
        <v>1218</v>
      </c>
      <c r="J113" s="72" t="s">
        <v>340</v>
      </c>
      <c r="K113" s="72" t="s">
        <v>382</v>
      </c>
      <c r="L113" s="72" t="s">
        <v>887</v>
      </c>
      <c r="M113" s="72" t="s">
        <v>389</v>
      </c>
      <c r="O113" s="72" t="s">
        <v>386</v>
      </c>
      <c r="P113" s="72" t="s">
        <v>978</v>
      </c>
      <c r="Q113" s="72" t="s">
        <v>1142</v>
      </c>
      <c r="R113" s="72" t="s">
        <v>83</v>
      </c>
      <c r="T113" s="72" t="s">
        <v>1061</v>
      </c>
      <c r="U113" s="72" t="s">
        <v>1155</v>
      </c>
      <c r="V113" s="60" t="str">
        <f t="shared" si="11"/>
        <v>60141518серый</v>
      </c>
      <c r="W113" s="60" t="str">
        <f t="shared" si="8"/>
        <v>60141518</v>
      </c>
      <c r="X113" s="60" t="str">
        <f t="shared" si="12"/>
        <v>Los Angeles Lakers</v>
      </c>
      <c r="AC113" s="51">
        <f t="shared" si="13"/>
        <v>96</v>
      </c>
      <c r="AD113" s="44">
        <f t="shared" si="14"/>
        <v>99</v>
      </c>
      <c r="AE113" s="51">
        <f t="shared" si="15"/>
        <v>96099</v>
      </c>
    </row>
    <row r="114" spans="1:31">
      <c r="A114" s="60" t="str">
        <f t="shared" si="9"/>
        <v>60141477blk</v>
      </c>
      <c r="B114" s="60" t="str">
        <f t="shared" si="10"/>
        <v>96-098-09</v>
      </c>
      <c r="C114" s="72" t="s">
        <v>1314</v>
      </c>
      <c r="D114" s="72" t="s">
        <v>1315</v>
      </c>
      <c r="E114" s="72" t="s">
        <v>1134</v>
      </c>
      <c r="F114" s="73">
        <v>59</v>
      </c>
      <c r="G114" s="73">
        <v>60141477</v>
      </c>
      <c r="H114" s="72" t="s">
        <v>53</v>
      </c>
      <c r="I114" s="72" t="s">
        <v>910</v>
      </c>
      <c r="J114" s="72" t="s">
        <v>325</v>
      </c>
      <c r="K114" s="72" t="s">
        <v>382</v>
      </c>
      <c r="L114" s="72" t="s">
        <v>887</v>
      </c>
      <c r="M114" s="72" t="s">
        <v>388</v>
      </c>
      <c r="N114" s="72" t="s">
        <v>43</v>
      </c>
      <c r="O114" s="72" t="s">
        <v>386</v>
      </c>
      <c r="P114" s="72" t="s">
        <v>978</v>
      </c>
      <c r="Q114" s="72" t="s">
        <v>987</v>
      </c>
      <c r="R114" s="72" t="s">
        <v>53</v>
      </c>
      <c r="V114" s="60" t="str">
        <f t="shared" si="11"/>
        <v>60141477черный</v>
      </c>
      <c r="W114" s="60" t="str">
        <f t="shared" si="8"/>
        <v>60141477</v>
      </c>
      <c r="X114" s="60" t="str">
        <f t="shared" si="12"/>
        <v/>
      </c>
      <c r="AC114" s="51">
        <f t="shared" si="13"/>
        <v>96</v>
      </c>
      <c r="AD114" s="44">
        <f t="shared" si="14"/>
        <v>98</v>
      </c>
      <c r="AE114" s="51">
        <f t="shared" si="15"/>
        <v>96098</v>
      </c>
    </row>
    <row r="115" spans="1:31">
      <c r="A115" s="60" t="str">
        <f t="shared" si="9"/>
        <v>60141477blk</v>
      </c>
      <c r="B115" s="60" t="str">
        <f t="shared" si="10"/>
        <v>96-098-09</v>
      </c>
      <c r="C115" s="72" t="s">
        <v>1316</v>
      </c>
      <c r="D115" s="72" t="s">
        <v>1315</v>
      </c>
      <c r="E115" s="72" t="s">
        <v>990</v>
      </c>
      <c r="F115" s="73">
        <v>57</v>
      </c>
      <c r="G115" s="73">
        <v>60141477</v>
      </c>
      <c r="H115" s="72" t="s">
        <v>53</v>
      </c>
      <c r="I115" s="72" t="s">
        <v>910</v>
      </c>
      <c r="J115" s="72" t="s">
        <v>325</v>
      </c>
      <c r="K115" s="72" t="s">
        <v>382</v>
      </c>
      <c r="L115" s="72" t="s">
        <v>887</v>
      </c>
      <c r="M115" s="72" t="s">
        <v>388</v>
      </c>
      <c r="N115" s="72" t="s">
        <v>43</v>
      </c>
      <c r="O115" s="72" t="s">
        <v>386</v>
      </c>
      <c r="P115" s="72" t="s">
        <v>978</v>
      </c>
      <c r="Q115" s="72" t="s">
        <v>987</v>
      </c>
      <c r="R115" s="72" t="s">
        <v>53</v>
      </c>
      <c r="V115" s="60" t="str">
        <f t="shared" si="11"/>
        <v>60141477черный</v>
      </c>
      <c r="W115" s="60" t="str">
        <f t="shared" si="8"/>
        <v>60141477</v>
      </c>
      <c r="X115" s="60" t="str">
        <f t="shared" si="12"/>
        <v/>
      </c>
      <c r="AC115" s="51">
        <f t="shared" si="13"/>
        <v>96</v>
      </c>
      <c r="AD115" s="44">
        <f t="shared" si="14"/>
        <v>98</v>
      </c>
      <c r="AE115" s="51">
        <f t="shared" si="15"/>
        <v>96098</v>
      </c>
    </row>
    <row r="116" spans="1:31">
      <c r="A116" s="60" t="str">
        <f t="shared" si="9"/>
        <v>60141477blk</v>
      </c>
      <c r="B116" s="60" t="str">
        <f t="shared" si="10"/>
        <v>96-098-09</v>
      </c>
      <c r="C116" s="72" t="s">
        <v>1317</v>
      </c>
      <c r="D116" s="72" t="s">
        <v>1315</v>
      </c>
      <c r="E116" s="72" t="s">
        <v>1144</v>
      </c>
      <c r="F116" s="73">
        <v>55</v>
      </c>
      <c r="G116" s="73">
        <v>60141477</v>
      </c>
      <c r="H116" s="72" t="s">
        <v>53</v>
      </c>
      <c r="I116" s="72" t="s">
        <v>910</v>
      </c>
      <c r="J116" s="72" t="s">
        <v>325</v>
      </c>
      <c r="K116" s="72" t="s">
        <v>382</v>
      </c>
      <c r="L116" s="72" t="s">
        <v>887</v>
      </c>
      <c r="M116" s="72" t="s">
        <v>388</v>
      </c>
      <c r="N116" s="72" t="s">
        <v>43</v>
      </c>
      <c r="O116" s="72" t="s">
        <v>386</v>
      </c>
      <c r="P116" s="72" t="s">
        <v>978</v>
      </c>
      <c r="Q116" s="72" t="s">
        <v>987</v>
      </c>
      <c r="R116" s="72" t="s">
        <v>53</v>
      </c>
      <c r="V116" s="60" t="str">
        <f t="shared" si="11"/>
        <v>60141477черный</v>
      </c>
      <c r="W116" s="60" t="str">
        <f t="shared" si="8"/>
        <v>60141477</v>
      </c>
      <c r="X116" s="60" t="str">
        <f t="shared" si="12"/>
        <v/>
      </c>
      <c r="AC116" s="51">
        <f t="shared" si="13"/>
        <v>96</v>
      </c>
      <c r="AD116" s="44">
        <f t="shared" si="14"/>
        <v>98</v>
      </c>
      <c r="AE116" s="51">
        <f t="shared" si="15"/>
        <v>96098</v>
      </c>
    </row>
    <row r="117" spans="1:31">
      <c r="A117" s="60" t="str">
        <f t="shared" si="9"/>
        <v>60137572fdr</v>
      </c>
      <c r="B117" s="60" t="str">
        <f t="shared" si="10"/>
        <v>96-097-18</v>
      </c>
      <c r="C117" s="72" t="s">
        <v>1318</v>
      </c>
      <c r="D117" s="72" t="s">
        <v>1319</v>
      </c>
      <c r="E117" s="72" t="s">
        <v>1038</v>
      </c>
      <c r="F117" s="73">
        <v>58</v>
      </c>
      <c r="G117" s="73" t="s">
        <v>1320</v>
      </c>
      <c r="H117" s="72" t="s">
        <v>78</v>
      </c>
      <c r="I117" s="72" t="s">
        <v>1101</v>
      </c>
      <c r="J117" s="72" t="s">
        <v>327</v>
      </c>
      <c r="K117" s="72" t="s">
        <v>382</v>
      </c>
      <c r="L117" s="72" t="s">
        <v>887</v>
      </c>
      <c r="M117" s="72" t="s">
        <v>388</v>
      </c>
      <c r="N117" s="72" t="s">
        <v>43</v>
      </c>
      <c r="O117" s="72" t="s">
        <v>386</v>
      </c>
      <c r="P117" s="72" t="s">
        <v>978</v>
      </c>
      <c r="Q117" s="72" t="s">
        <v>1321</v>
      </c>
      <c r="R117" s="72" t="s">
        <v>78</v>
      </c>
      <c r="T117" s="72" t="s">
        <v>1061</v>
      </c>
      <c r="U117" s="72" t="s">
        <v>1062</v>
      </c>
      <c r="V117" s="60" t="str">
        <f t="shared" si="11"/>
        <v>60137572красный</v>
      </c>
      <c r="W117" s="60" t="str">
        <f t="shared" si="8"/>
        <v>60137572</v>
      </c>
      <c r="X117" s="60" t="str">
        <f t="shared" si="12"/>
        <v>Chicago Bulls</v>
      </c>
      <c r="AC117" s="51">
        <f t="shared" si="13"/>
        <v>96</v>
      </c>
      <c r="AD117" s="44">
        <f t="shared" si="14"/>
        <v>97</v>
      </c>
      <c r="AE117" s="51">
        <f t="shared" si="15"/>
        <v>96097</v>
      </c>
    </row>
    <row r="118" spans="1:31">
      <c r="A118" s="60" t="str">
        <f t="shared" si="9"/>
        <v>60137572fdr</v>
      </c>
      <c r="B118" s="60" t="str">
        <f t="shared" si="10"/>
        <v>96-097-18</v>
      </c>
      <c r="C118" s="72" t="s">
        <v>1322</v>
      </c>
      <c r="D118" s="72" t="s">
        <v>1319</v>
      </c>
      <c r="E118" s="72" t="s">
        <v>1043</v>
      </c>
      <c r="F118" s="73">
        <v>56</v>
      </c>
      <c r="G118" s="73" t="s">
        <v>1320</v>
      </c>
      <c r="H118" s="72" t="s">
        <v>78</v>
      </c>
      <c r="I118" s="72" t="s">
        <v>1101</v>
      </c>
      <c r="J118" s="72" t="s">
        <v>327</v>
      </c>
      <c r="K118" s="72" t="s">
        <v>382</v>
      </c>
      <c r="L118" s="72" t="s">
        <v>887</v>
      </c>
      <c r="M118" s="72" t="s">
        <v>388</v>
      </c>
      <c r="N118" s="72" t="s">
        <v>43</v>
      </c>
      <c r="O118" s="72" t="s">
        <v>386</v>
      </c>
      <c r="P118" s="72" t="s">
        <v>978</v>
      </c>
      <c r="Q118" s="72" t="s">
        <v>1321</v>
      </c>
      <c r="R118" s="72" t="s">
        <v>78</v>
      </c>
      <c r="T118" s="72" t="s">
        <v>1061</v>
      </c>
      <c r="U118" s="72" t="s">
        <v>1062</v>
      </c>
      <c r="V118" s="60" t="str">
        <f t="shared" si="11"/>
        <v>60137572красный</v>
      </c>
      <c r="W118" s="60" t="str">
        <f t="shared" si="8"/>
        <v>60137572</v>
      </c>
      <c r="X118" s="60" t="str">
        <f t="shared" si="12"/>
        <v>Chicago Bulls</v>
      </c>
      <c r="AC118" s="51">
        <f t="shared" si="13"/>
        <v>96</v>
      </c>
      <c r="AD118" s="44">
        <f t="shared" si="14"/>
        <v>97</v>
      </c>
      <c r="AE118" s="51">
        <f t="shared" si="15"/>
        <v>96097</v>
      </c>
    </row>
    <row r="119" spans="1:31">
      <c r="A119" s="60" t="str">
        <f t="shared" si="9"/>
        <v>60137571trp</v>
      </c>
      <c r="B119" s="60" t="str">
        <f t="shared" si="10"/>
        <v>96-096-41</v>
      </c>
      <c r="C119" s="72" t="s">
        <v>1323</v>
      </c>
      <c r="D119" s="72" t="s">
        <v>1324</v>
      </c>
      <c r="E119" s="72" t="s">
        <v>1038</v>
      </c>
      <c r="F119" s="73">
        <v>58</v>
      </c>
      <c r="G119" s="73" t="s">
        <v>1325</v>
      </c>
      <c r="H119" s="72" t="s">
        <v>286</v>
      </c>
      <c r="I119" s="72" t="s">
        <v>1101</v>
      </c>
      <c r="J119" s="72" t="s">
        <v>327</v>
      </c>
      <c r="K119" s="72" t="s">
        <v>382</v>
      </c>
      <c r="L119" s="72" t="s">
        <v>887</v>
      </c>
      <c r="M119" s="72" t="s">
        <v>388</v>
      </c>
      <c r="N119" s="72" t="s">
        <v>43</v>
      </c>
      <c r="O119" s="72" t="s">
        <v>386</v>
      </c>
      <c r="P119" s="72" t="s">
        <v>978</v>
      </c>
      <c r="Q119" s="72" t="s">
        <v>1326</v>
      </c>
      <c r="R119" s="72" t="s">
        <v>286</v>
      </c>
      <c r="T119" s="72" t="s">
        <v>1061</v>
      </c>
      <c r="U119" s="72" t="s">
        <v>1155</v>
      </c>
      <c r="V119" s="60" t="str">
        <f t="shared" si="11"/>
        <v>60137571фиолетовый</v>
      </c>
      <c r="W119" s="60" t="str">
        <f t="shared" si="8"/>
        <v>60137571</v>
      </c>
      <c r="X119" s="60" t="str">
        <f t="shared" si="12"/>
        <v>Los Angeles Lakers</v>
      </c>
      <c r="AC119" s="51">
        <f t="shared" si="13"/>
        <v>96</v>
      </c>
      <c r="AD119" s="44">
        <f t="shared" si="14"/>
        <v>96</v>
      </c>
      <c r="AE119" s="51">
        <f t="shared" si="15"/>
        <v>96096</v>
      </c>
    </row>
    <row r="120" spans="1:31">
      <c r="A120" s="60" t="str">
        <f t="shared" si="9"/>
        <v>60137571trp</v>
      </c>
      <c r="B120" s="60" t="str">
        <f t="shared" si="10"/>
        <v>96-096-41</v>
      </c>
      <c r="C120" s="72" t="s">
        <v>1327</v>
      </c>
      <c r="D120" s="72" t="s">
        <v>1324</v>
      </c>
      <c r="E120" s="72" t="s">
        <v>1043</v>
      </c>
      <c r="F120" s="73">
        <v>56</v>
      </c>
      <c r="G120" s="73" t="s">
        <v>1325</v>
      </c>
      <c r="H120" s="72" t="s">
        <v>286</v>
      </c>
      <c r="I120" s="72" t="s">
        <v>1101</v>
      </c>
      <c r="J120" s="72" t="s">
        <v>327</v>
      </c>
      <c r="K120" s="72" t="s">
        <v>382</v>
      </c>
      <c r="L120" s="72" t="s">
        <v>887</v>
      </c>
      <c r="M120" s="72" t="s">
        <v>388</v>
      </c>
      <c r="N120" s="72" t="s">
        <v>43</v>
      </c>
      <c r="O120" s="72" t="s">
        <v>386</v>
      </c>
      <c r="P120" s="72" t="s">
        <v>978</v>
      </c>
      <c r="Q120" s="72" t="s">
        <v>1326</v>
      </c>
      <c r="R120" s="72" t="s">
        <v>286</v>
      </c>
      <c r="T120" s="72" t="s">
        <v>1061</v>
      </c>
      <c r="U120" s="72" t="s">
        <v>1155</v>
      </c>
      <c r="V120" s="60" t="str">
        <f t="shared" si="11"/>
        <v>60137571фиолетовый</v>
      </c>
      <c r="W120" s="60" t="str">
        <f t="shared" si="8"/>
        <v>60137571</v>
      </c>
      <c r="X120" s="60" t="str">
        <f t="shared" si="12"/>
        <v>Los Angeles Lakers</v>
      </c>
      <c r="AC120" s="51">
        <f t="shared" si="13"/>
        <v>96</v>
      </c>
      <c r="AD120" s="44">
        <f t="shared" si="14"/>
        <v>96</v>
      </c>
      <c r="AE120" s="51">
        <f t="shared" si="15"/>
        <v>96096</v>
      </c>
    </row>
    <row r="121" spans="1:31">
      <c r="A121" s="60" t="str">
        <f t="shared" si="9"/>
        <v>60137527nvysca</v>
      </c>
      <c r="B121" s="60" t="str">
        <f t="shared" si="10"/>
        <v>96-095-09</v>
      </c>
      <c r="C121" s="72" t="s">
        <v>1328</v>
      </c>
      <c r="D121" s="72" t="s">
        <v>1329</v>
      </c>
      <c r="E121" s="72" t="s">
        <v>1330</v>
      </c>
      <c r="F121" s="73">
        <v>60</v>
      </c>
      <c r="G121" s="73" t="s">
        <v>1331</v>
      </c>
      <c r="H121" s="72" t="s">
        <v>53</v>
      </c>
      <c r="I121" s="72" t="s">
        <v>910</v>
      </c>
      <c r="J121" s="72" t="s">
        <v>783</v>
      </c>
      <c r="K121" s="72" t="s">
        <v>382</v>
      </c>
      <c r="L121" s="72" t="s">
        <v>887</v>
      </c>
      <c r="M121" s="72" t="s">
        <v>388</v>
      </c>
      <c r="N121" s="72" t="s">
        <v>43</v>
      </c>
      <c r="O121" s="72" t="s">
        <v>541</v>
      </c>
      <c r="P121" s="72" t="s">
        <v>978</v>
      </c>
      <c r="Q121" s="72" t="s">
        <v>1332</v>
      </c>
      <c r="R121" s="72" t="s">
        <v>53</v>
      </c>
      <c r="T121" s="72" t="s">
        <v>911</v>
      </c>
      <c r="U121" s="72" t="s">
        <v>914</v>
      </c>
      <c r="V121" s="60" t="str">
        <f t="shared" si="11"/>
        <v>60137527черный</v>
      </c>
      <c r="W121" s="60" t="str">
        <f t="shared" si="8"/>
        <v>60137527</v>
      </c>
      <c r="X121" s="60" t="str">
        <f t="shared" si="12"/>
        <v>New York Yankees</v>
      </c>
      <c r="AC121" s="51">
        <f t="shared" si="13"/>
        <v>96</v>
      </c>
      <c r="AD121" s="44">
        <f t="shared" si="14"/>
        <v>95</v>
      </c>
      <c r="AE121" s="51">
        <f t="shared" si="15"/>
        <v>96095</v>
      </c>
    </row>
    <row r="122" spans="1:31">
      <c r="A122" s="60" t="str">
        <f t="shared" si="9"/>
        <v>60137517blk</v>
      </c>
      <c r="B122" s="60" t="str">
        <f t="shared" si="10"/>
        <v>96-094-09</v>
      </c>
      <c r="C122" s="72" t="s">
        <v>1333</v>
      </c>
      <c r="D122" s="72" t="s">
        <v>1334</v>
      </c>
      <c r="E122" s="72" t="s">
        <v>1038</v>
      </c>
      <c r="F122" s="73">
        <v>58</v>
      </c>
      <c r="G122" s="73" t="s">
        <v>1335</v>
      </c>
      <c r="H122" s="72" t="s">
        <v>53</v>
      </c>
      <c r="I122" s="72" t="s">
        <v>1101</v>
      </c>
      <c r="J122" s="72" t="s">
        <v>327</v>
      </c>
      <c r="K122" s="72" t="s">
        <v>382</v>
      </c>
      <c r="L122" s="72" t="s">
        <v>887</v>
      </c>
      <c r="M122" s="72" t="s">
        <v>388</v>
      </c>
      <c r="N122" s="72" t="s">
        <v>43</v>
      </c>
      <c r="O122" s="72" t="s">
        <v>386</v>
      </c>
      <c r="P122" s="72" t="s">
        <v>978</v>
      </c>
      <c r="Q122" s="72" t="s">
        <v>987</v>
      </c>
      <c r="R122" s="72" t="s">
        <v>53</v>
      </c>
      <c r="T122" s="72" t="s">
        <v>1080</v>
      </c>
      <c r="U122" s="72" t="s">
        <v>1081</v>
      </c>
      <c r="V122" s="60" t="str">
        <f t="shared" si="11"/>
        <v>60137517черный</v>
      </c>
      <c r="W122" s="60" t="str">
        <f t="shared" si="8"/>
        <v>60137517</v>
      </c>
      <c r="X122" s="60" t="str">
        <f t="shared" si="12"/>
        <v>Las Vegas Raiders</v>
      </c>
      <c r="AC122" s="51">
        <f t="shared" si="13"/>
        <v>96</v>
      </c>
      <c r="AD122" s="44">
        <f t="shared" si="14"/>
        <v>94</v>
      </c>
      <c r="AE122" s="51">
        <f t="shared" si="15"/>
        <v>96094</v>
      </c>
    </row>
    <row r="123" spans="1:31">
      <c r="A123" s="60" t="str">
        <f t="shared" si="9"/>
        <v>60137517blk</v>
      </c>
      <c r="B123" s="60" t="str">
        <f t="shared" si="10"/>
        <v>96-094-09</v>
      </c>
      <c r="C123" s="72" t="s">
        <v>1336</v>
      </c>
      <c r="D123" s="72" t="s">
        <v>1334</v>
      </c>
      <c r="E123" s="72" t="s">
        <v>1043</v>
      </c>
      <c r="F123" s="73">
        <v>56</v>
      </c>
      <c r="G123" s="73" t="s">
        <v>1335</v>
      </c>
      <c r="H123" s="72" t="s">
        <v>53</v>
      </c>
      <c r="I123" s="72" t="s">
        <v>1101</v>
      </c>
      <c r="J123" s="72" t="s">
        <v>327</v>
      </c>
      <c r="K123" s="72" t="s">
        <v>382</v>
      </c>
      <c r="L123" s="72" t="s">
        <v>887</v>
      </c>
      <c r="M123" s="72" t="s">
        <v>388</v>
      </c>
      <c r="N123" s="72" t="s">
        <v>43</v>
      </c>
      <c r="O123" s="72" t="s">
        <v>386</v>
      </c>
      <c r="P123" s="72" t="s">
        <v>978</v>
      </c>
      <c r="Q123" s="72" t="s">
        <v>987</v>
      </c>
      <c r="R123" s="72" t="s">
        <v>53</v>
      </c>
      <c r="T123" s="72" t="s">
        <v>1080</v>
      </c>
      <c r="U123" s="72" t="s">
        <v>1081</v>
      </c>
      <c r="V123" s="60" t="str">
        <f t="shared" si="11"/>
        <v>60137517черный</v>
      </c>
      <c r="W123" s="60" t="str">
        <f t="shared" si="8"/>
        <v>60137517</v>
      </c>
      <c r="X123" s="60" t="str">
        <f t="shared" si="12"/>
        <v>Las Vegas Raiders</v>
      </c>
      <c r="AC123" s="51">
        <f t="shared" si="13"/>
        <v>96</v>
      </c>
      <c r="AD123" s="44">
        <f t="shared" si="14"/>
        <v>94</v>
      </c>
      <c r="AE123" s="51">
        <f t="shared" si="15"/>
        <v>96094</v>
      </c>
    </row>
    <row r="124" spans="1:31">
      <c r="A124" s="60" t="str">
        <f t="shared" si="9"/>
        <v>60137461cdt</v>
      </c>
      <c r="B124" s="60" t="str">
        <f t="shared" si="10"/>
        <v>96-093-06</v>
      </c>
      <c r="C124" s="72" t="s">
        <v>1337</v>
      </c>
      <c r="D124" s="72" t="s">
        <v>1338</v>
      </c>
      <c r="E124" s="72" t="s">
        <v>1038</v>
      </c>
      <c r="F124" s="73">
        <v>58</v>
      </c>
      <c r="G124" s="73" t="s">
        <v>1339</v>
      </c>
      <c r="H124" s="72" t="s">
        <v>71</v>
      </c>
      <c r="I124" s="72" t="s">
        <v>910</v>
      </c>
      <c r="J124" s="72" t="s">
        <v>783</v>
      </c>
      <c r="K124" s="72" t="s">
        <v>382</v>
      </c>
      <c r="L124" s="72" t="s">
        <v>887</v>
      </c>
      <c r="M124" s="72" t="s">
        <v>388</v>
      </c>
      <c r="N124" s="72" t="s">
        <v>43</v>
      </c>
      <c r="O124" s="72" t="s">
        <v>541</v>
      </c>
      <c r="P124" s="72" t="s">
        <v>978</v>
      </c>
      <c r="Q124" s="72" t="s">
        <v>1340</v>
      </c>
      <c r="R124" s="72" t="s">
        <v>71</v>
      </c>
      <c r="T124" s="72" t="s">
        <v>911</v>
      </c>
      <c r="U124" s="72" t="s">
        <v>912</v>
      </c>
      <c r="V124" s="60" t="str">
        <f t="shared" si="11"/>
        <v>60137461синий</v>
      </c>
      <c r="W124" s="60" t="str">
        <f t="shared" si="8"/>
        <v>60137461</v>
      </c>
      <c r="X124" s="60" t="str">
        <f t="shared" si="12"/>
        <v>Los Angeles Dodgers</v>
      </c>
      <c r="AC124" s="51">
        <f t="shared" si="13"/>
        <v>96</v>
      </c>
      <c r="AD124" s="44">
        <f t="shared" si="14"/>
        <v>93</v>
      </c>
      <c r="AE124" s="51">
        <f t="shared" si="15"/>
        <v>96093</v>
      </c>
    </row>
    <row r="125" spans="1:31">
      <c r="A125" s="60" t="str">
        <f t="shared" si="9"/>
        <v>60137461cdt</v>
      </c>
      <c r="B125" s="60" t="str">
        <f t="shared" si="10"/>
        <v>96-093-06</v>
      </c>
      <c r="C125" s="72" t="s">
        <v>1341</v>
      </c>
      <c r="D125" s="72" t="s">
        <v>1338</v>
      </c>
      <c r="E125" s="72" t="s">
        <v>1043</v>
      </c>
      <c r="F125" s="73">
        <v>56</v>
      </c>
      <c r="G125" s="73" t="s">
        <v>1339</v>
      </c>
      <c r="H125" s="72" t="s">
        <v>71</v>
      </c>
      <c r="I125" s="72" t="s">
        <v>910</v>
      </c>
      <c r="J125" s="72" t="s">
        <v>783</v>
      </c>
      <c r="K125" s="72" t="s">
        <v>382</v>
      </c>
      <c r="L125" s="72" t="s">
        <v>887</v>
      </c>
      <c r="M125" s="72" t="s">
        <v>388</v>
      </c>
      <c r="N125" s="72" t="s">
        <v>43</v>
      </c>
      <c r="O125" s="72" t="s">
        <v>541</v>
      </c>
      <c r="P125" s="72" t="s">
        <v>978</v>
      </c>
      <c r="Q125" s="72" t="s">
        <v>1340</v>
      </c>
      <c r="R125" s="72" t="s">
        <v>71</v>
      </c>
      <c r="T125" s="72" t="s">
        <v>911</v>
      </c>
      <c r="U125" s="72" t="s">
        <v>912</v>
      </c>
      <c r="V125" s="60" t="str">
        <f t="shared" si="11"/>
        <v>60137461синий</v>
      </c>
      <c r="W125" s="60" t="str">
        <f t="shared" si="8"/>
        <v>60137461</v>
      </c>
      <c r="X125" s="60" t="str">
        <f t="shared" si="12"/>
        <v>Los Angeles Dodgers</v>
      </c>
      <c r="AC125" s="51">
        <f t="shared" si="13"/>
        <v>96</v>
      </c>
      <c r="AD125" s="44">
        <f t="shared" si="14"/>
        <v>93</v>
      </c>
      <c r="AE125" s="51">
        <f t="shared" si="15"/>
        <v>96093</v>
      </c>
    </row>
    <row r="126" spans="1:31">
      <c r="A126" s="60" t="str">
        <f t="shared" si="9"/>
        <v>60102842otc</v>
      </c>
      <c r="B126" s="60" t="str">
        <f t="shared" si="10"/>
        <v>96-092-80</v>
      </c>
      <c r="C126" s="72" t="s">
        <v>1342</v>
      </c>
      <c r="D126" s="72" t="s">
        <v>1343</v>
      </c>
      <c r="E126" s="72" t="s">
        <v>909</v>
      </c>
      <c r="F126" s="73">
        <v>0</v>
      </c>
      <c r="G126" s="73" t="s">
        <v>1344</v>
      </c>
      <c r="H126" s="72" t="s">
        <v>83</v>
      </c>
      <c r="I126" s="72" t="s">
        <v>1218</v>
      </c>
      <c r="J126" s="72" t="s">
        <v>342</v>
      </c>
      <c r="K126" s="72" t="s">
        <v>382</v>
      </c>
      <c r="L126" s="72" t="s">
        <v>887</v>
      </c>
      <c r="M126" s="72" t="s">
        <v>389</v>
      </c>
      <c r="O126" s="72" t="s">
        <v>386</v>
      </c>
      <c r="P126" s="72" t="s">
        <v>978</v>
      </c>
      <c r="Q126" s="72" t="s">
        <v>993</v>
      </c>
      <c r="R126" s="72" t="s">
        <v>83</v>
      </c>
      <c r="T126" s="72" t="s">
        <v>1061</v>
      </c>
      <c r="U126" s="72" t="s">
        <v>1062</v>
      </c>
      <c r="V126" s="60" t="str">
        <f t="shared" si="11"/>
        <v>60102842серый</v>
      </c>
      <c r="W126" s="60" t="str">
        <f t="shared" si="8"/>
        <v>60102842</v>
      </c>
      <c r="X126" s="60" t="str">
        <f t="shared" si="12"/>
        <v>Chicago Bulls</v>
      </c>
      <c r="AC126" s="51">
        <f t="shared" si="13"/>
        <v>96</v>
      </c>
      <c r="AD126" s="44">
        <f t="shared" si="14"/>
        <v>92</v>
      </c>
      <c r="AE126" s="51">
        <f t="shared" si="15"/>
        <v>96092</v>
      </c>
    </row>
    <row r="127" spans="1:31">
      <c r="A127" s="60" t="str">
        <f t="shared" si="9"/>
        <v>60102809otc</v>
      </c>
      <c r="B127" s="60" t="str">
        <f t="shared" si="10"/>
        <v>96-091-05</v>
      </c>
      <c r="C127" s="72" t="s">
        <v>1345</v>
      </c>
      <c r="D127" s="72" t="s">
        <v>1346</v>
      </c>
      <c r="E127" s="72" t="s">
        <v>909</v>
      </c>
      <c r="F127" s="73">
        <v>0</v>
      </c>
      <c r="G127" s="73" t="s">
        <v>1347</v>
      </c>
      <c r="H127" s="72" t="s">
        <v>277</v>
      </c>
      <c r="I127" s="72" t="s">
        <v>1218</v>
      </c>
      <c r="J127" s="72" t="s">
        <v>342</v>
      </c>
      <c r="K127" s="72" t="s">
        <v>382</v>
      </c>
      <c r="L127" s="72" t="s">
        <v>887</v>
      </c>
      <c r="M127" s="72" t="s">
        <v>389</v>
      </c>
      <c r="O127" s="72" t="s">
        <v>386</v>
      </c>
      <c r="P127" s="72" t="s">
        <v>978</v>
      </c>
      <c r="Q127" s="72" t="s">
        <v>993</v>
      </c>
      <c r="R127" s="72" t="s">
        <v>83</v>
      </c>
      <c r="T127" s="72" t="s">
        <v>1061</v>
      </c>
      <c r="U127" s="72" t="s">
        <v>1348</v>
      </c>
      <c r="V127" s="60" t="str">
        <f t="shared" si="11"/>
        <v>60102809темно-серый</v>
      </c>
      <c r="W127" s="60" t="str">
        <f t="shared" si="8"/>
        <v>60102809</v>
      </c>
      <c r="X127" s="60" t="str">
        <f t="shared" si="12"/>
        <v>Miami Heat</v>
      </c>
      <c r="AC127" s="51">
        <f t="shared" si="13"/>
        <v>96</v>
      </c>
      <c r="AD127" s="44">
        <f t="shared" si="14"/>
        <v>91</v>
      </c>
      <c r="AE127" s="51">
        <f t="shared" si="15"/>
        <v>96091</v>
      </c>
    </row>
    <row r="128" spans="1:31">
      <c r="A128" s="60" t="str">
        <f t="shared" si="9"/>
        <v>60102707otc</v>
      </c>
      <c r="B128" s="60" t="str">
        <f t="shared" si="10"/>
        <v>96-090-80</v>
      </c>
      <c r="C128" s="72" t="s">
        <v>1349</v>
      </c>
      <c r="D128" s="72" t="s">
        <v>1350</v>
      </c>
      <c r="E128" s="72" t="s">
        <v>909</v>
      </c>
      <c r="F128" s="73">
        <v>0</v>
      </c>
      <c r="G128" s="73" t="s">
        <v>1351</v>
      </c>
      <c r="H128" s="72" t="s">
        <v>83</v>
      </c>
      <c r="I128" s="72" t="s">
        <v>1218</v>
      </c>
      <c r="J128" s="72" t="s">
        <v>342</v>
      </c>
      <c r="K128" s="72" t="s">
        <v>382</v>
      </c>
      <c r="L128" s="72" t="s">
        <v>887</v>
      </c>
      <c r="M128" s="72" t="s">
        <v>389</v>
      </c>
      <c r="O128" s="72" t="s">
        <v>386</v>
      </c>
      <c r="P128" s="72" t="s">
        <v>978</v>
      </c>
      <c r="Q128" s="72" t="s">
        <v>993</v>
      </c>
      <c r="R128" s="72" t="s">
        <v>83</v>
      </c>
      <c r="T128" s="72" t="s">
        <v>1061</v>
      </c>
      <c r="U128" s="72" t="s">
        <v>1352</v>
      </c>
      <c r="V128" s="60" t="str">
        <f t="shared" si="11"/>
        <v>60102707серый</v>
      </c>
      <c r="W128" s="60" t="str">
        <f t="shared" si="8"/>
        <v>60102707</v>
      </c>
      <c r="X128" s="60" t="str">
        <f t="shared" si="12"/>
        <v>Brooklyn Nets</v>
      </c>
      <c r="AC128" s="51">
        <f t="shared" si="13"/>
        <v>96</v>
      </c>
      <c r="AD128" s="44">
        <f t="shared" si="14"/>
        <v>90</v>
      </c>
      <c r="AE128" s="51">
        <f t="shared" si="15"/>
        <v>96090</v>
      </c>
    </row>
    <row r="129" spans="1:31">
      <c r="A129" s="60" t="str">
        <f t="shared" si="9"/>
        <v>60102591otc</v>
      </c>
      <c r="B129" s="60" t="str">
        <f t="shared" si="10"/>
        <v>96-089-80</v>
      </c>
      <c r="C129" s="72" t="s">
        <v>1353</v>
      </c>
      <c r="D129" s="72" t="s">
        <v>1354</v>
      </c>
      <c r="E129" s="72" t="s">
        <v>909</v>
      </c>
      <c r="F129" s="73">
        <v>0</v>
      </c>
      <c r="G129" s="73" t="s">
        <v>1355</v>
      </c>
      <c r="H129" s="72" t="s">
        <v>53</v>
      </c>
      <c r="I129" s="72" t="s">
        <v>1218</v>
      </c>
      <c r="J129" s="72" t="s">
        <v>342</v>
      </c>
      <c r="K129" s="72" t="s">
        <v>382</v>
      </c>
      <c r="L129" s="72" t="s">
        <v>887</v>
      </c>
      <c r="M129" s="72" t="s">
        <v>389</v>
      </c>
      <c r="O129" s="72" t="s">
        <v>386</v>
      </c>
      <c r="P129" s="72" t="s">
        <v>978</v>
      </c>
      <c r="Q129" s="72" t="s">
        <v>993</v>
      </c>
      <c r="R129" s="72" t="s">
        <v>53</v>
      </c>
      <c r="T129" s="72" t="s">
        <v>1061</v>
      </c>
      <c r="U129" s="72" t="s">
        <v>1356</v>
      </c>
      <c r="V129" s="60" t="str">
        <f t="shared" si="11"/>
        <v>60102591черный</v>
      </c>
      <c r="W129" s="60" t="str">
        <f t="shared" si="8"/>
        <v>60102591</v>
      </c>
      <c r="X129" s="60" t="str">
        <f t="shared" si="12"/>
        <v>Los Angeles Clippers</v>
      </c>
      <c r="AC129" s="51">
        <f t="shared" si="13"/>
        <v>96</v>
      </c>
      <c r="AD129" s="44">
        <f t="shared" si="14"/>
        <v>89</v>
      </c>
      <c r="AE129" s="51">
        <f t="shared" si="15"/>
        <v>96089</v>
      </c>
    </row>
    <row r="130" spans="1:31">
      <c r="A130" s="60" t="str">
        <f t="shared" si="9"/>
        <v>12881461blk</v>
      </c>
      <c r="B130" s="60" t="str">
        <f t="shared" si="10"/>
        <v>96-088-09</v>
      </c>
      <c r="C130" s="72" t="s">
        <v>1357</v>
      </c>
      <c r="D130" s="72" t="s">
        <v>1358</v>
      </c>
      <c r="E130" s="72" t="s">
        <v>909</v>
      </c>
      <c r="F130" s="73">
        <v>0</v>
      </c>
      <c r="G130" s="73">
        <v>12881461</v>
      </c>
      <c r="H130" s="72" t="s">
        <v>53</v>
      </c>
      <c r="I130" s="72" t="s">
        <v>918</v>
      </c>
      <c r="J130" s="72" t="s">
        <v>327</v>
      </c>
      <c r="K130" s="72" t="s">
        <v>382</v>
      </c>
      <c r="L130" s="72" t="s">
        <v>887</v>
      </c>
      <c r="M130" s="72" t="s">
        <v>388</v>
      </c>
      <c r="O130" s="72" t="s">
        <v>386</v>
      </c>
      <c r="P130" s="72" t="s">
        <v>978</v>
      </c>
      <c r="Q130" s="72" t="s">
        <v>987</v>
      </c>
      <c r="R130" s="72" t="s">
        <v>53</v>
      </c>
      <c r="V130" s="60" t="str">
        <f t="shared" si="11"/>
        <v>12881461черный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12881461</v>
      </c>
      <c r="X130" s="60" t="str">
        <f t="shared" si="12"/>
        <v/>
      </c>
      <c r="AC130" s="51">
        <f t="shared" si="13"/>
        <v>96</v>
      </c>
      <c r="AD130" s="44">
        <f t="shared" si="14"/>
        <v>88</v>
      </c>
      <c r="AE130" s="51">
        <f t="shared" si="15"/>
        <v>96088</v>
      </c>
    </row>
    <row r="131" spans="1:31">
      <c r="A131" s="60" t="str">
        <f t="shared" ref="A131:A194" si="17">IF(G131&amp;Q131&lt;&gt;"",W131&amp;Q131,"")</f>
        <v>12573358whi</v>
      </c>
      <c r="B131" s="60" t="str">
        <f t="shared" ref="B131:B194" si="18">IF(C131&lt;&gt;"",LEFT(C131,9),"")</f>
        <v>96-087-17</v>
      </c>
      <c r="C131" s="72" t="s">
        <v>1359</v>
      </c>
      <c r="D131" s="72" t="s">
        <v>1360</v>
      </c>
      <c r="E131" s="72" t="s">
        <v>909</v>
      </c>
      <c r="F131" s="73">
        <v>0</v>
      </c>
      <c r="G131" s="73">
        <v>12573358</v>
      </c>
      <c r="H131" s="72" t="s">
        <v>57</v>
      </c>
      <c r="I131" s="72" t="s">
        <v>910</v>
      </c>
      <c r="J131" s="72" t="s">
        <v>356</v>
      </c>
      <c r="K131" s="72" t="s">
        <v>382</v>
      </c>
      <c r="L131" s="72" t="s">
        <v>887</v>
      </c>
      <c r="M131" s="72" t="s">
        <v>388</v>
      </c>
      <c r="N131" s="72" t="s">
        <v>43</v>
      </c>
      <c r="O131" s="72" t="s">
        <v>386</v>
      </c>
      <c r="P131" s="72" t="s">
        <v>978</v>
      </c>
      <c r="Q131" s="72" t="s">
        <v>983</v>
      </c>
      <c r="R131" s="72" t="s">
        <v>57</v>
      </c>
      <c r="V131" s="60" t="str">
        <f t="shared" ref="V131:V194" si="19">W131&amp;H131</f>
        <v>12573358белый</v>
      </c>
      <c r="W131" s="60" t="str">
        <f t="shared" si="16"/>
        <v>12573358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96</v>
      </c>
      <c r="AD131" s="44">
        <f t="shared" ref="AD131:AD194" si="22">IFERROR(VALUE(MID($C131,4,3)),0)</f>
        <v>87</v>
      </c>
      <c r="AE131" s="51">
        <f t="shared" ref="AE131:AE194" si="23">VALUE(RIGHT("00"&amp;AC131,2)&amp;RIGHT("000"&amp;AD131,3))</f>
        <v>96087</v>
      </c>
    </row>
    <row r="132" spans="1:31">
      <c r="A132" s="60" t="str">
        <f t="shared" si="17"/>
        <v>12523908mrnwhi</v>
      </c>
      <c r="B132" s="60" t="str">
        <f t="shared" si="18"/>
        <v>96-086-12</v>
      </c>
      <c r="C132" s="72" t="s">
        <v>1361</v>
      </c>
      <c r="D132" s="72" t="s">
        <v>1362</v>
      </c>
      <c r="E132" s="72" t="s">
        <v>1330</v>
      </c>
      <c r="F132" s="73">
        <v>60</v>
      </c>
      <c r="G132" s="73" t="s">
        <v>1363</v>
      </c>
      <c r="H132" s="72" t="s">
        <v>121</v>
      </c>
      <c r="I132" s="72" t="s">
        <v>918</v>
      </c>
      <c r="J132" s="72" t="s">
        <v>327</v>
      </c>
      <c r="K132" s="72" t="s">
        <v>382</v>
      </c>
      <c r="L132" s="72" t="s">
        <v>887</v>
      </c>
      <c r="M132" s="72" t="s">
        <v>388</v>
      </c>
      <c r="O132" s="72" t="s">
        <v>541</v>
      </c>
      <c r="P132" s="72" t="s">
        <v>978</v>
      </c>
      <c r="Q132" s="72" t="s">
        <v>1364</v>
      </c>
      <c r="R132" s="72" t="s">
        <v>121</v>
      </c>
      <c r="T132" s="72" t="s">
        <v>911</v>
      </c>
      <c r="U132" s="72" t="s">
        <v>914</v>
      </c>
      <c r="V132" s="60" t="str">
        <f t="shared" si="19"/>
        <v>12523908бордовый</v>
      </c>
      <c r="W132" s="60" t="str">
        <f t="shared" si="16"/>
        <v>12523908</v>
      </c>
      <c r="X132" s="60" t="str">
        <f t="shared" si="20"/>
        <v>New York Yankees</v>
      </c>
      <c r="AC132" s="51">
        <f t="shared" si="21"/>
        <v>96</v>
      </c>
      <c r="AD132" s="44">
        <f t="shared" si="22"/>
        <v>86</v>
      </c>
      <c r="AE132" s="51">
        <f t="shared" si="23"/>
        <v>96086</v>
      </c>
    </row>
    <row r="133" spans="1:31">
      <c r="A133" s="60" t="str">
        <f t="shared" si="17"/>
        <v>12523896grhwhi</v>
      </c>
      <c r="B133" s="60" t="str">
        <f t="shared" si="18"/>
        <v>96-085-80</v>
      </c>
      <c r="C133" s="72" t="s">
        <v>1365</v>
      </c>
      <c r="D133" s="72" t="s">
        <v>1366</v>
      </c>
      <c r="E133" s="72" t="s">
        <v>909</v>
      </c>
      <c r="F133" s="73">
        <v>0</v>
      </c>
      <c r="G133" s="73" t="s">
        <v>1367</v>
      </c>
      <c r="H133" s="72" t="s">
        <v>83</v>
      </c>
      <c r="I133" s="72" t="s">
        <v>910</v>
      </c>
      <c r="J133" s="72" t="s">
        <v>327</v>
      </c>
      <c r="K133" s="72" t="s">
        <v>382</v>
      </c>
      <c r="L133" s="72" t="s">
        <v>887</v>
      </c>
      <c r="M133" s="72" t="s">
        <v>388</v>
      </c>
      <c r="N133" s="72" t="s">
        <v>43</v>
      </c>
      <c r="O133" s="72" t="s">
        <v>386</v>
      </c>
      <c r="P133" s="72" t="s">
        <v>978</v>
      </c>
      <c r="Q133" s="72" t="s">
        <v>1368</v>
      </c>
      <c r="R133" s="72" t="s">
        <v>83</v>
      </c>
      <c r="T133" s="72" t="s">
        <v>911</v>
      </c>
      <c r="U133" s="72" t="s">
        <v>914</v>
      </c>
      <c r="V133" s="60" t="str">
        <f t="shared" si="19"/>
        <v>12523896серый</v>
      </c>
      <c r="W133" s="60" t="str">
        <f t="shared" si="16"/>
        <v>12523896</v>
      </c>
      <c r="X133" s="60" t="str">
        <f t="shared" si="20"/>
        <v>New York Yankees</v>
      </c>
      <c r="AC133" s="51">
        <f t="shared" si="21"/>
        <v>96</v>
      </c>
      <c r="AD133" s="44">
        <f t="shared" si="22"/>
        <v>85</v>
      </c>
      <c r="AE133" s="51">
        <f t="shared" si="23"/>
        <v>96085</v>
      </c>
    </row>
    <row r="134" spans="1:31">
      <c r="A134" s="60" t="str">
        <f t="shared" si="17"/>
        <v>12505780agd</v>
      </c>
      <c r="B134" s="60" t="str">
        <f t="shared" si="18"/>
        <v>96-084-20</v>
      </c>
      <c r="C134" s="72" t="s">
        <v>1369</v>
      </c>
      <c r="D134" s="72" t="s">
        <v>1370</v>
      </c>
      <c r="E134" s="72" t="s">
        <v>909</v>
      </c>
      <c r="F134" s="73">
        <v>0</v>
      </c>
      <c r="G134" s="73">
        <v>12505780</v>
      </c>
      <c r="H134" s="72" t="s">
        <v>65</v>
      </c>
      <c r="I134" s="72" t="s">
        <v>1218</v>
      </c>
      <c r="J134" s="72" t="s">
        <v>340</v>
      </c>
      <c r="K134" s="72" t="s">
        <v>382</v>
      </c>
      <c r="L134" s="72" t="s">
        <v>887</v>
      </c>
      <c r="M134" s="72" t="s">
        <v>389</v>
      </c>
      <c r="O134" s="72" t="s">
        <v>386</v>
      </c>
      <c r="P134" s="72" t="s">
        <v>978</v>
      </c>
      <c r="Q134" s="72" t="s">
        <v>1371</v>
      </c>
      <c r="R134" s="72" t="s">
        <v>65</v>
      </c>
      <c r="V134" s="60" t="str">
        <f t="shared" si="19"/>
        <v>12505780желтый</v>
      </c>
      <c r="W134" s="60" t="str">
        <f t="shared" si="16"/>
        <v>12505780</v>
      </c>
      <c r="X134" s="60" t="str">
        <f t="shared" si="20"/>
        <v/>
      </c>
      <c r="AC134" s="51">
        <f t="shared" si="21"/>
        <v>96</v>
      </c>
      <c r="AD134" s="44">
        <f t="shared" si="22"/>
        <v>84</v>
      </c>
      <c r="AE134" s="51">
        <f t="shared" si="23"/>
        <v>96084</v>
      </c>
    </row>
    <row r="135" spans="1:31">
      <c r="A135" s="60" t="str">
        <f t="shared" si="17"/>
        <v>12505779blk</v>
      </c>
      <c r="B135" s="60" t="str">
        <f t="shared" si="18"/>
        <v>96-083-09</v>
      </c>
      <c r="C135" s="72" t="s">
        <v>1372</v>
      </c>
      <c r="D135" s="72" t="s">
        <v>1373</v>
      </c>
      <c r="E135" s="72" t="s">
        <v>909</v>
      </c>
      <c r="F135" s="73">
        <v>0</v>
      </c>
      <c r="G135" s="73">
        <v>12505779</v>
      </c>
      <c r="H135" s="72" t="s">
        <v>53</v>
      </c>
      <c r="I135" s="72" t="s">
        <v>1218</v>
      </c>
      <c r="J135" s="72" t="s">
        <v>340</v>
      </c>
      <c r="K135" s="72" t="s">
        <v>382</v>
      </c>
      <c r="L135" s="72" t="s">
        <v>887</v>
      </c>
      <c r="M135" s="72" t="s">
        <v>389</v>
      </c>
      <c r="O135" s="72" t="s">
        <v>386</v>
      </c>
      <c r="P135" s="72" t="s">
        <v>978</v>
      </c>
      <c r="Q135" s="72" t="s">
        <v>987</v>
      </c>
      <c r="R135" s="72" t="s">
        <v>53</v>
      </c>
      <c r="V135" s="60" t="str">
        <f t="shared" si="19"/>
        <v>12505779черный</v>
      </c>
      <c r="W135" s="60" t="str">
        <f t="shared" si="16"/>
        <v>12505779</v>
      </c>
      <c r="X135" s="60" t="str">
        <f t="shared" si="20"/>
        <v/>
      </c>
      <c r="AC135" s="51">
        <f t="shared" si="21"/>
        <v>96</v>
      </c>
      <c r="AD135" s="44">
        <f t="shared" si="22"/>
        <v>83</v>
      </c>
      <c r="AE135" s="51">
        <f t="shared" si="23"/>
        <v>96083</v>
      </c>
    </row>
    <row r="136" spans="1:31">
      <c r="A136" s="60" t="str">
        <f t="shared" si="17"/>
        <v>12505772mrn</v>
      </c>
      <c r="B136" s="60" t="str">
        <f t="shared" si="18"/>
        <v>96-082-12</v>
      </c>
      <c r="C136" s="72" t="s">
        <v>1374</v>
      </c>
      <c r="D136" s="72" t="s">
        <v>1375</v>
      </c>
      <c r="E136" s="72" t="s">
        <v>909</v>
      </c>
      <c r="F136" s="73">
        <v>0</v>
      </c>
      <c r="G136" s="73">
        <v>12505772</v>
      </c>
      <c r="H136" s="72" t="s">
        <v>121</v>
      </c>
      <c r="I136" s="72" t="s">
        <v>1376</v>
      </c>
      <c r="J136" s="72" t="s">
        <v>340</v>
      </c>
      <c r="K136" s="72" t="s">
        <v>382</v>
      </c>
      <c r="L136" s="72" t="s">
        <v>887</v>
      </c>
      <c r="M136" s="72" t="s">
        <v>389</v>
      </c>
      <c r="O136" s="72" t="s">
        <v>386</v>
      </c>
      <c r="P136" s="72" t="s">
        <v>978</v>
      </c>
      <c r="Q136" s="72" t="s">
        <v>1291</v>
      </c>
      <c r="R136" s="72" t="s">
        <v>121</v>
      </c>
      <c r="V136" s="60" t="str">
        <f t="shared" si="19"/>
        <v>12505772бордовый</v>
      </c>
      <c r="W136" s="60" t="str">
        <f t="shared" si="16"/>
        <v>12505772</v>
      </c>
      <c r="X136" s="60" t="str">
        <f t="shared" si="20"/>
        <v/>
      </c>
      <c r="AC136" s="51">
        <f t="shared" si="21"/>
        <v>96</v>
      </c>
      <c r="AD136" s="44">
        <f t="shared" si="22"/>
        <v>82</v>
      </c>
      <c r="AE136" s="51">
        <f t="shared" si="23"/>
        <v>96082</v>
      </c>
    </row>
    <row r="137" spans="1:31">
      <c r="A137" s="60" t="str">
        <f t="shared" si="17"/>
        <v>12505771nov</v>
      </c>
      <c r="B137" s="60" t="str">
        <f t="shared" si="18"/>
        <v>96-081-03</v>
      </c>
      <c r="C137" s="72" t="s">
        <v>1377</v>
      </c>
      <c r="D137" s="72" t="s">
        <v>1378</v>
      </c>
      <c r="E137" s="72" t="s">
        <v>909</v>
      </c>
      <c r="F137" s="73">
        <v>0</v>
      </c>
      <c r="G137" s="73">
        <v>12505771</v>
      </c>
      <c r="H137" s="72" t="s">
        <v>195</v>
      </c>
      <c r="I137" s="72" t="s">
        <v>1376</v>
      </c>
      <c r="J137" s="72" t="s">
        <v>340</v>
      </c>
      <c r="K137" s="72" t="s">
        <v>382</v>
      </c>
      <c r="L137" s="72" t="s">
        <v>887</v>
      </c>
      <c r="M137" s="72" t="s">
        <v>389</v>
      </c>
      <c r="O137" s="72" t="s">
        <v>386</v>
      </c>
      <c r="P137" s="72" t="s">
        <v>978</v>
      </c>
      <c r="Q137" s="72" t="s">
        <v>1205</v>
      </c>
      <c r="R137" s="72" t="s">
        <v>195</v>
      </c>
      <c r="V137" s="60" t="str">
        <f t="shared" si="19"/>
        <v>12505771оливковый</v>
      </c>
      <c r="W137" s="60" t="str">
        <f t="shared" si="16"/>
        <v>12505771</v>
      </c>
      <c r="X137" s="60" t="str">
        <f t="shared" si="20"/>
        <v/>
      </c>
      <c r="AC137" s="51">
        <f t="shared" si="21"/>
        <v>96</v>
      </c>
      <c r="AD137" s="44">
        <f t="shared" si="22"/>
        <v>81</v>
      </c>
      <c r="AE137" s="51">
        <f t="shared" si="23"/>
        <v>96081</v>
      </c>
    </row>
    <row r="138" spans="1:31">
      <c r="A138" s="60" t="str">
        <f t="shared" si="17"/>
        <v>12505744nvysca</v>
      </c>
      <c r="B138" s="60" t="str">
        <f t="shared" si="18"/>
        <v>96-080-80</v>
      </c>
      <c r="C138" s="72" t="s">
        <v>1379</v>
      </c>
      <c r="D138" s="72" t="s">
        <v>1380</v>
      </c>
      <c r="E138" s="72" t="s">
        <v>909</v>
      </c>
      <c r="F138" s="73">
        <v>0</v>
      </c>
      <c r="G138" s="73" t="s">
        <v>1381</v>
      </c>
      <c r="H138" s="72" t="s">
        <v>252</v>
      </c>
      <c r="I138" s="72" t="s">
        <v>1218</v>
      </c>
      <c r="J138" s="72" t="s">
        <v>340</v>
      </c>
      <c r="K138" s="72" t="s">
        <v>382</v>
      </c>
      <c r="L138" s="72" t="s">
        <v>887</v>
      </c>
      <c r="M138" s="72" t="s">
        <v>389</v>
      </c>
      <c r="O138" s="72" t="s">
        <v>386</v>
      </c>
      <c r="P138" s="72" t="s">
        <v>978</v>
      </c>
      <c r="Q138" s="72" t="s">
        <v>1332</v>
      </c>
      <c r="R138" s="72" t="s">
        <v>71</v>
      </c>
      <c r="T138" s="72" t="s">
        <v>911</v>
      </c>
      <c r="U138" s="72" t="s">
        <v>915</v>
      </c>
      <c r="V138" s="60" t="str">
        <f t="shared" si="19"/>
        <v>12505744синий / красный</v>
      </c>
      <c r="W138" s="60" t="str">
        <f t="shared" si="16"/>
        <v>12505744</v>
      </c>
      <c r="X138" s="60" t="str">
        <f t="shared" si="20"/>
        <v>Boston Red Sox</v>
      </c>
      <c r="AC138" s="51">
        <f t="shared" si="21"/>
        <v>96</v>
      </c>
      <c r="AD138" s="44">
        <f t="shared" si="22"/>
        <v>80</v>
      </c>
      <c r="AE138" s="51">
        <f t="shared" si="23"/>
        <v>96080</v>
      </c>
    </row>
    <row r="139" spans="1:31">
      <c r="A139" s="60" t="str">
        <f t="shared" si="17"/>
        <v>12489461mrn</v>
      </c>
      <c r="B139" s="60" t="str">
        <f t="shared" si="18"/>
        <v>96-079-12</v>
      </c>
      <c r="C139" s="72" t="s">
        <v>1382</v>
      </c>
      <c r="D139" s="72" t="s">
        <v>1383</v>
      </c>
      <c r="E139" s="72" t="s">
        <v>909</v>
      </c>
      <c r="F139" s="73">
        <v>0</v>
      </c>
      <c r="G139" s="73" t="s">
        <v>1384</v>
      </c>
      <c r="H139" s="72" t="s">
        <v>121</v>
      </c>
      <c r="I139" s="72" t="s">
        <v>1218</v>
      </c>
      <c r="J139" s="72" t="s">
        <v>340</v>
      </c>
      <c r="K139" s="72" t="s">
        <v>382</v>
      </c>
      <c r="L139" s="72" t="s">
        <v>887</v>
      </c>
      <c r="M139" s="72" t="s">
        <v>389</v>
      </c>
      <c r="O139" s="72" t="s">
        <v>386</v>
      </c>
      <c r="P139" s="72" t="s">
        <v>978</v>
      </c>
      <c r="Q139" s="72" t="s">
        <v>1291</v>
      </c>
      <c r="R139" s="72" t="s">
        <v>121</v>
      </c>
      <c r="T139" s="72" t="s">
        <v>911</v>
      </c>
      <c r="U139" s="72" t="s">
        <v>912</v>
      </c>
      <c r="V139" s="60" t="str">
        <f t="shared" si="19"/>
        <v>12489461бордовый</v>
      </c>
      <c r="W139" s="60" t="str">
        <f t="shared" si="16"/>
        <v>12489461</v>
      </c>
      <c r="X139" s="60" t="str">
        <f t="shared" si="20"/>
        <v>Los Angeles Dodgers</v>
      </c>
      <c r="AC139" s="51">
        <f t="shared" si="21"/>
        <v>96</v>
      </c>
      <c r="AD139" s="44">
        <f t="shared" si="22"/>
        <v>79</v>
      </c>
      <c r="AE139" s="51">
        <f t="shared" si="23"/>
        <v>96079</v>
      </c>
    </row>
    <row r="140" spans="1:31">
      <c r="A140" s="60" t="str">
        <f t="shared" si="17"/>
        <v>12489460blk</v>
      </c>
      <c r="B140" s="60" t="str">
        <f t="shared" si="18"/>
        <v>96-078-09</v>
      </c>
      <c r="C140" s="72" t="s">
        <v>1385</v>
      </c>
      <c r="D140" s="72" t="s">
        <v>1386</v>
      </c>
      <c r="E140" s="72" t="s">
        <v>909</v>
      </c>
      <c r="F140" s="73">
        <v>0</v>
      </c>
      <c r="G140" s="73" t="s">
        <v>1387</v>
      </c>
      <c r="H140" s="72" t="s">
        <v>53</v>
      </c>
      <c r="I140" s="72" t="s">
        <v>1218</v>
      </c>
      <c r="J140" s="72" t="s">
        <v>340</v>
      </c>
      <c r="K140" s="72" t="s">
        <v>382</v>
      </c>
      <c r="L140" s="72" t="s">
        <v>887</v>
      </c>
      <c r="M140" s="72" t="s">
        <v>389</v>
      </c>
      <c r="O140" s="72" t="s">
        <v>386</v>
      </c>
      <c r="P140" s="72" t="s">
        <v>978</v>
      </c>
      <c r="Q140" s="72" t="s">
        <v>987</v>
      </c>
      <c r="R140" s="72" t="s">
        <v>53</v>
      </c>
      <c r="T140" s="72" t="s">
        <v>911</v>
      </c>
      <c r="U140" s="72" t="s">
        <v>914</v>
      </c>
      <c r="V140" s="60" t="str">
        <f t="shared" si="19"/>
        <v>12489460черный</v>
      </c>
      <c r="W140" s="60" t="str">
        <f t="shared" si="16"/>
        <v>12489460</v>
      </c>
      <c r="X140" s="60" t="str">
        <f t="shared" si="20"/>
        <v>New York Yankees</v>
      </c>
      <c r="AC140" s="51">
        <f t="shared" si="21"/>
        <v>96</v>
      </c>
      <c r="AD140" s="44">
        <f t="shared" si="22"/>
        <v>78</v>
      </c>
      <c r="AE140" s="51">
        <f t="shared" si="23"/>
        <v>96078</v>
      </c>
    </row>
    <row r="141" spans="1:31">
      <c r="A141" s="60" t="str">
        <f t="shared" si="17"/>
        <v>12489459nvy</v>
      </c>
      <c r="B141" s="60" t="str">
        <f t="shared" si="18"/>
        <v>96-077-06</v>
      </c>
      <c r="C141" s="72" t="s">
        <v>1388</v>
      </c>
      <c r="D141" s="72" t="s">
        <v>1389</v>
      </c>
      <c r="E141" s="72" t="s">
        <v>909</v>
      </c>
      <c r="F141" s="73">
        <v>0</v>
      </c>
      <c r="G141" s="73" t="s">
        <v>1390</v>
      </c>
      <c r="H141" s="72" t="s">
        <v>71</v>
      </c>
      <c r="I141" s="72" t="s">
        <v>1218</v>
      </c>
      <c r="J141" s="72" t="s">
        <v>340</v>
      </c>
      <c r="K141" s="72" t="s">
        <v>382</v>
      </c>
      <c r="L141" s="72" t="s">
        <v>887</v>
      </c>
      <c r="M141" s="72" t="s">
        <v>389</v>
      </c>
      <c r="O141" s="72" t="s">
        <v>386</v>
      </c>
      <c r="P141" s="72" t="s">
        <v>978</v>
      </c>
      <c r="Q141" s="72" t="s">
        <v>1159</v>
      </c>
      <c r="R141" s="72" t="s">
        <v>71</v>
      </c>
      <c r="T141" s="72" t="s">
        <v>911</v>
      </c>
      <c r="U141" s="72" t="s">
        <v>914</v>
      </c>
      <c r="V141" s="60" t="str">
        <f t="shared" si="19"/>
        <v>12489459синий</v>
      </c>
      <c r="W141" s="60" t="str">
        <f t="shared" si="16"/>
        <v>12489459</v>
      </c>
      <c r="X141" s="60" t="str">
        <f t="shared" si="20"/>
        <v>New York Yankees</v>
      </c>
      <c r="AC141" s="51">
        <f t="shared" si="21"/>
        <v>96</v>
      </c>
      <c r="AD141" s="44">
        <f t="shared" si="22"/>
        <v>77</v>
      </c>
      <c r="AE141" s="51">
        <f t="shared" si="23"/>
        <v>96077</v>
      </c>
    </row>
    <row r="142" spans="1:31">
      <c r="A142" s="60" t="str">
        <f t="shared" si="17"/>
        <v>12489454nvy</v>
      </c>
      <c r="B142" s="60" t="str">
        <f t="shared" si="18"/>
        <v>96-076-06</v>
      </c>
      <c r="C142" s="72" t="s">
        <v>1391</v>
      </c>
      <c r="D142" s="72" t="s">
        <v>1392</v>
      </c>
      <c r="E142" s="72" t="s">
        <v>909</v>
      </c>
      <c r="F142" s="73">
        <v>0</v>
      </c>
      <c r="G142" s="73" t="s">
        <v>1393</v>
      </c>
      <c r="H142" s="72" t="s">
        <v>71</v>
      </c>
      <c r="I142" s="72" t="s">
        <v>1218</v>
      </c>
      <c r="J142" s="72" t="s">
        <v>340</v>
      </c>
      <c r="K142" s="72" t="s">
        <v>382</v>
      </c>
      <c r="L142" s="72" t="s">
        <v>887</v>
      </c>
      <c r="M142" s="72" t="s">
        <v>389</v>
      </c>
      <c r="O142" s="72" t="s">
        <v>386</v>
      </c>
      <c r="P142" s="72" t="s">
        <v>978</v>
      </c>
      <c r="Q142" s="72" t="s">
        <v>1159</v>
      </c>
      <c r="R142" s="72" t="s">
        <v>71</v>
      </c>
      <c r="T142" s="72" t="s">
        <v>911</v>
      </c>
      <c r="U142" s="72" t="s">
        <v>916</v>
      </c>
      <c r="V142" s="60" t="str">
        <f t="shared" si="19"/>
        <v>12489454синий</v>
      </c>
      <c r="W142" s="60" t="str">
        <f t="shared" si="16"/>
        <v>12489454</v>
      </c>
      <c r="X142" s="60" t="str">
        <f t="shared" si="20"/>
        <v>Oakland Athletics</v>
      </c>
      <c r="AC142" s="51">
        <f t="shared" si="21"/>
        <v>96</v>
      </c>
      <c r="AD142" s="44">
        <f t="shared" si="22"/>
        <v>76</v>
      </c>
      <c r="AE142" s="51">
        <f t="shared" si="23"/>
        <v>96076</v>
      </c>
    </row>
    <row r="143" spans="1:31">
      <c r="A143" s="60" t="str">
        <f t="shared" si="17"/>
        <v>12489441pnk</v>
      </c>
      <c r="B143" s="60" t="str">
        <f t="shared" si="18"/>
        <v>96-075-34</v>
      </c>
      <c r="C143" s="72" t="s">
        <v>1394</v>
      </c>
      <c r="D143" s="72" t="s">
        <v>1395</v>
      </c>
      <c r="E143" s="72" t="s">
        <v>909</v>
      </c>
      <c r="F143" s="73">
        <v>0</v>
      </c>
      <c r="G143" s="73">
        <v>12489441</v>
      </c>
      <c r="H143" s="72" t="s">
        <v>68</v>
      </c>
      <c r="I143" s="72" t="s">
        <v>1218</v>
      </c>
      <c r="J143" s="72" t="s">
        <v>340</v>
      </c>
      <c r="K143" s="72" t="s">
        <v>382</v>
      </c>
      <c r="L143" s="72" t="s">
        <v>887</v>
      </c>
      <c r="M143" s="72" t="s">
        <v>389</v>
      </c>
      <c r="O143" s="72" t="s">
        <v>386</v>
      </c>
      <c r="P143" s="72" t="s">
        <v>978</v>
      </c>
      <c r="Q143" s="72" t="s">
        <v>1162</v>
      </c>
      <c r="R143" s="72" t="s">
        <v>68</v>
      </c>
      <c r="V143" s="60" t="str">
        <f t="shared" si="19"/>
        <v>12489441розовый</v>
      </c>
      <c r="W143" s="60" t="str">
        <f t="shared" si="16"/>
        <v>12489441</v>
      </c>
      <c r="X143" s="60" t="str">
        <f t="shared" si="20"/>
        <v/>
      </c>
      <c r="AC143" s="51">
        <f t="shared" si="21"/>
        <v>96</v>
      </c>
      <c r="AD143" s="44">
        <f t="shared" si="22"/>
        <v>75</v>
      </c>
      <c r="AE143" s="51">
        <f t="shared" si="23"/>
        <v>96075</v>
      </c>
    </row>
    <row r="144" spans="1:31">
      <c r="A144" s="60" t="str">
        <f t="shared" si="17"/>
        <v>12489435burwht</v>
      </c>
      <c r="B144" s="60" t="str">
        <f t="shared" si="18"/>
        <v>96-074-12</v>
      </c>
      <c r="C144" s="72" t="s">
        <v>1396</v>
      </c>
      <c r="D144" s="72" t="s">
        <v>1397</v>
      </c>
      <c r="E144" s="72" t="s">
        <v>909</v>
      </c>
      <c r="F144" s="73">
        <v>0</v>
      </c>
      <c r="G144" s="73">
        <v>12489435</v>
      </c>
      <c r="H144" s="72" t="s">
        <v>121</v>
      </c>
      <c r="I144" s="72" t="s">
        <v>1218</v>
      </c>
      <c r="J144" s="72" t="s">
        <v>340</v>
      </c>
      <c r="K144" s="72" t="s">
        <v>382</v>
      </c>
      <c r="L144" s="72" t="s">
        <v>887</v>
      </c>
      <c r="M144" s="72" t="s">
        <v>389</v>
      </c>
      <c r="O144" s="72" t="s">
        <v>386</v>
      </c>
      <c r="P144" s="72" t="s">
        <v>978</v>
      </c>
      <c r="Q144" s="72" t="s">
        <v>1398</v>
      </c>
      <c r="R144" s="72" t="s">
        <v>121</v>
      </c>
      <c r="V144" s="60" t="str">
        <f t="shared" si="19"/>
        <v>12489435бордовый</v>
      </c>
      <c r="W144" s="60" t="str">
        <f t="shared" si="16"/>
        <v>12489435</v>
      </c>
      <c r="X144" s="60" t="str">
        <f t="shared" si="20"/>
        <v/>
      </c>
      <c r="AC144" s="51">
        <f t="shared" si="21"/>
        <v>96</v>
      </c>
      <c r="AD144" s="44">
        <f t="shared" si="22"/>
        <v>74</v>
      </c>
      <c r="AE144" s="51">
        <f t="shared" si="23"/>
        <v>96074</v>
      </c>
    </row>
    <row r="145" spans="1:31">
      <c r="A145" s="60" t="str">
        <f t="shared" si="17"/>
        <v>12489434grawht</v>
      </c>
      <c r="B145" s="60" t="str">
        <f t="shared" si="18"/>
        <v>96-073-05</v>
      </c>
      <c r="C145" s="72" t="s">
        <v>1399</v>
      </c>
      <c r="D145" s="72" t="s">
        <v>1400</v>
      </c>
      <c r="E145" s="72" t="s">
        <v>909</v>
      </c>
      <c r="F145" s="73">
        <v>0</v>
      </c>
      <c r="G145" s="73">
        <v>12489434</v>
      </c>
      <c r="H145" s="72" t="s">
        <v>277</v>
      </c>
      <c r="I145" s="72" t="s">
        <v>1218</v>
      </c>
      <c r="J145" s="72" t="s">
        <v>340</v>
      </c>
      <c r="K145" s="72" t="s">
        <v>382</v>
      </c>
      <c r="L145" s="72" t="s">
        <v>887</v>
      </c>
      <c r="M145" s="72" t="s">
        <v>389</v>
      </c>
      <c r="O145" s="72" t="s">
        <v>386</v>
      </c>
      <c r="P145" s="72" t="s">
        <v>978</v>
      </c>
      <c r="Q145" s="72" t="s">
        <v>1401</v>
      </c>
      <c r="R145" s="72" t="s">
        <v>83</v>
      </c>
      <c r="V145" s="60" t="str">
        <f t="shared" si="19"/>
        <v>12489434темно-серый</v>
      </c>
      <c r="W145" s="60" t="str">
        <f t="shared" si="16"/>
        <v>12489434</v>
      </c>
      <c r="X145" s="60" t="str">
        <f t="shared" si="20"/>
        <v/>
      </c>
      <c r="AC145" s="51">
        <f t="shared" si="21"/>
        <v>96</v>
      </c>
      <c r="AD145" s="44">
        <f t="shared" si="22"/>
        <v>73</v>
      </c>
      <c r="AE145" s="51">
        <f t="shared" si="23"/>
        <v>96073</v>
      </c>
    </row>
    <row r="146" spans="1:31">
      <c r="A146" s="60" t="str">
        <f t="shared" si="17"/>
        <v>12309046nol</v>
      </c>
      <c r="B146" s="60" t="str">
        <f t="shared" si="18"/>
        <v>96-072-00</v>
      </c>
      <c r="C146" s="72" t="s">
        <v>1402</v>
      </c>
      <c r="D146" s="72" t="s">
        <v>1403</v>
      </c>
      <c r="E146" s="72" t="s">
        <v>909</v>
      </c>
      <c r="F146" s="73">
        <v>0</v>
      </c>
      <c r="G146" s="73">
        <v>12309046</v>
      </c>
      <c r="H146" s="72" t="s">
        <v>158</v>
      </c>
      <c r="I146" s="72" t="s">
        <v>910</v>
      </c>
      <c r="J146" s="72" t="s">
        <v>356</v>
      </c>
      <c r="K146" s="72" t="s">
        <v>382</v>
      </c>
      <c r="L146" s="72" t="s">
        <v>887</v>
      </c>
      <c r="M146" s="72" t="s">
        <v>388</v>
      </c>
      <c r="N146" s="72" t="s">
        <v>43</v>
      </c>
      <c r="O146" s="72" t="s">
        <v>386</v>
      </c>
      <c r="P146" s="72" t="s">
        <v>978</v>
      </c>
      <c r="Q146" s="72" t="s">
        <v>1404</v>
      </c>
      <c r="R146" s="72" t="s">
        <v>60</v>
      </c>
      <c r="V146" s="60" t="str">
        <f t="shared" si="19"/>
        <v>12309046камуфляж</v>
      </c>
      <c r="W146" s="60" t="str">
        <f t="shared" si="16"/>
        <v>12309046</v>
      </c>
      <c r="X146" s="60" t="str">
        <f t="shared" si="20"/>
        <v/>
      </c>
      <c r="AC146" s="51">
        <f t="shared" si="21"/>
        <v>96</v>
      </c>
      <c r="AD146" s="44">
        <f t="shared" si="22"/>
        <v>72</v>
      </c>
      <c r="AE146" s="51">
        <f t="shared" si="23"/>
        <v>96072</v>
      </c>
    </row>
    <row r="147" spans="1:31">
      <c r="A147" s="60" t="str">
        <f t="shared" si="17"/>
        <v>12292586blk</v>
      </c>
      <c r="B147" s="60" t="str">
        <f t="shared" si="18"/>
        <v>96-071-09</v>
      </c>
      <c r="C147" s="72" t="s">
        <v>1405</v>
      </c>
      <c r="D147" s="72" t="s">
        <v>1406</v>
      </c>
      <c r="E147" s="72" t="s">
        <v>909</v>
      </c>
      <c r="F147" s="73">
        <v>0</v>
      </c>
      <c r="G147" s="73" t="s">
        <v>1407</v>
      </c>
      <c r="H147" s="72" t="s">
        <v>53</v>
      </c>
      <c r="I147" s="72" t="s">
        <v>910</v>
      </c>
      <c r="J147" s="72" t="s">
        <v>327</v>
      </c>
      <c r="K147" s="72" t="s">
        <v>382</v>
      </c>
      <c r="L147" s="72" t="s">
        <v>887</v>
      </c>
      <c r="M147" s="72" t="s">
        <v>388</v>
      </c>
      <c r="N147" s="72" t="s">
        <v>43</v>
      </c>
      <c r="O147" s="72" t="s">
        <v>386</v>
      </c>
      <c r="P147" s="72" t="s">
        <v>978</v>
      </c>
      <c r="Q147" s="72" t="s">
        <v>987</v>
      </c>
      <c r="R147" s="72" t="s">
        <v>53</v>
      </c>
      <c r="T147" s="72" t="s">
        <v>1061</v>
      </c>
      <c r="U147" s="72" t="s">
        <v>1062</v>
      </c>
      <c r="V147" s="60" t="str">
        <f t="shared" si="19"/>
        <v>12292586черный</v>
      </c>
      <c r="W147" s="60" t="str">
        <f t="shared" si="16"/>
        <v>12292586</v>
      </c>
      <c r="X147" s="60" t="str">
        <f t="shared" si="20"/>
        <v>Chicago Bulls</v>
      </c>
      <c r="AC147" s="51">
        <f t="shared" si="21"/>
        <v>96</v>
      </c>
      <c r="AD147" s="44">
        <f t="shared" si="22"/>
        <v>71</v>
      </c>
      <c r="AE147" s="51">
        <f t="shared" si="23"/>
        <v>96071</v>
      </c>
    </row>
    <row r="148" spans="1:31">
      <c r="A148" s="60" t="str">
        <f t="shared" si="17"/>
        <v>12292584blk</v>
      </c>
      <c r="B148" s="60" t="str">
        <f t="shared" si="18"/>
        <v>96-070-09</v>
      </c>
      <c r="C148" s="72" t="s">
        <v>1408</v>
      </c>
      <c r="D148" s="72" t="s">
        <v>1409</v>
      </c>
      <c r="E148" s="72" t="s">
        <v>909</v>
      </c>
      <c r="F148" s="73">
        <v>0</v>
      </c>
      <c r="G148" s="73" t="s">
        <v>1410</v>
      </c>
      <c r="H148" s="72" t="s">
        <v>53</v>
      </c>
      <c r="I148" s="72" t="s">
        <v>910</v>
      </c>
      <c r="J148" s="72" t="s">
        <v>327</v>
      </c>
      <c r="K148" s="72" t="s">
        <v>382</v>
      </c>
      <c r="L148" s="72" t="s">
        <v>887</v>
      </c>
      <c r="M148" s="72" t="s">
        <v>388</v>
      </c>
      <c r="N148" s="72" t="s">
        <v>43</v>
      </c>
      <c r="O148" s="72" t="s">
        <v>386</v>
      </c>
      <c r="P148" s="72" t="s">
        <v>978</v>
      </c>
      <c r="Q148" s="72" t="s">
        <v>987</v>
      </c>
      <c r="R148" s="72" t="s">
        <v>53</v>
      </c>
      <c r="T148" s="72" t="s">
        <v>1061</v>
      </c>
      <c r="U148" s="72" t="s">
        <v>1155</v>
      </c>
      <c r="V148" s="60" t="str">
        <f t="shared" si="19"/>
        <v>12292584черный</v>
      </c>
      <c r="W148" s="60" t="str">
        <f t="shared" si="16"/>
        <v>12292584</v>
      </c>
      <c r="X148" s="60" t="str">
        <f t="shared" si="20"/>
        <v>Los Angeles Lakers</v>
      </c>
      <c r="AC148" s="51">
        <f t="shared" si="21"/>
        <v>96</v>
      </c>
      <c r="AD148" s="44">
        <f t="shared" si="22"/>
        <v>70</v>
      </c>
      <c r="AE148" s="51">
        <f t="shared" si="23"/>
        <v>96070</v>
      </c>
    </row>
    <row r="149" spans="1:31">
      <c r="A149" s="60" t="str">
        <f t="shared" si="17"/>
        <v>12285245blk</v>
      </c>
      <c r="B149" s="60" t="str">
        <f t="shared" si="18"/>
        <v>96-069-09</v>
      </c>
      <c r="C149" s="72" t="s">
        <v>1411</v>
      </c>
      <c r="D149" s="72" t="s">
        <v>1412</v>
      </c>
      <c r="E149" s="72" t="s">
        <v>1043</v>
      </c>
      <c r="F149" s="73">
        <v>56</v>
      </c>
      <c r="G149" s="73" t="s">
        <v>1413</v>
      </c>
      <c r="H149" s="72" t="s">
        <v>53</v>
      </c>
      <c r="I149" s="72" t="s">
        <v>1101</v>
      </c>
      <c r="J149" s="72" t="s">
        <v>327</v>
      </c>
      <c r="K149" s="72" t="s">
        <v>382</v>
      </c>
      <c r="L149" s="72" t="s">
        <v>887</v>
      </c>
      <c r="M149" s="72" t="s">
        <v>388</v>
      </c>
      <c r="N149" s="72" t="s">
        <v>43</v>
      </c>
      <c r="O149" s="72" t="s">
        <v>386</v>
      </c>
      <c r="P149" s="72" t="s">
        <v>978</v>
      </c>
      <c r="Q149" s="72" t="s">
        <v>987</v>
      </c>
      <c r="R149" s="72" t="s">
        <v>53</v>
      </c>
      <c r="T149" s="72" t="s">
        <v>1061</v>
      </c>
      <c r="U149" s="72" t="s">
        <v>1062</v>
      </c>
      <c r="V149" s="60" t="str">
        <f t="shared" si="19"/>
        <v>12285245черный</v>
      </c>
      <c r="W149" s="60" t="str">
        <f t="shared" si="16"/>
        <v>12285245</v>
      </c>
      <c r="X149" s="60" t="str">
        <f t="shared" si="20"/>
        <v>Chicago Bulls</v>
      </c>
      <c r="AC149" s="51">
        <f t="shared" si="21"/>
        <v>96</v>
      </c>
      <c r="AD149" s="44">
        <f t="shared" si="22"/>
        <v>69</v>
      </c>
      <c r="AE149" s="51">
        <f t="shared" si="23"/>
        <v>96069</v>
      </c>
    </row>
    <row r="150" spans="1:31">
      <c r="A150" s="60" t="str">
        <f t="shared" si="17"/>
        <v>12162668blk</v>
      </c>
      <c r="B150" s="60" t="str">
        <f t="shared" si="18"/>
        <v>96-068-09</v>
      </c>
      <c r="C150" s="72" t="s">
        <v>1414</v>
      </c>
      <c r="D150" s="72" t="s">
        <v>1415</v>
      </c>
      <c r="E150" s="72" t="s">
        <v>909</v>
      </c>
      <c r="F150" s="73">
        <v>0</v>
      </c>
      <c r="G150" s="73">
        <v>12162668</v>
      </c>
      <c r="H150" s="72" t="s">
        <v>53</v>
      </c>
      <c r="I150" s="72" t="s">
        <v>910</v>
      </c>
      <c r="J150" s="72" t="s">
        <v>356</v>
      </c>
      <c r="K150" s="72" t="s">
        <v>382</v>
      </c>
      <c r="L150" s="72" t="s">
        <v>887</v>
      </c>
      <c r="M150" s="72" t="s">
        <v>388</v>
      </c>
      <c r="N150" s="72" t="s">
        <v>43</v>
      </c>
      <c r="O150" s="72" t="s">
        <v>386</v>
      </c>
      <c r="P150" s="72" t="s">
        <v>978</v>
      </c>
      <c r="Q150" s="72" t="s">
        <v>987</v>
      </c>
      <c r="R150" s="72" t="s">
        <v>53</v>
      </c>
      <c r="V150" s="60" t="str">
        <f t="shared" si="19"/>
        <v>12162668черный</v>
      </c>
      <c r="W150" s="60" t="str">
        <f t="shared" si="16"/>
        <v>12162668</v>
      </c>
      <c r="X150" s="60" t="str">
        <f t="shared" si="20"/>
        <v/>
      </c>
      <c r="AC150" s="51">
        <f t="shared" si="21"/>
        <v>96</v>
      </c>
      <c r="AD150" s="44">
        <f t="shared" si="22"/>
        <v>68</v>
      </c>
      <c r="AE150" s="51">
        <f t="shared" si="23"/>
        <v>96068</v>
      </c>
    </row>
    <row r="151" spans="1:31">
      <c r="A151" s="60" t="str">
        <f t="shared" si="17"/>
        <v>12156075otc</v>
      </c>
      <c r="B151" s="60" t="str">
        <f t="shared" si="18"/>
        <v>96-067-09</v>
      </c>
      <c r="C151" s="72" t="s">
        <v>1416</v>
      </c>
      <c r="D151" s="72" t="s">
        <v>1417</v>
      </c>
      <c r="E151" s="72" t="s">
        <v>909</v>
      </c>
      <c r="F151" s="73">
        <v>0</v>
      </c>
      <c r="G151" s="73" t="s">
        <v>1418</v>
      </c>
      <c r="H151" s="72" t="s">
        <v>53</v>
      </c>
      <c r="I151" s="72" t="s">
        <v>1218</v>
      </c>
      <c r="J151" s="72" t="s">
        <v>340</v>
      </c>
      <c r="K151" s="72" t="s">
        <v>382</v>
      </c>
      <c r="L151" s="72" t="s">
        <v>887</v>
      </c>
      <c r="M151" s="72" t="s">
        <v>389</v>
      </c>
      <c r="O151" s="72" t="s">
        <v>386</v>
      </c>
      <c r="P151" s="72" t="s">
        <v>978</v>
      </c>
      <c r="Q151" s="72" t="s">
        <v>993</v>
      </c>
      <c r="R151" s="72" t="s">
        <v>53</v>
      </c>
      <c r="T151" s="72" t="s">
        <v>1061</v>
      </c>
      <c r="U151" s="72" t="s">
        <v>1062</v>
      </c>
      <c r="V151" s="60" t="str">
        <f t="shared" si="19"/>
        <v>12156075черный</v>
      </c>
      <c r="W151" s="60" t="str">
        <f t="shared" si="16"/>
        <v>12156075</v>
      </c>
      <c r="X151" s="60" t="str">
        <f t="shared" si="20"/>
        <v>Chicago Bulls</v>
      </c>
      <c r="AC151" s="51">
        <f t="shared" si="21"/>
        <v>96</v>
      </c>
      <c r="AD151" s="44">
        <f t="shared" si="22"/>
        <v>67</v>
      </c>
      <c r="AE151" s="51">
        <f t="shared" si="23"/>
        <v>96067</v>
      </c>
    </row>
    <row r="152" spans="1:31">
      <c r="A152" s="60" t="str">
        <f t="shared" si="17"/>
        <v>12122729blkblk</v>
      </c>
      <c r="B152" s="60" t="str">
        <f t="shared" si="18"/>
        <v>96-066-09</v>
      </c>
      <c r="C152" s="72" t="s">
        <v>1419</v>
      </c>
      <c r="D152" s="72" t="s">
        <v>1420</v>
      </c>
      <c r="E152" s="72" t="s">
        <v>909</v>
      </c>
      <c r="F152" s="73">
        <v>0</v>
      </c>
      <c r="G152" s="73" t="s">
        <v>1421</v>
      </c>
      <c r="H152" s="72" t="s">
        <v>53</v>
      </c>
      <c r="I152" s="72" t="s">
        <v>1218</v>
      </c>
      <c r="J152" s="72" t="s">
        <v>340</v>
      </c>
      <c r="K152" s="72" t="s">
        <v>382</v>
      </c>
      <c r="L152" s="72" t="s">
        <v>887</v>
      </c>
      <c r="M152" s="72" t="s">
        <v>389</v>
      </c>
      <c r="O152" s="72" t="s">
        <v>386</v>
      </c>
      <c r="P152" s="72" t="s">
        <v>978</v>
      </c>
      <c r="Q152" s="72" t="s">
        <v>997</v>
      </c>
      <c r="R152" s="72" t="s">
        <v>53</v>
      </c>
      <c r="T152" s="72" t="s">
        <v>911</v>
      </c>
      <c r="U152" s="72" t="s">
        <v>914</v>
      </c>
      <c r="V152" s="60" t="str">
        <f t="shared" si="19"/>
        <v>12122729черный</v>
      </c>
      <c r="W152" s="60" t="str">
        <f t="shared" si="16"/>
        <v>12122729</v>
      </c>
      <c r="X152" s="60" t="str">
        <f t="shared" si="20"/>
        <v>New York Yankees</v>
      </c>
      <c r="AC152" s="51">
        <f t="shared" si="21"/>
        <v>96</v>
      </c>
      <c r="AD152" s="44">
        <f t="shared" si="22"/>
        <v>66</v>
      </c>
      <c r="AE152" s="51">
        <f t="shared" si="23"/>
        <v>96066</v>
      </c>
    </row>
    <row r="153" spans="1:31">
      <c r="A153" s="60" t="str">
        <f t="shared" si="17"/>
        <v>12033266losdod</v>
      </c>
      <c r="B153" s="60" t="str">
        <f t="shared" si="18"/>
        <v>96-065-06</v>
      </c>
      <c r="C153" s="72" t="s">
        <v>1422</v>
      </c>
      <c r="D153" s="72" t="s">
        <v>1423</v>
      </c>
      <c r="E153" s="72" t="s">
        <v>909</v>
      </c>
      <c r="F153" s="73">
        <v>0</v>
      </c>
      <c r="G153" s="73" t="s">
        <v>1424</v>
      </c>
      <c r="H153" s="72" t="s">
        <v>71</v>
      </c>
      <c r="I153" s="72" t="s">
        <v>1218</v>
      </c>
      <c r="J153" s="72" t="s">
        <v>340</v>
      </c>
      <c r="K153" s="72" t="s">
        <v>382</v>
      </c>
      <c r="L153" s="72" t="s">
        <v>887</v>
      </c>
      <c r="M153" s="72" t="s">
        <v>389</v>
      </c>
      <c r="O153" s="72" t="s">
        <v>386</v>
      </c>
      <c r="P153" s="72" t="s">
        <v>978</v>
      </c>
      <c r="Q153" s="72" t="s">
        <v>1425</v>
      </c>
      <c r="R153" s="72" t="s">
        <v>71</v>
      </c>
      <c r="T153" s="72" t="s">
        <v>911</v>
      </c>
      <c r="U153" s="72" t="s">
        <v>912</v>
      </c>
      <c r="V153" s="60" t="str">
        <f t="shared" si="19"/>
        <v>12033266синий</v>
      </c>
      <c r="W153" s="60" t="str">
        <f t="shared" si="16"/>
        <v>12033266</v>
      </c>
      <c r="X153" s="60" t="str">
        <f t="shared" si="20"/>
        <v>Los Angeles Dodgers</v>
      </c>
      <c r="AC153" s="51">
        <f t="shared" si="21"/>
        <v>96</v>
      </c>
      <c r="AD153" s="44">
        <f t="shared" si="22"/>
        <v>65</v>
      </c>
      <c r="AE153" s="51">
        <f t="shared" si="23"/>
        <v>96065</v>
      </c>
    </row>
    <row r="154" spans="1:31">
      <c r="A154" s="60" t="str">
        <f t="shared" si="17"/>
        <v>12033128blk</v>
      </c>
      <c r="B154" s="60" t="str">
        <f t="shared" si="18"/>
        <v>96-064-09</v>
      </c>
      <c r="C154" s="72" t="s">
        <v>1426</v>
      </c>
      <c r="D154" s="72" t="s">
        <v>1427</v>
      </c>
      <c r="E154" s="72" t="s">
        <v>909</v>
      </c>
      <c r="F154" s="73">
        <v>0</v>
      </c>
      <c r="G154" s="73">
        <v>12033128</v>
      </c>
      <c r="H154" s="72" t="s">
        <v>53</v>
      </c>
      <c r="I154" s="72" t="s">
        <v>1218</v>
      </c>
      <c r="J154" s="72" t="s">
        <v>340</v>
      </c>
      <c r="K154" s="72" t="s">
        <v>382</v>
      </c>
      <c r="L154" s="72" t="s">
        <v>887</v>
      </c>
      <c r="M154" s="72" t="s">
        <v>389</v>
      </c>
      <c r="O154" s="72" t="s">
        <v>386</v>
      </c>
      <c r="P154" s="72" t="s">
        <v>978</v>
      </c>
      <c r="Q154" s="72" t="s">
        <v>987</v>
      </c>
      <c r="R154" s="72" t="s">
        <v>53</v>
      </c>
      <c r="V154" s="60" t="str">
        <f t="shared" si="19"/>
        <v>12033128черный</v>
      </c>
      <c r="W154" s="60" t="str">
        <f t="shared" si="16"/>
        <v>12033128</v>
      </c>
      <c r="X154" s="60" t="str">
        <f t="shared" si="20"/>
        <v/>
      </c>
      <c r="AC154" s="51">
        <f t="shared" si="21"/>
        <v>96</v>
      </c>
      <c r="AD154" s="44">
        <f t="shared" si="22"/>
        <v>64</v>
      </c>
      <c r="AE154" s="51">
        <f t="shared" si="23"/>
        <v>96064</v>
      </c>
    </row>
    <row r="155" spans="1:31">
      <c r="A155" s="60" t="str">
        <f t="shared" si="17"/>
        <v>12033103blk</v>
      </c>
      <c r="B155" s="60" t="str">
        <f t="shared" si="18"/>
        <v>96-063-09</v>
      </c>
      <c r="C155" s="72" t="s">
        <v>1428</v>
      </c>
      <c r="D155" s="72" t="s">
        <v>1429</v>
      </c>
      <c r="E155" s="72" t="s">
        <v>909</v>
      </c>
      <c r="F155" s="73">
        <v>0</v>
      </c>
      <c r="G155" s="73">
        <v>12033103</v>
      </c>
      <c r="H155" s="72" t="s">
        <v>53</v>
      </c>
      <c r="I155" s="72" t="s">
        <v>1218</v>
      </c>
      <c r="J155" s="72" t="s">
        <v>340</v>
      </c>
      <c r="K155" s="72" t="s">
        <v>382</v>
      </c>
      <c r="L155" s="72" t="s">
        <v>887</v>
      </c>
      <c r="M155" s="72" t="s">
        <v>389</v>
      </c>
      <c r="O155" s="72" t="s">
        <v>386</v>
      </c>
      <c r="P155" s="72" t="s">
        <v>978</v>
      </c>
      <c r="Q155" s="72" t="s">
        <v>987</v>
      </c>
      <c r="R155" s="72" t="s">
        <v>53</v>
      </c>
      <c r="V155" s="60" t="str">
        <f t="shared" si="19"/>
        <v>12033103черный</v>
      </c>
      <c r="W155" s="60" t="str">
        <f t="shared" si="16"/>
        <v>12033103</v>
      </c>
      <c r="X155" s="60" t="str">
        <f t="shared" si="20"/>
        <v/>
      </c>
      <c r="AC155" s="51">
        <f t="shared" si="21"/>
        <v>96</v>
      </c>
      <c r="AD155" s="44">
        <f t="shared" si="22"/>
        <v>63</v>
      </c>
      <c r="AE155" s="51">
        <f t="shared" si="23"/>
        <v>96063</v>
      </c>
    </row>
    <row r="156" spans="1:31">
      <c r="A156" s="60" t="str">
        <f t="shared" si="17"/>
        <v>12033099nov</v>
      </c>
      <c r="B156" s="60" t="str">
        <f t="shared" si="18"/>
        <v>96-062-03</v>
      </c>
      <c r="C156" s="72" t="s">
        <v>1430</v>
      </c>
      <c r="D156" s="72" t="s">
        <v>1431</v>
      </c>
      <c r="E156" s="72" t="s">
        <v>909</v>
      </c>
      <c r="F156" s="73">
        <v>0</v>
      </c>
      <c r="G156" s="73">
        <v>12033099</v>
      </c>
      <c r="H156" s="72" t="s">
        <v>195</v>
      </c>
      <c r="I156" s="72" t="s">
        <v>1218</v>
      </c>
      <c r="J156" s="72" t="s">
        <v>340</v>
      </c>
      <c r="K156" s="72" t="s">
        <v>382</v>
      </c>
      <c r="L156" s="72" t="s">
        <v>887</v>
      </c>
      <c r="M156" s="72" t="s">
        <v>389</v>
      </c>
      <c r="O156" s="72" t="s">
        <v>386</v>
      </c>
      <c r="P156" s="72" t="s">
        <v>978</v>
      </c>
      <c r="Q156" s="72" t="s">
        <v>1205</v>
      </c>
      <c r="R156" s="72" t="s">
        <v>195</v>
      </c>
      <c r="V156" s="60" t="str">
        <f t="shared" si="19"/>
        <v>12033099оливковый</v>
      </c>
      <c r="W156" s="60" t="str">
        <f t="shared" si="16"/>
        <v>12033099</v>
      </c>
      <c r="X156" s="60" t="str">
        <f t="shared" si="20"/>
        <v/>
      </c>
      <c r="AC156" s="51">
        <f t="shared" si="21"/>
        <v>96</v>
      </c>
      <c r="AD156" s="44">
        <f t="shared" si="22"/>
        <v>62</v>
      </c>
      <c r="AE156" s="51">
        <f t="shared" si="23"/>
        <v>96062</v>
      </c>
    </row>
    <row r="157" spans="1:31">
      <c r="A157" s="60" t="str">
        <f t="shared" si="17"/>
        <v>12033078blk</v>
      </c>
      <c r="B157" s="60" t="str">
        <f t="shared" si="18"/>
        <v>96-061-09</v>
      </c>
      <c r="C157" s="72" t="s">
        <v>1432</v>
      </c>
      <c r="D157" s="72" t="s">
        <v>1433</v>
      </c>
      <c r="E157" s="72" t="s">
        <v>909</v>
      </c>
      <c r="F157" s="73">
        <v>0</v>
      </c>
      <c r="G157" s="73">
        <v>12033078</v>
      </c>
      <c r="H157" s="72" t="s">
        <v>53</v>
      </c>
      <c r="I157" s="72" t="s">
        <v>1218</v>
      </c>
      <c r="J157" s="72" t="s">
        <v>340</v>
      </c>
      <c r="K157" s="72" t="s">
        <v>382</v>
      </c>
      <c r="L157" s="72" t="s">
        <v>887</v>
      </c>
      <c r="M157" s="72" t="s">
        <v>389</v>
      </c>
      <c r="O157" s="72" t="s">
        <v>386</v>
      </c>
      <c r="P157" s="72" t="s">
        <v>978</v>
      </c>
      <c r="Q157" s="72" t="s">
        <v>987</v>
      </c>
      <c r="R157" s="72" t="s">
        <v>53</v>
      </c>
      <c r="V157" s="60" t="str">
        <f t="shared" si="19"/>
        <v>12033078черный</v>
      </c>
      <c r="W157" s="60" t="str">
        <f t="shared" si="16"/>
        <v>12033078</v>
      </c>
      <c r="X157" s="60" t="str">
        <f t="shared" si="20"/>
        <v/>
      </c>
      <c r="AC157" s="51">
        <f t="shared" si="21"/>
        <v>96</v>
      </c>
      <c r="AD157" s="44">
        <f t="shared" si="22"/>
        <v>61</v>
      </c>
      <c r="AE157" s="51">
        <f t="shared" si="23"/>
        <v>96061</v>
      </c>
    </row>
    <row r="158" spans="1:31">
      <c r="A158" s="60" t="str">
        <f t="shared" si="17"/>
        <v>12033074nav</v>
      </c>
      <c r="B158" s="60" t="str">
        <f t="shared" si="18"/>
        <v>96-060-16</v>
      </c>
      <c r="C158" s="72" t="s">
        <v>1434</v>
      </c>
      <c r="D158" s="72" t="s">
        <v>1435</v>
      </c>
      <c r="E158" s="72" t="s">
        <v>909</v>
      </c>
      <c r="F158" s="73">
        <v>0</v>
      </c>
      <c r="G158" s="73">
        <v>12033074</v>
      </c>
      <c r="H158" s="72" t="s">
        <v>55</v>
      </c>
      <c r="I158" s="72" t="s">
        <v>1218</v>
      </c>
      <c r="J158" s="72" t="s">
        <v>340</v>
      </c>
      <c r="K158" s="72" t="s">
        <v>382</v>
      </c>
      <c r="L158" s="72" t="s">
        <v>887</v>
      </c>
      <c r="M158" s="72" t="s">
        <v>389</v>
      </c>
      <c r="O158" s="72" t="s">
        <v>386</v>
      </c>
      <c r="P158" s="72" t="s">
        <v>978</v>
      </c>
      <c r="Q158" s="72" t="s">
        <v>1436</v>
      </c>
      <c r="R158" s="72" t="s">
        <v>71</v>
      </c>
      <c r="V158" s="60" t="str">
        <f t="shared" si="19"/>
        <v>12033074темно-синий</v>
      </c>
      <c r="W158" s="60" t="str">
        <f t="shared" si="16"/>
        <v>12033074</v>
      </c>
      <c r="X158" s="60" t="str">
        <f t="shared" si="20"/>
        <v/>
      </c>
      <c r="AC158" s="51">
        <f t="shared" si="21"/>
        <v>96</v>
      </c>
      <c r="AD158" s="44">
        <f t="shared" si="22"/>
        <v>60</v>
      </c>
      <c r="AE158" s="51">
        <f t="shared" si="23"/>
        <v>96060</v>
      </c>
    </row>
    <row r="159" spans="1:31">
      <c r="A159" s="60" t="str">
        <f t="shared" si="17"/>
        <v>11601067hnv</v>
      </c>
      <c r="B159" s="60" t="str">
        <f t="shared" si="18"/>
        <v>96-059-06</v>
      </c>
      <c r="C159" s="72" t="s">
        <v>1437</v>
      </c>
      <c r="D159" s="72" t="s">
        <v>1438</v>
      </c>
      <c r="E159" s="72" t="s">
        <v>909</v>
      </c>
      <c r="F159" s="73">
        <v>0</v>
      </c>
      <c r="G159" s="73">
        <v>11601067</v>
      </c>
      <c r="H159" s="72" t="s">
        <v>71</v>
      </c>
      <c r="I159" s="72" t="s">
        <v>1218</v>
      </c>
      <c r="J159" s="72" t="s">
        <v>342</v>
      </c>
      <c r="K159" s="72" t="s">
        <v>382</v>
      </c>
      <c r="L159" s="72" t="s">
        <v>887</v>
      </c>
      <c r="M159" s="72" t="s">
        <v>389</v>
      </c>
      <c r="O159" s="72" t="s">
        <v>386</v>
      </c>
      <c r="P159" s="72" t="s">
        <v>978</v>
      </c>
      <c r="Q159" s="72" t="s">
        <v>1439</v>
      </c>
      <c r="R159" s="72" t="s">
        <v>71</v>
      </c>
      <c r="V159" s="60" t="str">
        <f t="shared" si="19"/>
        <v>11601067синий</v>
      </c>
      <c r="W159" s="60" t="str">
        <f t="shared" si="16"/>
        <v>11601067</v>
      </c>
      <c r="X159" s="60" t="str">
        <f t="shared" si="20"/>
        <v/>
      </c>
      <c r="AC159" s="51">
        <f t="shared" si="21"/>
        <v>96</v>
      </c>
      <c r="AD159" s="44">
        <f t="shared" si="22"/>
        <v>59</v>
      </c>
      <c r="AE159" s="51">
        <f t="shared" si="23"/>
        <v>96059</v>
      </c>
    </row>
    <row r="160" spans="1:31">
      <c r="A160" s="60" t="str">
        <f t="shared" si="17"/>
        <v>11601006nvygry</v>
      </c>
      <c r="B160" s="60" t="str">
        <f t="shared" si="18"/>
        <v>96-058-65</v>
      </c>
      <c r="C160" s="72" t="s">
        <v>1440</v>
      </c>
      <c r="D160" s="72" t="s">
        <v>1649</v>
      </c>
      <c r="E160" s="72" t="s">
        <v>909</v>
      </c>
      <c r="F160" s="73">
        <v>0</v>
      </c>
      <c r="G160" s="73">
        <v>11601006</v>
      </c>
      <c r="H160" s="72" t="s">
        <v>780</v>
      </c>
      <c r="I160" s="72" t="s">
        <v>1218</v>
      </c>
      <c r="J160" s="72" t="s">
        <v>342</v>
      </c>
      <c r="K160" s="72" t="s">
        <v>382</v>
      </c>
      <c r="L160" s="72" t="s">
        <v>887</v>
      </c>
      <c r="M160" s="72" t="s">
        <v>389</v>
      </c>
      <c r="O160" s="72" t="s">
        <v>386</v>
      </c>
      <c r="P160" s="72" t="s">
        <v>978</v>
      </c>
      <c r="Q160" s="72" t="s">
        <v>1441</v>
      </c>
      <c r="R160" s="72" t="s">
        <v>71</v>
      </c>
      <c r="V160" s="60" t="str">
        <f t="shared" si="19"/>
        <v>11601006темно-синий / серый</v>
      </c>
      <c r="W160" s="60" t="str">
        <f t="shared" si="16"/>
        <v>11601006</v>
      </c>
      <c r="X160" s="60" t="str">
        <f t="shared" si="20"/>
        <v/>
      </c>
      <c r="AC160" s="51">
        <f t="shared" si="21"/>
        <v>96</v>
      </c>
      <c r="AD160" s="44">
        <f t="shared" si="22"/>
        <v>58</v>
      </c>
      <c r="AE160" s="51">
        <f t="shared" si="23"/>
        <v>96058</v>
      </c>
    </row>
    <row r="161" spans="1:31">
      <c r="A161" s="60" t="str">
        <f t="shared" si="17"/>
        <v>11600974grh</v>
      </c>
      <c r="B161" s="60" t="str">
        <f t="shared" si="18"/>
        <v>96-057-80</v>
      </c>
      <c r="C161" s="72" t="s">
        <v>1442</v>
      </c>
      <c r="D161" s="72" t="s">
        <v>1443</v>
      </c>
      <c r="E161" s="72" t="s">
        <v>909</v>
      </c>
      <c r="F161" s="73">
        <v>0</v>
      </c>
      <c r="G161" s="73">
        <v>11600974</v>
      </c>
      <c r="H161" s="72" t="s">
        <v>83</v>
      </c>
      <c r="I161" s="72" t="s">
        <v>1218</v>
      </c>
      <c r="J161" s="72" t="s">
        <v>342</v>
      </c>
      <c r="K161" s="72" t="s">
        <v>382</v>
      </c>
      <c r="L161" s="72" t="s">
        <v>887</v>
      </c>
      <c r="M161" s="72" t="s">
        <v>389</v>
      </c>
      <c r="O161" s="72" t="s">
        <v>386</v>
      </c>
      <c r="P161" s="72" t="s">
        <v>978</v>
      </c>
      <c r="Q161" s="72" t="s">
        <v>1444</v>
      </c>
      <c r="R161" s="72" t="s">
        <v>83</v>
      </c>
      <c r="V161" s="60" t="str">
        <f t="shared" si="19"/>
        <v>11600974серый</v>
      </c>
      <c r="W161" s="60" t="str">
        <f t="shared" si="16"/>
        <v>11600974</v>
      </c>
      <c r="X161" s="60" t="str">
        <f t="shared" si="20"/>
        <v/>
      </c>
      <c r="AC161" s="51">
        <f t="shared" si="21"/>
        <v>96</v>
      </c>
      <c r="AD161" s="44">
        <f t="shared" si="22"/>
        <v>57</v>
      </c>
      <c r="AE161" s="51">
        <f t="shared" si="23"/>
        <v>96057</v>
      </c>
    </row>
    <row r="162" spans="1:31">
      <c r="A162" s="60" t="str">
        <f t="shared" si="17"/>
        <v>11448333blu</v>
      </c>
      <c r="B162" s="60" t="str">
        <f t="shared" si="18"/>
        <v>96-056-16</v>
      </c>
      <c r="C162" s="72" t="s">
        <v>1445</v>
      </c>
      <c r="D162" s="72" t="s">
        <v>1650</v>
      </c>
      <c r="E162" s="72" t="s">
        <v>909</v>
      </c>
      <c r="F162" s="73">
        <v>0</v>
      </c>
      <c r="G162" s="73" t="s">
        <v>1651</v>
      </c>
      <c r="H162" s="72" t="s">
        <v>55</v>
      </c>
      <c r="I162" s="72" t="s">
        <v>1218</v>
      </c>
      <c r="J162" s="72" t="s">
        <v>340</v>
      </c>
      <c r="K162" s="72" t="s">
        <v>382</v>
      </c>
      <c r="L162" s="72" t="s">
        <v>887</v>
      </c>
      <c r="M162" s="72" t="s">
        <v>389</v>
      </c>
      <c r="O162" s="72" t="s">
        <v>386</v>
      </c>
      <c r="P162" s="72" t="s">
        <v>978</v>
      </c>
      <c r="Q162" s="72" t="s">
        <v>1221</v>
      </c>
      <c r="R162" s="72" t="s">
        <v>71</v>
      </c>
      <c r="T162" s="72" t="s">
        <v>1080</v>
      </c>
      <c r="U162" s="72" t="s">
        <v>1652</v>
      </c>
      <c r="V162" s="60" t="str">
        <f t="shared" si="19"/>
        <v>11448333темно-синий</v>
      </c>
      <c r="W162" s="60" t="str">
        <f t="shared" si="16"/>
        <v>11448333</v>
      </c>
      <c r="X162" s="60" t="str">
        <f t="shared" si="20"/>
        <v>Seattle Seahawks</v>
      </c>
      <c r="AC162" s="51">
        <f t="shared" si="21"/>
        <v>96</v>
      </c>
      <c r="AD162" s="44">
        <f t="shared" si="22"/>
        <v>56</v>
      </c>
      <c r="AE162" s="51">
        <f t="shared" si="23"/>
        <v>96056</v>
      </c>
    </row>
    <row r="163" spans="1:31">
      <c r="A163" s="60" t="str">
        <f t="shared" si="17"/>
        <v>11448330otc</v>
      </c>
      <c r="B163" s="60" t="str">
        <f t="shared" si="18"/>
        <v>96-055-08</v>
      </c>
      <c r="C163" s="72" t="s">
        <v>1446</v>
      </c>
      <c r="D163" s="72" t="s">
        <v>1447</v>
      </c>
      <c r="E163" s="72" t="s">
        <v>909</v>
      </c>
      <c r="F163" s="73">
        <v>0</v>
      </c>
      <c r="G163" s="73" t="s">
        <v>1448</v>
      </c>
      <c r="H163" s="72" t="s">
        <v>746</v>
      </c>
      <c r="I163" s="72" t="s">
        <v>1218</v>
      </c>
      <c r="J163" s="72" t="s">
        <v>342</v>
      </c>
      <c r="K163" s="72" t="s">
        <v>382</v>
      </c>
      <c r="L163" s="72" t="s">
        <v>887</v>
      </c>
      <c r="M163" s="72" t="s">
        <v>389</v>
      </c>
      <c r="O163" s="72" t="s">
        <v>386</v>
      </c>
      <c r="P163" s="72" t="s">
        <v>978</v>
      </c>
      <c r="Q163" s="72" t="s">
        <v>993</v>
      </c>
      <c r="R163" s="72" t="s">
        <v>83</v>
      </c>
      <c r="T163" s="72" t="s">
        <v>911</v>
      </c>
      <c r="U163" s="72" t="s">
        <v>912</v>
      </c>
      <c r="V163" s="60" t="str">
        <f t="shared" si="19"/>
        <v>11448330серый / бордовый</v>
      </c>
      <c r="W163" s="60" t="str">
        <f t="shared" si="16"/>
        <v>11448330</v>
      </c>
      <c r="X163" s="60" t="str">
        <f t="shared" si="20"/>
        <v>Los Angeles Dodgers</v>
      </c>
      <c r="AC163" s="51">
        <f t="shared" si="21"/>
        <v>96</v>
      </c>
      <c r="AD163" s="44">
        <f t="shared" si="22"/>
        <v>55</v>
      </c>
      <c r="AE163" s="51">
        <f t="shared" si="23"/>
        <v>96055</v>
      </c>
    </row>
    <row r="164" spans="1:31">
      <c r="A164" s="60" t="str">
        <f t="shared" si="17"/>
        <v>11448329otc</v>
      </c>
      <c r="B164" s="60" t="str">
        <f t="shared" si="18"/>
        <v>96-054-47</v>
      </c>
      <c r="C164" s="72" t="s">
        <v>1449</v>
      </c>
      <c r="D164" s="72" t="s">
        <v>1450</v>
      </c>
      <c r="E164" s="72" t="s">
        <v>909</v>
      </c>
      <c r="F164" s="73">
        <v>0</v>
      </c>
      <c r="G164" s="73" t="s">
        <v>1451</v>
      </c>
      <c r="H164" s="72" t="s">
        <v>246</v>
      </c>
      <c r="I164" s="72" t="s">
        <v>1218</v>
      </c>
      <c r="J164" s="72" t="s">
        <v>342</v>
      </c>
      <c r="K164" s="72" t="s">
        <v>382</v>
      </c>
      <c r="L164" s="72" t="s">
        <v>887</v>
      </c>
      <c r="M164" s="72" t="s">
        <v>389</v>
      </c>
      <c r="O164" s="72" t="s">
        <v>386</v>
      </c>
      <c r="P164" s="72" t="s">
        <v>978</v>
      </c>
      <c r="Q164" s="72" t="s">
        <v>993</v>
      </c>
      <c r="R164" s="72" t="s">
        <v>83</v>
      </c>
      <c r="T164" s="72" t="s">
        <v>911</v>
      </c>
      <c r="U164" s="72" t="s">
        <v>914</v>
      </c>
      <c r="V164" s="60" t="str">
        <f t="shared" si="19"/>
        <v>11448329серый / черный</v>
      </c>
      <c r="W164" s="60" t="str">
        <f t="shared" si="16"/>
        <v>11448329</v>
      </c>
      <c r="X164" s="60" t="str">
        <f t="shared" si="20"/>
        <v>New York Yankees</v>
      </c>
      <c r="AC164" s="51">
        <f t="shared" si="21"/>
        <v>96</v>
      </c>
      <c r="AD164" s="44">
        <f t="shared" si="22"/>
        <v>54</v>
      </c>
      <c r="AE164" s="51">
        <f t="shared" si="23"/>
        <v>96054</v>
      </c>
    </row>
    <row r="165" spans="1:31">
      <c r="A165" s="60" t="str">
        <f t="shared" si="17"/>
        <v>11379840wht</v>
      </c>
      <c r="B165" s="60" t="str">
        <f t="shared" si="18"/>
        <v>96-053-17</v>
      </c>
      <c r="C165" s="72" t="s">
        <v>1452</v>
      </c>
      <c r="D165" s="72" t="s">
        <v>1453</v>
      </c>
      <c r="E165" s="72" t="s">
        <v>909</v>
      </c>
      <c r="F165" s="73">
        <v>0</v>
      </c>
      <c r="G165" s="73" t="s">
        <v>1454</v>
      </c>
      <c r="H165" s="72" t="s">
        <v>57</v>
      </c>
      <c r="I165" s="72" t="s">
        <v>910</v>
      </c>
      <c r="J165" s="72" t="s">
        <v>327</v>
      </c>
      <c r="K165" s="72" t="s">
        <v>382</v>
      </c>
      <c r="L165" s="72" t="s">
        <v>887</v>
      </c>
      <c r="M165" s="72" t="s">
        <v>388</v>
      </c>
      <c r="N165" s="72" t="s">
        <v>43</v>
      </c>
      <c r="O165" s="72" t="s">
        <v>386</v>
      </c>
      <c r="P165" s="72" t="s">
        <v>978</v>
      </c>
      <c r="Q165" s="72" t="s">
        <v>1287</v>
      </c>
      <c r="R165" s="72" t="s">
        <v>57</v>
      </c>
      <c r="T165" s="72" t="s">
        <v>911</v>
      </c>
      <c r="U165" s="72" t="s">
        <v>912</v>
      </c>
      <c r="V165" s="60" t="str">
        <f t="shared" si="19"/>
        <v>11379840белый</v>
      </c>
      <c r="W165" s="60" t="str">
        <f t="shared" si="16"/>
        <v>11379840</v>
      </c>
      <c r="X165" s="60" t="str">
        <f t="shared" si="20"/>
        <v>Los Angeles Dodgers</v>
      </c>
      <c r="AC165" s="51">
        <f t="shared" si="21"/>
        <v>96</v>
      </c>
      <c r="AD165" s="44">
        <f t="shared" si="22"/>
        <v>53</v>
      </c>
      <c r="AE165" s="51">
        <f t="shared" si="23"/>
        <v>96053</v>
      </c>
    </row>
    <row r="166" spans="1:31">
      <c r="A166" s="60" t="str">
        <f t="shared" si="17"/>
        <v>11277642nvyrig</v>
      </c>
      <c r="B166" s="60" t="str">
        <f t="shared" si="18"/>
        <v>96-052-75</v>
      </c>
      <c r="C166" s="72" t="s">
        <v>1455</v>
      </c>
      <c r="D166" s="72" t="s">
        <v>1456</v>
      </c>
      <c r="E166" s="72" t="s">
        <v>909</v>
      </c>
      <c r="F166" s="73">
        <v>0</v>
      </c>
      <c r="G166" s="73">
        <v>11277642</v>
      </c>
      <c r="H166" s="72" t="s">
        <v>250</v>
      </c>
      <c r="I166" s="72" t="s">
        <v>1218</v>
      </c>
      <c r="J166" s="72" t="s">
        <v>342</v>
      </c>
      <c r="K166" s="72" t="s">
        <v>382</v>
      </c>
      <c r="L166" s="72" t="s">
        <v>887</v>
      </c>
      <c r="M166" s="72" t="s">
        <v>389</v>
      </c>
      <c r="O166" s="72" t="s">
        <v>386</v>
      </c>
      <c r="P166" s="72" t="s">
        <v>978</v>
      </c>
      <c r="Q166" s="72" t="s">
        <v>1457</v>
      </c>
      <c r="R166" s="72" t="s">
        <v>71</v>
      </c>
      <c r="V166" s="60" t="str">
        <f t="shared" si="19"/>
        <v>11277642синий / зеленый</v>
      </c>
      <c r="W166" s="60" t="str">
        <f t="shared" si="16"/>
        <v>11277642</v>
      </c>
      <c r="X166" s="60" t="str">
        <f t="shared" si="20"/>
        <v/>
      </c>
      <c r="AC166" s="51">
        <f t="shared" si="21"/>
        <v>96</v>
      </c>
      <c r="AD166" s="44">
        <f t="shared" si="22"/>
        <v>52</v>
      </c>
      <c r="AE166" s="51">
        <f t="shared" si="23"/>
        <v>96052</v>
      </c>
    </row>
    <row r="167" spans="1:31">
      <c r="A167" s="60" t="str">
        <f t="shared" si="17"/>
        <v>11179873grawhi</v>
      </c>
      <c r="B167" s="60" t="str">
        <f t="shared" si="18"/>
        <v>96-051-80</v>
      </c>
      <c r="C167" s="72" t="s">
        <v>1458</v>
      </c>
      <c r="D167" s="72" t="s">
        <v>1459</v>
      </c>
      <c r="E167" s="72" t="s">
        <v>1038</v>
      </c>
      <c r="F167" s="73">
        <v>58</v>
      </c>
      <c r="G167" s="73">
        <v>11179873</v>
      </c>
      <c r="H167" s="72" t="s">
        <v>83</v>
      </c>
      <c r="I167" s="72" t="s">
        <v>1040</v>
      </c>
      <c r="J167" s="72" t="s">
        <v>327</v>
      </c>
      <c r="K167" s="72" t="s">
        <v>382</v>
      </c>
      <c r="L167" s="72" t="s">
        <v>887</v>
      </c>
      <c r="M167" s="72" t="s">
        <v>388</v>
      </c>
      <c r="O167" s="72" t="s">
        <v>386</v>
      </c>
      <c r="P167" s="72" t="s">
        <v>978</v>
      </c>
      <c r="Q167" s="72" t="s">
        <v>1047</v>
      </c>
      <c r="R167" s="72" t="s">
        <v>83</v>
      </c>
      <c r="V167" s="60" t="str">
        <f t="shared" si="19"/>
        <v>11179873серый</v>
      </c>
      <c r="W167" s="60" t="str">
        <f t="shared" si="16"/>
        <v>11179873</v>
      </c>
      <c r="X167" s="60" t="str">
        <f t="shared" si="20"/>
        <v/>
      </c>
      <c r="AC167" s="51">
        <f t="shared" si="21"/>
        <v>96</v>
      </c>
      <c r="AD167" s="44">
        <f t="shared" si="22"/>
        <v>51</v>
      </c>
      <c r="AE167" s="51">
        <f t="shared" si="23"/>
        <v>96051</v>
      </c>
    </row>
    <row r="168" spans="1:31">
      <c r="A168" s="60" t="str">
        <f t="shared" si="17"/>
        <v>11179873grawhi</v>
      </c>
      <c r="B168" s="60" t="str">
        <f t="shared" si="18"/>
        <v>96-051-80</v>
      </c>
      <c r="C168" s="72" t="s">
        <v>1460</v>
      </c>
      <c r="D168" s="72" t="s">
        <v>1459</v>
      </c>
      <c r="E168" s="72" t="s">
        <v>1043</v>
      </c>
      <c r="F168" s="73">
        <v>56</v>
      </c>
      <c r="G168" s="73">
        <v>11179873</v>
      </c>
      <c r="H168" s="72" t="s">
        <v>83</v>
      </c>
      <c r="I168" s="72" t="s">
        <v>1040</v>
      </c>
      <c r="J168" s="72" t="s">
        <v>327</v>
      </c>
      <c r="K168" s="72" t="s">
        <v>382</v>
      </c>
      <c r="L168" s="72" t="s">
        <v>887</v>
      </c>
      <c r="M168" s="72" t="s">
        <v>388</v>
      </c>
      <c r="O168" s="72" t="s">
        <v>386</v>
      </c>
      <c r="P168" s="72" t="s">
        <v>978</v>
      </c>
      <c r="Q168" s="72" t="s">
        <v>1047</v>
      </c>
      <c r="R168" s="72" t="s">
        <v>83</v>
      </c>
      <c r="V168" s="60" t="str">
        <f t="shared" si="19"/>
        <v>11179873серый</v>
      </c>
      <c r="W168" s="60" t="str">
        <f t="shared" si="16"/>
        <v>11179873</v>
      </c>
      <c r="X168" s="60" t="str">
        <f t="shared" si="20"/>
        <v/>
      </c>
      <c r="AC168" s="51">
        <f t="shared" si="21"/>
        <v>96</v>
      </c>
      <c r="AD168" s="44">
        <f t="shared" si="22"/>
        <v>51</v>
      </c>
      <c r="AE168" s="51">
        <f t="shared" si="23"/>
        <v>96051</v>
      </c>
    </row>
    <row r="169" spans="1:31">
      <c r="A169" s="60" t="str">
        <f t="shared" si="17"/>
        <v>11179866blkwhi</v>
      </c>
      <c r="B169" s="60" t="str">
        <f t="shared" si="18"/>
        <v>96-050-09</v>
      </c>
      <c r="C169" s="72" t="s">
        <v>1461</v>
      </c>
      <c r="D169" s="72" t="s">
        <v>1462</v>
      </c>
      <c r="E169" s="72" t="s">
        <v>909</v>
      </c>
      <c r="F169" s="73">
        <v>0</v>
      </c>
      <c r="G169" s="73">
        <v>11179866</v>
      </c>
      <c r="H169" s="72" t="s">
        <v>53</v>
      </c>
      <c r="I169" s="72" t="s">
        <v>910</v>
      </c>
      <c r="J169" s="72" t="s">
        <v>327</v>
      </c>
      <c r="K169" s="72" t="s">
        <v>382</v>
      </c>
      <c r="L169" s="72" t="s">
        <v>887</v>
      </c>
      <c r="M169" s="72" t="s">
        <v>388</v>
      </c>
      <c r="N169" s="72" t="s">
        <v>43</v>
      </c>
      <c r="O169" s="72" t="s">
        <v>386</v>
      </c>
      <c r="P169" s="72" t="s">
        <v>978</v>
      </c>
      <c r="Q169" s="72" t="s">
        <v>1028</v>
      </c>
      <c r="R169" s="72" t="s">
        <v>53</v>
      </c>
      <c r="V169" s="60" t="str">
        <f t="shared" si="19"/>
        <v>11179866черный</v>
      </c>
      <c r="W169" s="60" t="str">
        <f t="shared" si="16"/>
        <v>11179866</v>
      </c>
      <c r="X169" s="60" t="str">
        <f t="shared" si="20"/>
        <v/>
      </c>
      <c r="AC169" s="51">
        <f t="shared" si="21"/>
        <v>96</v>
      </c>
      <c r="AD169" s="44">
        <f t="shared" si="22"/>
        <v>50</v>
      </c>
      <c r="AE169" s="51">
        <f t="shared" si="23"/>
        <v>96050</v>
      </c>
    </row>
    <row r="170" spans="1:31">
      <c r="A170" s="60" t="str">
        <f t="shared" si="17"/>
        <v>11179834grapwhi</v>
      </c>
      <c r="B170" s="60" t="str">
        <f t="shared" si="18"/>
        <v>96-049-80</v>
      </c>
      <c r="C170" s="72" t="s">
        <v>1463</v>
      </c>
      <c r="D170" s="72" t="s">
        <v>1464</v>
      </c>
      <c r="E170" s="72" t="s">
        <v>909</v>
      </c>
      <c r="F170" s="73">
        <v>0</v>
      </c>
      <c r="G170" s="73">
        <v>11179834</v>
      </c>
      <c r="H170" s="72" t="s">
        <v>83</v>
      </c>
      <c r="I170" s="72" t="s">
        <v>910</v>
      </c>
      <c r="J170" s="72" t="s">
        <v>327</v>
      </c>
      <c r="K170" s="72" t="s">
        <v>382</v>
      </c>
      <c r="L170" s="72" t="s">
        <v>887</v>
      </c>
      <c r="M170" s="72" t="s">
        <v>388</v>
      </c>
      <c r="N170" s="72" t="s">
        <v>43</v>
      </c>
      <c r="O170" s="72" t="s">
        <v>386</v>
      </c>
      <c r="P170" s="72" t="s">
        <v>978</v>
      </c>
      <c r="Q170" s="72" t="s">
        <v>1465</v>
      </c>
      <c r="R170" s="72" t="s">
        <v>83</v>
      </c>
      <c r="V170" s="60" t="str">
        <f t="shared" si="19"/>
        <v>11179834серый</v>
      </c>
      <c r="W170" s="60" t="str">
        <f t="shared" si="16"/>
        <v>11179834</v>
      </c>
      <c r="X170" s="60" t="str">
        <f t="shared" si="20"/>
        <v/>
      </c>
      <c r="AC170" s="51">
        <f t="shared" si="21"/>
        <v>96</v>
      </c>
      <c r="AD170" s="44">
        <f t="shared" si="22"/>
        <v>49</v>
      </c>
      <c r="AE170" s="51">
        <f t="shared" si="23"/>
        <v>96049</v>
      </c>
    </row>
    <row r="171" spans="1:31">
      <c r="A171" s="60" t="str">
        <f t="shared" si="17"/>
        <v>11179831whi</v>
      </c>
      <c r="B171" s="60" t="str">
        <f t="shared" si="18"/>
        <v>96-048-09</v>
      </c>
      <c r="C171" s="72" t="s">
        <v>1466</v>
      </c>
      <c r="D171" s="72" t="s">
        <v>1467</v>
      </c>
      <c r="E171" s="72" t="s">
        <v>909</v>
      </c>
      <c r="F171" s="73">
        <v>0</v>
      </c>
      <c r="G171" s="73">
        <v>11179831</v>
      </c>
      <c r="H171" s="72" t="s">
        <v>53</v>
      </c>
      <c r="I171" s="72" t="s">
        <v>910</v>
      </c>
      <c r="J171" s="72" t="s">
        <v>327</v>
      </c>
      <c r="K171" s="72" t="s">
        <v>382</v>
      </c>
      <c r="L171" s="72" t="s">
        <v>887</v>
      </c>
      <c r="M171" s="72" t="s">
        <v>388</v>
      </c>
      <c r="N171" s="72" t="s">
        <v>43</v>
      </c>
      <c r="O171" s="72" t="s">
        <v>386</v>
      </c>
      <c r="P171" s="72" t="s">
        <v>978</v>
      </c>
      <c r="Q171" s="72" t="s">
        <v>983</v>
      </c>
      <c r="R171" s="72" t="s">
        <v>53</v>
      </c>
      <c r="V171" s="60" t="str">
        <f t="shared" si="19"/>
        <v>11179831черный</v>
      </c>
      <c r="W171" s="60" t="str">
        <f t="shared" si="16"/>
        <v>11179831</v>
      </c>
      <c r="X171" s="60" t="str">
        <f t="shared" si="20"/>
        <v/>
      </c>
      <c r="AC171" s="51">
        <f t="shared" si="21"/>
        <v>96</v>
      </c>
      <c r="AD171" s="44">
        <f t="shared" si="22"/>
        <v>48</v>
      </c>
      <c r="AE171" s="51">
        <f t="shared" si="23"/>
        <v>96048</v>
      </c>
    </row>
    <row r="172" spans="1:31">
      <c r="A172" s="60" t="str">
        <f t="shared" si="17"/>
        <v>10145637blkblk</v>
      </c>
      <c r="B172" s="60" t="str">
        <f t="shared" si="18"/>
        <v>96-047-09</v>
      </c>
      <c r="C172" s="72" t="s">
        <v>1468</v>
      </c>
      <c r="D172" s="72" t="s">
        <v>1469</v>
      </c>
      <c r="E172" s="72" t="s">
        <v>1330</v>
      </c>
      <c r="F172" s="73">
        <v>60</v>
      </c>
      <c r="G172" s="73" t="s">
        <v>1470</v>
      </c>
      <c r="H172" s="72" t="s">
        <v>53</v>
      </c>
      <c r="I172" s="72" t="s">
        <v>1101</v>
      </c>
      <c r="J172" s="72" t="s">
        <v>327</v>
      </c>
      <c r="K172" s="72" t="s">
        <v>382</v>
      </c>
      <c r="L172" s="72" t="s">
        <v>887</v>
      </c>
      <c r="M172" s="72" t="s">
        <v>388</v>
      </c>
      <c r="N172" s="72" t="s">
        <v>43</v>
      </c>
      <c r="O172" s="72" t="s">
        <v>541</v>
      </c>
      <c r="P172" s="72" t="s">
        <v>978</v>
      </c>
      <c r="Q172" s="72" t="s">
        <v>997</v>
      </c>
      <c r="R172" s="72" t="s">
        <v>53</v>
      </c>
      <c r="T172" s="72" t="s">
        <v>911</v>
      </c>
      <c r="U172" s="72" t="s">
        <v>914</v>
      </c>
      <c r="V172" s="60" t="str">
        <f t="shared" si="19"/>
        <v>10145637черный</v>
      </c>
      <c r="W172" s="60" t="str">
        <f t="shared" si="16"/>
        <v>10145637</v>
      </c>
      <c r="X172" s="60" t="str">
        <f t="shared" si="20"/>
        <v>New York Yankees</v>
      </c>
      <c r="AC172" s="51">
        <f t="shared" si="21"/>
        <v>96</v>
      </c>
      <c r="AD172" s="44">
        <f t="shared" si="22"/>
        <v>47</v>
      </c>
      <c r="AE172" s="51">
        <f t="shared" si="23"/>
        <v>96047</v>
      </c>
    </row>
    <row r="173" spans="1:31">
      <c r="A173" s="60" t="str">
        <f t="shared" si="17"/>
        <v>10145637blkblk</v>
      </c>
      <c r="B173" s="60" t="str">
        <f t="shared" si="18"/>
        <v>96-047-09</v>
      </c>
      <c r="C173" s="72" t="s">
        <v>1471</v>
      </c>
      <c r="D173" s="72" t="s">
        <v>1469</v>
      </c>
      <c r="E173" s="72" t="s">
        <v>1038</v>
      </c>
      <c r="F173" s="73">
        <v>58</v>
      </c>
      <c r="G173" s="73" t="s">
        <v>1470</v>
      </c>
      <c r="H173" s="72" t="s">
        <v>53</v>
      </c>
      <c r="I173" s="72" t="s">
        <v>1101</v>
      </c>
      <c r="J173" s="72" t="s">
        <v>327</v>
      </c>
      <c r="K173" s="72" t="s">
        <v>382</v>
      </c>
      <c r="L173" s="72" t="s">
        <v>887</v>
      </c>
      <c r="M173" s="72" t="s">
        <v>388</v>
      </c>
      <c r="N173" s="72" t="s">
        <v>43</v>
      </c>
      <c r="O173" s="72" t="s">
        <v>541</v>
      </c>
      <c r="P173" s="72" t="s">
        <v>978</v>
      </c>
      <c r="Q173" s="72" t="s">
        <v>997</v>
      </c>
      <c r="R173" s="72" t="s">
        <v>53</v>
      </c>
      <c r="T173" s="72" t="s">
        <v>911</v>
      </c>
      <c r="U173" s="72" t="s">
        <v>914</v>
      </c>
      <c r="V173" s="60" t="str">
        <f t="shared" si="19"/>
        <v>10145637черный</v>
      </c>
      <c r="W173" s="60" t="str">
        <f t="shared" si="16"/>
        <v>10145637</v>
      </c>
      <c r="X173" s="60" t="str">
        <f t="shared" si="20"/>
        <v>New York Yankees</v>
      </c>
      <c r="AC173" s="51">
        <f t="shared" si="21"/>
        <v>96</v>
      </c>
      <c r="AD173" s="44">
        <f t="shared" si="22"/>
        <v>47</v>
      </c>
      <c r="AE173" s="51">
        <f t="shared" si="23"/>
        <v>96047</v>
      </c>
    </row>
    <row r="174" spans="1:31">
      <c r="A174" s="60" t="str">
        <f t="shared" si="17"/>
        <v>10145637blkblk</v>
      </c>
      <c r="B174" s="60" t="str">
        <f t="shared" si="18"/>
        <v>96-047-09</v>
      </c>
      <c r="C174" s="72" t="s">
        <v>1472</v>
      </c>
      <c r="D174" s="72" t="s">
        <v>1469</v>
      </c>
      <c r="E174" s="72" t="s">
        <v>1043</v>
      </c>
      <c r="F174" s="73">
        <v>56</v>
      </c>
      <c r="G174" s="73" t="s">
        <v>1470</v>
      </c>
      <c r="H174" s="72" t="s">
        <v>53</v>
      </c>
      <c r="I174" s="72" t="s">
        <v>1101</v>
      </c>
      <c r="J174" s="72" t="s">
        <v>327</v>
      </c>
      <c r="K174" s="72" t="s">
        <v>382</v>
      </c>
      <c r="L174" s="72" t="s">
        <v>887</v>
      </c>
      <c r="M174" s="72" t="s">
        <v>388</v>
      </c>
      <c r="N174" s="72" t="s">
        <v>43</v>
      </c>
      <c r="O174" s="72" t="s">
        <v>541</v>
      </c>
      <c r="P174" s="72" t="s">
        <v>978</v>
      </c>
      <c r="Q174" s="72" t="s">
        <v>997</v>
      </c>
      <c r="R174" s="72" t="s">
        <v>53</v>
      </c>
      <c r="T174" s="72" t="s">
        <v>911</v>
      </c>
      <c r="U174" s="72" t="s">
        <v>914</v>
      </c>
      <c r="V174" s="60" t="str">
        <f t="shared" si="19"/>
        <v>10145637черный</v>
      </c>
      <c r="W174" s="60" t="str">
        <f t="shared" si="16"/>
        <v>10145637</v>
      </c>
      <c r="X174" s="60" t="str">
        <f t="shared" si="20"/>
        <v>New York Yankees</v>
      </c>
      <c r="AC174" s="51">
        <f t="shared" si="21"/>
        <v>96</v>
      </c>
      <c r="AD174" s="44">
        <f t="shared" si="22"/>
        <v>47</v>
      </c>
      <c r="AE174" s="51">
        <f t="shared" si="23"/>
        <v>96047</v>
      </c>
    </row>
    <row r="175" spans="1:31">
      <c r="A175" s="60" t="str">
        <f t="shared" si="17"/>
        <v>10047507navy</v>
      </c>
      <c r="B175" s="60" t="str">
        <f t="shared" si="18"/>
        <v>96-147-71</v>
      </c>
      <c r="C175" s="72" t="s">
        <v>1129</v>
      </c>
      <c r="D175" s="72" t="s">
        <v>1130</v>
      </c>
      <c r="E175" s="72" t="s">
        <v>909</v>
      </c>
      <c r="F175" s="73">
        <v>0</v>
      </c>
      <c r="G175" s="73" t="s">
        <v>1131</v>
      </c>
      <c r="H175" s="72" t="s">
        <v>592</v>
      </c>
      <c r="I175" s="72" t="s">
        <v>918</v>
      </c>
      <c r="J175" s="72" t="s">
        <v>327</v>
      </c>
      <c r="K175" s="72" t="s">
        <v>382</v>
      </c>
      <c r="L175" s="72" t="s">
        <v>887</v>
      </c>
      <c r="M175" s="72" t="s">
        <v>388</v>
      </c>
      <c r="O175" s="72" t="s">
        <v>541</v>
      </c>
      <c r="P175" s="72" t="s">
        <v>978</v>
      </c>
      <c r="Q175" s="72" t="s">
        <v>1057</v>
      </c>
      <c r="R175" s="72" t="s">
        <v>71</v>
      </c>
      <c r="T175" s="72" t="s">
        <v>911</v>
      </c>
      <c r="U175" s="72" t="s">
        <v>917</v>
      </c>
      <c r="V175" s="60" t="str">
        <f t="shared" si="19"/>
        <v>10047507темно-синий / красный</v>
      </c>
      <c r="W175" s="60" t="str">
        <f t="shared" si="16"/>
        <v>10047507</v>
      </c>
      <c r="X175" s="60" t="str">
        <f t="shared" si="20"/>
        <v>Atlanta Braves MLB</v>
      </c>
      <c r="AC175" s="51">
        <f t="shared" si="21"/>
        <v>96</v>
      </c>
      <c r="AD175" s="44">
        <f t="shared" si="22"/>
        <v>147</v>
      </c>
      <c r="AE175" s="51">
        <f t="shared" si="23"/>
        <v>96147</v>
      </c>
    </row>
    <row r="176" spans="1:31">
      <c r="A176" s="60" t="str">
        <f t="shared" si="17"/>
        <v>10047511otc</v>
      </c>
      <c r="B176" s="60" t="str">
        <f t="shared" si="18"/>
        <v>96-148-09</v>
      </c>
      <c r="C176" s="72" t="s">
        <v>1126</v>
      </c>
      <c r="D176" s="72" t="s">
        <v>1127</v>
      </c>
      <c r="E176" s="72" t="s">
        <v>909</v>
      </c>
      <c r="F176" s="73">
        <v>0</v>
      </c>
      <c r="G176" s="73" t="s">
        <v>1128</v>
      </c>
      <c r="H176" s="72" t="s">
        <v>55</v>
      </c>
      <c r="I176" s="72" t="s">
        <v>918</v>
      </c>
      <c r="J176" s="72" t="s">
        <v>327</v>
      </c>
      <c r="K176" s="72" t="s">
        <v>382</v>
      </c>
      <c r="L176" s="72" t="s">
        <v>887</v>
      </c>
      <c r="M176" s="72" t="s">
        <v>388</v>
      </c>
      <c r="O176" s="72" t="s">
        <v>541</v>
      </c>
      <c r="P176" s="72" t="s">
        <v>978</v>
      </c>
      <c r="Q176" s="72" t="s">
        <v>993</v>
      </c>
      <c r="R176" s="72" t="s">
        <v>71</v>
      </c>
      <c r="T176" s="72" t="s">
        <v>911</v>
      </c>
      <c r="U176" s="72" t="s">
        <v>915</v>
      </c>
      <c r="V176" s="60" t="str">
        <f t="shared" si="19"/>
        <v>10047511темно-синий</v>
      </c>
      <c r="W176" s="60" t="str">
        <f t="shared" si="16"/>
        <v>10047511</v>
      </c>
      <c r="X176" s="60" t="str">
        <f t="shared" si="20"/>
        <v>Boston Red Sox MLB</v>
      </c>
      <c r="AC176" s="51">
        <f t="shared" si="21"/>
        <v>96</v>
      </c>
      <c r="AD176" s="44">
        <f t="shared" si="22"/>
        <v>148</v>
      </c>
      <c r="AE176" s="51">
        <f t="shared" si="23"/>
        <v>96148</v>
      </c>
    </row>
    <row r="177" spans="1:31">
      <c r="A177" s="60" t="str">
        <f t="shared" si="17"/>
        <v>80636012carwhi</v>
      </c>
      <c r="B177" s="60" t="str">
        <f t="shared" si="18"/>
        <v>96-186-18</v>
      </c>
      <c r="C177" s="72" t="s">
        <v>975</v>
      </c>
      <c r="D177" s="72" t="s">
        <v>976</v>
      </c>
      <c r="E177" s="72" t="s">
        <v>909</v>
      </c>
      <c r="F177" s="73">
        <v>0</v>
      </c>
      <c r="G177" s="73" t="s">
        <v>977</v>
      </c>
      <c r="H177" s="72" t="s">
        <v>78</v>
      </c>
      <c r="I177" s="72" t="s">
        <v>910</v>
      </c>
      <c r="J177" s="72" t="s">
        <v>327</v>
      </c>
      <c r="K177" s="72" t="s">
        <v>382</v>
      </c>
      <c r="L177" s="72" t="s">
        <v>887</v>
      </c>
      <c r="M177" s="72" t="s">
        <v>388</v>
      </c>
      <c r="N177" s="72" t="s">
        <v>43</v>
      </c>
      <c r="O177" s="72" t="s">
        <v>541</v>
      </c>
      <c r="P177" s="72" t="s">
        <v>978</v>
      </c>
      <c r="Q177" s="72" t="s">
        <v>979</v>
      </c>
      <c r="R177" s="72" t="s">
        <v>78</v>
      </c>
      <c r="T177" s="72" t="s">
        <v>911</v>
      </c>
      <c r="U177" s="72" t="s">
        <v>914</v>
      </c>
      <c r="V177" s="60" t="str">
        <f t="shared" si="19"/>
        <v>80636012красный</v>
      </c>
      <c r="W177" s="60" t="str">
        <f t="shared" si="16"/>
        <v>80636012</v>
      </c>
      <c r="X177" s="60" t="str">
        <f t="shared" si="20"/>
        <v>New York Yankees MLB</v>
      </c>
      <c r="AC177" s="51">
        <f t="shared" si="21"/>
        <v>96</v>
      </c>
      <c r="AD177" s="44">
        <f t="shared" si="22"/>
        <v>186</v>
      </c>
      <c r="AE177" s="51">
        <f t="shared" si="23"/>
        <v>96186</v>
      </c>
    </row>
    <row r="178" spans="1:31">
      <c r="A178" s="60" t="str">
        <f t="shared" si="17"/>
        <v>80524868whi</v>
      </c>
      <c r="B178" s="60" t="str">
        <f t="shared" si="18"/>
        <v>96-185-17</v>
      </c>
      <c r="C178" s="72" t="s">
        <v>980</v>
      </c>
      <c r="D178" s="72" t="s">
        <v>981</v>
      </c>
      <c r="E178" s="72" t="s">
        <v>909</v>
      </c>
      <c r="F178" s="73">
        <v>0</v>
      </c>
      <c r="G178" s="73" t="s">
        <v>982</v>
      </c>
      <c r="H178" s="72" t="s">
        <v>57</v>
      </c>
      <c r="I178" s="72" t="s">
        <v>910</v>
      </c>
      <c r="J178" s="72" t="s">
        <v>327</v>
      </c>
      <c r="K178" s="72" t="s">
        <v>387</v>
      </c>
      <c r="L178" s="72" t="s">
        <v>887</v>
      </c>
      <c r="M178" s="72" t="s">
        <v>388</v>
      </c>
      <c r="N178" s="72" t="s">
        <v>43</v>
      </c>
      <c r="O178" s="72" t="s">
        <v>541</v>
      </c>
      <c r="P178" s="72" t="s">
        <v>978</v>
      </c>
      <c r="Q178" s="72" t="s">
        <v>983</v>
      </c>
      <c r="R178" s="72" t="s">
        <v>57</v>
      </c>
      <c r="T178" s="72" t="s">
        <v>911</v>
      </c>
      <c r="U178" s="72" t="s">
        <v>914</v>
      </c>
      <c r="V178" s="60" t="str">
        <f t="shared" si="19"/>
        <v>80524868белый</v>
      </c>
      <c r="W178" s="60" t="str">
        <f t="shared" si="16"/>
        <v>80524868</v>
      </c>
      <c r="X178" s="60" t="str">
        <f t="shared" si="20"/>
        <v>New York Yankees MLB</v>
      </c>
      <c r="AC178" s="51">
        <f t="shared" si="21"/>
        <v>96</v>
      </c>
      <c r="AD178" s="44">
        <f t="shared" si="22"/>
        <v>185</v>
      </c>
      <c r="AE178" s="51">
        <f t="shared" si="23"/>
        <v>96185</v>
      </c>
    </row>
    <row r="179" spans="1:31">
      <c r="A179" s="60" t="str">
        <f t="shared" si="17"/>
        <v>80468932blk</v>
      </c>
      <c r="B179" s="60" t="str">
        <f t="shared" si="18"/>
        <v>96-184-09</v>
      </c>
      <c r="C179" s="72" t="s">
        <v>984</v>
      </c>
      <c r="D179" s="72" t="s">
        <v>985</v>
      </c>
      <c r="E179" s="72" t="s">
        <v>909</v>
      </c>
      <c r="F179" s="73">
        <v>0</v>
      </c>
      <c r="G179" s="73" t="s">
        <v>986</v>
      </c>
      <c r="H179" s="72" t="s">
        <v>53</v>
      </c>
      <c r="I179" s="72" t="s">
        <v>910</v>
      </c>
      <c r="J179" s="72" t="s">
        <v>327</v>
      </c>
      <c r="K179" s="72" t="s">
        <v>382</v>
      </c>
      <c r="L179" s="72" t="s">
        <v>887</v>
      </c>
      <c r="M179" s="72" t="s">
        <v>388</v>
      </c>
      <c r="N179" s="72" t="s">
        <v>43</v>
      </c>
      <c r="O179" s="72" t="s">
        <v>541</v>
      </c>
      <c r="P179" s="72" t="s">
        <v>978</v>
      </c>
      <c r="Q179" s="72" t="s">
        <v>987</v>
      </c>
      <c r="R179" s="72" t="s">
        <v>53</v>
      </c>
      <c r="T179" s="72" t="s">
        <v>911</v>
      </c>
      <c r="U179" s="72" t="s">
        <v>914</v>
      </c>
      <c r="V179" s="60" t="str">
        <f t="shared" si="19"/>
        <v>80468932черный</v>
      </c>
      <c r="W179" s="60" t="str">
        <f t="shared" si="16"/>
        <v>80468932</v>
      </c>
      <c r="X179" s="60" t="str">
        <f t="shared" si="20"/>
        <v>New York Yankees MLB</v>
      </c>
      <c r="AC179" s="51">
        <f t="shared" si="21"/>
        <v>96</v>
      </c>
      <c r="AD179" s="44">
        <f t="shared" si="22"/>
        <v>184</v>
      </c>
      <c r="AE179" s="51">
        <f t="shared" si="23"/>
        <v>96184</v>
      </c>
    </row>
    <row r="180" spans="1:31">
      <c r="A180" s="60" t="str">
        <f t="shared" si="17"/>
        <v>12572845otc</v>
      </c>
      <c r="B180" s="60" t="str">
        <f t="shared" si="18"/>
        <v>96-183-09</v>
      </c>
      <c r="C180" s="72" t="s">
        <v>988</v>
      </c>
      <c r="D180" s="72" t="s">
        <v>989</v>
      </c>
      <c r="E180" s="72" t="s">
        <v>990</v>
      </c>
      <c r="F180" s="73">
        <v>57</v>
      </c>
      <c r="G180" s="73" t="s">
        <v>991</v>
      </c>
      <c r="H180" s="72" t="s">
        <v>53</v>
      </c>
      <c r="I180" s="72" t="s">
        <v>918</v>
      </c>
      <c r="J180" s="72" t="s">
        <v>783</v>
      </c>
      <c r="K180" s="72" t="s">
        <v>382</v>
      </c>
      <c r="L180" s="72" t="s">
        <v>887</v>
      </c>
      <c r="M180" s="72" t="s">
        <v>388</v>
      </c>
      <c r="O180" s="72" t="s">
        <v>541</v>
      </c>
      <c r="P180" s="72" t="s">
        <v>978</v>
      </c>
      <c r="Q180" s="72" t="s">
        <v>993</v>
      </c>
      <c r="R180" s="72" t="s">
        <v>53</v>
      </c>
      <c r="T180" s="72" t="s">
        <v>911</v>
      </c>
      <c r="U180" s="72" t="s">
        <v>992</v>
      </c>
      <c r="V180" s="60" t="str">
        <f t="shared" si="19"/>
        <v>12572845черный</v>
      </c>
      <c r="W180" s="60" t="str">
        <f t="shared" si="16"/>
        <v>12572845</v>
      </c>
      <c r="X180" s="60" t="str">
        <f t="shared" si="20"/>
        <v>Chicago White Socks MLB</v>
      </c>
      <c r="AC180" s="51">
        <f t="shared" si="21"/>
        <v>96</v>
      </c>
      <c r="AD180" s="44">
        <f t="shared" si="22"/>
        <v>183</v>
      </c>
      <c r="AE180" s="51">
        <f t="shared" si="23"/>
        <v>96183</v>
      </c>
    </row>
    <row r="181" spans="1:31">
      <c r="A181" s="60" t="str">
        <f t="shared" si="17"/>
        <v>12523912blkblk</v>
      </c>
      <c r="B181" s="60" t="str">
        <f t="shared" si="18"/>
        <v>96-182-09</v>
      </c>
      <c r="C181" s="72" t="s">
        <v>994</v>
      </c>
      <c r="D181" s="72" t="s">
        <v>995</v>
      </c>
      <c r="E181" s="72" t="s">
        <v>909</v>
      </c>
      <c r="F181" s="73">
        <v>0</v>
      </c>
      <c r="G181" s="73" t="s">
        <v>996</v>
      </c>
      <c r="H181" s="72" t="s">
        <v>53</v>
      </c>
      <c r="I181" s="72" t="s">
        <v>910</v>
      </c>
      <c r="J181" s="72" t="s">
        <v>356</v>
      </c>
      <c r="K181" s="72" t="s">
        <v>382</v>
      </c>
      <c r="L181" s="72" t="s">
        <v>887</v>
      </c>
      <c r="M181" s="72" t="s">
        <v>388</v>
      </c>
      <c r="N181" s="72" t="s">
        <v>43</v>
      </c>
      <c r="O181" s="72" t="s">
        <v>541</v>
      </c>
      <c r="P181" s="72" t="s">
        <v>978</v>
      </c>
      <c r="Q181" s="72" t="s">
        <v>997</v>
      </c>
      <c r="R181" s="72" t="s">
        <v>53</v>
      </c>
      <c r="T181" s="72" t="s">
        <v>911</v>
      </c>
      <c r="U181" s="72" t="s">
        <v>912</v>
      </c>
      <c r="V181" s="60" t="str">
        <f t="shared" si="19"/>
        <v>12523912черный</v>
      </c>
      <c r="W181" s="60" t="str">
        <f t="shared" si="16"/>
        <v>12523912</v>
      </c>
      <c r="X181" s="60" t="str">
        <f t="shared" si="20"/>
        <v>Los Angeles Dodgers MLB</v>
      </c>
      <c r="AC181" s="51">
        <f t="shared" si="21"/>
        <v>96</v>
      </c>
      <c r="AD181" s="44">
        <f t="shared" si="22"/>
        <v>182</v>
      </c>
      <c r="AE181" s="51">
        <f t="shared" si="23"/>
        <v>96182</v>
      </c>
    </row>
    <row r="182" spans="1:31">
      <c r="A182" s="60" t="str">
        <f t="shared" si="17"/>
        <v>12523903whiwhi</v>
      </c>
      <c r="B182" s="60" t="str">
        <f t="shared" si="18"/>
        <v>96-181-17</v>
      </c>
      <c r="C182" s="72" t="s">
        <v>998</v>
      </c>
      <c r="D182" s="72" t="s">
        <v>999</v>
      </c>
      <c r="E182" s="72" t="s">
        <v>909</v>
      </c>
      <c r="F182" s="73">
        <v>0</v>
      </c>
      <c r="G182" s="73" t="s">
        <v>1000</v>
      </c>
      <c r="H182" s="72" t="s">
        <v>57</v>
      </c>
      <c r="I182" s="72" t="s">
        <v>918</v>
      </c>
      <c r="J182" s="72" t="s">
        <v>356</v>
      </c>
      <c r="K182" s="72" t="s">
        <v>382</v>
      </c>
      <c r="L182" s="72" t="s">
        <v>887</v>
      </c>
      <c r="M182" s="72" t="s">
        <v>388</v>
      </c>
      <c r="O182" s="72" t="s">
        <v>541</v>
      </c>
      <c r="P182" s="72" t="s">
        <v>978</v>
      </c>
      <c r="Q182" s="72" t="s">
        <v>1001</v>
      </c>
      <c r="R182" s="72" t="s">
        <v>57</v>
      </c>
      <c r="T182" s="72" t="s">
        <v>911</v>
      </c>
      <c r="U182" s="72" t="s">
        <v>914</v>
      </c>
      <c r="V182" s="60" t="str">
        <f t="shared" si="19"/>
        <v>12523903белый</v>
      </c>
      <c r="W182" s="60" t="str">
        <f t="shared" si="16"/>
        <v>12523903</v>
      </c>
      <c r="X182" s="60" t="str">
        <f t="shared" si="20"/>
        <v>New York Yankees MLB</v>
      </c>
      <c r="AC182" s="51">
        <f t="shared" si="21"/>
        <v>96</v>
      </c>
      <c r="AD182" s="44">
        <f t="shared" si="22"/>
        <v>181</v>
      </c>
      <c r="AE182" s="51">
        <f t="shared" si="23"/>
        <v>96181</v>
      </c>
    </row>
    <row r="183" spans="1:31">
      <c r="A183" s="60" t="str">
        <f t="shared" si="17"/>
        <v>12523894novwhi</v>
      </c>
      <c r="B183" s="60" t="str">
        <f t="shared" si="18"/>
        <v>96-180-11</v>
      </c>
      <c r="C183" s="72" t="s">
        <v>1002</v>
      </c>
      <c r="D183" s="72" t="s">
        <v>1003</v>
      </c>
      <c r="E183" s="72" t="s">
        <v>909</v>
      </c>
      <c r="F183" s="73">
        <v>0</v>
      </c>
      <c r="G183" s="73" t="s">
        <v>1004</v>
      </c>
      <c r="H183" s="72" t="s">
        <v>149</v>
      </c>
      <c r="I183" s="72" t="s">
        <v>910</v>
      </c>
      <c r="J183" s="72" t="s">
        <v>356</v>
      </c>
      <c r="K183" s="72" t="s">
        <v>382</v>
      </c>
      <c r="L183" s="72" t="s">
        <v>887</v>
      </c>
      <c r="M183" s="72" t="s">
        <v>388</v>
      </c>
      <c r="N183" s="72" t="s">
        <v>43</v>
      </c>
      <c r="O183" s="72" t="s">
        <v>541</v>
      </c>
      <c r="P183" s="72" t="s">
        <v>978</v>
      </c>
      <c r="Q183" s="72" t="s">
        <v>1005</v>
      </c>
      <c r="R183" s="72" t="s">
        <v>60</v>
      </c>
      <c r="T183" s="72" t="s">
        <v>911</v>
      </c>
      <c r="U183" s="72" t="s">
        <v>914</v>
      </c>
      <c r="V183" s="60" t="str">
        <f t="shared" si="19"/>
        <v>12523894зеленый / белый</v>
      </c>
      <c r="W183" s="60" t="str">
        <f t="shared" si="16"/>
        <v>12523894</v>
      </c>
      <c r="X183" s="60" t="str">
        <f t="shared" si="20"/>
        <v>New York Yankees MLB</v>
      </c>
      <c r="AC183" s="51">
        <f t="shared" si="21"/>
        <v>96</v>
      </c>
      <c r="AD183" s="44">
        <f t="shared" si="22"/>
        <v>180</v>
      </c>
      <c r="AE183" s="51">
        <f t="shared" si="23"/>
        <v>96180</v>
      </c>
    </row>
    <row r="184" spans="1:31">
      <c r="A184" s="60" t="str">
        <f t="shared" si="17"/>
        <v>12523893stnwhi</v>
      </c>
      <c r="B184" s="60" t="str">
        <f t="shared" si="18"/>
        <v>96-179-17</v>
      </c>
      <c r="C184" s="72" t="s">
        <v>1006</v>
      </c>
      <c r="D184" s="72" t="s">
        <v>1007</v>
      </c>
      <c r="E184" s="72" t="s">
        <v>909</v>
      </c>
      <c r="F184" s="73">
        <v>0</v>
      </c>
      <c r="G184" s="73" t="s">
        <v>1008</v>
      </c>
      <c r="H184" s="72" t="s">
        <v>66</v>
      </c>
      <c r="I184" s="72" t="s">
        <v>910</v>
      </c>
      <c r="J184" s="72" t="s">
        <v>356</v>
      </c>
      <c r="K184" s="72" t="s">
        <v>382</v>
      </c>
      <c r="L184" s="72" t="s">
        <v>887</v>
      </c>
      <c r="M184" s="72" t="s">
        <v>388</v>
      </c>
      <c r="N184" s="72" t="s">
        <v>43</v>
      </c>
      <c r="O184" s="72" t="s">
        <v>541</v>
      </c>
      <c r="P184" s="72" t="s">
        <v>978</v>
      </c>
      <c r="Q184" s="72" t="s">
        <v>1009</v>
      </c>
      <c r="R184" s="72" t="s">
        <v>63</v>
      </c>
      <c r="T184" s="72" t="s">
        <v>911</v>
      </c>
      <c r="U184" s="72" t="s">
        <v>914</v>
      </c>
      <c r="V184" s="60" t="str">
        <f t="shared" si="19"/>
        <v>12523893бежевый / белый</v>
      </c>
      <c r="W184" s="60" t="str">
        <f t="shared" si="16"/>
        <v>12523893</v>
      </c>
      <c r="X184" s="60" t="str">
        <f t="shared" si="20"/>
        <v>New York Yankees MLB</v>
      </c>
      <c r="AC184" s="51">
        <f t="shared" si="21"/>
        <v>96</v>
      </c>
      <c r="AD184" s="44">
        <f t="shared" si="22"/>
        <v>179</v>
      </c>
      <c r="AE184" s="51">
        <f t="shared" si="23"/>
        <v>96179</v>
      </c>
    </row>
    <row r="185" spans="1:31">
      <c r="A185" s="60" t="str">
        <f t="shared" si="17"/>
        <v>12380796otc</v>
      </c>
      <c r="B185" s="60" t="str">
        <f t="shared" si="18"/>
        <v>96-178-48</v>
      </c>
      <c r="C185" s="72" t="s">
        <v>1010</v>
      </c>
      <c r="D185" s="72" t="s">
        <v>1011</v>
      </c>
      <c r="E185" s="72" t="s">
        <v>909</v>
      </c>
      <c r="F185" s="73">
        <v>0</v>
      </c>
      <c r="G185" s="73" t="s">
        <v>1012</v>
      </c>
      <c r="H185" s="72" t="s">
        <v>119</v>
      </c>
      <c r="I185" s="72" t="s">
        <v>910</v>
      </c>
      <c r="J185" s="72" t="s">
        <v>356</v>
      </c>
      <c r="K185" s="72" t="s">
        <v>382</v>
      </c>
      <c r="L185" s="72" t="s">
        <v>887</v>
      </c>
      <c r="M185" s="72" t="s">
        <v>388</v>
      </c>
      <c r="N185" s="72" t="s">
        <v>43</v>
      </c>
      <c r="O185" s="72" t="s">
        <v>541</v>
      </c>
      <c r="P185" s="72" t="s">
        <v>978</v>
      </c>
      <c r="Q185" s="72" t="s">
        <v>993</v>
      </c>
      <c r="R185" s="72" t="s">
        <v>57</v>
      </c>
      <c r="T185" s="72" t="s">
        <v>911</v>
      </c>
      <c r="U185" s="72" t="s">
        <v>914</v>
      </c>
      <c r="V185" s="60" t="str">
        <f t="shared" si="19"/>
        <v>12380796белый / черный</v>
      </c>
      <c r="W185" s="60" t="str">
        <f t="shared" si="16"/>
        <v>12380796</v>
      </c>
      <c r="X185" s="60" t="str">
        <f t="shared" si="20"/>
        <v>New York Yankees MLB</v>
      </c>
      <c r="AC185" s="51">
        <f t="shared" si="21"/>
        <v>96</v>
      </c>
      <c r="AD185" s="44">
        <f t="shared" si="22"/>
        <v>178</v>
      </c>
      <c r="AE185" s="51">
        <f t="shared" si="23"/>
        <v>96178</v>
      </c>
    </row>
    <row r="186" spans="1:31">
      <c r="A186" s="60" t="str">
        <f t="shared" si="17"/>
        <v>12380594blk</v>
      </c>
      <c r="B186" s="60" t="str">
        <f t="shared" si="18"/>
        <v>96-177-09</v>
      </c>
      <c r="C186" s="72" t="s">
        <v>1013</v>
      </c>
      <c r="D186" s="72" t="s">
        <v>1014</v>
      </c>
      <c r="E186" s="72" t="s">
        <v>909</v>
      </c>
      <c r="F186" s="73">
        <v>0</v>
      </c>
      <c r="G186" s="73" t="s">
        <v>1015</v>
      </c>
      <c r="H186" s="72" t="s">
        <v>53</v>
      </c>
      <c r="I186" s="72" t="s">
        <v>910</v>
      </c>
      <c r="J186" s="72" t="s">
        <v>327</v>
      </c>
      <c r="K186" s="72" t="s">
        <v>382</v>
      </c>
      <c r="L186" s="72" t="s">
        <v>887</v>
      </c>
      <c r="M186" s="72" t="s">
        <v>388</v>
      </c>
      <c r="N186" s="72" t="s">
        <v>43</v>
      </c>
      <c r="O186" s="72" t="s">
        <v>541</v>
      </c>
      <c r="P186" s="72" t="s">
        <v>978</v>
      </c>
      <c r="Q186" s="72" t="s">
        <v>987</v>
      </c>
      <c r="R186" s="72" t="s">
        <v>53</v>
      </c>
      <c r="T186" s="72" t="s">
        <v>911</v>
      </c>
      <c r="U186" s="72" t="s">
        <v>914</v>
      </c>
      <c r="V186" s="60" t="str">
        <f t="shared" si="19"/>
        <v>12380594черный</v>
      </c>
      <c r="W186" s="60" t="str">
        <f t="shared" si="16"/>
        <v>12380594</v>
      </c>
      <c r="X186" s="60" t="str">
        <f t="shared" si="20"/>
        <v>New York Yankees MLB</v>
      </c>
      <c r="AC186" s="51">
        <f t="shared" si="21"/>
        <v>96</v>
      </c>
      <c r="AD186" s="44">
        <f t="shared" si="22"/>
        <v>177</v>
      </c>
      <c r="AE186" s="51">
        <f t="shared" si="23"/>
        <v>96177</v>
      </c>
    </row>
    <row r="187" spans="1:31">
      <c r="A187" s="60" t="str">
        <f t="shared" si="17"/>
        <v>12380590stn</v>
      </c>
      <c r="B187" s="60" t="str">
        <f t="shared" si="18"/>
        <v>96-176-17</v>
      </c>
      <c r="C187" s="72" t="s">
        <v>1016</v>
      </c>
      <c r="D187" s="72" t="s">
        <v>1653</v>
      </c>
      <c r="E187" s="72" t="s">
        <v>909</v>
      </c>
      <c r="F187" s="73">
        <v>0</v>
      </c>
      <c r="G187" s="73" t="s">
        <v>1017</v>
      </c>
      <c r="H187" s="72" t="s">
        <v>63</v>
      </c>
      <c r="I187" s="72" t="s">
        <v>910</v>
      </c>
      <c r="J187" s="72" t="s">
        <v>327</v>
      </c>
      <c r="K187" s="72" t="s">
        <v>382</v>
      </c>
      <c r="L187" s="72" t="s">
        <v>887</v>
      </c>
      <c r="M187" s="72" t="s">
        <v>388</v>
      </c>
      <c r="N187" s="72" t="s">
        <v>43</v>
      </c>
      <c r="O187" s="72" t="s">
        <v>541</v>
      </c>
      <c r="P187" s="72" t="s">
        <v>978</v>
      </c>
      <c r="Q187" s="72" t="s">
        <v>1018</v>
      </c>
      <c r="R187" s="72" t="s">
        <v>63</v>
      </c>
      <c r="T187" s="72" t="s">
        <v>911</v>
      </c>
      <c r="U187" s="72" t="s">
        <v>914</v>
      </c>
      <c r="V187" s="60" t="str">
        <f t="shared" si="19"/>
        <v>12380590бежевый</v>
      </c>
      <c r="W187" s="60" t="str">
        <f t="shared" si="16"/>
        <v>12380590</v>
      </c>
      <c r="X187" s="60" t="str">
        <f t="shared" si="20"/>
        <v>New York Yankees MLB</v>
      </c>
      <c r="AC187" s="51">
        <f t="shared" si="21"/>
        <v>96</v>
      </c>
      <c r="AD187" s="44">
        <f t="shared" si="22"/>
        <v>176</v>
      </c>
      <c r="AE187" s="51">
        <f t="shared" si="23"/>
        <v>96176</v>
      </c>
    </row>
    <row r="188" spans="1:31">
      <c r="A188" s="60" t="str">
        <f t="shared" si="17"/>
        <v>12285467whi</v>
      </c>
      <c r="B188" s="60" t="str">
        <f t="shared" si="18"/>
        <v>96-175-17</v>
      </c>
      <c r="C188" s="72" t="s">
        <v>1019</v>
      </c>
      <c r="D188" s="72" t="s">
        <v>1020</v>
      </c>
      <c r="E188" s="72" t="s">
        <v>909</v>
      </c>
      <c r="F188" s="73">
        <v>0</v>
      </c>
      <c r="G188" s="73" t="s">
        <v>1021</v>
      </c>
      <c r="H188" s="72" t="s">
        <v>57</v>
      </c>
      <c r="I188" s="72" t="s">
        <v>910</v>
      </c>
      <c r="J188" s="72" t="s">
        <v>356</v>
      </c>
      <c r="K188" s="72" t="s">
        <v>382</v>
      </c>
      <c r="L188" s="72" t="s">
        <v>887</v>
      </c>
      <c r="M188" s="72" t="s">
        <v>388</v>
      </c>
      <c r="N188" s="72" t="s">
        <v>43</v>
      </c>
      <c r="O188" s="72" t="s">
        <v>541</v>
      </c>
      <c r="P188" s="72" t="s">
        <v>978</v>
      </c>
      <c r="Q188" s="72" t="s">
        <v>983</v>
      </c>
      <c r="R188" s="72" t="s">
        <v>57</v>
      </c>
      <c r="T188" s="72" t="s">
        <v>911</v>
      </c>
      <c r="U188" s="72" t="s">
        <v>914</v>
      </c>
      <c r="V188" s="60" t="str">
        <f t="shared" si="19"/>
        <v>12285467белый</v>
      </c>
      <c r="W188" s="60" t="str">
        <f t="shared" si="16"/>
        <v>12285467</v>
      </c>
      <c r="X188" s="60" t="str">
        <f t="shared" si="20"/>
        <v>New York Yankees MLB</v>
      </c>
      <c r="AC188" s="51">
        <f t="shared" si="21"/>
        <v>96</v>
      </c>
      <c r="AD188" s="44">
        <f t="shared" si="22"/>
        <v>175</v>
      </c>
      <c r="AE188" s="51">
        <f t="shared" si="23"/>
        <v>96175</v>
      </c>
    </row>
    <row r="189" spans="1:31">
      <c r="A189" s="60" t="str">
        <f t="shared" si="17"/>
        <v>12122742blkblk</v>
      </c>
      <c r="B189" s="60" t="str">
        <f t="shared" si="18"/>
        <v>96-174-09</v>
      </c>
      <c r="C189" s="72" t="s">
        <v>1022</v>
      </c>
      <c r="D189" s="72" t="s">
        <v>1023</v>
      </c>
      <c r="E189" s="72" t="s">
        <v>909</v>
      </c>
      <c r="F189" s="73">
        <v>0</v>
      </c>
      <c r="G189" s="73" t="s">
        <v>1024</v>
      </c>
      <c r="H189" s="72" t="s">
        <v>53</v>
      </c>
      <c r="I189" s="72" t="s">
        <v>910</v>
      </c>
      <c r="J189" s="72" t="s">
        <v>327</v>
      </c>
      <c r="K189" s="72" t="s">
        <v>387</v>
      </c>
      <c r="L189" s="72" t="s">
        <v>887</v>
      </c>
      <c r="M189" s="72" t="s">
        <v>388</v>
      </c>
      <c r="N189" s="72" t="s">
        <v>43</v>
      </c>
      <c r="O189" s="72" t="s">
        <v>541</v>
      </c>
      <c r="P189" s="72" t="s">
        <v>978</v>
      </c>
      <c r="Q189" s="72" t="s">
        <v>997</v>
      </c>
      <c r="R189" s="72" t="s">
        <v>53</v>
      </c>
      <c r="T189" s="72" t="s">
        <v>911</v>
      </c>
      <c r="U189" s="72" t="s">
        <v>914</v>
      </c>
      <c r="V189" s="60" t="str">
        <f t="shared" si="19"/>
        <v>12122742черный</v>
      </c>
      <c r="W189" s="60" t="str">
        <f t="shared" si="16"/>
        <v>12122742</v>
      </c>
      <c r="X189" s="60" t="str">
        <f t="shared" si="20"/>
        <v>New York Yankees MLB</v>
      </c>
      <c r="AC189" s="51">
        <f t="shared" si="21"/>
        <v>96</v>
      </c>
      <c r="AD189" s="44">
        <f t="shared" si="22"/>
        <v>174</v>
      </c>
      <c r="AE189" s="51">
        <f t="shared" si="23"/>
        <v>96174</v>
      </c>
    </row>
    <row r="190" spans="1:31">
      <c r="A190" s="60" t="str">
        <f t="shared" si="17"/>
        <v>12122741blkwhi</v>
      </c>
      <c r="B190" s="60" t="str">
        <f t="shared" si="18"/>
        <v>96-173-09</v>
      </c>
      <c r="C190" s="72" t="s">
        <v>1025</v>
      </c>
      <c r="D190" s="72" t="s">
        <v>1026</v>
      </c>
      <c r="E190" s="72" t="s">
        <v>909</v>
      </c>
      <c r="F190" s="73">
        <v>0</v>
      </c>
      <c r="G190" s="73" t="s">
        <v>1027</v>
      </c>
      <c r="H190" s="72" t="s">
        <v>53</v>
      </c>
      <c r="I190" s="72" t="s">
        <v>910</v>
      </c>
      <c r="J190" s="72" t="s">
        <v>327</v>
      </c>
      <c r="K190" s="72" t="s">
        <v>387</v>
      </c>
      <c r="L190" s="72" t="s">
        <v>887</v>
      </c>
      <c r="M190" s="72" t="s">
        <v>388</v>
      </c>
      <c r="N190" s="72" t="s">
        <v>43</v>
      </c>
      <c r="O190" s="72" t="s">
        <v>541</v>
      </c>
      <c r="P190" s="72" t="s">
        <v>978</v>
      </c>
      <c r="Q190" s="72" t="s">
        <v>1028</v>
      </c>
      <c r="R190" s="72" t="s">
        <v>53</v>
      </c>
      <c r="T190" s="72" t="s">
        <v>911</v>
      </c>
      <c r="U190" s="72" t="s">
        <v>914</v>
      </c>
      <c r="V190" s="60" t="str">
        <f t="shared" si="19"/>
        <v>12122741черный</v>
      </c>
      <c r="W190" s="60" t="str">
        <f t="shared" si="16"/>
        <v>12122741</v>
      </c>
      <c r="X190" s="60" t="str">
        <f t="shared" si="20"/>
        <v>New York Yankees MLB</v>
      </c>
      <c r="AC190" s="51">
        <f t="shared" si="21"/>
        <v>96</v>
      </c>
      <c r="AD190" s="44">
        <f t="shared" si="22"/>
        <v>173</v>
      </c>
      <c r="AE190" s="51">
        <f t="shared" si="23"/>
        <v>96173</v>
      </c>
    </row>
    <row r="191" spans="1:31">
      <c r="A191" s="60" t="str">
        <f t="shared" si="17"/>
        <v>12052000blk</v>
      </c>
      <c r="B191" s="60" t="str">
        <f t="shared" si="18"/>
        <v>96-172-09</v>
      </c>
      <c r="C191" s="72" t="s">
        <v>1029</v>
      </c>
      <c r="D191" s="72" t="s">
        <v>1030</v>
      </c>
      <c r="E191" s="72" t="s">
        <v>909</v>
      </c>
      <c r="F191" s="73">
        <v>0</v>
      </c>
      <c r="G191" s="73" t="s">
        <v>1031</v>
      </c>
      <c r="H191" s="72" t="s">
        <v>53</v>
      </c>
      <c r="I191" s="72" t="s">
        <v>910</v>
      </c>
      <c r="J191" s="72" t="s">
        <v>327</v>
      </c>
      <c r="K191" s="72" t="s">
        <v>382</v>
      </c>
      <c r="L191" s="72" t="s">
        <v>887</v>
      </c>
      <c r="M191" s="72" t="s">
        <v>388</v>
      </c>
      <c r="N191" s="72" t="s">
        <v>43</v>
      </c>
      <c r="O191" s="72" t="s">
        <v>541</v>
      </c>
      <c r="P191" s="72" t="s">
        <v>978</v>
      </c>
      <c r="Q191" s="72" t="s">
        <v>987</v>
      </c>
      <c r="R191" s="72" t="s">
        <v>53</v>
      </c>
      <c r="T191" s="72" t="s">
        <v>911</v>
      </c>
      <c r="U191" s="72" t="s">
        <v>912</v>
      </c>
      <c r="V191" s="60" t="str">
        <f t="shared" si="19"/>
        <v>12052000черный</v>
      </c>
      <c r="W191" s="60" t="str">
        <f t="shared" si="16"/>
        <v>12052000</v>
      </c>
      <c r="X191" s="60" t="str">
        <f t="shared" si="20"/>
        <v>Los Angeles Dodgers MLB</v>
      </c>
      <c r="AC191" s="51">
        <f t="shared" si="21"/>
        <v>96</v>
      </c>
      <c r="AD191" s="44">
        <f t="shared" si="22"/>
        <v>172</v>
      </c>
      <c r="AE191" s="51">
        <f t="shared" si="23"/>
        <v>96172</v>
      </c>
    </row>
    <row r="192" spans="1:31">
      <c r="A192" s="60" t="str">
        <f t="shared" si="17"/>
        <v>12051998mncblk</v>
      </c>
      <c r="B192" s="60" t="str">
        <f t="shared" si="18"/>
        <v>96-171-00</v>
      </c>
      <c r="C192" s="72" t="s">
        <v>1032</v>
      </c>
      <c r="D192" s="72" t="s">
        <v>1033</v>
      </c>
      <c r="E192" s="72" t="s">
        <v>909</v>
      </c>
      <c r="F192" s="73">
        <v>0</v>
      </c>
      <c r="G192" s="73" t="s">
        <v>1034</v>
      </c>
      <c r="H192" s="72" t="s">
        <v>158</v>
      </c>
      <c r="I192" s="72" t="s">
        <v>910</v>
      </c>
      <c r="J192" s="72" t="s">
        <v>327</v>
      </c>
      <c r="K192" s="72" t="s">
        <v>382</v>
      </c>
      <c r="L192" s="72" t="s">
        <v>887</v>
      </c>
      <c r="M192" s="72" t="s">
        <v>388</v>
      </c>
      <c r="N192" s="72" t="s">
        <v>43</v>
      </c>
      <c r="O192" s="72" t="s">
        <v>541</v>
      </c>
      <c r="P192" s="72" t="s">
        <v>978</v>
      </c>
      <c r="Q192" s="72" t="s">
        <v>1035</v>
      </c>
      <c r="R192" s="72" t="s">
        <v>60</v>
      </c>
      <c r="T192" s="72" t="s">
        <v>911</v>
      </c>
      <c r="U192" s="72" t="s">
        <v>914</v>
      </c>
      <c r="V192" s="60" t="str">
        <f t="shared" si="19"/>
        <v>12051998камуфляж</v>
      </c>
      <c r="W192" s="60" t="str">
        <f t="shared" si="16"/>
        <v>12051998</v>
      </c>
      <c r="X192" s="60" t="str">
        <f t="shared" si="20"/>
        <v>New York Yankees MLB</v>
      </c>
      <c r="AC192" s="51">
        <f t="shared" si="21"/>
        <v>96</v>
      </c>
      <c r="AD192" s="44">
        <f t="shared" si="22"/>
        <v>171</v>
      </c>
      <c r="AE192" s="51">
        <f t="shared" si="23"/>
        <v>96171</v>
      </c>
    </row>
    <row r="193" spans="1:31">
      <c r="A193" s="60" t="str">
        <f t="shared" si="17"/>
        <v>11871279blkotc</v>
      </c>
      <c r="B193" s="60" t="str">
        <f t="shared" si="18"/>
        <v>96-170-09</v>
      </c>
      <c r="C193" s="72" t="s">
        <v>1036</v>
      </c>
      <c r="D193" s="72" t="s">
        <v>1037</v>
      </c>
      <c r="E193" s="72" t="s">
        <v>1038</v>
      </c>
      <c r="F193" s="73">
        <v>58</v>
      </c>
      <c r="G193" s="73" t="s">
        <v>1039</v>
      </c>
      <c r="H193" s="72" t="s">
        <v>53</v>
      </c>
      <c r="I193" s="72" t="s">
        <v>1040</v>
      </c>
      <c r="J193" s="72" t="s">
        <v>327</v>
      </c>
      <c r="K193" s="72" t="s">
        <v>382</v>
      </c>
      <c r="L193" s="72" t="s">
        <v>887</v>
      </c>
      <c r="M193" s="72" t="s">
        <v>388</v>
      </c>
      <c r="O193" s="72" t="s">
        <v>541</v>
      </c>
      <c r="P193" s="72" t="s">
        <v>978</v>
      </c>
      <c r="Q193" s="72" t="s">
        <v>1041</v>
      </c>
      <c r="R193" s="72" t="s">
        <v>53</v>
      </c>
      <c r="T193" s="72" t="s">
        <v>911</v>
      </c>
      <c r="U193" s="72" t="s">
        <v>914</v>
      </c>
      <c r="V193" s="60" t="str">
        <f t="shared" si="19"/>
        <v>11871279черный</v>
      </c>
      <c r="W193" s="60" t="str">
        <f t="shared" si="16"/>
        <v>11871279</v>
      </c>
      <c r="X193" s="60" t="str">
        <f t="shared" si="20"/>
        <v>New York Yankees MLB</v>
      </c>
      <c r="AC193" s="51">
        <f t="shared" si="21"/>
        <v>96</v>
      </c>
      <c r="AD193" s="44">
        <f t="shared" si="22"/>
        <v>170</v>
      </c>
      <c r="AE193" s="51">
        <f t="shared" si="23"/>
        <v>96170</v>
      </c>
    </row>
    <row r="194" spans="1:31">
      <c r="A194" s="60" t="str">
        <f t="shared" si="17"/>
        <v>11871279blkotc</v>
      </c>
      <c r="B194" s="60" t="str">
        <f t="shared" si="18"/>
        <v>96-170-09</v>
      </c>
      <c r="C194" s="72" t="s">
        <v>1042</v>
      </c>
      <c r="D194" s="72" t="s">
        <v>1037</v>
      </c>
      <c r="E194" s="72" t="s">
        <v>1043</v>
      </c>
      <c r="F194" s="73">
        <v>56</v>
      </c>
      <c r="G194" s="73" t="s">
        <v>1039</v>
      </c>
      <c r="H194" s="72" t="s">
        <v>53</v>
      </c>
      <c r="I194" s="72" t="s">
        <v>1040</v>
      </c>
      <c r="J194" s="72" t="s">
        <v>327</v>
      </c>
      <c r="K194" s="72" t="s">
        <v>382</v>
      </c>
      <c r="L194" s="72" t="s">
        <v>887</v>
      </c>
      <c r="M194" s="72" t="s">
        <v>388</v>
      </c>
      <c r="O194" s="72" t="s">
        <v>541</v>
      </c>
      <c r="P194" s="72" t="s">
        <v>978</v>
      </c>
      <c r="Q194" s="72" t="s">
        <v>1041</v>
      </c>
      <c r="R194" s="72" t="s">
        <v>53</v>
      </c>
      <c r="T194" s="72" t="s">
        <v>911</v>
      </c>
      <c r="U194" s="72" t="s">
        <v>914</v>
      </c>
      <c r="V194" s="60" t="str">
        <f t="shared" si="19"/>
        <v>11871279черный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11871279</v>
      </c>
      <c r="X194" s="60" t="str">
        <f t="shared" si="20"/>
        <v>New York Yankees MLB</v>
      </c>
      <c r="AC194" s="51">
        <f t="shared" si="21"/>
        <v>96</v>
      </c>
      <c r="AD194" s="44">
        <f t="shared" si="22"/>
        <v>170</v>
      </c>
      <c r="AE194" s="51">
        <f t="shared" si="23"/>
        <v>96170</v>
      </c>
    </row>
    <row r="195" spans="1:31">
      <c r="A195" s="60" t="str">
        <f t="shared" ref="A195:A258" si="25">IF(G195&amp;Q195&lt;&gt;"",W195&amp;Q195,"")</f>
        <v>11588490grawhi</v>
      </c>
      <c r="B195" s="60" t="str">
        <f t="shared" ref="B195:B258" si="26">IF(C195&lt;&gt;"",LEFT(C195,9),"")</f>
        <v>96-169-50</v>
      </c>
      <c r="C195" s="72" t="s">
        <v>1044</v>
      </c>
      <c r="D195" s="72" t="s">
        <v>1045</v>
      </c>
      <c r="E195" s="72" t="s">
        <v>909</v>
      </c>
      <c r="F195" s="73">
        <v>0</v>
      </c>
      <c r="G195" s="73" t="s">
        <v>1046</v>
      </c>
      <c r="H195" s="72" t="s">
        <v>237</v>
      </c>
      <c r="I195" s="72" t="s">
        <v>910</v>
      </c>
      <c r="J195" s="72" t="s">
        <v>356</v>
      </c>
      <c r="K195" s="72" t="s">
        <v>382</v>
      </c>
      <c r="L195" s="72" t="s">
        <v>887</v>
      </c>
      <c r="M195" s="72" t="s">
        <v>388</v>
      </c>
      <c r="N195" s="72" t="s">
        <v>43</v>
      </c>
      <c r="O195" s="72" t="s">
        <v>541</v>
      </c>
      <c r="P195" s="72" t="s">
        <v>978</v>
      </c>
      <c r="Q195" s="72" t="s">
        <v>1047</v>
      </c>
      <c r="R195" s="72" t="s">
        <v>83</v>
      </c>
      <c r="T195" s="72" t="s">
        <v>911</v>
      </c>
      <c r="U195" s="72" t="s">
        <v>914</v>
      </c>
      <c r="V195" s="60" t="str">
        <f t="shared" ref="V195:V258" si="27">W195&amp;H195</f>
        <v>11588490серый / белый</v>
      </c>
      <c r="W195" s="60" t="str">
        <f t="shared" si="24"/>
        <v>11588490</v>
      </c>
      <c r="X195" s="60" t="str">
        <f t="shared" ref="X195:X258" si="28">IF(A195&lt;&gt;"",IFERROR(IF(FIND(" ",G195)&gt;=1,MID(G195,FIND(" ",G195)+1,LEN(G195)),""),""),"")</f>
        <v>New York Yankees MLB</v>
      </c>
      <c r="AC195" s="51">
        <f t="shared" ref="AC195:AC258" si="29">IFERROR(VALUE(MID($C195,1,2)),0)</f>
        <v>96</v>
      </c>
      <c r="AD195" s="44">
        <f t="shared" ref="AD195:AD258" si="30">IFERROR(VALUE(MID($C195,4,3)),0)</f>
        <v>169</v>
      </c>
      <c r="AE195" s="51">
        <f t="shared" ref="AE195:AE258" si="31">VALUE(RIGHT("00"&amp;AC195,2)&amp;RIGHT("000"&amp;AD195,3))</f>
        <v>96169</v>
      </c>
    </row>
    <row r="196" spans="1:31">
      <c r="A196" s="60" t="str">
        <f t="shared" si="25"/>
        <v>11588488scawhi</v>
      </c>
      <c r="B196" s="60" t="str">
        <f t="shared" si="26"/>
        <v>96-168-18</v>
      </c>
      <c r="C196" s="72" t="s">
        <v>1048</v>
      </c>
      <c r="D196" s="72" t="s">
        <v>1049</v>
      </c>
      <c r="E196" s="72" t="s">
        <v>909</v>
      </c>
      <c r="F196" s="73">
        <v>0</v>
      </c>
      <c r="G196" s="73" t="s">
        <v>1050</v>
      </c>
      <c r="H196" s="72" t="s">
        <v>179</v>
      </c>
      <c r="I196" s="72" t="s">
        <v>910</v>
      </c>
      <c r="J196" s="72" t="s">
        <v>356</v>
      </c>
      <c r="K196" s="72" t="s">
        <v>382</v>
      </c>
      <c r="L196" s="72" t="s">
        <v>887</v>
      </c>
      <c r="M196" s="72" t="s">
        <v>388</v>
      </c>
      <c r="N196" s="72" t="s">
        <v>43</v>
      </c>
      <c r="O196" s="72" t="s">
        <v>541</v>
      </c>
      <c r="P196" s="72" t="s">
        <v>978</v>
      </c>
      <c r="Q196" s="72" t="s">
        <v>1051</v>
      </c>
      <c r="R196" s="72" t="s">
        <v>78</v>
      </c>
      <c r="T196" s="72" t="s">
        <v>911</v>
      </c>
      <c r="U196" s="72" t="s">
        <v>914</v>
      </c>
      <c r="V196" s="60" t="str">
        <f t="shared" si="27"/>
        <v>11588488красный / белый</v>
      </c>
      <c r="W196" s="60" t="str">
        <f t="shared" si="24"/>
        <v>11588488</v>
      </c>
      <c r="X196" s="60" t="str">
        <f t="shared" si="28"/>
        <v>New York Yankees MLB</v>
      </c>
      <c r="AC196" s="51">
        <f t="shared" si="29"/>
        <v>96</v>
      </c>
      <c r="AD196" s="44">
        <f t="shared" si="30"/>
        <v>168</v>
      </c>
      <c r="AE196" s="51">
        <f t="shared" si="31"/>
        <v>96168</v>
      </c>
    </row>
    <row r="197" spans="1:31">
      <c r="A197" s="60" t="str">
        <f t="shared" si="25"/>
        <v>11579473blk</v>
      </c>
      <c r="B197" s="60" t="str">
        <f t="shared" si="26"/>
        <v>96-167-00</v>
      </c>
      <c r="C197" s="72" t="s">
        <v>1052</v>
      </c>
      <c r="D197" s="72" t="s">
        <v>1053</v>
      </c>
      <c r="E197" s="72" t="s">
        <v>909</v>
      </c>
      <c r="F197" s="73">
        <v>0</v>
      </c>
      <c r="G197" s="73" t="s">
        <v>1054</v>
      </c>
      <c r="H197" s="72" t="s">
        <v>845</v>
      </c>
      <c r="I197" s="72" t="s">
        <v>910</v>
      </c>
      <c r="J197" s="72" t="s">
        <v>356</v>
      </c>
      <c r="K197" s="72" t="s">
        <v>382</v>
      </c>
      <c r="L197" s="72" t="s">
        <v>887</v>
      </c>
      <c r="M197" s="72" t="s">
        <v>388</v>
      </c>
      <c r="N197" s="72" t="s">
        <v>43</v>
      </c>
      <c r="O197" s="72" t="s">
        <v>541</v>
      </c>
      <c r="P197" s="72" t="s">
        <v>978</v>
      </c>
      <c r="Q197" s="72" t="s">
        <v>987</v>
      </c>
      <c r="R197" s="72" t="s">
        <v>60</v>
      </c>
      <c r="T197" s="72" t="s">
        <v>911</v>
      </c>
      <c r="U197" s="72" t="s">
        <v>914</v>
      </c>
      <c r="V197" s="60" t="str">
        <f t="shared" si="27"/>
        <v>11579473камуфляж / черный</v>
      </c>
      <c r="W197" s="60" t="str">
        <f t="shared" si="24"/>
        <v>11579473</v>
      </c>
      <c r="X197" s="60" t="str">
        <f t="shared" si="28"/>
        <v>New York Yankees MLB</v>
      </c>
      <c r="AC197" s="51">
        <f t="shared" si="29"/>
        <v>96</v>
      </c>
      <c r="AD197" s="44">
        <f t="shared" si="30"/>
        <v>167</v>
      </c>
      <c r="AE197" s="51">
        <f t="shared" si="31"/>
        <v>96167</v>
      </c>
    </row>
    <row r="198" spans="1:31">
      <c r="A198" s="60" t="str">
        <f t="shared" si="25"/>
        <v>11576724navy</v>
      </c>
      <c r="B198" s="60" t="str">
        <f t="shared" si="26"/>
        <v>96-166-16</v>
      </c>
      <c r="C198" s="72" t="s">
        <v>1055</v>
      </c>
      <c r="D198" s="72" t="s">
        <v>1056</v>
      </c>
      <c r="E198" s="72" t="s">
        <v>909</v>
      </c>
      <c r="F198" s="73">
        <v>0</v>
      </c>
      <c r="G198" s="73">
        <v>11576724</v>
      </c>
      <c r="H198" s="72" t="s">
        <v>55</v>
      </c>
      <c r="I198" s="72" t="s">
        <v>918</v>
      </c>
      <c r="J198" s="72" t="s">
        <v>327</v>
      </c>
      <c r="K198" s="72" t="s">
        <v>382</v>
      </c>
      <c r="L198" s="72" t="s">
        <v>887</v>
      </c>
      <c r="M198" s="72" t="s">
        <v>388</v>
      </c>
      <c r="O198" s="72" t="s">
        <v>541</v>
      </c>
      <c r="P198" s="72" t="s">
        <v>978</v>
      </c>
      <c r="Q198" s="72" t="s">
        <v>1057</v>
      </c>
      <c r="R198" s="72" t="s">
        <v>71</v>
      </c>
      <c r="V198" s="60" t="str">
        <f t="shared" si="27"/>
        <v>11576724темно-синий</v>
      </c>
      <c r="W198" s="60" t="str">
        <f t="shared" si="24"/>
        <v>11576724</v>
      </c>
      <c r="X198" s="60" t="str">
        <f t="shared" si="28"/>
        <v/>
      </c>
      <c r="AC198" s="51">
        <f t="shared" si="29"/>
        <v>96</v>
      </c>
      <c r="AD198" s="44">
        <f t="shared" si="30"/>
        <v>166</v>
      </c>
      <c r="AE198" s="51">
        <f t="shared" si="31"/>
        <v>96166</v>
      </c>
    </row>
    <row r="199" spans="1:31">
      <c r="A199" s="60" t="str">
        <f t="shared" si="25"/>
        <v>11405614otc</v>
      </c>
      <c r="B199" s="60" t="str">
        <f t="shared" si="26"/>
        <v>96-165-09</v>
      </c>
      <c r="C199" s="72" t="s">
        <v>1058</v>
      </c>
      <c r="D199" s="72" t="s">
        <v>1059</v>
      </c>
      <c r="E199" s="72" t="s">
        <v>909</v>
      </c>
      <c r="F199" s="73">
        <v>0</v>
      </c>
      <c r="G199" s="73" t="s">
        <v>1060</v>
      </c>
      <c r="H199" s="72" t="s">
        <v>53</v>
      </c>
      <c r="I199" s="72" t="s">
        <v>918</v>
      </c>
      <c r="J199" s="72" t="s">
        <v>327</v>
      </c>
      <c r="K199" s="72" t="s">
        <v>382</v>
      </c>
      <c r="L199" s="72" t="s">
        <v>887</v>
      </c>
      <c r="M199" s="72" t="s">
        <v>388</v>
      </c>
      <c r="O199" s="72" t="s">
        <v>541</v>
      </c>
      <c r="P199" s="72" t="s">
        <v>978</v>
      </c>
      <c r="Q199" s="72" t="s">
        <v>993</v>
      </c>
      <c r="R199" s="72" t="s">
        <v>53</v>
      </c>
      <c r="T199" s="72" t="s">
        <v>1061</v>
      </c>
      <c r="U199" s="72" t="s">
        <v>1062</v>
      </c>
      <c r="V199" s="60" t="str">
        <f t="shared" si="27"/>
        <v>11405614черный</v>
      </c>
      <c r="W199" s="60" t="str">
        <f t="shared" si="24"/>
        <v>11405614</v>
      </c>
      <c r="X199" s="60" t="str">
        <f t="shared" si="28"/>
        <v>Chicago Bulls NBA</v>
      </c>
      <c r="AC199" s="51">
        <f t="shared" si="29"/>
        <v>96</v>
      </c>
      <c r="AD199" s="44">
        <f t="shared" si="30"/>
        <v>165</v>
      </c>
      <c r="AE199" s="51">
        <f t="shared" si="31"/>
        <v>96165</v>
      </c>
    </row>
    <row r="200" spans="1:31">
      <c r="A200" s="60" t="str">
        <f t="shared" si="25"/>
        <v>11405497lrywhi</v>
      </c>
      <c r="B200" s="60" t="str">
        <f t="shared" si="26"/>
        <v>96-164-95</v>
      </c>
      <c r="C200" s="72" t="s">
        <v>1063</v>
      </c>
      <c r="D200" s="72" t="s">
        <v>1064</v>
      </c>
      <c r="E200" s="72" t="s">
        <v>909</v>
      </c>
      <c r="F200" s="73">
        <v>0</v>
      </c>
      <c r="G200" s="73" t="s">
        <v>1065</v>
      </c>
      <c r="H200" s="72" t="s">
        <v>248</v>
      </c>
      <c r="I200" s="72" t="s">
        <v>910</v>
      </c>
      <c r="J200" s="72" t="s">
        <v>356</v>
      </c>
      <c r="K200" s="72" t="s">
        <v>382</v>
      </c>
      <c r="L200" s="72" t="s">
        <v>887</v>
      </c>
      <c r="M200" s="72" t="s">
        <v>388</v>
      </c>
      <c r="N200" s="72" t="s">
        <v>43</v>
      </c>
      <c r="O200" s="72" t="s">
        <v>541</v>
      </c>
      <c r="P200" s="72" t="s">
        <v>978</v>
      </c>
      <c r="Q200" s="72" t="s">
        <v>1066</v>
      </c>
      <c r="R200" s="72" t="s">
        <v>71</v>
      </c>
      <c r="T200" s="72" t="s">
        <v>911</v>
      </c>
      <c r="U200" s="72" t="s">
        <v>912</v>
      </c>
      <c r="V200" s="60" t="str">
        <f t="shared" si="27"/>
        <v>11405497синий / белый</v>
      </c>
      <c r="W200" s="60" t="str">
        <f t="shared" si="24"/>
        <v>11405497</v>
      </c>
      <c r="X200" s="60" t="str">
        <f t="shared" si="28"/>
        <v>Los Angeles Dodgers MLB</v>
      </c>
      <c r="AC200" s="51">
        <f t="shared" si="29"/>
        <v>96</v>
      </c>
      <c r="AD200" s="44">
        <f t="shared" si="30"/>
        <v>164</v>
      </c>
      <c r="AE200" s="51">
        <f t="shared" si="31"/>
        <v>96164</v>
      </c>
    </row>
    <row r="201" spans="1:31">
      <c r="A201" s="60" t="str">
        <f t="shared" si="25"/>
        <v>11180834blkblk</v>
      </c>
      <c r="B201" s="60" t="str">
        <f t="shared" si="26"/>
        <v>96-163-09</v>
      </c>
      <c r="C201" s="72" t="s">
        <v>1067</v>
      </c>
      <c r="D201" s="72" t="s">
        <v>1068</v>
      </c>
      <c r="E201" s="72" t="s">
        <v>1038</v>
      </c>
      <c r="F201" s="73">
        <v>58</v>
      </c>
      <c r="G201" s="73" t="s">
        <v>1069</v>
      </c>
      <c r="H201" s="72" t="s">
        <v>53</v>
      </c>
      <c r="I201" s="72" t="s">
        <v>910</v>
      </c>
      <c r="J201" s="72" t="s">
        <v>783</v>
      </c>
      <c r="K201" s="72" t="s">
        <v>382</v>
      </c>
      <c r="L201" s="72" t="s">
        <v>887</v>
      </c>
      <c r="M201" s="72" t="s">
        <v>388</v>
      </c>
      <c r="N201" s="72" t="s">
        <v>43</v>
      </c>
      <c r="O201" s="72" t="s">
        <v>541</v>
      </c>
      <c r="P201" s="72" t="s">
        <v>978</v>
      </c>
      <c r="Q201" s="72" t="s">
        <v>997</v>
      </c>
      <c r="R201" s="72" t="s">
        <v>53</v>
      </c>
      <c r="T201" s="72" t="s">
        <v>911</v>
      </c>
      <c r="U201" s="72" t="s">
        <v>914</v>
      </c>
      <c r="V201" s="60" t="str">
        <f t="shared" si="27"/>
        <v>11180834черный</v>
      </c>
      <c r="W201" s="60" t="str">
        <f t="shared" si="24"/>
        <v>11180834</v>
      </c>
      <c r="X201" s="60" t="str">
        <f t="shared" si="28"/>
        <v>New York Yankees MLB</v>
      </c>
      <c r="AC201" s="51">
        <f t="shared" si="29"/>
        <v>96</v>
      </c>
      <c r="AD201" s="44">
        <f t="shared" si="30"/>
        <v>163</v>
      </c>
      <c r="AE201" s="51">
        <f t="shared" si="31"/>
        <v>96163</v>
      </c>
    </row>
    <row r="202" spans="1:31">
      <c r="A202" s="60" t="str">
        <f t="shared" si="25"/>
        <v>11180834blkblk</v>
      </c>
      <c r="B202" s="60" t="str">
        <f t="shared" si="26"/>
        <v>96-163-09</v>
      </c>
      <c r="C202" s="72" t="s">
        <v>1070</v>
      </c>
      <c r="D202" s="72" t="s">
        <v>1068</v>
      </c>
      <c r="E202" s="72" t="s">
        <v>1043</v>
      </c>
      <c r="F202" s="73">
        <v>56</v>
      </c>
      <c r="G202" s="73" t="s">
        <v>1069</v>
      </c>
      <c r="H202" s="72" t="s">
        <v>53</v>
      </c>
      <c r="I202" s="72" t="s">
        <v>910</v>
      </c>
      <c r="J202" s="72" t="s">
        <v>783</v>
      </c>
      <c r="K202" s="72" t="s">
        <v>382</v>
      </c>
      <c r="L202" s="72" t="s">
        <v>887</v>
      </c>
      <c r="M202" s="72" t="s">
        <v>388</v>
      </c>
      <c r="N202" s="72" t="s">
        <v>43</v>
      </c>
      <c r="O202" s="72" t="s">
        <v>541</v>
      </c>
      <c r="P202" s="72" t="s">
        <v>978</v>
      </c>
      <c r="Q202" s="72" t="s">
        <v>997</v>
      </c>
      <c r="R202" s="72" t="s">
        <v>53</v>
      </c>
      <c r="T202" s="72" t="s">
        <v>911</v>
      </c>
      <c r="U202" s="72" t="s">
        <v>914</v>
      </c>
      <c r="V202" s="60" t="str">
        <f t="shared" si="27"/>
        <v>11180834черный</v>
      </c>
      <c r="W202" s="60" t="str">
        <f t="shared" si="24"/>
        <v>11180834</v>
      </c>
      <c r="X202" s="60" t="str">
        <f t="shared" si="28"/>
        <v>New York Yankees MLB</v>
      </c>
      <c r="AC202" s="51">
        <f t="shared" si="29"/>
        <v>96</v>
      </c>
      <c r="AD202" s="44">
        <f t="shared" si="30"/>
        <v>163</v>
      </c>
      <c r="AE202" s="51">
        <f t="shared" si="31"/>
        <v>96163</v>
      </c>
    </row>
    <row r="203" spans="1:31">
      <c r="A203" s="60" t="str">
        <f t="shared" si="25"/>
        <v>11157579lrywhi</v>
      </c>
      <c r="B203" s="60" t="str">
        <f t="shared" si="26"/>
        <v>96-162-06</v>
      </c>
      <c r="C203" s="72" t="s">
        <v>1071</v>
      </c>
      <c r="D203" s="72" t="s">
        <v>1072</v>
      </c>
      <c r="E203" s="72" t="s">
        <v>909</v>
      </c>
      <c r="F203" s="73">
        <v>0</v>
      </c>
      <c r="G203" s="73" t="s">
        <v>1073</v>
      </c>
      <c r="H203" s="72" t="s">
        <v>71</v>
      </c>
      <c r="I203" s="72" t="s">
        <v>910</v>
      </c>
      <c r="J203" s="72" t="s">
        <v>327</v>
      </c>
      <c r="K203" s="72" t="s">
        <v>382</v>
      </c>
      <c r="L203" s="72" t="s">
        <v>887</v>
      </c>
      <c r="M203" s="72" t="s">
        <v>388</v>
      </c>
      <c r="N203" s="72" t="s">
        <v>43</v>
      </c>
      <c r="O203" s="72" t="s">
        <v>541</v>
      </c>
      <c r="P203" s="72" t="s">
        <v>978</v>
      </c>
      <c r="Q203" s="72" t="s">
        <v>1066</v>
      </c>
      <c r="R203" s="72" t="s">
        <v>71</v>
      </c>
      <c r="T203" s="72" t="s">
        <v>911</v>
      </c>
      <c r="U203" s="72" t="s">
        <v>914</v>
      </c>
      <c r="V203" s="60" t="str">
        <f t="shared" si="27"/>
        <v>11157579синий</v>
      </c>
      <c r="W203" s="60" t="str">
        <f t="shared" si="24"/>
        <v>11157579</v>
      </c>
      <c r="X203" s="60" t="str">
        <f t="shared" si="28"/>
        <v>New York Yankees MLB</v>
      </c>
      <c r="AC203" s="51">
        <f t="shared" si="29"/>
        <v>96</v>
      </c>
      <c r="AD203" s="44">
        <f t="shared" si="30"/>
        <v>162</v>
      </c>
      <c r="AE203" s="51">
        <f t="shared" si="31"/>
        <v>96162</v>
      </c>
    </row>
    <row r="204" spans="1:31">
      <c r="A204" s="60" t="str">
        <f t="shared" si="25"/>
        <v>11157578whi</v>
      </c>
      <c r="B204" s="60" t="str">
        <f t="shared" si="26"/>
        <v>96-161-34</v>
      </c>
      <c r="C204" s="72" t="s">
        <v>1074</v>
      </c>
      <c r="D204" s="72" t="s">
        <v>1075</v>
      </c>
      <c r="E204" s="72" t="s">
        <v>909</v>
      </c>
      <c r="F204" s="73">
        <v>0</v>
      </c>
      <c r="G204" s="73" t="s">
        <v>1076</v>
      </c>
      <c r="H204" s="72" t="s">
        <v>68</v>
      </c>
      <c r="I204" s="72" t="s">
        <v>910</v>
      </c>
      <c r="J204" s="72" t="s">
        <v>327</v>
      </c>
      <c r="K204" s="72" t="s">
        <v>387</v>
      </c>
      <c r="L204" s="72" t="s">
        <v>887</v>
      </c>
      <c r="M204" s="72" t="s">
        <v>388</v>
      </c>
      <c r="N204" s="72" t="s">
        <v>43</v>
      </c>
      <c r="O204" s="72" t="s">
        <v>541</v>
      </c>
      <c r="P204" s="72" t="s">
        <v>978</v>
      </c>
      <c r="Q204" s="72" t="s">
        <v>983</v>
      </c>
      <c r="R204" s="72" t="s">
        <v>68</v>
      </c>
      <c r="T204" s="72" t="s">
        <v>911</v>
      </c>
      <c r="U204" s="72" t="s">
        <v>914</v>
      </c>
      <c r="V204" s="60" t="str">
        <f t="shared" si="27"/>
        <v>11157578розовый</v>
      </c>
      <c r="W204" s="60" t="str">
        <f t="shared" si="24"/>
        <v>11157578</v>
      </c>
      <c r="X204" s="60" t="str">
        <f t="shared" si="28"/>
        <v>New York Yankees MLB</v>
      </c>
      <c r="AC204" s="51">
        <f t="shared" si="29"/>
        <v>96</v>
      </c>
      <c r="AD204" s="44">
        <f t="shared" si="30"/>
        <v>161</v>
      </c>
      <c r="AE204" s="51">
        <f t="shared" si="31"/>
        <v>96161</v>
      </c>
    </row>
    <row r="205" spans="1:31">
      <c r="A205" s="60" t="str">
        <f t="shared" si="25"/>
        <v>10879529blk</v>
      </c>
      <c r="B205" s="60" t="str">
        <f t="shared" si="26"/>
        <v>96-160-10</v>
      </c>
      <c r="C205" s="72" t="s">
        <v>1077</v>
      </c>
      <c r="D205" s="72" t="s">
        <v>1078</v>
      </c>
      <c r="E205" s="72" t="s">
        <v>1038</v>
      </c>
      <c r="F205" s="73">
        <v>58</v>
      </c>
      <c r="G205" s="73" t="s">
        <v>1079</v>
      </c>
      <c r="H205" s="72" t="s">
        <v>308</v>
      </c>
      <c r="I205" s="72" t="s">
        <v>910</v>
      </c>
      <c r="J205" s="72" t="s">
        <v>783</v>
      </c>
      <c r="K205" s="72" t="s">
        <v>382</v>
      </c>
      <c r="L205" s="72" t="s">
        <v>887</v>
      </c>
      <c r="M205" s="72" t="s">
        <v>388</v>
      </c>
      <c r="N205" s="72" t="s">
        <v>43</v>
      </c>
      <c r="O205" s="72" t="s">
        <v>541</v>
      </c>
      <c r="P205" s="72" t="s">
        <v>978</v>
      </c>
      <c r="Q205" s="72" t="s">
        <v>987</v>
      </c>
      <c r="R205" s="72" t="s">
        <v>53</v>
      </c>
      <c r="T205" s="72" t="s">
        <v>1080</v>
      </c>
      <c r="U205" s="72" t="s">
        <v>1081</v>
      </c>
      <c r="V205" s="60" t="str">
        <f t="shared" si="27"/>
        <v>10879529черный / серый</v>
      </c>
      <c r="W205" s="60" t="str">
        <f t="shared" si="24"/>
        <v>10879529</v>
      </c>
      <c r="X205" s="60" t="str">
        <f t="shared" si="28"/>
        <v>Las Vegas Raiders NFL</v>
      </c>
      <c r="AC205" s="51">
        <f t="shared" si="29"/>
        <v>96</v>
      </c>
      <c r="AD205" s="44">
        <f t="shared" si="30"/>
        <v>160</v>
      </c>
      <c r="AE205" s="51">
        <f t="shared" si="31"/>
        <v>96160</v>
      </c>
    </row>
    <row r="206" spans="1:31">
      <c r="A206" s="60" t="str">
        <f t="shared" si="25"/>
        <v>10879529blk</v>
      </c>
      <c r="B206" s="60" t="str">
        <f t="shared" si="26"/>
        <v>96-160-10</v>
      </c>
      <c r="C206" s="72" t="s">
        <v>1082</v>
      </c>
      <c r="D206" s="72" t="s">
        <v>1078</v>
      </c>
      <c r="E206" s="72" t="s">
        <v>1043</v>
      </c>
      <c r="F206" s="73">
        <v>56</v>
      </c>
      <c r="G206" s="73" t="s">
        <v>1079</v>
      </c>
      <c r="H206" s="72" t="s">
        <v>308</v>
      </c>
      <c r="I206" s="72" t="s">
        <v>910</v>
      </c>
      <c r="J206" s="72" t="s">
        <v>783</v>
      </c>
      <c r="K206" s="72" t="s">
        <v>382</v>
      </c>
      <c r="L206" s="72" t="s">
        <v>887</v>
      </c>
      <c r="M206" s="72" t="s">
        <v>388</v>
      </c>
      <c r="N206" s="72" t="s">
        <v>43</v>
      </c>
      <c r="O206" s="72" t="s">
        <v>541</v>
      </c>
      <c r="P206" s="72" t="s">
        <v>978</v>
      </c>
      <c r="Q206" s="72" t="s">
        <v>987</v>
      </c>
      <c r="R206" s="72" t="s">
        <v>53</v>
      </c>
      <c r="T206" s="72" t="s">
        <v>1080</v>
      </c>
      <c r="U206" s="72" t="s">
        <v>1081</v>
      </c>
      <c r="V206" s="60" t="str">
        <f t="shared" si="27"/>
        <v>10879529черный / серый</v>
      </c>
      <c r="W206" s="60" t="str">
        <f t="shared" si="24"/>
        <v>10879529</v>
      </c>
      <c r="X206" s="60" t="str">
        <f t="shared" si="28"/>
        <v>Las Vegas Raiders NFL</v>
      </c>
      <c r="AC206" s="51">
        <f t="shared" si="29"/>
        <v>96</v>
      </c>
      <c r="AD206" s="44">
        <f t="shared" si="30"/>
        <v>160</v>
      </c>
      <c r="AE206" s="51">
        <f t="shared" si="31"/>
        <v>96160</v>
      </c>
    </row>
    <row r="207" spans="1:31">
      <c r="A207" s="60" t="str">
        <f t="shared" si="25"/>
        <v>10531956team</v>
      </c>
      <c r="B207" s="60" t="str">
        <f t="shared" si="26"/>
        <v>96-159-09</v>
      </c>
      <c r="C207" s="72" t="s">
        <v>1083</v>
      </c>
      <c r="D207" s="72" t="s">
        <v>1084</v>
      </c>
      <c r="E207" s="72" t="s">
        <v>1038</v>
      </c>
      <c r="F207" s="73">
        <v>58</v>
      </c>
      <c r="G207" s="73" t="s">
        <v>1085</v>
      </c>
      <c r="H207" s="72" t="s">
        <v>55</v>
      </c>
      <c r="I207" s="72" t="s">
        <v>910</v>
      </c>
      <c r="J207" s="72" t="s">
        <v>783</v>
      </c>
      <c r="K207" s="72" t="s">
        <v>382</v>
      </c>
      <c r="L207" s="72" t="s">
        <v>887</v>
      </c>
      <c r="M207" s="72" t="s">
        <v>388</v>
      </c>
      <c r="N207" s="72" t="s">
        <v>43</v>
      </c>
      <c r="O207" s="72" t="s">
        <v>541</v>
      </c>
      <c r="P207" s="72" t="s">
        <v>978</v>
      </c>
      <c r="Q207" s="72" t="s">
        <v>1086</v>
      </c>
      <c r="R207" s="72" t="s">
        <v>71</v>
      </c>
      <c r="T207" s="72" t="s">
        <v>911</v>
      </c>
      <c r="U207" s="72" t="s">
        <v>915</v>
      </c>
      <c r="V207" s="60" t="str">
        <f t="shared" si="27"/>
        <v>10531956темно-синий</v>
      </c>
      <c r="W207" s="60" t="str">
        <f t="shared" si="24"/>
        <v>10531956</v>
      </c>
      <c r="X207" s="60" t="str">
        <f t="shared" si="28"/>
        <v>Boston Red Sox MLB</v>
      </c>
      <c r="AC207" s="51">
        <f t="shared" si="29"/>
        <v>96</v>
      </c>
      <c r="AD207" s="44">
        <f t="shared" si="30"/>
        <v>159</v>
      </c>
      <c r="AE207" s="51">
        <f t="shared" si="31"/>
        <v>96159</v>
      </c>
    </row>
    <row r="208" spans="1:31">
      <c r="A208" s="60" t="str">
        <f t="shared" si="25"/>
        <v>10531956team</v>
      </c>
      <c r="B208" s="60" t="str">
        <f t="shared" si="26"/>
        <v>96-159-09</v>
      </c>
      <c r="C208" s="72" t="s">
        <v>1087</v>
      </c>
      <c r="D208" s="72" t="s">
        <v>1084</v>
      </c>
      <c r="E208" s="72" t="s">
        <v>1043</v>
      </c>
      <c r="F208" s="73">
        <v>56</v>
      </c>
      <c r="G208" s="73" t="s">
        <v>1085</v>
      </c>
      <c r="H208" s="72" t="s">
        <v>55</v>
      </c>
      <c r="I208" s="72" t="s">
        <v>910</v>
      </c>
      <c r="J208" s="72" t="s">
        <v>783</v>
      </c>
      <c r="K208" s="72" t="s">
        <v>382</v>
      </c>
      <c r="L208" s="72" t="s">
        <v>887</v>
      </c>
      <c r="M208" s="72" t="s">
        <v>388</v>
      </c>
      <c r="N208" s="72" t="s">
        <v>43</v>
      </c>
      <c r="O208" s="72" t="s">
        <v>541</v>
      </c>
      <c r="P208" s="72" t="s">
        <v>978</v>
      </c>
      <c r="Q208" s="72" t="s">
        <v>1086</v>
      </c>
      <c r="R208" s="72" t="s">
        <v>71</v>
      </c>
      <c r="T208" s="72" t="s">
        <v>911</v>
      </c>
      <c r="U208" s="72" t="s">
        <v>915</v>
      </c>
      <c r="V208" s="60" t="str">
        <f t="shared" si="27"/>
        <v>10531956темно-синий</v>
      </c>
      <c r="W208" s="60" t="str">
        <f t="shared" si="24"/>
        <v>10531956</v>
      </c>
      <c r="X208" s="60" t="str">
        <f t="shared" si="28"/>
        <v>Boston Red Sox MLB</v>
      </c>
      <c r="AC208" s="51">
        <f t="shared" si="29"/>
        <v>96</v>
      </c>
      <c r="AD208" s="44">
        <f t="shared" si="30"/>
        <v>159</v>
      </c>
      <c r="AE208" s="51">
        <f t="shared" si="31"/>
        <v>96159</v>
      </c>
    </row>
    <row r="209" spans="1:31">
      <c r="A209" s="60" t="str">
        <f t="shared" si="25"/>
        <v>10531953nvywhi</v>
      </c>
      <c r="B209" s="60" t="str">
        <f t="shared" si="26"/>
        <v>96-158-16</v>
      </c>
      <c r="C209" s="72" t="s">
        <v>1088</v>
      </c>
      <c r="D209" s="72" t="s">
        <v>1089</v>
      </c>
      <c r="E209" s="72" t="s">
        <v>1038</v>
      </c>
      <c r="F209" s="73">
        <v>58</v>
      </c>
      <c r="G209" s="73" t="s">
        <v>1090</v>
      </c>
      <c r="H209" s="72" t="s">
        <v>55</v>
      </c>
      <c r="I209" s="72" t="s">
        <v>910</v>
      </c>
      <c r="J209" s="72" t="s">
        <v>783</v>
      </c>
      <c r="K209" s="72" t="s">
        <v>382</v>
      </c>
      <c r="L209" s="72" t="s">
        <v>887</v>
      </c>
      <c r="M209" s="72" t="s">
        <v>388</v>
      </c>
      <c r="N209" s="72" t="s">
        <v>43</v>
      </c>
      <c r="O209" s="72" t="s">
        <v>541</v>
      </c>
      <c r="P209" s="72" t="s">
        <v>978</v>
      </c>
      <c r="Q209" s="72" t="s">
        <v>1091</v>
      </c>
      <c r="R209" s="72" t="s">
        <v>71</v>
      </c>
      <c r="T209" s="72" t="s">
        <v>911</v>
      </c>
      <c r="U209" s="72" t="s">
        <v>914</v>
      </c>
      <c r="V209" s="60" t="str">
        <f t="shared" si="27"/>
        <v>10531953темно-синий</v>
      </c>
      <c r="W209" s="60" t="str">
        <f t="shared" si="24"/>
        <v>10531953</v>
      </c>
      <c r="X209" s="60" t="str">
        <f t="shared" si="28"/>
        <v>New York Yankees MLB</v>
      </c>
      <c r="AC209" s="51">
        <f t="shared" si="29"/>
        <v>96</v>
      </c>
      <c r="AD209" s="44">
        <f t="shared" si="30"/>
        <v>158</v>
      </c>
      <c r="AE209" s="51">
        <f t="shared" si="31"/>
        <v>96158</v>
      </c>
    </row>
    <row r="210" spans="1:31">
      <c r="A210" s="60" t="str">
        <f t="shared" si="25"/>
        <v>10531953nvywhi</v>
      </c>
      <c r="B210" s="60" t="str">
        <f t="shared" si="26"/>
        <v>96-158-16</v>
      </c>
      <c r="C210" s="72" t="s">
        <v>1092</v>
      </c>
      <c r="D210" s="72" t="s">
        <v>1089</v>
      </c>
      <c r="E210" s="72" t="s">
        <v>1043</v>
      </c>
      <c r="F210" s="73">
        <v>56</v>
      </c>
      <c r="G210" s="73" t="s">
        <v>1090</v>
      </c>
      <c r="H210" s="72" t="s">
        <v>55</v>
      </c>
      <c r="I210" s="72" t="s">
        <v>910</v>
      </c>
      <c r="J210" s="72" t="s">
        <v>783</v>
      </c>
      <c r="K210" s="72" t="s">
        <v>382</v>
      </c>
      <c r="L210" s="72" t="s">
        <v>887</v>
      </c>
      <c r="M210" s="72" t="s">
        <v>388</v>
      </c>
      <c r="N210" s="72" t="s">
        <v>43</v>
      </c>
      <c r="O210" s="72" t="s">
        <v>541</v>
      </c>
      <c r="P210" s="72" t="s">
        <v>978</v>
      </c>
      <c r="Q210" s="72" t="s">
        <v>1091</v>
      </c>
      <c r="R210" s="72" t="s">
        <v>71</v>
      </c>
      <c r="T210" s="72" t="s">
        <v>911</v>
      </c>
      <c r="U210" s="72" t="s">
        <v>914</v>
      </c>
      <c r="V210" s="60" t="str">
        <f t="shared" si="27"/>
        <v>10531953темно-синий</v>
      </c>
      <c r="W210" s="60" t="str">
        <f t="shared" si="24"/>
        <v>10531953</v>
      </c>
      <c r="X210" s="60" t="str">
        <f t="shared" si="28"/>
        <v>New York Yankees MLB</v>
      </c>
      <c r="AC210" s="51">
        <f t="shared" si="29"/>
        <v>96</v>
      </c>
      <c r="AD210" s="44">
        <f t="shared" si="30"/>
        <v>158</v>
      </c>
      <c r="AE210" s="51">
        <f t="shared" si="31"/>
        <v>96158</v>
      </c>
    </row>
    <row r="211" spans="1:31">
      <c r="A211" s="60" t="str">
        <f t="shared" si="25"/>
        <v>10531941blkwhi</v>
      </c>
      <c r="B211" s="60" t="str">
        <f t="shared" si="26"/>
        <v>96-157-09</v>
      </c>
      <c r="C211" s="72" t="s">
        <v>1093</v>
      </c>
      <c r="D211" s="72" t="s">
        <v>1094</v>
      </c>
      <c r="E211" s="72" t="s">
        <v>909</v>
      </c>
      <c r="F211" s="73">
        <v>0</v>
      </c>
      <c r="G211" s="73" t="s">
        <v>1095</v>
      </c>
      <c r="H211" s="72" t="s">
        <v>53</v>
      </c>
      <c r="I211" s="72" t="s">
        <v>910</v>
      </c>
      <c r="J211" s="72" t="s">
        <v>327</v>
      </c>
      <c r="K211" s="72" t="s">
        <v>382</v>
      </c>
      <c r="L211" s="72" t="s">
        <v>887</v>
      </c>
      <c r="M211" s="72" t="s">
        <v>388</v>
      </c>
      <c r="N211" s="72" t="s">
        <v>43</v>
      </c>
      <c r="O211" s="72" t="s">
        <v>541</v>
      </c>
      <c r="P211" s="72" t="s">
        <v>978</v>
      </c>
      <c r="Q211" s="72" t="s">
        <v>1028</v>
      </c>
      <c r="R211" s="72" t="s">
        <v>53</v>
      </c>
      <c r="T211" s="72" t="s">
        <v>911</v>
      </c>
      <c r="U211" s="72" t="s">
        <v>914</v>
      </c>
      <c r="V211" s="60" t="str">
        <f t="shared" si="27"/>
        <v>10531941черный</v>
      </c>
      <c r="W211" s="60" t="str">
        <f t="shared" si="24"/>
        <v>10531941</v>
      </c>
      <c r="X211" s="60" t="str">
        <f t="shared" si="28"/>
        <v>New York Yankees MLB</v>
      </c>
      <c r="AC211" s="51">
        <f t="shared" si="29"/>
        <v>96</v>
      </c>
      <c r="AD211" s="44">
        <f t="shared" si="30"/>
        <v>157</v>
      </c>
      <c r="AE211" s="51">
        <f t="shared" si="31"/>
        <v>96157</v>
      </c>
    </row>
    <row r="212" spans="1:31">
      <c r="A212" s="60" t="str">
        <f t="shared" si="25"/>
        <v>10531939nvywhi</v>
      </c>
      <c r="B212" s="60" t="str">
        <f t="shared" si="26"/>
        <v>96-156-16</v>
      </c>
      <c r="C212" s="72" t="s">
        <v>1096</v>
      </c>
      <c r="D212" s="72" t="s">
        <v>1097</v>
      </c>
      <c r="E212" s="72" t="s">
        <v>909</v>
      </c>
      <c r="F212" s="73">
        <v>0</v>
      </c>
      <c r="G212" s="73" t="s">
        <v>1098</v>
      </c>
      <c r="H212" s="72" t="s">
        <v>55</v>
      </c>
      <c r="I212" s="72" t="s">
        <v>910</v>
      </c>
      <c r="J212" s="72" t="s">
        <v>327</v>
      </c>
      <c r="K212" s="72" t="s">
        <v>382</v>
      </c>
      <c r="L212" s="72" t="s">
        <v>887</v>
      </c>
      <c r="M212" s="72" t="s">
        <v>388</v>
      </c>
      <c r="N212" s="72" t="s">
        <v>43</v>
      </c>
      <c r="O212" s="72" t="s">
        <v>541</v>
      </c>
      <c r="P212" s="72" t="s">
        <v>978</v>
      </c>
      <c r="Q212" s="72" t="s">
        <v>1091</v>
      </c>
      <c r="R212" s="72" t="s">
        <v>71</v>
      </c>
      <c r="T212" s="72" t="s">
        <v>911</v>
      </c>
      <c r="U212" s="72" t="s">
        <v>914</v>
      </c>
      <c r="V212" s="60" t="str">
        <f t="shared" si="27"/>
        <v>10531939темно-синий</v>
      </c>
      <c r="W212" s="60" t="str">
        <f t="shared" si="24"/>
        <v>10531939</v>
      </c>
      <c r="X212" s="60" t="str">
        <f t="shared" si="28"/>
        <v>New York Yankees MLB</v>
      </c>
      <c r="AC212" s="51">
        <f t="shared" si="29"/>
        <v>96</v>
      </c>
      <c r="AD212" s="44">
        <f t="shared" si="30"/>
        <v>156</v>
      </c>
      <c r="AE212" s="51">
        <f t="shared" si="31"/>
        <v>96156</v>
      </c>
    </row>
    <row r="213" spans="1:31">
      <c r="A213" s="60" t="str">
        <f t="shared" si="25"/>
        <v>10145638blawht</v>
      </c>
      <c r="B213" s="60" t="str">
        <f t="shared" si="26"/>
        <v>96-155-06</v>
      </c>
      <c r="C213" s="72" t="s">
        <v>1099</v>
      </c>
      <c r="D213" s="72" t="s">
        <v>1654</v>
      </c>
      <c r="E213" s="72" t="s">
        <v>1038</v>
      </c>
      <c r="F213" s="73">
        <v>58</v>
      </c>
      <c r="G213" s="73" t="s">
        <v>1100</v>
      </c>
      <c r="H213" s="72" t="s">
        <v>53</v>
      </c>
      <c r="I213" s="72" t="s">
        <v>1101</v>
      </c>
      <c r="J213" s="72" t="s">
        <v>327</v>
      </c>
      <c r="K213" s="72" t="s">
        <v>382</v>
      </c>
      <c r="L213" s="72" t="s">
        <v>887</v>
      </c>
      <c r="M213" s="72" t="s">
        <v>388</v>
      </c>
      <c r="N213" s="72" t="s">
        <v>43</v>
      </c>
      <c r="O213" s="72" t="s">
        <v>541</v>
      </c>
      <c r="P213" s="72" t="s">
        <v>978</v>
      </c>
      <c r="Q213" s="72" t="s">
        <v>1102</v>
      </c>
      <c r="R213" s="72" t="s">
        <v>53</v>
      </c>
      <c r="T213" s="72" t="s">
        <v>911</v>
      </c>
      <c r="U213" s="72" t="s">
        <v>914</v>
      </c>
      <c r="V213" s="60" t="str">
        <f t="shared" si="27"/>
        <v>10145638черный</v>
      </c>
      <c r="W213" s="60" t="str">
        <f t="shared" si="24"/>
        <v>10145638</v>
      </c>
      <c r="X213" s="60" t="str">
        <f t="shared" si="28"/>
        <v>New York Yankees MLB</v>
      </c>
      <c r="AC213" s="51">
        <f t="shared" si="29"/>
        <v>96</v>
      </c>
      <c r="AD213" s="44">
        <f t="shared" si="30"/>
        <v>155</v>
      </c>
      <c r="AE213" s="51">
        <f t="shared" si="31"/>
        <v>96155</v>
      </c>
    </row>
    <row r="214" spans="1:31">
      <c r="A214" s="60" t="str">
        <f t="shared" si="25"/>
        <v>10145638blawht</v>
      </c>
      <c r="B214" s="60" t="str">
        <f t="shared" si="26"/>
        <v>96-155-06</v>
      </c>
      <c r="C214" s="72" t="s">
        <v>1103</v>
      </c>
      <c r="D214" s="72" t="s">
        <v>1654</v>
      </c>
      <c r="E214" s="72" t="s">
        <v>1043</v>
      </c>
      <c r="F214" s="73">
        <v>56</v>
      </c>
      <c r="G214" s="73" t="s">
        <v>1100</v>
      </c>
      <c r="H214" s="72" t="s">
        <v>53</v>
      </c>
      <c r="I214" s="72" t="s">
        <v>1101</v>
      </c>
      <c r="J214" s="72" t="s">
        <v>327</v>
      </c>
      <c r="K214" s="72" t="s">
        <v>382</v>
      </c>
      <c r="L214" s="72" t="s">
        <v>887</v>
      </c>
      <c r="M214" s="72" t="s">
        <v>388</v>
      </c>
      <c r="N214" s="72" t="s">
        <v>43</v>
      </c>
      <c r="O214" s="72" t="s">
        <v>541</v>
      </c>
      <c r="P214" s="72" t="s">
        <v>978</v>
      </c>
      <c r="Q214" s="72" t="s">
        <v>1102</v>
      </c>
      <c r="R214" s="72" t="s">
        <v>53</v>
      </c>
      <c r="T214" s="72" t="s">
        <v>911</v>
      </c>
      <c r="U214" s="72" t="s">
        <v>914</v>
      </c>
      <c r="V214" s="60" t="str">
        <f t="shared" si="27"/>
        <v>10145638черный</v>
      </c>
      <c r="W214" s="60" t="str">
        <f t="shared" si="24"/>
        <v>10145638</v>
      </c>
      <c r="X214" s="60" t="str">
        <f t="shared" si="28"/>
        <v>New York Yankees MLB</v>
      </c>
      <c r="AC214" s="51">
        <f t="shared" si="29"/>
        <v>96</v>
      </c>
      <c r="AD214" s="44">
        <f t="shared" si="30"/>
        <v>155</v>
      </c>
      <c r="AE214" s="51">
        <f t="shared" si="31"/>
        <v>96155</v>
      </c>
    </row>
    <row r="215" spans="1:31">
      <c r="A215" s="60" t="str">
        <f t="shared" si="25"/>
        <v>10145636nvywht</v>
      </c>
      <c r="B215" s="60" t="str">
        <f t="shared" si="26"/>
        <v>96-154-09</v>
      </c>
      <c r="C215" s="72" t="s">
        <v>1104</v>
      </c>
      <c r="D215" s="72" t="s">
        <v>1105</v>
      </c>
      <c r="E215" s="72" t="s">
        <v>1038</v>
      </c>
      <c r="F215" s="73">
        <v>58</v>
      </c>
      <c r="G215" s="73" t="s">
        <v>1106</v>
      </c>
      <c r="H215" s="72" t="s">
        <v>53</v>
      </c>
      <c r="I215" s="72" t="s">
        <v>1101</v>
      </c>
      <c r="J215" s="72" t="s">
        <v>327</v>
      </c>
      <c r="K215" s="72" t="s">
        <v>382</v>
      </c>
      <c r="L215" s="72" t="s">
        <v>887</v>
      </c>
      <c r="M215" s="72" t="s">
        <v>388</v>
      </c>
      <c r="N215" s="72" t="s">
        <v>43</v>
      </c>
      <c r="O215" s="72" t="s">
        <v>541</v>
      </c>
      <c r="P215" s="72" t="s">
        <v>978</v>
      </c>
      <c r="Q215" s="72" t="s">
        <v>1107</v>
      </c>
      <c r="R215" s="72" t="s">
        <v>53</v>
      </c>
      <c r="T215" s="72" t="s">
        <v>911</v>
      </c>
      <c r="U215" s="72" t="s">
        <v>914</v>
      </c>
      <c r="V215" s="60" t="str">
        <f t="shared" si="27"/>
        <v>10145636черный</v>
      </c>
      <c r="W215" s="60" t="str">
        <f t="shared" si="24"/>
        <v>10145636</v>
      </c>
      <c r="X215" s="60" t="str">
        <f t="shared" si="28"/>
        <v>New York Yankees MLB</v>
      </c>
      <c r="AC215" s="51">
        <f t="shared" si="29"/>
        <v>96</v>
      </c>
      <c r="AD215" s="44">
        <f t="shared" si="30"/>
        <v>154</v>
      </c>
      <c r="AE215" s="51">
        <f t="shared" si="31"/>
        <v>96154</v>
      </c>
    </row>
    <row r="216" spans="1:31">
      <c r="A216" s="60" t="str">
        <f t="shared" si="25"/>
        <v>10145636nvywht</v>
      </c>
      <c r="B216" s="60" t="str">
        <f t="shared" si="26"/>
        <v>96-154-09</v>
      </c>
      <c r="C216" s="72" t="s">
        <v>1108</v>
      </c>
      <c r="D216" s="72" t="s">
        <v>1105</v>
      </c>
      <c r="E216" s="72" t="s">
        <v>1043</v>
      </c>
      <c r="F216" s="73">
        <v>56</v>
      </c>
      <c r="G216" s="73" t="s">
        <v>1106</v>
      </c>
      <c r="H216" s="72" t="s">
        <v>53</v>
      </c>
      <c r="I216" s="72" t="s">
        <v>1101</v>
      </c>
      <c r="J216" s="72" t="s">
        <v>327</v>
      </c>
      <c r="K216" s="72" t="s">
        <v>382</v>
      </c>
      <c r="L216" s="72" t="s">
        <v>887</v>
      </c>
      <c r="M216" s="72" t="s">
        <v>388</v>
      </c>
      <c r="N216" s="72" t="s">
        <v>43</v>
      </c>
      <c r="O216" s="72" t="s">
        <v>541</v>
      </c>
      <c r="P216" s="72" t="s">
        <v>978</v>
      </c>
      <c r="Q216" s="72" t="s">
        <v>1107</v>
      </c>
      <c r="R216" s="72" t="s">
        <v>53</v>
      </c>
      <c r="T216" s="72" t="s">
        <v>911</v>
      </c>
      <c r="U216" s="72" t="s">
        <v>914</v>
      </c>
      <c r="V216" s="60" t="str">
        <f t="shared" si="27"/>
        <v>10145636черный</v>
      </c>
      <c r="W216" s="60" t="str">
        <f t="shared" si="24"/>
        <v>10145636</v>
      </c>
      <c r="X216" s="60" t="str">
        <f t="shared" si="28"/>
        <v>New York Yankees MLB</v>
      </c>
      <c r="AC216" s="51">
        <f t="shared" si="29"/>
        <v>96</v>
      </c>
      <c r="AD216" s="44">
        <f t="shared" si="30"/>
        <v>154</v>
      </c>
      <c r="AE216" s="51">
        <f t="shared" si="31"/>
        <v>96154</v>
      </c>
    </row>
    <row r="217" spans="1:31">
      <c r="A217" s="60" t="str">
        <f t="shared" si="25"/>
        <v>10047544otc</v>
      </c>
      <c r="B217" s="60" t="str">
        <f t="shared" si="26"/>
        <v>96-153-09</v>
      </c>
      <c r="C217" s="72" t="s">
        <v>1109</v>
      </c>
      <c r="D217" s="72" t="s">
        <v>1110</v>
      </c>
      <c r="E217" s="72" t="s">
        <v>909</v>
      </c>
      <c r="F217" s="73">
        <v>0</v>
      </c>
      <c r="G217" s="73" t="s">
        <v>1111</v>
      </c>
      <c r="H217" s="72" t="s">
        <v>53</v>
      </c>
      <c r="I217" s="72" t="s">
        <v>918</v>
      </c>
      <c r="J217" s="72" t="s">
        <v>327</v>
      </c>
      <c r="K217" s="72" t="s">
        <v>382</v>
      </c>
      <c r="L217" s="72" t="s">
        <v>887</v>
      </c>
      <c r="M217" s="72" t="s">
        <v>388</v>
      </c>
      <c r="O217" s="72" t="s">
        <v>541</v>
      </c>
      <c r="P217" s="72" t="s">
        <v>978</v>
      </c>
      <c r="Q217" s="72" t="s">
        <v>993</v>
      </c>
      <c r="R217" s="72" t="s">
        <v>53</v>
      </c>
      <c r="T217" s="72" t="s">
        <v>911</v>
      </c>
      <c r="U217" s="72" t="s">
        <v>919</v>
      </c>
      <c r="V217" s="60" t="str">
        <f t="shared" si="27"/>
        <v>10047544черный</v>
      </c>
      <c r="W217" s="60" t="str">
        <f t="shared" si="24"/>
        <v>10047544</v>
      </c>
      <c r="X217" s="60" t="str">
        <f t="shared" si="28"/>
        <v>Pittsburgh Pirates MLB</v>
      </c>
      <c r="AC217" s="51">
        <f t="shared" si="29"/>
        <v>96</v>
      </c>
      <c r="AD217" s="44">
        <f t="shared" si="30"/>
        <v>153</v>
      </c>
      <c r="AE217" s="51">
        <f t="shared" si="31"/>
        <v>96153</v>
      </c>
    </row>
    <row r="218" spans="1:31">
      <c r="A218" s="60" t="str">
        <f t="shared" si="25"/>
        <v>10047540grn</v>
      </c>
      <c r="B218" s="60" t="str">
        <f>IF(C218&lt;&gt;"",LEFT(C218,9),"")</f>
        <v>96-152-00</v>
      </c>
      <c r="C218" s="72" t="s">
        <v>1112</v>
      </c>
      <c r="D218" s="72" t="s">
        <v>1113</v>
      </c>
      <c r="E218" s="72" t="s">
        <v>909</v>
      </c>
      <c r="F218" s="73">
        <v>0</v>
      </c>
      <c r="G218" s="73" t="s">
        <v>1114</v>
      </c>
      <c r="H218" s="72" t="s">
        <v>151</v>
      </c>
      <c r="I218" s="72" t="s">
        <v>918</v>
      </c>
      <c r="J218" s="72" t="s">
        <v>327</v>
      </c>
      <c r="K218" s="72" t="s">
        <v>382</v>
      </c>
      <c r="L218" s="72" t="s">
        <v>887</v>
      </c>
      <c r="M218" s="72" t="s">
        <v>388</v>
      </c>
      <c r="O218" s="72" t="s">
        <v>541</v>
      </c>
      <c r="P218" s="72" t="s">
        <v>978</v>
      </c>
      <c r="Q218" s="72" t="s">
        <v>1115</v>
      </c>
      <c r="R218" s="72" t="s">
        <v>60</v>
      </c>
      <c r="T218" s="72" t="s">
        <v>911</v>
      </c>
      <c r="U218" s="72" t="s">
        <v>916</v>
      </c>
      <c r="V218" s="60" t="str">
        <f t="shared" si="27"/>
        <v>10047540зеленый / желтый</v>
      </c>
      <c r="W218" s="60" t="str">
        <f t="shared" si="24"/>
        <v>10047540</v>
      </c>
      <c r="X218" s="60" t="str">
        <f t="shared" si="28"/>
        <v>Oakland Athletics MLB</v>
      </c>
      <c r="AC218" s="51">
        <f t="shared" si="29"/>
        <v>96</v>
      </c>
      <c r="AD218" s="44">
        <f t="shared" si="30"/>
        <v>152</v>
      </c>
      <c r="AE218" s="51">
        <f t="shared" si="31"/>
        <v>96152</v>
      </c>
    </row>
    <row r="219" spans="1:31">
      <c r="A219" s="60" t="str">
        <f t="shared" si="25"/>
        <v>10047538navy</v>
      </c>
      <c r="B219" s="60" t="str">
        <f t="shared" si="26"/>
        <v>96-151-16</v>
      </c>
      <c r="C219" s="72" t="s">
        <v>1116</v>
      </c>
      <c r="D219" s="72" t="s">
        <v>1117</v>
      </c>
      <c r="E219" s="72" t="s">
        <v>909</v>
      </c>
      <c r="F219" s="73">
        <v>0</v>
      </c>
      <c r="G219" s="73" t="s">
        <v>1118</v>
      </c>
      <c r="H219" s="72" t="s">
        <v>55</v>
      </c>
      <c r="I219" s="72" t="s">
        <v>918</v>
      </c>
      <c r="J219" s="72" t="s">
        <v>327</v>
      </c>
      <c r="K219" s="72" t="s">
        <v>382</v>
      </c>
      <c r="L219" s="72" t="s">
        <v>887</v>
      </c>
      <c r="M219" s="72" t="s">
        <v>388</v>
      </c>
      <c r="O219" s="72" t="s">
        <v>541</v>
      </c>
      <c r="P219" s="72" t="s">
        <v>978</v>
      </c>
      <c r="Q219" s="72" t="s">
        <v>1057</v>
      </c>
      <c r="R219" s="72" t="s">
        <v>71</v>
      </c>
      <c r="T219" s="72" t="s">
        <v>911</v>
      </c>
      <c r="U219" s="72" t="s">
        <v>914</v>
      </c>
      <c r="V219" s="60" t="str">
        <f t="shared" si="27"/>
        <v>10047538темно-синий</v>
      </c>
      <c r="W219" s="60" t="str">
        <f t="shared" si="24"/>
        <v>10047538</v>
      </c>
      <c r="X219" s="60" t="str">
        <f t="shared" si="28"/>
        <v>New York Yankees MLB</v>
      </c>
      <c r="AC219" s="51">
        <f t="shared" si="29"/>
        <v>96</v>
      </c>
      <c r="AD219" s="44">
        <f t="shared" si="30"/>
        <v>151</v>
      </c>
      <c r="AE219" s="51">
        <f t="shared" si="31"/>
        <v>96151</v>
      </c>
    </row>
    <row r="220" spans="1:31">
      <c r="A220" s="60" t="str">
        <f t="shared" si="25"/>
        <v>10047531gm</v>
      </c>
      <c r="B220" s="60" t="str">
        <f t="shared" si="26"/>
        <v>96-150-06</v>
      </c>
      <c r="C220" s="72" t="s">
        <v>1119</v>
      </c>
      <c r="D220" s="72" t="s">
        <v>1120</v>
      </c>
      <c r="E220" s="72" t="s">
        <v>909</v>
      </c>
      <c r="F220" s="73">
        <v>0</v>
      </c>
      <c r="G220" s="73" t="s">
        <v>1121</v>
      </c>
      <c r="H220" s="72" t="s">
        <v>71</v>
      </c>
      <c r="I220" s="72" t="s">
        <v>918</v>
      </c>
      <c r="J220" s="72" t="s">
        <v>327</v>
      </c>
      <c r="K220" s="72" t="s">
        <v>382</v>
      </c>
      <c r="L220" s="72" t="s">
        <v>887</v>
      </c>
      <c r="M220" s="72" t="s">
        <v>388</v>
      </c>
      <c r="O220" s="72" t="s">
        <v>541</v>
      </c>
      <c r="P220" s="72" t="s">
        <v>978</v>
      </c>
      <c r="Q220" s="72" t="s">
        <v>1122</v>
      </c>
      <c r="R220" s="72" t="s">
        <v>71</v>
      </c>
      <c r="T220" s="72" t="s">
        <v>911</v>
      </c>
      <c r="U220" s="72" t="s">
        <v>912</v>
      </c>
      <c r="V220" s="60" t="str">
        <f t="shared" si="27"/>
        <v>10047531синий</v>
      </c>
      <c r="W220" s="60" t="str">
        <f t="shared" si="24"/>
        <v>10047531</v>
      </c>
      <c r="X220" s="60" t="str">
        <f t="shared" si="28"/>
        <v>Los Angeles Dodgers MLB</v>
      </c>
      <c r="AC220" s="51">
        <f t="shared" si="29"/>
        <v>96</v>
      </c>
      <c r="AD220" s="44">
        <f t="shared" si="30"/>
        <v>150</v>
      </c>
      <c r="AE220" s="51">
        <f t="shared" si="31"/>
        <v>96150</v>
      </c>
    </row>
    <row r="221" spans="1:31">
      <c r="A221" s="60" t="str">
        <f t="shared" si="25"/>
        <v>10047515blkwhi</v>
      </c>
      <c r="B221" s="60" t="str">
        <f t="shared" si="26"/>
        <v>96-149-09</v>
      </c>
      <c r="C221" s="72" t="s">
        <v>1123</v>
      </c>
      <c r="D221" s="72" t="s">
        <v>1124</v>
      </c>
      <c r="E221" s="72" t="s">
        <v>909</v>
      </c>
      <c r="F221" s="73">
        <v>0</v>
      </c>
      <c r="G221" s="73" t="s">
        <v>1125</v>
      </c>
      <c r="H221" s="72" t="s">
        <v>53</v>
      </c>
      <c r="I221" s="72" t="s">
        <v>918</v>
      </c>
      <c r="J221" s="72" t="s">
        <v>327</v>
      </c>
      <c r="K221" s="72" t="s">
        <v>382</v>
      </c>
      <c r="L221" s="72" t="s">
        <v>887</v>
      </c>
      <c r="M221" s="72" t="s">
        <v>388</v>
      </c>
      <c r="O221" s="72" t="s">
        <v>541</v>
      </c>
      <c r="P221" s="72" t="s">
        <v>978</v>
      </c>
      <c r="Q221" s="72" t="s">
        <v>1028</v>
      </c>
      <c r="R221" s="72" t="s">
        <v>53</v>
      </c>
      <c r="T221" s="72" t="s">
        <v>911</v>
      </c>
      <c r="U221" s="72" t="s">
        <v>992</v>
      </c>
      <c r="V221" s="60" t="str">
        <f t="shared" si="27"/>
        <v>10047515черный</v>
      </c>
      <c r="W221" s="60" t="str">
        <f t="shared" si="24"/>
        <v>10047515</v>
      </c>
      <c r="X221" s="60" t="str">
        <f t="shared" si="28"/>
        <v>Chicago White Socks MLB</v>
      </c>
      <c r="AC221" s="51">
        <f t="shared" si="29"/>
        <v>96</v>
      </c>
      <c r="AD221" s="44">
        <f t="shared" si="30"/>
        <v>149</v>
      </c>
      <c r="AE221" s="51">
        <f t="shared" si="31"/>
        <v>96149</v>
      </c>
    </row>
    <row r="222" spans="1:31">
      <c r="A222" s="60" t="str">
        <f t="shared" si="25"/>
        <v>60222404pea</v>
      </c>
      <c r="B222" s="60" t="str">
        <f t="shared" si="26"/>
        <v>96-191-09</v>
      </c>
      <c r="C222" s="72" t="s">
        <v>1655</v>
      </c>
      <c r="D222" s="72" t="s">
        <v>1656</v>
      </c>
      <c r="E222" s="72" t="s">
        <v>909</v>
      </c>
      <c r="F222" s="73">
        <v>0</v>
      </c>
      <c r="G222" s="73" t="s">
        <v>1657</v>
      </c>
      <c r="H222" s="72" t="s">
        <v>83</v>
      </c>
      <c r="I222" s="72" t="s">
        <v>910</v>
      </c>
      <c r="J222" s="72" t="s">
        <v>327</v>
      </c>
      <c r="K222" s="72" t="s">
        <v>387</v>
      </c>
      <c r="L222" s="72" t="s">
        <v>887</v>
      </c>
      <c r="M222" s="72" t="s">
        <v>388</v>
      </c>
      <c r="N222" s="72" t="s">
        <v>43</v>
      </c>
      <c r="O222" s="72" t="s">
        <v>386</v>
      </c>
      <c r="P222" s="72" t="s">
        <v>978</v>
      </c>
      <c r="Q222" s="72" t="s">
        <v>1658</v>
      </c>
      <c r="R222" s="72" t="s">
        <v>83</v>
      </c>
      <c r="T222" s="72" t="s">
        <v>911</v>
      </c>
      <c r="U222" s="72" t="s">
        <v>914</v>
      </c>
      <c r="V222" s="60" t="str">
        <f t="shared" si="27"/>
        <v>60222404серый</v>
      </c>
      <c r="W222" s="60" t="str">
        <f t="shared" si="24"/>
        <v>60222404</v>
      </c>
      <c r="X222" s="60" t="str">
        <f t="shared" si="28"/>
        <v>New York Yankees MLB</v>
      </c>
      <c r="AC222" s="51">
        <f t="shared" si="29"/>
        <v>96</v>
      </c>
      <c r="AD222" s="44">
        <f t="shared" si="30"/>
        <v>191</v>
      </c>
      <c r="AE222" s="51">
        <f t="shared" si="31"/>
        <v>96191</v>
      </c>
    </row>
    <row r="223" spans="1:31">
      <c r="A223" s="60" t="str">
        <f t="shared" si="25"/>
        <v>60222253blk</v>
      </c>
      <c r="B223" s="60" t="str">
        <f t="shared" si="26"/>
        <v>96-190-09</v>
      </c>
      <c r="C223" s="72" t="s">
        <v>1659</v>
      </c>
      <c r="D223" s="72" t="s">
        <v>1660</v>
      </c>
      <c r="E223" s="72" t="s">
        <v>909</v>
      </c>
      <c r="F223" s="73">
        <v>0</v>
      </c>
      <c r="G223" s="73" t="s">
        <v>1661</v>
      </c>
      <c r="H223" s="72" t="s">
        <v>53</v>
      </c>
      <c r="I223" s="72" t="s">
        <v>918</v>
      </c>
      <c r="J223" s="72" t="s">
        <v>327</v>
      </c>
      <c r="K223" s="72" t="s">
        <v>382</v>
      </c>
      <c r="L223" s="72" t="s">
        <v>887</v>
      </c>
      <c r="M223" s="72" t="s">
        <v>388</v>
      </c>
      <c r="O223" s="72" t="s">
        <v>541</v>
      </c>
      <c r="P223" s="72" t="s">
        <v>978</v>
      </c>
      <c r="Q223" s="72" t="s">
        <v>987</v>
      </c>
      <c r="R223" s="72" t="s">
        <v>53</v>
      </c>
      <c r="T223" s="72" t="s">
        <v>1061</v>
      </c>
      <c r="U223" s="72" t="s">
        <v>1062</v>
      </c>
      <c r="V223" s="60" t="str">
        <f t="shared" si="27"/>
        <v>60222253черный</v>
      </c>
      <c r="W223" s="60" t="str">
        <f t="shared" si="24"/>
        <v>60222253</v>
      </c>
      <c r="X223" s="60" t="str">
        <f t="shared" si="28"/>
        <v>Chicago Bulls NBA</v>
      </c>
      <c r="AC223" s="51">
        <f t="shared" si="29"/>
        <v>96</v>
      </c>
      <c r="AD223" s="44">
        <f t="shared" si="30"/>
        <v>190</v>
      </c>
      <c r="AE223" s="51">
        <f t="shared" si="31"/>
        <v>96190</v>
      </c>
    </row>
    <row r="224" spans="1:31">
      <c r="A224" s="60" t="str">
        <f t="shared" si="25"/>
        <v>60222234otc</v>
      </c>
      <c r="B224" s="60" t="str">
        <f t="shared" si="26"/>
        <v>96-189-09</v>
      </c>
      <c r="C224" s="72" t="s">
        <v>1662</v>
      </c>
      <c r="D224" s="72" t="s">
        <v>1663</v>
      </c>
      <c r="E224" s="72" t="s">
        <v>909</v>
      </c>
      <c r="F224" s="73">
        <v>0</v>
      </c>
      <c r="G224" s="73" t="s">
        <v>1664</v>
      </c>
      <c r="H224" s="72" t="s">
        <v>53</v>
      </c>
      <c r="I224" s="72" t="s">
        <v>918</v>
      </c>
      <c r="J224" s="72" t="s">
        <v>327</v>
      </c>
      <c r="K224" s="72" t="s">
        <v>382</v>
      </c>
      <c r="L224" s="72" t="s">
        <v>887</v>
      </c>
      <c r="M224" s="72" t="s">
        <v>388</v>
      </c>
      <c r="O224" s="72" t="s">
        <v>541</v>
      </c>
      <c r="P224" s="72" t="s">
        <v>978</v>
      </c>
      <c r="Q224" s="72" t="s">
        <v>993</v>
      </c>
      <c r="R224" s="72" t="s">
        <v>53</v>
      </c>
      <c r="T224" s="72" t="s">
        <v>1061</v>
      </c>
      <c r="U224" s="72" t="s">
        <v>1155</v>
      </c>
      <c r="V224" s="60" t="str">
        <f t="shared" si="27"/>
        <v>60222234черный</v>
      </c>
      <c r="W224" s="60" t="str">
        <f t="shared" si="24"/>
        <v>60222234</v>
      </c>
      <c r="X224" s="60" t="str">
        <f t="shared" si="28"/>
        <v>Los Angeles Lakers NBA</v>
      </c>
      <c r="AC224" s="51">
        <f t="shared" si="29"/>
        <v>96</v>
      </c>
      <c r="AD224" s="44">
        <f t="shared" si="30"/>
        <v>189</v>
      </c>
      <c r="AE224" s="51">
        <f t="shared" si="31"/>
        <v>96189</v>
      </c>
    </row>
    <row r="225" spans="1:31">
      <c r="A225" s="60" t="str">
        <f t="shared" si="25"/>
        <v>12523907blkwhi</v>
      </c>
      <c r="B225" s="60" t="str">
        <f t="shared" si="26"/>
        <v>96-188-09</v>
      </c>
      <c r="C225" s="72" t="s">
        <v>1665</v>
      </c>
      <c r="D225" s="72" t="s">
        <v>1666</v>
      </c>
      <c r="E225" s="72" t="s">
        <v>909</v>
      </c>
      <c r="F225" s="73">
        <v>0</v>
      </c>
      <c r="G225" s="73" t="s">
        <v>1667</v>
      </c>
      <c r="H225" s="72" t="s">
        <v>53</v>
      </c>
      <c r="I225" s="72" t="s">
        <v>918</v>
      </c>
      <c r="J225" s="72" t="s">
        <v>327</v>
      </c>
      <c r="K225" s="72" t="s">
        <v>382</v>
      </c>
      <c r="L225" s="72" t="s">
        <v>887</v>
      </c>
      <c r="M225" s="72" t="s">
        <v>388</v>
      </c>
      <c r="O225" s="72" t="s">
        <v>541</v>
      </c>
      <c r="P225" s="72" t="s">
        <v>978</v>
      </c>
      <c r="Q225" s="72" t="s">
        <v>1028</v>
      </c>
      <c r="R225" s="72" t="s">
        <v>53</v>
      </c>
      <c r="T225" s="72" t="s">
        <v>911</v>
      </c>
      <c r="U225" s="72" t="s">
        <v>914</v>
      </c>
      <c r="V225" s="60" t="str">
        <f t="shared" si="27"/>
        <v>12523907черный</v>
      </c>
      <c r="W225" s="60" t="str">
        <f t="shared" si="24"/>
        <v>12523907</v>
      </c>
      <c r="X225" s="60" t="str">
        <f t="shared" si="28"/>
        <v>New York Yankees MLB</v>
      </c>
      <c r="AC225" s="51">
        <f t="shared" si="29"/>
        <v>96</v>
      </c>
      <c r="AD225" s="44">
        <f t="shared" si="30"/>
        <v>188</v>
      </c>
      <c r="AE225" s="51">
        <f t="shared" si="31"/>
        <v>96188</v>
      </c>
    </row>
    <row r="226" spans="1:31">
      <c r="A226" s="60" t="str">
        <f t="shared" si="25"/>
        <v>11198850blk</v>
      </c>
      <c r="B226" s="60" t="str">
        <f t="shared" si="26"/>
        <v>96-187-09</v>
      </c>
      <c r="C226" s="72" t="s">
        <v>1668</v>
      </c>
      <c r="D226" s="72" t="s">
        <v>1669</v>
      </c>
      <c r="E226" s="72" t="s">
        <v>909</v>
      </c>
      <c r="F226" s="73">
        <v>0</v>
      </c>
      <c r="G226" s="73" t="s">
        <v>1670</v>
      </c>
      <c r="H226" s="72" t="s">
        <v>53</v>
      </c>
      <c r="I226" s="72" t="s">
        <v>1632</v>
      </c>
      <c r="J226" s="72" t="s">
        <v>327</v>
      </c>
      <c r="K226" s="72" t="s">
        <v>382</v>
      </c>
      <c r="L226" s="72" t="s">
        <v>887</v>
      </c>
      <c r="M226" s="72" t="s">
        <v>388</v>
      </c>
      <c r="N226" s="72" t="s">
        <v>43</v>
      </c>
      <c r="O226" s="72" t="s">
        <v>386</v>
      </c>
      <c r="P226" s="72" t="s">
        <v>978</v>
      </c>
      <c r="Q226" s="72" t="s">
        <v>987</v>
      </c>
      <c r="R226" s="72" t="s">
        <v>53</v>
      </c>
      <c r="T226" s="72" t="s">
        <v>911</v>
      </c>
      <c r="U226" s="72" t="s">
        <v>914</v>
      </c>
      <c r="V226" s="60" t="str">
        <f t="shared" si="27"/>
        <v>11198850черный</v>
      </c>
      <c r="W226" s="60" t="str">
        <f t="shared" si="24"/>
        <v>11198850</v>
      </c>
      <c r="X226" s="60" t="str">
        <f t="shared" si="28"/>
        <v>New York Yankees MLB</v>
      </c>
      <c r="AC226" s="51">
        <f t="shared" si="29"/>
        <v>96</v>
      </c>
      <c r="AD226" s="44">
        <f t="shared" si="30"/>
        <v>187</v>
      </c>
      <c r="AE226" s="51">
        <f t="shared" si="31"/>
        <v>96187</v>
      </c>
    </row>
    <row r="227" spans="1:31">
      <c r="A227" s="60" t="str">
        <f t="shared" si="25"/>
        <v>10145640</v>
      </c>
      <c r="B227" s="60" t="str">
        <f t="shared" si="26"/>
        <v>96-192-</v>
      </c>
      <c r="C227" s="72" t="s">
        <v>1712</v>
      </c>
      <c r="G227" s="73" t="s">
        <v>1672</v>
      </c>
      <c r="V227" s="60" t="str">
        <f t="shared" si="27"/>
        <v>10145640</v>
      </c>
      <c r="W227" s="60" t="str">
        <f t="shared" si="24"/>
        <v>10145640</v>
      </c>
      <c r="X227" s="60" t="str">
        <f t="shared" si="28"/>
        <v/>
      </c>
      <c r="AC227" s="51">
        <f t="shared" si="29"/>
        <v>96</v>
      </c>
      <c r="AD227" s="44">
        <f t="shared" si="30"/>
        <v>192</v>
      </c>
      <c r="AE227" s="51">
        <f t="shared" si="31"/>
        <v>96192</v>
      </c>
    </row>
    <row r="228" spans="1:31">
      <c r="A228" s="60" t="str">
        <f t="shared" si="25"/>
        <v>10298276</v>
      </c>
      <c r="B228" s="60" t="str">
        <f t="shared" si="26"/>
        <v>96-193-</v>
      </c>
      <c r="C228" s="72" t="s">
        <v>1713</v>
      </c>
      <c r="G228" s="73" t="s">
        <v>1673</v>
      </c>
      <c r="V228" s="60" t="str">
        <f t="shared" si="27"/>
        <v>10298276</v>
      </c>
      <c r="W228" s="60" t="str">
        <f t="shared" si="24"/>
        <v>10298276</v>
      </c>
      <c r="X228" s="60" t="str">
        <f t="shared" si="28"/>
        <v/>
      </c>
      <c r="AC228" s="51">
        <f t="shared" si="29"/>
        <v>96</v>
      </c>
      <c r="AD228" s="44">
        <f t="shared" si="30"/>
        <v>193</v>
      </c>
      <c r="AE228" s="51">
        <f t="shared" si="31"/>
        <v>96193</v>
      </c>
    </row>
    <row r="229" spans="1:31">
      <c r="A229" s="60" t="str">
        <f t="shared" si="25"/>
        <v>10745455</v>
      </c>
      <c r="B229" s="60" t="str">
        <f t="shared" si="26"/>
        <v>96-194-</v>
      </c>
      <c r="C229" s="72" t="s">
        <v>1714</v>
      </c>
      <c r="G229" s="73" t="s">
        <v>1674</v>
      </c>
      <c r="V229" s="60" t="str">
        <f t="shared" si="27"/>
        <v>10745455</v>
      </c>
      <c r="W229" s="60" t="str">
        <f t="shared" si="24"/>
        <v>10745455</v>
      </c>
      <c r="X229" s="60" t="str">
        <f t="shared" si="28"/>
        <v/>
      </c>
      <c r="AC229" s="51">
        <f t="shared" si="29"/>
        <v>96</v>
      </c>
      <c r="AD229" s="44">
        <f t="shared" si="30"/>
        <v>194</v>
      </c>
      <c r="AE229" s="51">
        <f t="shared" si="31"/>
        <v>96194</v>
      </c>
    </row>
    <row r="230" spans="1:31">
      <c r="A230" s="60" t="str">
        <f t="shared" si="25"/>
        <v>11209938</v>
      </c>
      <c r="B230" s="60" t="str">
        <f t="shared" si="26"/>
        <v>96-195-</v>
      </c>
      <c r="C230" s="72" t="s">
        <v>1715</v>
      </c>
      <c r="G230" s="73" t="s">
        <v>1675</v>
      </c>
      <c r="V230" s="60" t="str">
        <f t="shared" si="27"/>
        <v>11209938</v>
      </c>
      <c r="W230" s="60" t="str">
        <f t="shared" si="24"/>
        <v>11209938</v>
      </c>
      <c r="X230" s="60" t="str">
        <f t="shared" si="28"/>
        <v/>
      </c>
      <c r="AC230" s="51">
        <f t="shared" si="29"/>
        <v>96</v>
      </c>
      <c r="AD230" s="44">
        <f t="shared" si="30"/>
        <v>195</v>
      </c>
      <c r="AE230" s="51">
        <f t="shared" si="31"/>
        <v>96195</v>
      </c>
    </row>
    <row r="231" spans="1:31">
      <c r="A231" s="60" t="str">
        <f t="shared" si="25"/>
        <v>11213219</v>
      </c>
      <c r="B231" s="60" t="str">
        <f t="shared" si="26"/>
        <v>96-196-</v>
      </c>
      <c r="C231" s="72" t="s">
        <v>1716</v>
      </c>
      <c r="G231" s="73" t="s">
        <v>1676</v>
      </c>
      <c r="V231" s="60" t="str">
        <f t="shared" si="27"/>
        <v>11213219</v>
      </c>
      <c r="W231" s="60" t="str">
        <f t="shared" si="24"/>
        <v>11213219</v>
      </c>
      <c r="X231" s="60" t="str">
        <f t="shared" si="28"/>
        <v/>
      </c>
      <c r="AC231" s="51">
        <f t="shared" si="29"/>
        <v>96</v>
      </c>
      <c r="AD231" s="44">
        <f t="shared" si="30"/>
        <v>196</v>
      </c>
      <c r="AE231" s="51">
        <f t="shared" si="31"/>
        <v>96196</v>
      </c>
    </row>
    <row r="232" spans="1:31">
      <c r="A232" s="60" t="str">
        <f t="shared" si="25"/>
        <v>11213222</v>
      </c>
      <c r="B232" s="60" t="str">
        <f t="shared" si="26"/>
        <v>96-197-</v>
      </c>
      <c r="C232" s="72" t="s">
        <v>1717</v>
      </c>
      <c r="G232" s="73" t="s">
        <v>1677</v>
      </c>
      <c r="V232" s="60" t="str">
        <f t="shared" si="27"/>
        <v>11213222</v>
      </c>
      <c r="W232" s="60" t="str">
        <f t="shared" si="24"/>
        <v>11213222</v>
      </c>
      <c r="X232" s="60" t="str">
        <f t="shared" si="28"/>
        <v/>
      </c>
      <c r="AC232" s="51">
        <f t="shared" si="29"/>
        <v>96</v>
      </c>
      <c r="AD232" s="44">
        <f t="shared" si="30"/>
        <v>197</v>
      </c>
      <c r="AE232" s="51">
        <f t="shared" si="31"/>
        <v>96197</v>
      </c>
    </row>
    <row r="233" spans="1:31">
      <c r="A233" s="60" t="str">
        <f t="shared" si="25"/>
        <v>11357008</v>
      </c>
      <c r="B233" s="60" t="str">
        <f t="shared" si="26"/>
        <v>96-198-</v>
      </c>
      <c r="C233" s="72" t="s">
        <v>1718</v>
      </c>
      <c r="G233" s="73" t="s">
        <v>1678</v>
      </c>
      <c r="V233" s="60" t="str">
        <f t="shared" si="27"/>
        <v>11357008</v>
      </c>
      <c r="W233" s="60" t="str">
        <f t="shared" si="24"/>
        <v>11357008</v>
      </c>
      <c r="X233" s="60" t="str">
        <f t="shared" si="28"/>
        <v/>
      </c>
      <c r="AC233" s="51">
        <f t="shared" si="29"/>
        <v>96</v>
      </c>
      <c r="AD233" s="44">
        <f t="shared" si="30"/>
        <v>198</v>
      </c>
      <c r="AE233" s="51">
        <f t="shared" si="31"/>
        <v>96198</v>
      </c>
    </row>
    <row r="234" spans="1:31">
      <c r="A234" s="60" t="str">
        <f t="shared" si="25"/>
        <v>11405492</v>
      </c>
      <c r="B234" s="60" t="str">
        <f t="shared" si="26"/>
        <v>96-199-</v>
      </c>
      <c r="C234" s="72" t="s">
        <v>1719</v>
      </c>
      <c r="G234" s="73" t="s">
        <v>1679</v>
      </c>
      <c r="V234" s="60" t="str">
        <f t="shared" si="27"/>
        <v>11405492</v>
      </c>
      <c r="W234" s="60" t="str">
        <f t="shared" si="24"/>
        <v>11405492</v>
      </c>
      <c r="X234" s="60" t="str">
        <f t="shared" si="28"/>
        <v/>
      </c>
      <c r="AC234" s="51">
        <f t="shared" si="29"/>
        <v>96</v>
      </c>
      <c r="AD234" s="44">
        <f t="shared" si="30"/>
        <v>199</v>
      </c>
      <c r="AE234" s="51">
        <f t="shared" si="31"/>
        <v>96199</v>
      </c>
    </row>
    <row r="235" spans="1:31">
      <c r="A235" s="60" t="str">
        <f t="shared" si="25"/>
        <v>11405605</v>
      </c>
      <c r="B235" s="60" t="str">
        <f t="shared" si="26"/>
        <v>96-200-</v>
      </c>
      <c r="C235" s="72" t="s">
        <v>1720</v>
      </c>
      <c r="G235" s="73" t="s">
        <v>1680</v>
      </c>
      <c r="V235" s="60" t="str">
        <f t="shared" si="27"/>
        <v>11405605</v>
      </c>
      <c r="W235" s="60" t="str">
        <f t="shared" si="24"/>
        <v>11405605</v>
      </c>
      <c r="X235" s="60" t="str">
        <f t="shared" si="28"/>
        <v/>
      </c>
      <c r="AC235" s="51">
        <f t="shared" si="29"/>
        <v>96</v>
      </c>
      <c r="AD235" s="44">
        <f t="shared" si="30"/>
        <v>200</v>
      </c>
      <c r="AE235" s="51">
        <f t="shared" si="31"/>
        <v>96200</v>
      </c>
    </row>
    <row r="236" spans="1:31">
      <c r="A236" s="60" t="str">
        <f t="shared" si="25"/>
        <v>11405616</v>
      </c>
      <c r="B236" s="60" t="str">
        <f t="shared" si="26"/>
        <v>96-201-</v>
      </c>
      <c r="C236" s="72" t="s">
        <v>1721</v>
      </c>
      <c r="G236" s="73" t="s">
        <v>1682</v>
      </c>
      <c r="V236" s="60" t="str">
        <f t="shared" si="27"/>
        <v>11405616</v>
      </c>
      <c r="W236" s="60" t="str">
        <f t="shared" si="24"/>
        <v>11405616</v>
      </c>
      <c r="X236" s="60" t="str">
        <f t="shared" si="28"/>
        <v/>
      </c>
      <c r="AC236" s="51">
        <f t="shared" si="29"/>
        <v>96</v>
      </c>
      <c r="AD236" s="44">
        <f t="shared" si="30"/>
        <v>201</v>
      </c>
      <c r="AE236" s="51">
        <f t="shared" si="31"/>
        <v>96201</v>
      </c>
    </row>
    <row r="237" spans="1:31">
      <c r="A237" s="60" t="str">
        <f t="shared" si="25"/>
        <v>12380822</v>
      </c>
      <c r="B237" s="60" t="str">
        <f t="shared" si="26"/>
        <v>96-202-</v>
      </c>
      <c r="C237" s="72" t="s">
        <v>1722</v>
      </c>
      <c r="G237" s="73" t="s">
        <v>1683</v>
      </c>
      <c r="V237" s="60" t="str">
        <f t="shared" si="27"/>
        <v>12380822</v>
      </c>
      <c r="W237" s="60" t="str">
        <f t="shared" si="24"/>
        <v>12380822</v>
      </c>
      <c r="X237" s="60" t="str">
        <f t="shared" si="28"/>
        <v/>
      </c>
      <c r="AC237" s="51">
        <f t="shared" si="29"/>
        <v>96</v>
      </c>
      <c r="AD237" s="44">
        <f t="shared" si="30"/>
        <v>202</v>
      </c>
      <c r="AE237" s="51">
        <f t="shared" si="31"/>
        <v>96202</v>
      </c>
    </row>
    <row r="238" spans="1:31">
      <c r="A238" s="60" t="str">
        <f t="shared" si="25"/>
        <v>12381106</v>
      </c>
      <c r="B238" s="60" t="str">
        <f t="shared" si="26"/>
        <v>96-203-</v>
      </c>
      <c r="C238" s="72" t="s">
        <v>1723</v>
      </c>
      <c r="G238" s="73" t="s">
        <v>1684</v>
      </c>
      <c r="V238" s="60" t="str">
        <f t="shared" si="27"/>
        <v>12381106</v>
      </c>
      <c r="W238" s="60" t="str">
        <f t="shared" si="24"/>
        <v>12381106</v>
      </c>
      <c r="X238" s="60" t="str">
        <f t="shared" si="28"/>
        <v/>
      </c>
      <c r="AC238" s="51">
        <f t="shared" si="29"/>
        <v>96</v>
      </c>
      <c r="AD238" s="44">
        <f t="shared" si="30"/>
        <v>203</v>
      </c>
      <c r="AE238" s="51">
        <f t="shared" si="31"/>
        <v>96203</v>
      </c>
    </row>
    <row r="239" spans="1:31">
      <c r="A239" s="60" t="str">
        <f t="shared" si="25"/>
        <v>12523887</v>
      </c>
      <c r="B239" s="60" t="str">
        <f t="shared" si="26"/>
        <v>96-204-</v>
      </c>
      <c r="C239" s="72" t="s">
        <v>1724</v>
      </c>
      <c r="G239" s="73" t="s">
        <v>1685</v>
      </c>
      <c r="V239" s="60" t="str">
        <f t="shared" si="27"/>
        <v>12523887</v>
      </c>
      <c r="W239" s="60" t="str">
        <f t="shared" si="24"/>
        <v>12523887</v>
      </c>
      <c r="X239" s="60" t="str">
        <f t="shared" si="28"/>
        <v/>
      </c>
      <c r="AC239" s="51">
        <f t="shared" si="29"/>
        <v>96</v>
      </c>
      <c r="AD239" s="44">
        <f t="shared" si="30"/>
        <v>204</v>
      </c>
      <c r="AE239" s="51">
        <f t="shared" si="31"/>
        <v>96204</v>
      </c>
    </row>
    <row r="240" spans="1:31">
      <c r="A240" s="60" t="str">
        <f t="shared" si="25"/>
        <v>12523888</v>
      </c>
      <c r="B240" s="60" t="str">
        <f t="shared" si="26"/>
        <v>96-205-</v>
      </c>
      <c r="C240" s="72" t="s">
        <v>1725</v>
      </c>
      <c r="G240" s="73" t="s">
        <v>1686</v>
      </c>
      <c r="V240" s="60" t="str">
        <f t="shared" si="27"/>
        <v>12523888</v>
      </c>
      <c r="W240" s="60" t="str">
        <f t="shared" si="24"/>
        <v>12523888</v>
      </c>
      <c r="X240" s="60" t="str">
        <f t="shared" si="28"/>
        <v/>
      </c>
      <c r="AC240" s="51">
        <f t="shared" si="29"/>
        <v>96</v>
      </c>
      <c r="AD240" s="44">
        <f t="shared" si="30"/>
        <v>205</v>
      </c>
      <c r="AE240" s="51">
        <f t="shared" si="31"/>
        <v>96205</v>
      </c>
    </row>
    <row r="241" spans="1:31">
      <c r="A241" s="60" t="str">
        <f t="shared" si="25"/>
        <v>12523889</v>
      </c>
      <c r="B241" s="60" t="str">
        <f t="shared" si="26"/>
        <v>96-206-</v>
      </c>
      <c r="C241" s="72" t="s">
        <v>1726</v>
      </c>
      <c r="G241" s="73" t="s">
        <v>1687</v>
      </c>
      <c r="V241" s="60" t="str">
        <f t="shared" si="27"/>
        <v>12523889</v>
      </c>
      <c r="W241" s="60" t="str">
        <f t="shared" si="24"/>
        <v>12523889</v>
      </c>
      <c r="X241" s="60" t="str">
        <f t="shared" si="28"/>
        <v/>
      </c>
      <c r="AC241" s="51">
        <f t="shared" si="29"/>
        <v>96</v>
      </c>
      <c r="AD241" s="44">
        <f t="shared" si="30"/>
        <v>206</v>
      </c>
      <c r="AE241" s="51">
        <f t="shared" si="31"/>
        <v>96206</v>
      </c>
    </row>
    <row r="242" spans="1:31">
      <c r="A242" s="60" t="str">
        <f t="shared" si="25"/>
        <v>12523898</v>
      </c>
      <c r="B242" s="60" t="str">
        <f t="shared" si="26"/>
        <v>96-207-</v>
      </c>
      <c r="C242" s="72" t="s">
        <v>1727</v>
      </c>
      <c r="G242" s="73" t="s">
        <v>1688</v>
      </c>
      <c r="V242" s="60" t="str">
        <f t="shared" si="27"/>
        <v>12523898</v>
      </c>
      <c r="W242" s="60" t="str">
        <f t="shared" si="24"/>
        <v>12523898</v>
      </c>
      <c r="X242" s="60" t="str">
        <f t="shared" si="28"/>
        <v/>
      </c>
      <c r="AC242" s="51">
        <f t="shared" si="29"/>
        <v>96</v>
      </c>
      <c r="AD242" s="44">
        <f t="shared" si="30"/>
        <v>207</v>
      </c>
      <c r="AE242" s="51">
        <f t="shared" si="31"/>
        <v>96207</v>
      </c>
    </row>
    <row r="243" spans="1:31">
      <c r="A243" s="60" t="str">
        <f t="shared" si="25"/>
        <v>12523906</v>
      </c>
      <c r="B243" s="60" t="str">
        <f t="shared" si="26"/>
        <v>96-208-</v>
      </c>
      <c r="C243" s="72" t="s">
        <v>1728</v>
      </c>
      <c r="G243" s="73" t="s">
        <v>1689</v>
      </c>
      <c r="V243" s="60" t="str">
        <f t="shared" si="27"/>
        <v>12523906</v>
      </c>
      <c r="W243" s="60" t="str">
        <f t="shared" si="24"/>
        <v>12523906</v>
      </c>
      <c r="X243" s="60" t="str">
        <f t="shared" si="28"/>
        <v/>
      </c>
      <c r="AC243" s="51">
        <f t="shared" si="29"/>
        <v>96</v>
      </c>
      <c r="AD243" s="44">
        <f t="shared" si="30"/>
        <v>208</v>
      </c>
      <c r="AE243" s="51">
        <f t="shared" si="31"/>
        <v>96208</v>
      </c>
    </row>
    <row r="244" spans="1:31">
      <c r="A244" s="60" t="str">
        <f t="shared" si="25"/>
        <v>60222367</v>
      </c>
      <c r="B244" s="60" t="str">
        <f t="shared" si="26"/>
        <v>96-209-</v>
      </c>
      <c r="C244" s="72" t="s">
        <v>1729</v>
      </c>
      <c r="G244" s="73" t="s">
        <v>1692</v>
      </c>
      <c r="V244" s="60" t="str">
        <f t="shared" si="27"/>
        <v>60222367</v>
      </c>
      <c r="W244" s="60" t="str">
        <f t="shared" si="24"/>
        <v>60222367</v>
      </c>
      <c r="X244" s="60" t="str">
        <f t="shared" si="28"/>
        <v/>
      </c>
      <c r="AC244" s="51">
        <f t="shared" si="29"/>
        <v>96</v>
      </c>
      <c r="AD244" s="44">
        <f t="shared" si="30"/>
        <v>209</v>
      </c>
      <c r="AE244" s="51">
        <f t="shared" si="31"/>
        <v>96209</v>
      </c>
    </row>
    <row r="245" spans="1:31">
      <c r="A245" s="60" t="str">
        <f t="shared" si="25"/>
        <v>60222472</v>
      </c>
      <c r="B245" s="60" t="str">
        <f t="shared" si="26"/>
        <v>96-210-</v>
      </c>
      <c r="C245" s="72" t="s">
        <v>1730</v>
      </c>
      <c r="G245" s="73" t="s">
        <v>1693</v>
      </c>
      <c r="V245" s="60" t="str">
        <f t="shared" si="27"/>
        <v>60222472</v>
      </c>
      <c r="W245" s="60" t="str">
        <f t="shared" si="24"/>
        <v>60222472</v>
      </c>
      <c r="X245" s="60" t="str">
        <f t="shared" si="28"/>
        <v/>
      </c>
      <c r="AC245" s="51">
        <f t="shared" si="29"/>
        <v>96</v>
      </c>
      <c r="AD245" s="44">
        <f t="shared" si="30"/>
        <v>210</v>
      </c>
      <c r="AE245" s="51">
        <f t="shared" si="31"/>
        <v>96210</v>
      </c>
    </row>
    <row r="246" spans="1:31">
      <c r="A246" s="60" t="str">
        <f t="shared" si="25"/>
        <v>60222512</v>
      </c>
      <c r="B246" s="60" t="str">
        <f t="shared" si="26"/>
        <v>96-211-</v>
      </c>
      <c r="C246" s="72" t="s">
        <v>1731</v>
      </c>
      <c r="G246" s="73" t="s">
        <v>1694</v>
      </c>
      <c r="V246" s="60" t="str">
        <f t="shared" si="27"/>
        <v>60222512</v>
      </c>
      <c r="W246" s="60" t="str">
        <f t="shared" si="24"/>
        <v>60222512</v>
      </c>
      <c r="X246" s="60" t="str">
        <f t="shared" si="28"/>
        <v/>
      </c>
      <c r="AC246" s="51">
        <f t="shared" si="29"/>
        <v>96</v>
      </c>
      <c r="AD246" s="44">
        <f t="shared" si="30"/>
        <v>211</v>
      </c>
      <c r="AE246" s="51">
        <f t="shared" si="31"/>
        <v>96211</v>
      </c>
    </row>
    <row r="247" spans="1:31">
      <c r="A247" s="60" t="str">
        <f t="shared" si="25"/>
        <v>60222545</v>
      </c>
      <c r="B247" s="60" t="str">
        <f t="shared" si="26"/>
        <v>96-212-</v>
      </c>
      <c r="C247" s="72" t="s">
        <v>1732</v>
      </c>
      <c r="G247" s="73" t="s">
        <v>1695</v>
      </c>
      <c r="V247" s="60" t="str">
        <f t="shared" si="27"/>
        <v>60222545</v>
      </c>
      <c r="W247" s="60" t="str">
        <f t="shared" si="24"/>
        <v>60222545</v>
      </c>
      <c r="X247" s="60" t="str">
        <f t="shared" si="28"/>
        <v/>
      </c>
      <c r="AC247" s="51">
        <f t="shared" si="29"/>
        <v>96</v>
      </c>
      <c r="AD247" s="44">
        <f t="shared" si="30"/>
        <v>212</v>
      </c>
      <c r="AE247" s="51">
        <f t="shared" si="31"/>
        <v>96212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26"/>
  <sheetViews>
    <sheetView workbookViewId="0">
      <selection sqref="A1:S226"/>
    </sheetView>
  </sheetViews>
  <sheetFormatPr defaultRowHeight="15"/>
  <sheetData>
    <row r="1" spans="1:19">
      <c r="A1" s="152" t="s">
        <v>366</v>
      </c>
      <c r="B1" s="152" t="s">
        <v>367</v>
      </c>
      <c r="C1" s="152" t="s">
        <v>368</v>
      </c>
      <c r="D1" s="152" t="s">
        <v>369</v>
      </c>
      <c r="E1" s="152" t="s">
        <v>370</v>
      </c>
      <c r="F1" s="152" t="s">
        <v>371</v>
      </c>
      <c r="G1" s="152" t="s">
        <v>372</v>
      </c>
      <c r="H1" s="152" t="s">
        <v>373</v>
      </c>
      <c r="I1" s="152" t="s">
        <v>374</v>
      </c>
      <c r="J1" s="152" t="s">
        <v>375</v>
      </c>
      <c r="K1" s="152" t="s">
        <v>840</v>
      </c>
      <c r="L1" s="152" t="s">
        <v>841</v>
      </c>
      <c r="M1" s="152" t="s">
        <v>376</v>
      </c>
      <c r="N1" s="152" t="s">
        <v>377</v>
      </c>
      <c r="O1" s="152" t="s">
        <v>378</v>
      </c>
      <c r="P1" s="152" t="s">
        <v>379</v>
      </c>
      <c r="Q1" s="152" t="s">
        <v>380</v>
      </c>
      <c r="R1" s="152" t="s">
        <v>381</v>
      </c>
      <c r="S1" s="152" t="s">
        <v>842</v>
      </c>
    </row>
    <row r="2" spans="1:19">
      <c r="A2" s="153" t="s">
        <v>1587</v>
      </c>
      <c r="B2" s="153" t="s">
        <v>1588</v>
      </c>
      <c r="C2" s="153" t="s">
        <v>909</v>
      </c>
      <c r="D2" s="154">
        <v>0</v>
      </c>
      <c r="E2" s="153" t="s">
        <v>1589</v>
      </c>
      <c r="F2" s="153" t="s">
        <v>217</v>
      </c>
      <c r="G2" s="153" t="s">
        <v>910</v>
      </c>
      <c r="H2" s="153" t="s">
        <v>327</v>
      </c>
      <c r="I2" s="153" t="s">
        <v>382</v>
      </c>
      <c r="J2" s="153" t="s">
        <v>887</v>
      </c>
      <c r="K2" s="153" t="s">
        <v>911</v>
      </c>
      <c r="L2" s="153" t="s">
        <v>912</v>
      </c>
      <c r="M2" s="153" t="s">
        <v>388</v>
      </c>
      <c r="N2" s="153" t="s">
        <v>43</v>
      </c>
      <c r="O2" s="153" t="s">
        <v>541</v>
      </c>
      <c r="P2" s="153" t="s">
        <v>978</v>
      </c>
      <c r="Q2" s="153" t="s">
        <v>1590</v>
      </c>
      <c r="R2" s="153" t="s">
        <v>86</v>
      </c>
      <c r="S2" s="153"/>
    </row>
    <row r="3" spans="1:19">
      <c r="A3" s="153" t="s">
        <v>1591</v>
      </c>
      <c r="B3" s="153" t="s">
        <v>1592</v>
      </c>
      <c r="C3" s="153" t="s">
        <v>909</v>
      </c>
      <c r="D3" s="154">
        <v>0</v>
      </c>
      <c r="E3" s="153" t="s">
        <v>1593</v>
      </c>
      <c r="F3" s="153" t="s">
        <v>244</v>
      </c>
      <c r="G3" s="153" t="s">
        <v>918</v>
      </c>
      <c r="H3" s="153" t="s">
        <v>327</v>
      </c>
      <c r="I3" s="153" t="s">
        <v>387</v>
      </c>
      <c r="J3" s="153" t="s">
        <v>887</v>
      </c>
      <c r="K3" s="153" t="s">
        <v>911</v>
      </c>
      <c r="L3" s="153" t="s">
        <v>912</v>
      </c>
      <c r="M3" s="153" t="s">
        <v>388</v>
      </c>
      <c r="N3" s="153"/>
      <c r="O3" s="153" t="s">
        <v>386</v>
      </c>
      <c r="P3" s="153" t="s">
        <v>978</v>
      </c>
      <c r="Q3" s="153" t="s">
        <v>1594</v>
      </c>
      <c r="R3" s="153" t="s">
        <v>83</v>
      </c>
      <c r="S3" s="153"/>
    </row>
    <row r="4" spans="1:19">
      <c r="A4" s="153" t="s">
        <v>1595</v>
      </c>
      <c r="B4" s="153" t="s">
        <v>1596</v>
      </c>
      <c r="C4" s="153" t="s">
        <v>909</v>
      </c>
      <c r="D4" s="154">
        <v>0</v>
      </c>
      <c r="E4" s="153" t="s">
        <v>1597</v>
      </c>
      <c r="F4" s="153" t="s">
        <v>195</v>
      </c>
      <c r="G4" s="153" t="s">
        <v>910</v>
      </c>
      <c r="H4" s="153" t="s">
        <v>356</v>
      </c>
      <c r="I4" s="153" t="s">
        <v>382</v>
      </c>
      <c r="J4" s="153" t="s">
        <v>887</v>
      </c>
      <c r="K4" s="153" t="s">
        <v>911</v>
      </c>
      <c r="L4" s="153" t="s">
        <v>914</v>
      </c>
      <c r="M4" s="153" t="s">
        <v>388</v>
      </c>
      <c r="N4" s="153" t="s">
        <v>43</v>
      </c>
      <c r="O4" s="153" t="s">
        <v>541</v>
      </c>
      <c r="P4" s="153" t="s">
        <v>978</v>
      </c>
      <c r="Q4" s="153" t="s">
        <v>1205</v>
      </c>
      <c r="R4" s="153" t="s">
        <v>195</v>
      </c>
      <c r="S4" s="153"/>
    </row>
    <row r="5" spans="1:19">
      <c r="A5" s="153" t="s">
        <v>1598</v>
      </c>
      <c r="B5" s="153" t="s">
        <v>1599</v>
      </c>
      <c r="C5" s="153" t="s">
        <v>909</v>
      </c>
      <c r="D5" s="154">
        <v>0</v>
      </c>
      <c r="E5" s="153" t="s">
        <v>1600</v>
      </c>
      <c r="F5" s="153" t="s">
        <v>307</v>
      </c>
      <c r="G5" s="153" t="s">
        <v>910</v>
      </c>
      <c r="H5" s="153" t="s">
        <v>327</v>
      </c>
      <c r="I5" s="153" t="s">
        <v>387</v>
      </c>
      <c r="J5" s="153" t="s">
        <v>887</v>
      </c>
      <c r="K5" s="153" t="s">
        <v>911</v>
      </c>
      <c r="L5" s="153" t="s">
        <v>912</v>
      </c>
      <c r="M5" s="153" t="s">
        <v>388</v>
      </c>
      <c r="N5" s="153" t="s">
        <v>43</v>
      </c>
      <c r="O5" s="153" t="s">
        <v>541</v>
      </c>
      <c r="P5" s="153" t="s">
        <v>978</v>
      </c>
      <c r="Q5" s="153" t="s">
        <v>1162</v>
      </c>
      <c r="R5" s="153" t="s">
        <v>53</v>
      </c>
      <c r="S5" s="153"/>
    </row>
    <row r="6" spans="1:19">
      <c r="A6" s="153" t="s">
        <v>1601</v>
      </c>
      <c r="B6" s="153" t="s">
        <v>1602</v>
      </c>
      <c r="C6" s="153" t="s">
        <v>909</v>
      </c>
      <c r="D6" s="154">
        <v>0</v>
      </c>
      <c r="E6" s="153" t="s">
        <v>1603</v>
      </c>
      <c r="F6" s="153" t="s">
        <v>231</v>
      </c>
      <c r="G6" s="153" t="s">
        <v>910</v>
      </c>
      <c r="H6" s="153" t="s">
        <v>327</v>
      </c>
      <c r="I6" s="153" t="s">
        <v>387</v>
      </c>
      <c r="J6" s="153" t="s">
        <v>887</v>
      </c>
      <c r="K6" s="153" t="s">
        <v>911</v>
      </c>
      <c r="L6" s="153" t="s">
        <v>914</v>
      </c>
      <c r="M6" s="153" t="s">
        <v>388</v>
      </c>
      <c r="N6" s="153" t="s">
        <v>43</v>
      </c>
      <c r="O6" s="153" t="s">
        <v>541</v>
      </c>
      <c r="P6" s="153" t="s">
        <v>978</v>
      </c>
      <c r="Q6" s="153" t="s">
        <v>983</v>
      </c>
      <c r="R6" s="153" t="s">
        <v>83</v>
      </c>
      <c r="S6" s="153"/>
    </row>
    <row r="7" spans="1:19">
      <c r="A7" s="153" t="s">
        <v>1604</v>
      </c>
      <c r="B7" s="153" t="s">
        <v>1605</v>
      </c>
      <c r="C7" s="153" t="s">
        <v>909</v>
      </c>
      <c r="D7" s="154">
        <v>0</v>
      </c>
      <c r="E7" s="153" t="s">
        <v>1606</v>
      </c>
      <c r="F7" s="153" t="s">
        <v>199</v>
      </c>
      <c r="G7" s="153" t="s">
        <v>910</v>
      </c>
      <c r="H7" s="153" t="s">
        <v>356</v>
      </c>
      <c r="I7" s="153" t="s">
        <v>382</v>
      </c>
      <c r="J7" s="153" t="s">
        <v>887</v>
      </c>
      <c r="K7" s="153" t="s">
        <v>911</v>
      </c>
      <c r="L7" s="153" t="s">
        <v>914</v>
      </c>
      <c r="M7" s="153" t="s">
        <v>388</v>
      </c>
      <c r="N7" s="153" t="s">
        <v>43</v>
      </c>
      <c r="O7" s="153" t="s">
        <v>541</v>
      </c>
      <c r="P7" s="153" t="s">
        <v>978</v>
      </c>
      <c r="Q7" s="153" t="s">
        <v>1562</v>
      </c>
      <c r="R7" s="153" t="s">
        <v>199</v>
      </c>
      <c r="S7" s="153"/>
    </row>
    <row r="8" spans="1:19">
      <c r="A8" s="153" t="s">
        <v>1607</v>
      </c>
      <c r="B8" s="153" t="s">
        <v>1608</v>
      </c>
      <c r="C8" s="153" t="s">
        <v>909</v>
      </c>
      <c r="D8" s="154">
        <v>0</v>
      </c>
      <c r="E8" s="153" t="s">
        <v>1609</v>
      </c>
      <c r="F8" s="153" t="s">
        <v>71</v>
      </c>
      <c r="G8" s="153" t="s">
        <v>910</v>
      </c>
      <c r="H8" s="153" t="s">
        <v>356</v>
      </c>
      <c r="I8" s="153" t="s">
        <v>382</v>
      </c>
      <c r="J8" s="153" t="s">
        <v>887</v>
      </c>
      <c r="K8" s="153" t="s">
        <v>911</v>
      </c>
      <c r="L8" s="153" t="s">
        <v>914</v>
      </c>
      <c r="M8" s="153" t="s">
        <v>388</v>
      </c>
      <c r="N8" s="153" t="s">
        <v>43</v>
      </c>
      <c r="O8" s="153" t="s">
        <v>541</v>
      </c>
      <c r="P8" s="153" t="s">
        <v>978</v>
      </c>
      <c r="Q8" s="153" t="s">
        <v>1135</v>
      </c>
      <c r="R8" s="153" t="s">
        <v>71</v>
      </c>
      <c r="S8" s="153"/>
    </row>
    <row r="9" spans="1:19">
      <c r="A9" s="153" t="s">
        <v>1610</v>
      </c>
      <c r="B9" s="153" t="s">
        <v>1611</v>
      </c>
      <c r="C9" s="153" t="s">
        <v>909</v>
      </c>
      <c r="D9" s="154">
        <v>0</v>
      </c>
      <c r="E9" s="153" t="s">
        <v>1612</v>
      </c>
      <c r="F9" s="153" t="s">
        <v>53</v>
      </c>
      <c r="G9" s="153" t="s">
        <v>918</v>
      </c>
      <c r="H9" s="153" t="s">
        <v>327</v>
      </c>
      <c r="I9" s="153" t="s">
        <v>382</v>
      </c>
      <c r="J9" s="153" t="s">
        <v>887</v>
      </c>
      <c r="K9" s="153" t="s">
        <v>911</v>
      </c>
      <c r="L9" s="153" t="s">
        <v>914</v>
      </c>
      <c r="M9" s="153" t="s">
        <v>388</v>
      </c>
      <c r="N9" s="153"/>
      <c r="O9" s="153" t="s">
        <v>541</v>
      </c>
      <c r="P9" s="153" t="s">
        <v>978</v>
      </c>
      <c r="Q9" s="153" t="s">
        <v>987</v>
      </c>
      <c r="R9" s="153" t="s">
        <v>53</v>
      </c>
      <c r="S9" s="153"/>
    </row>
    <row r="10" spans="1:19">
      <c r="A10" s="153" t="s">
        <v>1613</v>
      </c>
      <c r="B10" s="153" t="s">
        <v>1614</v>
      </c>
      <c r="C10" s="153" t="s">
        <v>909</v>
      </c>
      <c r="D10" s="154">
        <v>0</v>
      </c>
      <c r="E10" s="153" t="s">
        <v>1615</v>
      </c>
      <c r="F10" s="153" t="s">
        <v>120</v>
      </c>
      <c r="G10" s="153" t="s">
        <v>910</v>
      </c>
      <c r="H10" s="153" t="s">
        <v>327</v>
      </c>
      <c r="I10" s="153" t="s">
        <v>387</v>
      </c>
      <c r="J10" s="153" t="s">
        <v>887</v>
      </c>
      <c r="K10" s="153" t="s">
        <v>911</v>
      </c>
      <c r="L10" s="153" t="s">
        <v>914</v>
      </c>
      <c r="M10" s="153" t="s">
        <v>388</v>
      </c>
      <c r="N10" s="153" t="s">
        <v>43</v>
      </c>
      <c r="O10" s="153" t="s">
        <v>541</v>
      </c>
      <c r="P10" s="153" t="s">
        <v>978</v>
      </c>
      <c r="Q10" s="153" t="s">
        <v>983</v>
      </c>
      <c r="R10" s="153" t="s">
        <v>91</v>
      </c>
      <c r="S10" s="153"/>
    </row>
    <row r="11" spans="1:19">
      <c r="A11" s="153" t="s">
        <v>1616</v>
      </c>
      <c r="B11" s="153" t="s">
        <v>1617</v>
      </c>
      <c r="C11" s="153" t="s">
        <v>909</v>
      </c>
      <c r="D11" s="154">
        <v>0</v>
      </c>
      <c r="E11" s="153" t="s">
        <v>1618</v>
      </c>
      <c r="F11" s="153" t="s">
        <v>55</v>
      </c>
      <c r="G11" s="153" t="s">
        <v>918</v>
      </c>
      <c r="H11" s="153" t="s">
        <v>327</v>
      </c>
      <c r="I11" s="153" t="s">
        <v>382</v>
      </c>
      <c r="J11" s="153" t="s">
        <v>887</v>
      </c>
      <c r="K11" s="153" t="s">
        <v>911</v>
      </c>
      <c r="L11" s="153" t="s">
        <v>912</v>
      </c>
      <c r="M11" s="153" t="s">
        <v>388</v>
      </c>
      <c r="N11" s="153"/>
      <c r="O11" s="153" t="s">
        <v>541</v>
      </c>
      <c r="P11" s="153" t="s">
        <v>978</v>
      </c>
      <c r="Q11" s="153" t="s">
        <v>1159</v>
      </c>
      <c r="R11" s="153" t="s">
        <v>71</v>
      </c>
      <c r="S11" s="153"/>
    </row>
    <row r="12" spans="1:19">
      <c r="A12" s="153" t="s">
        <v>1619</v>
      </c>
      <c r="B12" s="153" t="s">
        <v>1620</v>
      </c>
      <c r="C12" s="153" t="s">
        <v>909</v>
      </c>
      <c r="D12" s="154">
        <v>0</v>
      </c>
      <c r="E12" s="153" t="s">
        <v>1621</v>
      </c>
      <c r="F12" s="153" t="s">
        <v>301</v>
      </c>
      <c r="G12" s="153" t="s">
        <v>910</v>
      </c>
      <c r="H12" s="153" t="s">
        <v>327</v>
      </c>
      <c r="I12" s="153" t="s">
        <v>382</v>
      </c>
      <c r="J12" s="153" t="s">
        <v>887</v>
      </c>
      <c r="K12" s="153" t="s">
        <v>911</v>
      </c>
      <c r="L12" s="153" t="s">
        <v>914</v>
      </c>
      <c r="M12" s="153" t="s">
        <v>388</v>
      </c>
      <c r="N12" s="153" t="s">
        <v>43</v>
      </c>
      <c r="O12" s="153" t="s">
        <v>541</v>
      </c>
      <c r="P12" s="153" t="s">
        <v>978</v>
      </c>
      <c r="Q12" s="153" t="s">
        <v>1517</v>
      </c>
      <c r="R12" s="153" t="s">
        <v>53</v>
      </c>
      <c r="S12" s="153"/>
    </row>
    <row r="13" spans="1:19">
      <c r="A13" s="153" t="s">
        <v>1622</v>
      </c>
      <c r="B13" s="153" t="s">
        <v>1623</v>
      </c>
      <c r="C13" s="153" t="s">
        <v>909</v>
      </c>
      <c r="D13" s="154">
        <v>0</v>
      </c>
      <c r="E13" s="153" t="s">
        <v>1624</v>
      </c>
      <c r="F13" s="153" t="s">
        <v>71</v>
      </c>
      <c r="G13" s="153" t="s">
        <v>910</v>
      </c>
      <c r="H13" s="153" t="s">
        <v>327</v>
      </c>
      <c r="I13" s="153" t="s">
        <v>382</v>
      </c>
      <c r="J13" s="153" t="s">
        <v>887</v>
      </c>
      <c r="K13" s="153" t="s">
        <v>911</v>
      </c>
      <c r="L13" s="153" t="s">
        <v>912</v>
      </c>
      <c r="M13" s="153" t="s">
        <v>388</v>
      </c>
      <c r="N13" s="153" t="s">
        <v>43</v>
      </c>
      <c r="O13" s="153" t="s">
        <v>541</v>
      </c>
      <c r="P13" s="153" t="s">
        <v>978</v>
      </c>
      <c r="Q13" s="153" t="s">
        <v>1135</v>
      </c>
      <c r="R13" s="153" t="s">
        <v>71</v>
      </c>
      <c r="S13" s="153"/>
    </row>
    <row r="14" spans="1:19">
      <c r="A14" s="153" t="s">
        <v>1625</v>
      </c>
      <c r="B14" s="153" t="s">
        <v>1626</v>
      </c>
      <c r="C14" s="153" t="s">
        <v>1038</v>
      </c>
      <c r="D14" s="155">
        <v>58</v>
      </c>
      <c r="E14" s="153" t="s">
        <v>1627</v>
      </c>
      <c r="F14" s="153" t="s">
        <v>71</v>
      </c>
      <c r="G14" s="153" t="s">
        <v>910</v>
      </c>
      <c r="H14" s="153" t="s">
        <v>783</v>
      </c>
      <c r="I14" s="153" t="s">
        <v>382</v>
      </c>
      <c r="J14" s="153" t="s">
        <v>887</v>
      </c>
      <c r="K14" s="153" t="s">
        <v>911</v>
      </c>
      <c r="L14" s="153" t="s">
        <v>912</v>
      </c>
      <c r="M14" s="153" t="s">
        <v>388</v>
      </c>
      <c r="N14" s="153" t="s">
        <v>43</v>
      </c>
      <c r="O14" s="153" t="s">
        <v>541</v>
      </c>
      <c r="P14" s="153" t="s">
        <v>978</v>
      </c>
      <c r="Q14" s="153" t="s">
        <v>1086</v>
      </c>
      <c r="R14" s="153" t="s">
        <v>71</v>
      </c>
      <c r="S14" s="153"/>
    </row>
    <row r="15" spans="1:19">
      <c r="A15" s="153" t="s">
        <v>1628</v>
      </c>
      <c r="B15" s="153" t="s">
        <v>1626</v>
      </c>
      <c r="C15" s="153" t="s">
        <v>1043</v>
      </c>
      <c r="D15" s="155">
        <v>56</v>
      </c>
      <c r="E15" s="153" t="s">
        <v>1627</v>
      </c>
      <c r="F15" s="153" t="s">
        <v>71</v>
      </c>
      <c r="G15" s="153" t="s">
        <v>910</v>
      </c>
      <c r="H15" s="153" t="s">
        <v>783</v>
      </c>
      <c r="I15" s="153" t="s">
        <v>382</v>
      </c>
      <c r="J15" s="153" t="s">
        <v>887</v>
      </c>
      <c r="K15" s="153" t="s">
        <v>911</v>
      </c>
      <c r="L15" s="153" t="s">
        <v>912</v>
      </c>
      <c r="M15" s="153" t="s">
        <v>388</v>
      </c>
      <c r="N15" s="153" t="s">
        <v>43</v>
      </c>
      <c r="O15" s="153" t="s">
        <v>541</v>
      </c>
      <c r="P15" s="153" t="s">
        <v>978</v>
      </c>
      <c r="Q15" s="153" t="s">
        <v>1086</v>
      </c>
      <c r="R15" s="153" t="s">
        <v>71</v>
      </c>
      <c r="S15" s="153"/>
    </row>
    <row r="16" spans="1:19">
      <c r="A16" s="153" t="s">
        <v>1566</v>
      </c>
      <c r="B16" s="153" t="s">
        <v>1567</v>
      </c>
      <c r="C16" s="153" t="s">
        <v>909</v>
      </c>
      <c r="D16" s="154">
        <v>0</v>
      </c>
      <c r="E16" s="153" t="s">
        <v>1568</v>
      </c>
      <c r="F16" s="153" t="s">
        <v>53</v>
      </c>
      <c r="G16" s="153" t="s">
        <v>910</v>
      </c>
      <c r="H16" s="153" t="s">
        <v>327</v>
      </c>
      <c r="I16" s="153" t="s">
        <v>382</v>
      </c>
      <c r="J16" s="153" t="s">
        <v>887</v>
      </c>
      <c r="K16" s="153" t="s">
        <v>911</v>
      </c>
      <c r="L16" s="153" t="s">
        <v>912</v>
      </c>
      <c r="M16" s="153" t="s">
        <v>388</v>
      </c>
      <c r="N16" s="153" t="s">
        <v>43</v>
      </c>
      <c r="O16" s="153" t="s">
        <v>386</v>
      </c>
      <c r="P16" s="153" t="s">
        <v>978</v>
      </c>
      <c r="Q16" s="153" t="s">
        <v>1028</v>
      </c>
      <c r="R16" s="153" t="s">
        <v>53</v>
      </c>
      <c r="S16" s="153" t="s">
        <v>913</v>
      </c>
    </row>
    <row r="17" spans="1:19">
      <c r="A17" s="153" t="s">
        <v>1569</v>
      </c>
      <c r="B17" s="153" t="s">
        <v>1570</v>
      </c>
      <c r="C17" s="153" t="s">
        <v>909</v>
      </c>
      <c r="D17" s="154">
        <v>0</v>
      </c>
      <c r="E17" s="153" t="s">
        <v>1571</v>
      </c>
      <c r="F17" s="153" t="s">
        <v>53</v>
      </c>
      <c r="G17" s="153" t="s">
        <v>910</v>
      </c>
      <c r="H17" s="153" t="s">
        <v>356</v>
      </c>
      <c r="I17" s="153" t="s">
        <v>382</v>
      </c>
      <c r="J17" s="153" t="s">
        <v>887</v>
      </c>
      <c r="K17" s="153" t="s">
        <v>911</v>
      </c>
      <c r="L17" s="153" t="s">
        <v>914</v>
      </c>
      <c r="M17" s="153" t="s">
        <v>388</v>
      </c>
      <c r="N17" s="153" t="s">
        <v>43</v>
      </c>
      <c r="O17" s="153" t="s">
        <v>386</v>
      </c>
      <c r="P17" s="153" t="s">
        <v>978</v>
      </c>
      <c r="Q17" s="153" t="s">
        <v>987</v>
      </c>
      <c r="R17" s="153" t="s">
        <v>53</v>
      </c>
      <c r="S17" s="153" t="s">
        <v>913</v>
      </c>
    </row>
    <row r="18" spans="1:19">
      <c r="A18" s="153" t="s">
        <v>1572</v>
      </c>
      <c r="B18" s="153" t="s">
        <v>1573</v>
      </c>
      <c r="C18" s="153" t="s">
        <v>909</v>
      </c>
      <c r="D18" s="154">
        <v>0</v>
      </c>
      <c r="E18" s="153" t="s">
        <v>1574</v>
      </c>
      <c r="F18" s="153" t="s">
        <v>195</v>
      </c>
      <c r="G18" s="153" t="s">
        <v>910</v>
      </c>
      <c r="H18" s="153" t="s">
        <v>327</v>
      </c>
      <c r="I18" s="153" t="s">
        <v>382</v>
      </c>
      <c r="J18" s="153" t="s">
        <v>887</v>
      </c>
      <c r="K18" s="153" t="s">
        <v>911</v>
      </c>
      <c r="L18" s="153" t="s">
        <v>914</v>
      </c>
      <c r="M18" s="153" t="s">
        <v>388</v>
      </c>
      <c r="N18" s="153" t="s">
        <v>43</v>
      </c>
      <c r="O18" s="153" t="s">
        <v>386</v>
      </c>
      <c r="P18" s="153" t="s">
        <v>978</v>
      </c>
      <c r="Q18" s="153" t="s">
        <v>1205</v>
      </c>
      <c r="R18" s="153" t="s">
        <v>195</v>
      </c>
      <c r="S18" s="153" t="s">
        <v>913</v>
      </c>
    </row>
    <row r="19" spans="1:19">
      <c r="A19" s="153" t="s">
        <v>1575</v>
      </c>
      <c r="B19" s="153" t="s">
        <v>1576</v>
      </c>
      <c r="C19" s="153" t="s">
        <v>909</v>
      </c>
      <c r="D19" s="154">
        <v>0</v>
      </c>
      <c r="E19" s="153" t="s">
        <v>1577</v>
      </c>
      <c r="F19" s="153" t="s">
        <v>68</v>
      </c>
      <c r="G19" s="153" t="s">
        <v>910</v>
      </c>
      <c r="H19" s="153" t="s">
        <v>327</v>
      </c>
      <c r="I19" s="153" t="s">
        <v>382</v>
      </c>
      <c r="J19" s="153" t="s">
        <v>887</v>
      </c>
      <c r="K19" s="153" t="s">
        <v>911</v>
      </c>
      <c r="L19" s="153" t="s">
        <v>914</v>
      </c>
      <c r="M19" s="153" t="s">
        <v>388</v>
      </c>
      <c r="N19" s="153" t="s">
        <v>43</v>
      </c>
      <c r="O19" s="153" t="s">
        <v>386</v>
      </c>
      <c r="P19" s="153" t="s">
        <v>978</v>
      </c>
      <c r="Q19" s="153" t="s">
        <v>1168</v>
      </c>
      <c r="R19" s="153" t="s">
        <v>68</v>
      </c>
      <c r="S19" s="153" t="s">
        <v>913</v>
      </c>
    </row>
    <row r="20" spans="1:19">
      <c r="A20" s="153" t="s">
        <v>1578</v>
      </c>
      <c r="B20" s="153" t="s">
        <v>1579</v>
      </c>
      <c r="C20" s="153" t="s">
        <v>909</v>
      </c>
      <c r="D20" s="154">
        <v>0</v>
      </c>
      <c r="E20" s="153" t="s">
        <v>1580</v>
      </c>
      <c r="F20" s="153" t="s">
        <v>53</v>
      </c>
      <c r="G20" s="153" t="s">
        <v>910</v>
      </c>
      <c r="H20" s="153" t="s">
        <v>356</v>
      </c>
      <c r="I20" s="153" t="s">
        <v>382</v>
      </c>
      <c r="J20" s="153" t="s">
        <v>887</v>
      </c>
      <c r="K20" s="153" t="s">
        <v>1061</v>
      </c>
      <c r="L20" s="153" t="s">
        <v>1062</v>
      </c>
      <c r="M20" s="153" t="s">
        <v>388</v>
      </c>
      <c r="N20" s="153" t="s">
        <v>43</v>
      </c>
      <c r="O20" s="153" t="s">
        <v>386</v>
      </c>
      <c r="P20" s="153" t="s">
        <v>978</v>
      </c>
      <c r="Q20" s="153" t="s">
        <v>997</v>
      </c>
      <c r="R20" s="153" t="s">
        <v>53</v>
      </c>
      <c r="S20" s="153" t="s">
        <v>913</v>
      </c>
    </row>
    <row r="21" spans="1:19">
      <c r="A21" s="153" t="s">
        <v>1581</v>
      </c>
      <c r="B21" s="153" t="s">
        <v>1582</v>
      </c>
      <c r="C21" s="153" t="s">
        <v>909</v>
      </c>
      <c r="D21" s="154">
        <v>0</v>
      </c>
      <c r="E21" s="153" t="s">
        <v>1583</v>
      </c>
      <c r="F21" s="153" t="s">
        <v>53</v>
      </c>
      <c r="G21" s="153" t="s">
        <v>910</v>
      </c>
      <c r="H21" s="153" t="s">
        <v>356</v>
      </c>
      <c r="I21" s="153" t="s">
        <v>382</v>
      </c>
      <c r="J21" s="153" t="s">
        <v>887</v>
      </c>
      <c r="K21" s="153" t="s">
        <v>1061</v>
      </c>
      <c r="L21" s="153" t="s">
        <v>1155</v>
      </c>
      <c r="M21" s="153" t="s">
        <v>388</v>
      </c>
      <c r="N21" s="153" t="s">
        <v>43</v>
      </c>
      <c r="O21" s="153" t="s">
        <v>386</v>
      </c>
      <c r="P21" s="153" t="s">
        <v>978</v>
      </c>
      <c r="Q21" s="153" t="s">
        <v>997</v>
      </c>
      <c r="R21" s="153" t="s">
        <v>53</v>
      </c>
      <c r="S21" s="153" t="s">
        <v>913</v>
      </c>
    </row>
    <row r="22" spans="1:19">
      <c r="A22" s="153" t="s">
        <v>1584</v>
      </c>
      <c r="B22" s="153" t="s">
        <v>1585</v>
      </c>
      <c r="C22" s="153" t="s">
        <v>909</v>
      </c>
      <c r="D22" s="154">
        <v>0</v>
      </c>
      <c r="E22" s="153" t="s">
        <v>1586</v>
      </c>
      <c r="F22" s="153" t="s">
        <v>78</v>
      </c>
      <c r="G22" s="153" t="s">
        <v>910</v>
      </c>
      <c r="H22" s="153" t="s">
        <v>327</v>
      </c>
      <c r="I22" s="153" t="s">
        <v>382</v>
      </c>
      <c r="J22" s="153" t="s">
        <v>887</v>
      </c>
      <c r="K22" s="153" t="s">
        <v>911</v>
      </c>
      <c r="L22" s="153" t="s">
        <v>914</v>
      </c>
      <c r="M22" s="153" t="s">
        <v>388</v>
      </c>
      <c r="N22" s="153" t="s">
        <v>43</v>
      </c>
      <c r="O22" s="153" t="s">
        <v>386</v>
      </c>
      <c r="P22" s="153" t="s">
        <v>978</v>
      </c>
      <c r="Q22" s="153" t="s">
        <v>1051</v>
      </c>
      <c r="R22" s="153" t="s">
        <v>78</v>
      </c>
      <c r="S22" s="153" t="s">
        <v>913</v>
      </c>
    </row>
    <row r="23" spans="1:19">
      <c r="A23" s="153" t="s">
        <v>1473</v>
      </c>
      <c r="B23" s="153" t="s">
        <v>1474</v>
      </c>
      <c r="C23" s="153" t="s">
        <v>909</v>
      </c>
      <c r="D23" s="154">
        <v>0</v>
      </c>
      <c r="E23" s="153" t="s">
        <v>1475</v>
      </c>
      <c r="F23" s="153" t="s">
        <v>53</v>
      </c>
      <c r="G23" s="153" t="s">
        <v>910</v>
      </c>
      <c r="H23" s="153" t="s">
        <v>356</v>
      </c>
      <c r="I23" s="153" t="s">
        <v>382</v>
      </c>
      <c r="J23" s="153" t="s">
        <v>887</v>
      </c>
      <c r="K23" s="153" t="s">
        <v>911</v>
      </c>
      <c r="L23" s="153" t="s">
        <v>915</v>
      </c>
      <c r="M23" s="153" t="s">
        <v>388</v>
      </c>
      <c r="N23" s="153" t="s">
        <v>43</v>
      </c>
      <c r="O23" s="153" t="s">
        <v>541</v>
      </c>
      <c r="P23" s="153" t="s">
        <v>978</v>
      </c>
      <c r="Q23" s="153" t="s">
        <v>987</v>
      </c>
      <c r="R23" s="153" t="s">
        <v>53</v>
      </c>
      <c r="S23" s="153" t="s">
        <v>913</v>
      </c>
    </row>
    <row r="24" spans="1:19">
      <c r="A24" s="153" t="s">
        <v>1476</v>
      </c>
      <c r="B24" s="153" t="s">
        <v>1477</v>
      </c>
      <c r="C24" s="153" t="s">
        <v>909</v>
      </c>
      <c r="D24" s="154">
        <v>0</v>
      </c>
      <c r="E24" s="153" t="s">
        <v>1478</v>
      </c>
      <c r="F24" s="153" t="s">
        <v>1479</v>
      </c>
      <c r="G24" s="153" t="s">
        <v>910</v>
      </c>
      <c r="H24" s="153" t="s">
        <v>327</v>
      </c>
      <c r="I24" s="153" t="s">
        <v>387</v>
      </c>
      <c r="J24" s="153" t="s">
        <v>887</v>
      </c>
      <c r="K24" s="153" t="s">
        <v>911</v>
      </c>
      <c r="L24" s="153" t="s">
        <v>914</v>
      </c>
      <c r="M24" s="153" t="s">
        <v>388</v>
      </c>
      <c r="N24" s="153" t="s">
        <v>43</v>
      </c>
      <c r="O24" s="153" t="s">
        <v>541</v>
      </c>
      <c r="P24" s="153" t="s">
        <v>978</v>
      </c>
      <c r="Q24" s="153" t="s">
        <v>983</v>
      </c>
      <c r="R24" s="153" t="s">
        <v>68</v>
      </c>
      <c r="S24" s="153" t="s">
        <v>913</v>
      </c>
    </row>
    <row r="25" spans="1:19">
      <c r="A25" s="153" t="s">
        <v>1480</v>
      </c>
      <c r="B25" s="153" t="s">
        <v>1481</v>
      </c>
      <c r="C25" s="153" t="s">
        <v>909</v>
      </c>
      <c r="D25" s="154">
        <v>0</v>
      </c>
      <c r="E25" s="153" t="s">
        <v>1482</v>
      </c>
      <c r="F25" s="153" t="s">
        <v>1483</v>
      </c>
      <c r="G25" s="153" t="s">
        <v>910</v>
      </c>
      <c r="H25" s="153" t="s">
        <v>327</v>
      </c>
      <c r="I25" s="153" t="s">
        <v>387</v>
      </c>
      <c r="J25" s="153" t="s">
        <v>887</v>
      </c>
      <c r="K25" s="153" t="s">
        <v>911</v>
      </c>
      <c r="L25" s="153" t="s">
        <v>914</v>
      </c>
      <c r="M25" s="153" t="s">
        <v>388</v>
      </c>
      <c r="N25" s="153" t="s">
        <v>43</v>
      </c>
      <c r="O25" s="153" t="s">
        <v>541</v>
      </c>
      <c r="P25" s="153" t="s">
        <v>978</v>
      </c>
      <c r="Q25" s="153" t="s">
        <v>983</v>
      </c>
      <c r="R25" s="153" t="s">
        <v>286</v>
      </c>
      <c r="S25" s="153" t="s">
        <v>913</v>
      </c>
    </row>
    <row r="26" spans="1:19">
      <c r="A26" s="153" t="s">
        <v>1484</v>
      </c>
      <c r="B26" s="153" t="s">
        <v>1485</v>
      </c>
      <c r="C26" s="153" t="s">
        <v>909</v>
      </c>
      <c r="D26" s="154">
        <v>0</v>
      </c>
      <c r="E26" s="153" t="s">
        <v>1486</v>
      </c>
      <c r="F26" s="153" t="s">
        <v>293</v>
      </c>
      <c r="G26" s="153" t="s">
        <v>918</v>
      </c>
      <c r="H26" s="153" t="s">
        <v>327</v>
      </c>
      <c r="I26" s="153" t="s">
        <v>382</v>
      </c>
      <c r="J26" s="153" t="s">
        <v>887</v>
      </c>
      <c r="K26" s="153" t="s">
        <v>911</v>
      </c>
      <c r="L26" s="153" t="s">
        <v>912</v>
      </c>
      <c r="M26" s="153" t="s">
        <v>388</v>
      </c>
      <c r="N26" s="153"/>
      <c r="O26" s="153" t="s">
        <v>386</v>
      </c>
      <c r="P26" s="153" t="s">
        <v>978</v>
      </c>
      <c r="Q26" s="153" t="s">
        <v>987</v>
      </c>
      <c r="R26" s="153" t="s">
        <v>53</v>
      </c>
      <c r="S26" s="153" t="s">
        <v>913</v>
      </c>
    </row>
    <row r="27" spans="1:19">
      <c r="A27" s="153" t="s">
        <v>1487</v>
      </c>
      <c r="B27" s="153" t="s">
        <v>1488</v>
      </c>
      <c r="C27" s="153" t="s">
        <v>909</v>
      </c>
      <c r="D27" s="154">
        <v>0</v>
      </c>
      <c r="E27" s="153" t="s">
        <v>1489</v>
      </c>
      <c r="F27" s="153" t="s">
        <v>293</v>
      </c>
      <c r="G27" s="153" t="s">
        <v>918</v>
      </c>
      <c r="H27" s="153" t="s">
        <v>327</v>
      </c>
      <c r="I27" s="153" t="s">
        <v>382</v>
      </c>
      <c r="J27" s="153" t="s">
        <v>887</v>
      </c>
      <c r="K27" s="153" t="s">
        <v>1061</v>
      </c>
      <c r="L27" s="153" t="s">
        <v>1155</v>
      </c>
      <c r="M27" s="153" t="s">
        <v>388</v>
      </c>
      <c r="N27" s="153"/>
      <c r="O27" s="153" t="s">
        <v>386</v>
      </c>
      <c r="P27" s="153" t="s">
        <v>978</v>
      </c>
      <c r="Q27" s="153" t="s">
        <v>987</v>
      </c>
      <c r="R27" s="153" t="s">
        <v>53</v>
      </c>
      <c r="S27" s="153" t="s">
        <v>913</v>
      </c>
    </row>
    <row r="28" spans="1:19">
      <c r="A28" s="153" t="s">
        <v>1490</v>
      </c>
      <c r="B28" s="153" t="s">
        <v>1491</v>
      </c>
      <c r="C28" s="153" t="s">
        <v>909</v>
      </c>
      <c r="D28" s="154">
        <v>0</v>
      </c>
      <c r="E28" s="153" t="s">
        <v>1492</v>
      </c>
      <c r="F28" s="153" t="s">
        <v>293</v>
      </c>
      <c r="G28" s="153" t="s">
        <v>918</v>
      </c>
      <c r="H28" s="153" t="s">
        <v>327</v>
      </c>
      <c r="I28" s="153" t="s">
        <v>382</v>
      </c>
      <c r="J28" s="153" t="s">
        <v>887</v>
      </c>
      <c r="K28" s="153" t="s">
        <v>1061</v>
      </c>
      <c r="L28" s="153" t="s">
        <v>1062</v>
      </c>
      <c r="M28" s="153" t="s">
        <v>388</v>
      </c>
      <c r="N28" s="153"/>
      <c r="O28" s="153" t="s">
        <v>386</v>
      </c>
      <c r="P28" s="153" t="s">
        <v>978</v>
      </c>
      <c r="Q28" s="153" t="s">
        <v>987</v>
      </c>
      <c r="R28" s="153" t="s">
        <v>53</v>
      </c>
      <c r="S28" s="153" t="s">
        <v>913</v>
      </c>
    </row>
    <row r="29" spans="1:19">
      <c r="A29" s="153" t="s">
        <v>1493</v>
      </c>
      <c r="B29" s="153" t="s">
        <v>1494</v>
      </c>
      <c r="C29" s="153" t="s">
        <v>909</v>
      </c>
      <c r="D29" s="154">
        <v>0</v>
      </c>
      <c r="E29" s="153" t="s">
        <v>1495</v>
      </c>
      <c r="F29" s="153" t="s">
        <v>71</v>
      </c>
      <c r="G29" s="153" t="s">
        <v>910</v>
      </c>
      <c r="H29" s="153" t="s">
        <v>327</v>
      </c>
      <c r="I29" s="153" t="s">
        <v>382</v>
      </c>
      <c r="J29" s="153" t="s">
        <v>887</v>
      </c>
      <c r="K29" s="153" t="s">
        <v>911</v>
      </c>
      <c r="L29" s="153" t="s">
        <v>914</v>
      </c>
      <c r="M29" s="153" t="s">
        <v>388</v>
      </c>
      <c r="N29" s="153" t="s">
        <v>43</v>
      </c>
      <c r="O29" s="153" t="s">
        <v>541</v>
      </c>
      <c r="P29" s="153" t="s">
        <v>978</v>
      </c>
      <c r="Q29" s="153" t="s">
        <v>1496</v>
      </c>
      <c r="R29" s="153" t="s">
        <v>71</v>
      </c>
      <c r="S29" s="153" t="s">
        <v>913</v>
      </c>
    </row>
    <row r="30" spans="1:19">
      <c r="A30" s="153" t="s">
        <v>1497</v>
      </c>
      <c r="B30" s="153" t="s">
        <v>1498</v>
      </c>
      <c r="C30" s="153" t="s">
        <v>909</v>
      </c>
      <c r="D30" s="154">
        <v>0</v>
      </c>
      <c r="E30" s="153" t="s">
        <v>1499</v>
      </c>
      <c r="F30" s="153" t="s">
        <v>149</v>
      </c>
      <c r="G30" s="153" t="s">
        <v>1500</v>
      </c>
      <c r="H30" s="153" t="s">
        <v>327</v>
      </c>
      <c r="I30" s="153" t="s">
        <v>387</v>
      </c>
      <c r="J30" s="153" t="s">
        <v>887</v>
      </c>
      <c r="K30" s="153" t="s">
        <v>911</v>
      </c>
      <c r="L30" s="153" t="s">
        <v>914</v>
      </c>
      <c r="M30" s="153" t="s">
        <v>388</v>
      </c>
      <c r="N30" s="153" t="s">
        <v>43</v>
      </c>
      <c r="O30" s="153" t="s">
        <v>386</v>
      </c>
      <c r="P30" s="153" t="s">
        <v>978</v>
      </c>
      <c r="Q30" s="153" t="s">
        <v>1501</v>
      </c>
      <c r="R30" s="153" t="s">
        <v>60</v>
      </c>
      <c r="S30" s="153" t="s">
        <v>913</v>
      </c>
    </row>
    <row r="31" spans="1:19">
      <c r="A31" s="153" t="s">
        <v>1502</v>
      </c>
      <c r="B31" s="153" t="s">
        <v>1503</v>
      </c>
      <c r="C31" s="153" t="s">
        <v>909</v>
      </c>
      <c r="D31" s="154">
        <v>0</v>
      </c>
      <c r="E31" s="153" t="s">
        <v>1504</v>
      </c>
      <c r="F31" s="153" t="s">
        <v>237</v>
      </c>
      <c r="G31" s="153" t="s">
        <v>1500</v>
      </c>
      <c r="H31" s="153" t="s">
        <v>327</v>
      </c>
      <c r="I31" s="153" t="s">
        <v>387</v>
      </c>
      <c r="J31" s="153" t="s">
        <v>887</v>
      </c>
      <c r="K31" s="153" t="s">
        <v>911</v>
      </c>
      <c r="L31" s="153" t="s">
        <v>914</v>
      </c>
      <c r="M31" s="153" t="s">
        <v>388</v>
      </c>
      <c r="N31" s="153" t="s">
        <v>43</v>
      </c>
      <c r="O31" s="153" t="s">
        <v>386</v>
      </c>
      <c r="P31" s="153" t="s">
        <v>978</v>
      </c>
      <c r="Q31" s="153" t="s">
        <v>1142</v>
      </c>
      <c r="R31" s="153" t="s">
        <v>83</v>
      </c>
      <c r="S31" s="153" t="s">
        <v>913</v>
      </c>
    </row>
    <row r="32" spans="1:19">
      <c r="A32" s="153" t="s">
        <v>1505</v>
      </c>
      <c r="B32" s="153" t="s">
        <v>1506</v>
      </c>
      <c r="C32" s="153" t="s">
        <v>909</v>
      </c>
      <c r="D32" s="154">
        <v>0</v>
      </c>
      <c r="E32" s="153" t="s">
        <v>1507</v>
      </c>
      <c r="F32" s="153" t="s">
        <v>1508</v>
      </c>
      <c r="G32" s="153" t="s">
        <v>910</v>
      </c>
      <c r="H32" s="153" t="s">
        <v>327</v>
      </c>
      <c r="I32" s="153" t="s">
        <v>382</v>
      </c>
      <c r="J32" s="153" t="s">
        <v>887</v>
      </c>
      <c r="K32" s="153" t="s">
        <v>911</v>
      </c>
      <c r="L32" s="153" t="s">
        <v>914</v>
      </c>
      <c r="M32" s="153" t="s">
        <v>388</v>
      </c>
      <c r="N32" s="153" t="s">
        <v>43</v>
      </c>
      <c r="O32" s="153" t="s">
        <v>386</v>
      </c>
      <c r="P32" s="153" t="s">
        <v>978</v>
      </c>
      <c r="Q32" s="153" t="s">
        <v>1287</v>
      </c>
      <c r="R32" s="153" t="s">
        <v>60</v>
      </c>
      <c r="S32" s="153" t="s">
        <v>913</v>
      </c>
    </row>
    <row r="33" spans="1:19">
      <c r="A33" s="153" t="s">
        <v>1509</v>
      </c>
      <c r="B33" s="153" t="s">
        <v>1510</v>
      </c>
      <c r="C33" s="153" t="s">
        <v>909</v>
      </c>
      <c r="D33" s="154">
        <v>0</v>
      </c>
      <c r="E33" s="153" t="s">
        <v>1511</v>
      </c>
      <c r="F33" s="153" t="s">
        <v>248</v>
      </c>
      <c r="G33" s="153" t="s">
        <v>1512</v>
      </c>
      <c r="H33" s="153" t="s">
        <v>356</v>
      </c>
      <c r="I33" s="153" t="s">
        <v>382</v>
      </c>
      <c r="J33" s="153" t="s">
        <v>887</v>
      </c>
      <c r="K33" s="153" t="s">
        <v>911</v>
      </c>
      <c r="L33" s="153" t="s">
        <v>912</v>
      </c>
      <c r="M33" s="153" t="s">
        <v>388</v>
      </c>
      <c r="N33" s="153" t="s">
        <v>43</v>
      </c>
      <c r="O33" s="153" t="s">
        <v>541</v>
      </c>
      <c r="P33" s="153" t="s">
        <v>978</v>
      </c>
      <c r="Q33" s="153" t="s">
        <v>1197</v>
      </c>
      <c r="R33" s="153" t="s">
        <v>71</v>
      </c>
      <c r="S33" s="153" t="s">
        <v>913</v>
      </c>
    </row>
    <row r="34" spans="1:19">
      <c r="A34" s="153" t="s">
        <v>1513</v>
      </c>
      <c r="B34" s="153" t="s">
        <v>1514</v>
      </c>
      <c r="C34" s="153" t="s">
        <v>909</v>
      </c>
      <c r="D34" s="154">
        <v>0</v>
      </c>
      <c r="E34" s="153" t="s">
        <v>1515</v>
      </c>
      <c r="F34" s="153" t="s">
        <v>1516</v>
      </c>
      <c r="G34" s="153" t="s">
        <v>910</v>
      </c>
      <c r="H34" s="153" t="s">
        <v>327</v>
      </c>
      <c r="I34" s="153" t="s">
        <v>382</v>
      </c>
      <c r="J34" s="153" t="s">
        <v>887</v>
      </c>
      <c r="K34" s="153" t="s">
        <v>911</v>
      </c>
      <c r="L34" s="153" t="s">
        <v>912</v>
      </c>
      <c r="M34" s="153" t="s">
        <v>388</v>
      </c>
      <c r="N34" s="153" t="s">
        <v>43</v>
      </c>
      <c r="O34" s="153" t="s">
        <v>386</v>
      </c>
      <c r="P34" s="153" t="s">
        <v>978</v>
      </c>
      <c r="Q34" s="153" t="s">
        <v>1517</v>
      </c>
      <c r="R34" s="153" t="s">
        <v>86</v>
      </c>
      <c r="S34" s="153" t="s">
        <v>913</v>
      </c>
    </row>
    <row r="35" spans="1:19">
      <c r="A35" s="153" t="s">
        <v>1518</v>
      </c>
      <c r="B35" s="153" t="s">
        <v>1519</v>
      </c>
      <c r="C35" s="153" t="s">
        <v>909</v>
      </c>
      <c r="D35" s="154">
        <v>0</v>
      </c>
      <c r="E35" s="153" t="s">
        <v>1520</v>
      </c>
      <c r="F35" s="153" t="s">
        <v>678</v>
      </c>
      <c r="G35" s="153" t="s">
        <v>918</v>
      </c>
      <c r="H35" s="153" t="s">
        <v>356</v>
      </c>
      <c r="I35" s="153" t="s">
        <v>382</v>
      </c>
      <c r="J35" s="153" t="s">
        <v>887</v>
      </c>
      <c r="K35" s="153" t="s">
        <v>911</v>
      </c>
      <c r="L35" s="153" t="s">
        <v>914</v>
      </c>
      <c r="M35" s="153" t="s">
        <v>388</v>
      </c>
      <c r="N35" s="153"/>
      <c r="O35" s="153" t="s">
        <v>386</v>
      </c>
      <c r="P35" s="153" t="s">
        <v>978</v>
      </c>
      <c r="Q35" s="153" t="s">
        <v>983</v>
      </c>
      <c r="R35" s="153" t="s">
        <v>71</v>
      </c>
      <c r="S35" s="153" t="s">
        <v>913</v>
      </c>
    </row>
    <row r="36" spans="1:19">
      <c r="A36" s="153" t="s">
        <v>1521</v>
      </c>
      <c r="B36" s="153" t="s">
        <v>1522</v>
      </c>
      <c r="C36" s="153" t="s">
        <v>909</v>
      </c>
      <c r="D36" s="154">
        <v>0</v>
      </c>
      <c r="E36" s="153" t="s">
        <v>1523</v>
      </c>
      <c r="F36" s="153" t="s">
        <v>246</v>
      </c>
      <c r="G36" s="153" t="s">
        <v>918</v>
      </c>
      <c r="H36" s="153" t="s">
        <v>356</v>
      </c>
      <c r="I36" s="153" t="s">
        <v>382</v>
      </c>
      <c r="J36" s="153" t="s">
        <v>887</v>
      </c>
      <c r="K36" s="153" t="s">
        <v>1080</v>
      </c>
      <c r="L36" s="153" t="s">
        <v>1081</v>
      </c>
      <c r="M36" s="153" t="s">
        <v>388</v>
      </c>
      <c r="N36" s="153"/>
      <c r="O36" s="153" t="s">
        <v>386</v>
      </c>
      <c r="P36" s="153" t="s">
        <v>978</v>
      </c>
      <c r="Q36" s="153" t="s">
        <v>1524</v>
      </c>
      <c r="R36" s="153" t="s">
        <v>83</v>
      </c>
      <c r="S36" s="153" t="s">
        <v>913</v>
      </c>
    </row>
    <row r="37" spans="1:19">
      <c r="A37" s="153" t="s">
        <v>1525</v>
      </c>
      <c r="B37" s="153" t="s">
        <v>1526</v>
      </c>
      <c r="C37" s="153" t="s">
        <v>909</v>
      </c>
      <c r="D37" s="154">
        <v>0</v>
      </c>
      <c r="E37" s="153" t="s">
        <v>1527</v>
      </c>
      <c r="F37" s="153" t="s">
        <v>769</v>
      </c>
      <c r="G37" s="153" t="s">
        <v>910</v>
      </c>
      <c r="H37" s="153" t="s">
        <v>356</v>
      </c>
      <c r="I37" s="153" t="s">
        <v>382</v>
      </c>
      <c r="J37" s="153" t="s">
        <v>887</v>
      </c>
      <c r="K37" s="153" t="s">
        <v>911</v>
      </c>
      <c r="L37" s="153" t="s">
        <v>914</v>
      </c>
      <c r="M37" s="153" t="s">
        <v>388</v>
      </c>
      <c r="N37" s="153" t="s">
        <v>43</v>
      </c>
      <c r="O37" s="153" t="s">
        <v>541</v>
      </c>
      <c r="P37" s="153" t="s">
        <v>978</v>
      </c>
      <c r="Q37" s="153" t="s">
        <v>1517</v>
      </c>
      <c r="R37" s="153" t="s">
        <v>86</v>
      </c>
      <c r="S37" s="153" t="s">
        <v>913</v>
      </c>
    </row>
    <row r="38" spans="1:19">
      <c r="A38" s="153" t="s">
        <v>1528</v>
      </c>
      <c r="B38" s="153" t="s">
        <v>1529</v>
      </c>
      <c r="C38" s="153" t="s">
        <v>909</v>
      </c>
      <c r="D38" s="154">
        <v>0</v>
      </c>
      <c r="E38" s="153" t="s">
        <v>1530</v>
      </c>
      <c r="F38" s="153" t="s">
        <v>690</v>
      </c>
      <c r="G38" s="153" t="s">
        <v>910</v>
      </c>
      <c r="H38" s="153" t="s">
        <v>327</v>
      </c>
      <c r="I38" s="153" t="s">
        <v>382</v>
      </c>
      <c r="J38" s="153" t="s">
        <v>887</v>
      </c>
      <c r="K38" s="153" t="s">
        <v>911</v>
      </c>
      <c r="L38" s="153" t="s">
        <v>915</v>
      </c>
      <c r="M38" s="153" t="s">
        <v>388</v>
      </c>
      <c r="N38" s="153" t="s">
        <v>43</v>
      </c>
      <c r="O38" s="153" t="s">
        <v>386</v>
      </c>
      <c r="P38" s="153" t="s">
        <v>978</v>
      </c>
      <c r="Q38" s="153" t="s">
        <v>1531</v>
      </c>
      <c r="R38" s="153" t="s">
        <v>53</v>
      </c>
      <c r="S38" s="153" t="s">
        <v>913</v>
      </c>
    </row>
    <row r="39" spans="1:19">
      <c r="A39" s="153" t="s">
        <v>1532</v>
      </c>
      <c r="B39" s="153" t="s">
        <v>1533</v>
      </c>
      <c r="C39" s="153" t="s">
        <v>909</v>
      </c>
      <c r="D39" s="154">
        <v>0</v>
      </c>
      <c r="E39" s="153" t="s">
        <v>1534</v>
      </c>
      <c r="F39" s="153" t="s">
        <v>212</v>
      </c>
      <c r="G39" s="153" t="s">
        <v>1500</v>
      </c>
      <c r="H39" s="153" t="s">
        <v>327</v>
      </c>
      <c r="I39" s="153" t="s">
        <v>387</v>
      </c>
      <c r="J39" s="153" t="s">
        <v>887</v>
      </c>
      <c r="K39" s="153" t="s">
        <v>911</v>
      </c>
      <c r="L39" s="153" t="s">
        <v>914</v>
      </c>
      <c r="M39" s="153" t="s">
        <v>388</v>
      </c>
      <c r="N39" s="153"/>
      <c r="O39" s="153" t="s">
        <v>386</v>
      </c>
      <c r="P39" s="153" t="s">
        <v>978</v>
      </c>
      <c r="Q39" s="153" t="s">
        <v>1162</v>
      </c>
      <c r="R39" s="153" t="s">
        <v>68</v>
      </c>
      <c r="S39" s="153" t="s">
        <v>913</v>
      </c>
    </row>
    <row r="40" spans="1:19">
      <c r="A40" s="153" t="s">
        <v>1535</v>
      </c>
      <c r="B40" s="153" t="s">
        <v>1536</v>
      </c>
      <c r="C40" s="153" t="s">
        <v>909</v>
      </c>
      <c r="D40" s="154">
        <v>0</v>
      </c>
      <c r="E40" s="153" t="s">
        <v>1537</v>
      </c>
      <c r="F40" s="153" t="s">
        <v>149</v>
      </c>
      <c r="G40" s="153" t="s">
        <v>910</v>
      </c>
      <c r="H40" s="153" t="s">
        <v>356</v>
      </c>
      <c r="I40" s="153" t="s">
        <v>382</v>
      </c>
      <c r="J40" s="153" t="s">
        <v>887</v>
      </c>
      <c r="K40" s="153" t="s">
        <v>911</v>
      </c>
      <c r="L40" s="153" t="s">
        <v>914</v>
      </c>
      <c r="M40" s="153" t="s">
        <v>388</v>
      </c>
      <c r="N40" s="153" t="s">
        <v>43</v>
      </c>
      <c r="O40" s="153" t="s">
        <v>541</v>
      </c>
      <c r="P40" s="153" t="s">
        <v>978</v>
      </c>
      <c r="Q40" s="153" t="s">
        <v>1538</v>
      </c>
      <c r="R40" s="153" t="s">
        <v>60</v>
      </c>
      <c r="S40" s="153" t="s">
        <v>913</v>
      </c>
    </row>
    <row r="41" spans="1:19">
      <c r="A41" s="153" t="s">
        <v>1539</v>
      </c>
      <c r="B41" s="153" t="s">
        <v>1540</v>
      </c>
      <c r="C41" s="153" t="s">
        <v>909</v>
      </c>
      <c r="D41" s="154">
        <v>0</v>
      </c>
      <c r="E41" s="153" t="s">
        <v>1541</v>
      </c>
      <c r="F41" s="153" t="s">
        <v>53</v>
      </c>
      <c r="G41" s="153" t="s">
        <v>910</v>
      </c>
      <c r="H41" s="153" t="s">
        <v>327</v>
      </c>
      <c r="I41" s="153" t="s">
        <v>382</v>
      </c>
      <c r="J41" s="153" t="s">
        <v>887</v>
      </c>
      <c r="K41" s="153" t="s">
        <v>911</v>
      </c>
      <c r="L41" s="153" t="s">
        <v>914</v>
      </c>
      <c r="M41" s="153" t="s">
        <v>388</v>
      </c>
      <c r="N41" s="153" t="s">
        <v>43</v>
      </c>
      <c r="O41" s="153" t="s">
        <v>386</v>
      </c>
      <c r="P41" s="153" t="s">
        <v>978</v>
      </c>
      <c r="Q41" s="153" t="s">
        <v>987</v>
      </c>
      <c r="R41" s="153" t="s">
        <v>53</v>
      </c>
      <c r="S41" s="153" t="s">
        <v>913</v>
      </c>
    </row>
    <row r="42" spans="1:19">
      <c r="A42" s="153" t="s">
        <v>1542</v>
      </c>
      <c r="B42" s="153" t="s">
        <v>1543</v>
      </c>
      <c r="C42" s="153" t="s">
        <v>909</v>
      </c>
      <c r="D42" s="154">
        <v>0</v>
      </c>
      <c r="E42" s="153" t="s">
        <v>1544</v>
      </c>
      <c r="F42" s="153" t="s">
        <v>71</v>
      </c>
      <c r="G42" s="153" t="s">
        <v>918</v>
      </c>
      <c r="H42" s="153" t="s">
        <v>356</v>
      </c>
      <c r="I42" s="153" t="s">
        <v>382</v>
      </c>
      <c r="J42" s="153" t="s">
        <v>887</v>
      </c>
      <c r="K42" s="153" t="s">
        <v>911</v>
      </c>
      <c r="L42" s="153" t="s">
        <v>912</v>
      </c>
      <c r="M42" s="153" t="s">
        <v>388</v>
      </c>
      <c r="N42" s="153"/>
      <c r="O42" s="153" t="s">
        <v>386</v>
      </c>
      <c r="P42" s="153" t="s">
        <v>978</v>
      </c>
      <c r="Q42" s="153" t="s">
        <v>1545</v>
      </c>
      <c r="R42" s="153" t="s">
        <v>71</v>
      </c>
      <c r="S42" s="153" t="s">
        <v>913</v>
      </c>
    </row>
    <row r="43" spans="1:19">
      <c r="A43" s="153" t="s">
        <v>1546</v>
      </c>
      <c r="B43" s="153" t="s">
        <v>1547</v>
      </c>
      <c r="C43" s="153" t="s">
        <v>909</v>
      </c>
      <c r="D43" s="154">
        <v>0</v>
      </c>
      <c r="E43" s="153" t="s">
        <v>1548</v>
      </c>
      <c r="F43" s="153" t="s">
        <v>307</v>
      </c>
      <c r="G43" s="153" t="s">
        <v>910</v>
      </c>
      <c r="H43" s="153" t="s">
        <v>327</v>
      </c>
      <c r="I43" s="153" t="s">
        <v>382</v>
      </c>
      <c r="J43" s="153" t="s">
        <v>887</v>
      </c>
      <c r="K43" s="153" t="s">
        <v>911</v>
      </c>
      <c r="L43" s="153" t="s">
        <v>912</v>
      </c>
      <c r="M43" s="153" t="s">
        <v>388</v>
      </c>
      <c r="N43" s="153" t="s">
        <v>43</v>
      </c>
      <c r="O43" s="153" t="s">
        <v>541</v>
      </c>
      <c r="P43" s="153" t="s">
        <v>978</v>
      </c>
      <c r="Q43" s="153" t="s">
        <v>1549</v>
      </c>
      <c r="R43" s="153" t="s">
        <v>53</v>
      </c>
      <c r="S43" s="153" t="s">
        <v>913</v>
      </c>
    </row>
    <row r="44" spans="1:19">
      <c r="A44" s="153" t="s">
        <v>1550</v>
      </c>
      <c r="B44" s="153" t="s">
        <v>1551</v>
      </c>
      <c r="C44" s="153" t="s">
        <v>909</v>
      </c>
      <c r="D44" s="154">
        <v>0</v>
      </c>
      <c r="E44" s="153" t="s">
        <v>1552</v>
      </c>
      <c r="F44" s="153" t="s">
        <v>594</v>
      </c>
      <c r="G44" s="153" t="s">
        <v>910</v>
      </c>
      <c r="H44" s="153" t="s">
        <v>327</v>
      </c>
      <c r="I44" s="153" t="s">
        <v>382</v>
      </c>
      <c r="J44" s="153" t="s">
        <v>887</v>
      </c>
      <c r="K44" s="153" t="s">
        <v>911</v>
      </c>
      <c r="L44" s="153" t="s">
        <v>915</v>
      </c>
      <c r="M44" s="153" t="s">
        <v>388</v>
      </c>
      <c r="N44" s="153" t="s">
        <v>43</v>
      </c>
      <c r="O44" s="153" t="s">
        <v>541</v>
      </c>
      <c r="P44" s="153" t="s">
        <v>978</v>
      </c>
      <c r="Q44" s="153" t="s">
        <v>1517</v>
      </c>
      <c r="R44" s="153" t="s">
        <v>71</v>
      </c>
      <c r="S44" s="153" t="s">
        <v>913</v>
      </c>
    </row>
    <row r="45" spans="1:19">
      <c r="A45" s="153" t="s">
        <v>1553</v>
      </c>
      <c r="B45" s="153" t="s">
        <v>1554</v>
      </c>
      <c r="C45" s="153" t="s">
        <v>909</v>
      </c>
      <c r="D45" s="154">
        <v>0</v>
      </c>
      <c r="E45" s="153" t="s">
        <v>1555</v>
      </c>
      <c r="F45" s="153" t="s">
        <v>302</v>
      </c>
      <c r="G45" s="153" t="s">
        <v>918</v>
      </c>
      <c r="H45" s="153" t="s">
        <v>356</v>
      </c>
      <c r="I45" s="153" t="s">
        <v>382</v>
      </c>
      <c r="J45" s="153" t="s">
        <v>887</v>
      </c>
      <c r="K45" s="153" t="s">
        <v>1061</v>
      </c>
      <c r="L45" s="153" t="s">
        <v>1062</v>
      </c>
      <c r="M45" s="153" t="s">
        <v>388</v>
      </c>
      <c r="N45" s="153"/>
      <c r="O45" s="153" t="s">
        <v>386</v>
      </c>
      <c r="P45" s="153" t="s">
        <v>978</v>
      </c>
      <c r="Q45" s="153" t="s">
        <v>1321</v>
      </c>
      <c r="R45" s="153" t="s">
        <v>53</v>
      </c>
      <c r="S45" s="153" t="s">
        <v>913</v>
      </c>
    </row>
    <row r="46" spans="1:19">
      <c r="A46" s="153" t="s">
        <v>1556</v>
      </c>
      <c r="B46" s="153" t="s">
        <v>1557</v>
      </c>
      <c r="C46" s="153" t="s">
        <v>909</v>
      </c>
      <c r="D46" s="154">
        <v>0</v>
      </c>
      <c r="E46" s="153" t="s">
        <v>1558</v>
      </c>
      <c r="F46" s="153" t="s">
        <v>847</v>
      </c>
      <c r="G46" s="153" t="s">
        <v>910</v>
      </c>
      <c r="H46" s="153" t="s">
        <v>327</v>
      </c>
      <c r="I46" s="153" t="s">
        <v>382</v>
      </c>
      <c r="J46" s="153" t="s">
        <v>887</v>
      </c>
      <c r="K46" s="153" t="s">
        <v>911</v>
      </c>
      <c r="L46" s="153" t="s">
        <v>914</v>
      </c>
      <c r="M46" s="153" t="s">
        <v>388</v>
      </c>
      <c r="N46" s="153" t="s">
        <v>43</v>
      </c>
      <c r="O46" s="153" t="s">
        <v>386</v>
      </c>
      <c r="P46" s="153" t="s">
        <v>978</v>
      </c>
      <c r="Q46" s="153" t="s">
        <v>1444</v>
      </c>
      <c r="R46" s="153" t="s">
        <v>60</v>
      </c>
      <c r="S46" s="153" t="s">
        <v>913</v>
      </c>
    </row>
    <row r="47" spans="1:19">
      <c r="A47" s="153" t="s">
        <v>1559</v>
      </c>
      <c r="B47" s="153" t="s">
        <v>1560</v>
      </c>
      <c r="C47" s="153" t="s">
        <v>909</v>
      </c>
      <c r="D47" s="154">
        <v>0</v>
      </c>
      <c r="E47" s="153" t="s">
        <v>1561</v>
      </c>
      <c r="F47" s="153" t="s">
        <v>298</v>
      </c>
      <c r="G47" s="153" t="s">
        <v>918</v>
      </c>
      <c r="H47" s="153" t="s">
        <v>327</v>
      </c>
      <c r="I47" s="153" t="s">
        <v>382</v>
      </c>
      <c r="J47" s="153" t="s">
        <v>887</v>
      </c>
      <c r="K47" s="153" t="s">
        <v>911</v>
      </c>
      <c r="L47" s="153" t="s">
        <v>914</v>
      </c>
      <c r="M47" s="153" t="s">
        <v>388</v>
      </c>
      <c r="N47" s="153"/>
      <c r="O47" s="153" t="s">
        <v>541</v>
      </c>
      <c r="P47" s="153" t="s">
        <v>978</v>
      </c>
      <c r="Q47" s="153" t="s">
        <v>1562</v>
      </c>
      <c r="R47" s="153" t="s">
        <v>53</v>
      </c>
      <c r="S47" s="153" t="s">
        <v>913</v>
      </c>
    </row>
    <row r="48" spans="1:19">
      <c r="A48" s="153" t="s">
        <v>1563</v>
      </c>
      <c r="B48" s="153" t="s">
        <v>1564</v>
      </c>
      <c r="C48" s="153" t="s">
        <v>909</v>
      </c>
      <c r="D48" s="154">
        <v>0</v>
      </c>
      <c r="E48" s="153" t="s">
        <v>1565</v>
      </c>
      <c r="F48" s="153" t="s">
        <v>769</v>
      </c>
      <c r="G48" s="153" t="s">
        <v>910</v>
      </c>
      <c r="H48" s="153" t="s">
        <v>327</v>
      </c>
      <c r="I48" s="153" t="s">
        <v>382</v>
      </c>
      <c r="J48" s="153" t="s">
        <v>887</v>
      </c>
      <c r="K48" s="153" t="s">
        <v>911</v>
      </c>
      <c r="L48" s="153" t="s">
        <v>914</v>
      </c>
      <c r="M48" s="153" t="s">
        <v>388</v>
      </c>
      <c r="N48" s="153" t="s">
        <v>43</v>
      </c>
      <c r="O48" s="153" t="s">
        <v>541</v>
      </c>
      <c r="P48" s="153" t="s">
        <v>978</v>
      </c>
      <c r="Q48" s="153" t="s">
        <v>1517</v>
      </c>
      <c r="R48" s="153" t="s">
        <v>86</v>
      </c>
      <c r="S48" s="153" t="s">
        <v>913</v>
      </c>
    </row>
    <row r="49" spans="1:19">
      <c r="A49" s="153" t="s">
        <v>1132</v>
      </c>
      <c r="B49" s="153" t="s">
        <v>1133</v>
      </c>
      <c r="C49" s="153" t="s">
        <v>1134</v>
      </c>
      <c r="D49" s="155">
        <v>59</v>
      </c>
      <c r="E49" s="155">
        <v>60222553</v>
      </c>
      <c r="F49" s="153" t="s">
        <v>233</v>
      </c>
      <c r="G49" s="153" t="s">
        <v>910</v>
      </c>
      <c r="H49" s="153" t="s">
        <v>325</v>
      </c>
      <c r="I49" s="153" t="s">
        <v>387</v>
      </c>
      <c r="J49" s="153" t="s">
        <v>887</v>
      </c>
      <c r="K49" s="153"/>
      <c r="L49" s="153"/>
      <c r="M49" s="153" t="s">
        <v>388</v>
      </c>
      <c r="N49" s="153" t="s">
        <v>43</v>
      </c>
      <c r="O49" s="153" t="s">
        <v>541</v>
      </c>
      <c r="P49" s="153" t="s">
        <v>978</v>
      </c>
      <c r="Q49" s="153" t="s">
        <v>1135</v>
      </c>
      <c r="R49" s="153" t="s">
        <v>71</v>
      </c>
      <c r="S49" s="153"/>
    </row>
    <row r="50" spans="1:19">
      <c r="A50" s="153" t="s">
        <v>1136</v>
      </c>
      <c r="B50" s="153" t="s">
        <v>1133</v>
      </c>
      <c r="C50" s="153" t="s">
        <v>990</v>
      </c>
      <c r="D50" s="155">
        <v>57</v>
      </c>
      <c r="E50" s="155">
        <v>60222553</v>
      </c>
      <c r="F50" s="153" t="s">
        <v>233</v>
      </c>
      <c r="G50" s="153" t="s">
        <v>910</v>
      </c>
      <c r="H50" s="153" t="s">
        <v>325</v>
      </c>
      <c r="I50" s="153" t="s">
        <v>387</v>
      </c>
      <c r="J50" s="153" t="s">
        <v>887</v>
      </c>
      <c r="K50" s="153"/>
      <c r="L50" s="153"/>
      <c r="M50" s="153" t="s">
        <v>388</v>
      </c>
      <c r="N50" s="153" t="s">
        <v>43</v>
      </c>
      <c r="O50" s="153" t="s">
        <v>541</v>
      </c>
      <c r="P50" s="153" t="s">
        <v>978</v>
      </c>
      <c r="Q50" s="153" t="s">
        <v>1135</v>
      </c>
      <c r="R50" s="153" t="s">
        <v>71</v>
      </c>
      <c r="S50" s="153"/>
    </row>
    <row r="51" spans="1:19">
      <c r="A51" s="153" t="s">
        <v>1137</v>
      </c>
      <c r="B51" s="153" t="s">
        <v>1138</v>
      </c>
      <c r="C51" s="153" t="s">
        <v>909</v>
      </c>
      <c r="D51" s="154">
        <v>0</v>
      </c>
      <c r="E51" s="155">
        <v>60222551</v>
      </c>
      <c r="F51" s="153" t="s">
        <v>53</v>
      </c>
      <c r="G51" s="153" t="s">
        <v>910</v>
      </c>
      <c r="H51" s="153" t="s">
        <v>327</v>
      </c>
      <c r="I51" s="153" t="s">
        <v>382</v>
      </c>
      <c r="J51" s="153" t="s">
        <v>887</v>
      </c>
      <c r="K51" s="153"/>
      <c r="L51" s="153"/>
      <c r="M51" s="153" t="s">
        <v>388</v>
      </c>
      <c r="N51" s="153" t="s">
        <v>43</v>
      </c>
      <c r="O51" s="153" t="s">
        <v>541</v>
      </c>
      <c r="P51" s="153" t="s">
        <v>978</v>
      </c>
      <c r="Q51" s="153" t="s">
        <v>987</v>
      </c>
      <c r="R51" s="153" t="s">
        <v>53</v>
      </c>
      <c r="S51" s="153"/>
    </row>
    <row r="52" spans="1:19">
      <c r="A52" s="153" t="s">
        <v>1139</v>
      </c>
      <c r="B52" s="153" t="s">
        <v>1140</v>
      </c>
      <c r="C52" s="153" t="s">
        <v>1134</v>
      </c>
      <c r="D52" s="155">
        <v>59</v>
      </c>
      <c r="E52" s="153" t="s">
        <v>1141</v>
      </c>
      <c r="F52" s="153" t="s">
        <v>231</v>
      </c>
      <c r="G52" s="153" t="s">
        <v>910</v>
      </c>
      <c r="H52" s="153" t="s">
        <v>325</v>
      </c>
      <c r="I52" s="153" t="s">
        <v>382</v>
      </c>
      <c r="J52" s="153" t="s">
        <v>887</v>
      </c>
      <c r="K52" s="153" t="s">
        <v>911</v>
      </c>
      <c r="L52" s="153" t="s">
        <v>914</v>
      </c>
      <c r="M52" s="153" t="s">
        <v>388</v>
      </c>
      <c r="N52" s="153" t="s">
        <v>43</v>
      </c>
      <c r="O52" s="153" t="s">
        <v>541</v>
      </c>
      <c r="P52" s="153" t="s">
        <v>978</v>
      </c>
      <c r="Q52" s="153" t="s">
        <v>1142</v>
      </c>
      <c r="R52" s="153" t="s">
        <v>83</v>
      </c>
      <c r="S52" s="153"/>
    </row>
    <row r="53" spans="1:19">
      <c r="A53" s="153" t="s">
        <v>1143</v>
      </c>
      <c r="B53" s="153" t="s">
        <v>1140</v>
      </c>
      <c r="C53" s="153" t="s">
        <v>1144</v>
      </c>
      <c r="D53" s="155">
        <v>55</v>
      </c>
      <c r="E53" s="153" t="s">
        <v>1141</v>
      </c>
      <c r="F53" s="153" t="s">
        <v>231</v>
      </c>
      <c r="G53" s="153" t="s">
        <v>910</v>
      </c>
      <c r="H53" s="153" t="s">
        <v>325</v>
      </c>
      <c r="I53" s="153" t="s">
        <v>382</v>
      </c>
      <c r="J53" s="153" t="s">
        <v>887</v>
      </c>
      <c r="K53" s="153" t="s">
        <v>911</v>
      </c>
      <c r="L53" s="153" t="s">
        <v>914</v>
      </c>
      <c r="M53" s="153" t="s">
        <v>388</v>
      </c>
      <c r="N53" s="153" t="s">
        <v>43</v>
      </c>
      <c r="O53" s="153" t="s">
        <v>541</v>
      </c>
      <c r="P53" s="153" t="s">
        <v>978</v>
      </c>
      <c r="Q53" s="153" t="s">
        <v>1142</v>
      </c>
      <c r="R53" s="153" t="s">
        <v>83</v>
      </c>
      <c r="S53" s="153"/>
    </row>
    <row r="54" spans="1:19">
      <c r="A54" s="153" t="s">
        <v>1145</v>
      </c>
      <c r="B54" s="153" t="s">
        <v>1146</v>
      </c>
      <c r="C54" s="153" t="s">
        <v>1134</v>
      </c>
      <c r="D54" s="155">
        <v>59</v>
      </c>
      <c r="E54" s="153" t="s">
        <v>1147</v>
      </c>
      <c r="F54" s="153" t="s">
        <v>53</v>
      </c>
      <c r="G54" s="153" t="s">
        <v>910</v>
      </c>
      <c r="H54" s="153" t="s">
        <v>325</v>
      </c>
      <c r="I54" s="153" t="s">
        <v>382</v>
      </c>
      <c r="J54" s="153" t="s">
        <v>887</v>
      </c>
      <c r="K54" s="153" t="s">
        <v>1061</v>
      </c>
      <c r="L54" s="153" t="s">
        <v>1062</v>
      </c>
      <c r="M54" s="153" t="s">
        <v>388</v>
      </c>
      <c r="N54" s="153" t="s">
        <v>43</v>
      </c>
      <c r="O54" s="153" t="s">
        <v>541</v>
      </c>
      <c r="P54" s="153" t="s">
        <v>978</v>
      </c>
      <c r="Q54" s="153" t="s">
        <v>987</v>
      </c>
      <c r="R54" s="153" t="s">
        <v>53</v>
      </c>
      <c r="S54" s="153"/>
    </row>
    <row r="55" spans="1:19">
      <c r="A55" s="153" t="s">
        <v>1148</v>
      </c>
      <c r="B55" s="153" t="s">
        <v>1149</v>
      </c>
      <c r="C55" s="153" t="s">
        <v>1134</v>
      </c>
      <c r="D55" s="155">
        <v>59</v>
      </c>
      <c r="E55" s="155">
        <v>60222498</v>
      </c>
      <c r="F55" s="153" t="s">
        <v>68</v>
      </c>
      <c r="G55" s="153" t="s">
        <v>910</v>
      </c>
      <c r="H55" s="153" t="s">
        <v>325</v>
      </c>
      <c r="I55" s="153" t="s">
        <v>387</v>
      </c>
      <c r="J55" s="153" t="s">
        <v>887</v>
      </c>
      <c r="K55" s="153"/>
      <c r="L55" s="153"/>
      <c r="M55" s="153" t="s">
        <v>388</v>
      </c>
      <c r="N55" s="153" t="s">
        <v>43</v>
      </c>
      <c r="O55" s="153" t="s">
        <v>541</v>
      </c>
      <c r="P55" s="153" t="s">
        <v>978</v>
      </c>
      <c r="Q55" s="153" t="s">
        <v>1150</v>
      </c>
      <c r="R55" s="153" t="s">
        <v>68</v>
      </c>
      <c r="S55" s="153"/>
    </row>
    <row r="56" spans="1:19">
      <c r="A56" s="153" t="s">
        <v>1151</v>
      </c>
      <c r="B56" s="153" t="s">
        <v>1149</v>
      </c>
      <c r="C56" s="153" t="s">
        <v>990</v>
      </c>
      <c r="D56" s="155">
        <v>57</v>
      </c>
      <c r="E56" s="155">
        <v>60222498</v>
      </c>
      <c r="F56" s="153" t="s">
        <v>68</v>
      </c>
      <c r="G56" s="153" t="s">
        <v>910</v>
      </c>
      <c r="H56" s="153" t="s">
        <v>325</v>
      </c>
      <c r="I56" s="153" t="s">
        <v>387</v>
      </c>
      <c r="J56" s="153" t="s">
        <v>887</v>
      </c>
      <c r="K56" s="153"/>
      <c r="L56" s="153"/>
      <c r="M56" s="153" t="s">
        <v>388</v>
      </c>
      <c r="N56" s="153" t="s">
        <v>43</v>
      </c>
      <c r="O56" s="153" t="s">
        <v>541</v>
      </c>
      <c r="P56" s="153" t="s">
        <v>978</v>
      </c>
      <c r="Q56" s="153" t="s">
        <v>1150</v>
      </c>
      <c r="R56" s="153" t="s">
        <v>68</v>
      </c>
      <c r="S56" s="153"/>
    </row>
    <row r="57" spans="1:19">
      <c r="A57" s="153" t="s">
        <v>1152</v>
      </c>
      <c r="B57" s="153" t="s">
        <v>1153</v>
      </c>
      <c r="C57" s="153" t="s">
        <v>909</v>
      </c>
      <c r="D57" s="154">
        <v>0</v>
      </c>
      <c r="E57" s="153" t="s">
        <v>1154</v>
      </c>
      <c r="F57" s="153" t="s">
        <v>83</v>
      </c>
      <c r="G57" s="153" t="s">
        <v>910</v>
      </c>
      <c r="H57" s="153" t="s">
        <v>356</v>
      </c>
      <c r="I57" s="153" t="s">
        <v>382</v>
      </c>
      <c r="J57" s="153" t="s">
        <v>887</v>
      </c>
      <c r="K57" s="153" t="s">
        <v>1061</v>
      </c>
      <c r="L57" s="153" t="s">
        <v>1155</v>
      </c>
      <c r="M57" s="153" t="s">
        <v>388</v>
      </c>
      <c r="N57" s="153" t="s">
        <v>43</v>
      </c>
      <c r="O57" s="153" t="s">
        <v>386</v>
      </c>
      <c r="P57" s="153" t="s">
        <v>978</v>
      </c>
      <c r="Q57" s="153" t="s">
        <v>1142</v>
      </c>
      <c r="R57" s="153" t="s">
        <v>83</v>
      </c>
      <c r="S57" s="153"/>
    </row>
    <row r="58" spans="1:19">
      <c r="A58" s="153" t="s">
        <v>1156</v>
      </c>
      <c r="B58" s="153" t="s">
        <v>1157</v>
      </c>
      <c r="C58" s="153" t="s">
        <v>909</v>
      </c>
      <c r="D58" s="154">
        <v>0</v>
      </c>
      <c r="E58" s="153" t="s">
        <v>1158</v>
      </c>
      <c r="F58" s="153" t="s">
        <v>53</v>
      </c>
      <c r="G58" s="153" t="s">
        <v>910</v>
      </c>
      <c r="H58" s="153" t="s">
        <v>356</v>
      </c>
      <c r="I58" s="153" t="s">
        <v>382</v>
      </c>
      <c r="J58" s="153" t="s">
        <v>887</v>
      </c>
      <c r="K58" s="153" t="s">
        <v>911</v>
      </c>
      <c r="L58" s="153" t="s">
        <v>914</v>
      </c>
      <c r="M58" s="153" t="s">
        <v>388</v>
      </c>
      <c r="N58" s="153" t="s">
        <v>43</v>
      </c>
      <c r="O58" s="153" t="s">
        <v>386</v>
      </c>
      <c r="P58" s="153" t="s">
        <v>978</v>
      </c>
      <c r="Q58" s="153" t="s">
        <v>1159</v>
      </c>
      <c r="R58" s="153" t="s">
        <v>53</v>
      </c>
      <c r="S58" s="153"/>
    </row>
    <row r="59" spans="1:19">
      <c r="A59" s="153" t="s">
        <v>1160</v>
      </c>
      <c r="B59" s="153" t="s">
        <v>1161</v>
      </c>
      <c r="C59" s="153" t="s">
        <v>1134</v>
      </c>
      <c r="D59" s="155">
        <v>59</v>
      </c>
      <c r="E59" s="155">
        <v>60222449</v>
      </c>
      <c r="F59" s="153" t="s">
        <v>68</v>
      </c>
      <c r="G59" s="153" t="s">
        <v>910</v>
      </c>
      <c r="H59" s="153" t="s">
        <v>325</v>
      </c>
      <c r="I59" s="153" t="s">
        <v>387</v>
      </c>
      <c r="J59" s="153" t="s">
        <v>887</v>
      </c>
      <c r="K59" s="153"/>
      <c r="L59" s="153"/>
      <c r="M59" s="153" t="s">
        <v>388</v>
      </c>
      <c r="N59" s="153" t="s">
        <v>43</v>
      </c>
      <c r="O59" s="153" t="s">
        <v>386</v>
      </c>
      <c r="P59" s="153" t="s">
        <v>978</v>
      </c>
      <c r="Q59" s="153" t="s">
        <v>1162</v>
      </c>
      <c r="R59" s="153" t="s">
        <v>68</v>
      </c>
      <c r="S59" s="153"/>
    </row>
    <row r="60" spans="1:19">
      <c r="A60" s="153" t="s">
        <v>1163</v>
      </c>
      <c r="B60" s="153" t="s">
        <v>1161</v>
      </c>
      <c r="C60" s="153" t="s">
        <v>990</v>
      </c>
      <c r="D60" s="155">
        <v>57</v>
      </c>
      <c r="E60" s="155">
        <v>60222449</v>
      </c>
      <c r="F60" s="153" t="s">
        <v>68</v>
      </c>
      <c r="G60" s="153" t="s">
        <v>910</v>
      </c>
      <c r="H60" s="153" t="s">
        <v>325</v>
      </c>
      <c r="I60" s="153" t="s">
        <v>387</v>
      </c>
      <c r="J60" s="153" t="s">
        <v>887</v>
      </c>
      <c r="K60" s="153"/>
      <c r="L60" s="153"/>
      <c r="M60" s="153" t="s">
        <v>388</v>
      </c>
      <c r="N60" s="153" t="s">
        <v>43</v>
      </c>
      <c r="O60" s="153" t="s">
        <v>386</v>
      </c>
      <c r="P60" s="153" t="s">
        <v>978</v>
      </c>
      <c r="Q60" s="153" t="s">
        <v>1162</v>
      </c>
      <c r="R60" s="153" t="s">
        <v>68</v>
      </c>
      <c r="S60" s="153"/>
    </row>
    <row r="61" spans="1:19">
      <c r="A61" s="153" t="s">
        <v>1164</v>
      </c>
      <c r="B61" s="153" t="s">
        <v>1161</v>
      </c>
      <c r="C61" s="153" t="s">
        <v>1144</v>
      </c>
      <c r="D61" s="155">
        <v>55</v>
      </c>
      <c r="E61" s="155">
        <v>60222449</v>
      </c>
      <c r="F61" s="153" t="s">
        <v>68</v>
      </c>
      <c r="G61" s="153" t="s">
        <v>910</v>
      </c>
      <c r="H61" s="153" t="s">
        <v>325</v>
      </c>
      <c r="I61" s="153" t="s">
        <v>387</v>
      </c>
      <c r="J61" s="153" t="s">
        <v>887</v>
      </c>
      <c r="K61" s="153"/>
      <c r="L61" s="153"/>
      <c r="M61" s="153" t="s">
        <v>388</v>
      </c>
      <c r="N61" s="153" t="s">
        <v>43</v>
      </c>
      <c r="O61" s="153" t="s">
        <v>386</v>
      </c>
      <c r="P61" s="153" t="s">
        <v>978</v>
      </c>
      <c r="Q61" s="153" t="s">
        <v>1162</v>
      </c>
      <c r="R61" s="153" t="s">
        <v>68</v>
      </c>
      <c r="S61" s="153"/>
    </row>
    <row r="62" spans="1:19">
      <c r="A62" s="153" t="s">
        <v>1165</v>
      </c>
      <c r="B62" s="153" t="s">
        <v>1166</v>
      </c>
      <c r="C62" s="153" t="s">
        <v>909</v>
      </c>
      <c r="D62" s="154">
        <v>0</v>
      </c>
      <c r="E62" s="153" t="s">
        <v>1167</v>
      </c>
      <c r="F62" s="153" t="s">
        <v>68</v>
      </c>
      <c r="G62" s="153" t="s">
        <v>910</v>
      </c>
      <c r="H62" s="153" t="s">
        <v>327</v>
      </c>
      <c r="I62" s="153" t="s">
        <v>387</v>
      </c>
      <c r="J62" s="153" t="s">
        <v>887</v>
      </c>
      <c r="K62" s="153" t="s">
        <v>911</v>
      </c>
      <c r="L62" s="153" t="s">
        <v>914</v>
      </c>
      <c r="M62" s="153" t="s">
        <v>388</v>
      </c>
      <c r="N62" s="153" t="s">
        <v>43</v>
      </c>
      <c r="O62" s="153" t="s">
        <v>386</v>
      </c>
      <c r="P62" s="153" t="s">
        <v>978</v>
      </c>
      <c r="Q62" s="153" t="s">
        <v>1168</v>
      </c>
      <c r="R62" s="153" t="s">
        <v>68</v>
      </c>
      <c r="S62" s="153"/>
    </row>
    <row r="63" spans="1:19">
      <c r="A63" s="153" t="s">
        <v>1169</v>
      </c>
      <c r="B63" s="153" t="s">
        <v>1170</v>
      </c>
      <c r="C63" s="153" t="s">
        <v>1134</v>
      </c>
      <c r="D63" s="155">
        <v>59</v>
      </c>
      <c r="E63" s="155">
        <v>60222382</v>
      </c>
      <c r="F63" s="153" t="s">
        <v>83</v>
      </c>
      <c r="G63" s="153" t="s">
        <v>910</v>
      </c>
      <c r="H63" s="153" t="s">
        <v>325</v>
      </c>
      <c r="I63" s="153" t="s">
        <v>382</v>
      </c>
      <c r="J63" s="153" t="s">
        <v>887</v>
      </c>
      <c r="K63" s="153"/>
      <c r="L63" s="153"/>
      <c r="M63" s="153" t="s">
        <v>388</v>
      </c>
      <c r="N63" s="153" t="s">
        <v>43</v>
      </c>
      <c r="O63" s="153" t="s">
        <v>386</v>
      </c>
      <c r="P63" s="153" t="s">
        <v>978</v>
      </c>
      <c r="Q63" s="153" t="s">
        <v>1171</v>
      </c>
      <c r="R63" s="153" t="s">
        <v>83</v>
      </c>
      <c r="S63" s="153"/>
    </row>
    <row r="64" spans="1:19">
      <c r="A64" s="153" t="s">
        <v>1172</v>
      </c>
      <c r="B64" s="153" t="s">
        <v>1170</v>
      </c>
      <c r="C64" s="153" t="s">
        <v>990</v>
      </c>
      <c r="D64" s="155">
        <v>57</v>
      </c>
      <c r="E64" s="155">
        <v>60222382</v>
      </c>
      <c r="F64" s="153" t="s">
        <v>83</v>
      </c>
      <c r="G64" s="153" t="s">
        <v>910</v>
      </c>
      <c r="H64" s="153" t="s">
        <v>325</v>
      </c>
      <c r="I64" s="153" t="s">
        <v>382</v>
      </c>
      <c r="J64" s="153" t="s">
        <v>887</v>
      </c>
      <c r="K64" s="153"/>
      <c r="L64" s="153"/>
      <c r="M64" s="153" t="s">
        <v>388</v>
      </c>
      <c r="N64" s="153" t="s">
        <v>43</v>
      </c>
      <c r="O64" s="153" t="s">
        <v>386</v>
      </c>
      <c r="P64" s="153" t="s">
        <v>978</v>
      </c>
      <c r="Q64" s="153" t="s">
        <v>1171</v>
      </c>
      <c r="R64" s="153" t="s">
        <v>83</v>
      </c>
      <c r="S64" s="153"/>
    </row>
    <row r="65" spans="1:19">
      <c r="A65" s="153" t="s">
        <v>1173</v>
      </c>
      <c r="B65" s="153" t="s">
        <v>1170</v>
      </c>
      <c r="C65" s="153" t="s">
        <v>1144</v>
      </c>
      <c r="D65" s="155">
        <v>55</v>
      </c>
      <c r="E65" s="155">
        <v>60222382</v>
      </c>
      <c r="F65" s="153" t="s">
        <v>83</v>
      </c>
      <c r="G65" s="153" t="s">
        <v>910</v>
      </c>
      <c r="H65" s="153" t="s">
        <v>325</v>
      </c>
      <c r="I65" s="153" t="s">
        <v>382</v>
      </c>
      <c r="J65" s="153" t="s">
        <v>887</v>
      </c>
      <c r="K65" s="153"/>
      <c r="L65" s="153"/>
      <c r="M65" s="153" t="s">
        <v>388</v>
      </c>
      <c r="N65" s="153" t="s">
        <v>43</v>
      </c>
      <c r="O65" s="153" t="s">
        <v>386</v>
      </c>
      <c r="P65" s="153" t="s">
        <v>978</v>
      </c>
      <c r="Q65" s="153" t="s">
        <v>1171</v>
      </c>
      <c r="R65" s="153" t="s">
        <v>83</v>
      </c>
      <c r="S65" s="153"/>
    </row>
    <row r="66" spans="1:19">
      <c r="A66" s="153" t="s">
        <v>1174</v>
      </c>
      <c r="B66" s="153" t="s">
        <v>1175</v>
      </c>
      <c r="C66" s="153" t="s">
        <v>909</v>
      </c>
      <c r="D66" s="154">
        <v>0</v>
      </c>
      <c r="E66" s="155">
        <v>60222375</v>
      </c>
      <c r="F66" s="153" t="s">
        <v>78</v>
      </c>
      <c r="G66" s="153" t="s">
        <v>910</v>
      </c>
      <c r="H66" s="153" t="s">
        <v>327</v>
      </c>
      <c r="I66" s="153" t="s">
        <v>382</v>
      </c>
      <c r="J66" s="153" t="s">
        <v>887</v>
      </c>
      <c r="K66" s="153"/>
      <c r="L66" s="153"/>
      <c r="M66" s="153" t="s">
        <v>388</v>
      </c>
      <c r="N66" s="153" t="s">
        <v>43</v>
      </c>
      <c r="O66" s="153" t="s">
        <v>386</v>
      </c>
      <c r="P66" s="153" t="s">
        <v>978</v>
      </c>
      <c r="Q66" s="153" t="s">
        <v>1176</v>
      </c>
      <c r="R66" s="153" t="s">
        <v>78</v>
      </c>
      <c r="S66" s="153"/>
    </row>
    <row r="67" spans="1:19">
      <c r="A67" s="153" t="s">
        <v>1177</v>
      </c>
      <c r="B67" s="153" t="s">
        <v>1178</v>
      </c>
      <c r="C67" s="153" t="s">
        <v>1134</v>
      </c>
      <c r="D67" s="155">
        <v>59</v>
      </c>
      <c r="E67" s="155">
        <v>60222332</v>
      </c>
      <c r="F67" s="153" t="s">
        <v>53</v>
      </c>
      <c r="G67" s="153" t="s">
        <v>918</v>
      </c>
      <c r="H67" s="153" t="s">
        <v>325</v>
      </c>
      <c r="I67" s="153" t="s">
        <v>382</v>
      </c>
      <c r="J67" s="153" t="s">
        <v>887</v>
      </c>
      <c r="K67" s="153"/>
      <c r="L67" s="153"/>
      <c r="M67" s="153" t="s">
        <v>388</v>
      </c>
      <c r="N67" s="153"/>
      <c r="O67" s="153" t="s">
        <v>386</v>
      </c>
      <c r="P67" s="153" t="s">
        <v>978</v>
      </c>
      <c r="Q67" s="153" t="s">
        <v>987</v>
      </c>
      <c r="R67" s="153" t="s">
        <v>53</v>
      </c>
      <c r="S67" s="153"/>
    </row>
    <row r="68" spans="1:19">
      <c r="A68" s="153" t="s">
        <v>1179</v>
      </c>
      <c r="B68" s="153" t="s">
        <v>1178</v>
      </c>
      <c r="C68" s="153" t="s">
        <v>990</v>
      </c>
      <c r="D68" s="155">
        <v>57</v>
      </c>
      <c r="E68" s="155">
        <v>60222332</v>
      </c>
      <c r="F68" s="153" t="s">
        <v>53</v>
      </c>
      <c r="G68" s="153" t="s">
        <v>918</v>
      </c>
      <c r="H68" s="153" t="s">
        <v>325</v>
      </c>
      <c r="I68" s="153" t="s">
        <v>382</v>
      </c>
      <c r="J68" s="153" t="s">
        <v>887</v>
      </c>
      <c r="K68" s="153"/>
      <c r="L68" s="153"/>
      <c r="M68" s="153" t="s">
        <v>388</v>
      </c>
      <c r="N68" s="153"/>
      <c r="O68" s="153" t="s">
        <v>386</v>
      </c>
      <c r="P68" s="153" t="s">
        <v>978</v>
      </c>
      <c r="Q68" s="153" t="s">
        <v>987</v>
      </c>
      <c r="R68" s="153" t="s">
        <v>53</v>
      </c>
      <c r="S68" s="153"/>
    </row>
    <row r="69" spans="1:19">
      <c r="A69" s="153" t="s">
        <v>1180</v>
      </c>
      <c r="B69" s="153" t="s">
        <v>1178</v>
      </c>
      <c r="C69" s="153" t="s">
        <v>1144</v>
      </c>
      <c r="D69" s="155">
        <v>55</v>
      </c>
      <c r="E69" s="155">
        <v>60222332</v>
      </c>
      <c r="F69" s="153" t="s">
        <v>53</v>
      </c>
      <c r="G69" s="153" t="s">
        <v>918</v>
      </c>
      <c r="H69" s="153" t="s">
        <v>325</v>
      </c>
      <c r="I69" s="153" t="s">
        <v>382</v>
      </c>
      <c r="J69" s="153" t="s">
        <v>887</v>
      </c>
      <c r="K69" s="153"/>
      <c r="L69" s="153"/>
      <c r="M69" s="153" t="s">
        <v>388</v>
      </c>
      <c r="N69" s="153"/>
      <c r="O69" s="153" t="s">
        <v>386</v>
      </c>
      <c r="P69" s="153" t="s">
        <v>978</v>
      </c>
      <c r="Q69" s="153" t="s">
        <v>987</v>
      </c>
      <c r="R69" s="153" t="s">
        <v>53</v>
      </c>
      <c r="S69" s="153"/>
    </row>
    <row r="70" spans="1:19">
      <c r="A70" s="153" t="s">
        <v>1181</v>
      </c>
      <c r="B70" s="153" t="s">
        <v>1182</v>
      </c>
      <c r="C70" s="153" t="s">
        <v>990</v>
      </c>
      <c r="D70" s="155">
        <v>57</v>
      </c>
      <c r="E70" s="155">
        <v>60222327</v>
      </c>
      <c r="F70" s="153" t="s">
        <v>53</v>
      </c>
      <c r="G70" s="153" t="s">
        <v>910</v>
      </c>
      <c r="H70" s="153" t="s">
        <v>325</v>
      </c>
      <c r="I70" s="153" t="s">
        <v>382</v>
      </c>
      <c r="J70" s="153" t="s">
        <v>887</v>
      </c>
      <c r="K70" s="153"/>
      <c r="L70" s="153"/>
      <c r="M70" s="153" t="s">
        <v>388</v>
      </c>
      <c r="N70" s="153" t="s">
        <v>43</v>
      </c>
      <c r="O70" s="153" t="s">
        <v>541</v>
      </c>
      <c r="P70" s="153" t="s">
        <v>978</v>
      </c>
      <c r="Q70" s="153" t="s">
        <v>987</v>
      </c>
      <c r="R70" s="153" t="s">
        <v>53</v>
      </c>
      <c r="S70" s="153"/>
    </row>
    <row r="71" spans="1:19">
      <c r="A71" s="153" t="s">
        <v>1183</v>
      </c>
      <c r="B71" s="153" t="s">
        <v>1184</v>
      </c>
      <c r="C71" s="153" t="s">
        <v>1134</v>
      </c>
      <c r="D71" s="155">
        <v>59</v>
      </c>
      <c r="E71" s="153" t="s">
        <v>1185</v>
      </c>
      <c r="F71" s="153" t="s">
        <v>55</v>
      </c>
      <c r="G71" s="153" t="s">
        <v>910</v>
      </c>
      <c r="H71" s="153" t="s">
        <v>325</v>
      </c>
      <c r="I71" s="153" t="s">
        <v>382</v>
      </c>
      <c r="J71" s="153" t="s">
        <v>887</v>
      </c>
      <c r="K71" s="153" t="s">
        <v>911</v>
      </c>
      <c r="L71" s="153" t="s">
        <v>914</v>
      </c>
      <c r="M71" s="153" t="s">
        <v>388</v>
      </c>
      <c r="N71" s="153" t="s">
        <v>43</v>
      </c>
      <c r="O71" s="153" t="s">
        <v>541</v>
      </c>
      <c r="P71" s="153" t="s">
        <v>978</v>
      </c>
      <c r="Q71" s="153" t="s">
        <v>1159</v>
      </c>
      <c r="R71" s="153" t="s">
        <v>71</v>
      </c>
      <c r="S71" s="153"/>
    </row>
    <row r="72" spans="1:19">
      <c r="A72" s="153" t="s">
        <v>1186</v>
      </c>
      <c r="B72" s="153" t="s">
        <v>1184</v>
      </c>
      <c r="C72" s="153" t="s">
        <v>1144</v>
      </c>
      <c r="D72" s="155">
        <v>55</v>
      </c>
      <c r="E72" s="153" t="s">
        <v>1185</v>
      </c>
      <c r="F72" s="153" t="s">
        <v>55</v>
      </c>
      <c r="G72" s="153" t="s">
        <v>910</v>
      </c>
      <c r="H72" s="153" t="s">
        <v>325</v>
      </c>
      <c r="I72" s="153" t="s">
        <v>382</v>
      </c>
      <c r="J72" s="153" t="s">
        <v>887</v>
      </c>
      <c r="K72" s="153" t="s">
        <v>911</v>
      </c>
      <c r="L72" s="153" t="s">
        <v>914</v>
      </c>
      <c r="M72" s="153" t="s">
        <v>388</v>
      </c>
      <c r="N72" s="153" t="s">
        <v>43</v>
      </c>
      <c r="O72" s="153" t="s">
        <v>541</v>
      </c>
      <c r="P72" s="153" t="s">
        <v>978</v>
      </c>
      <c r="Q72" s="153" t="s">
        <v>1159</v>
      </c>
      <c r="R72" s="153" t="s">
        <v>71</v>
      </c>
      <c r="S72" s="153"/>
    </row>
    <row r="73" spans="1:19">
      <c r="A73" s="153" t="s">
        <v>1187</v>
      </c>
      <c r="B73" s="153" t="s">
        <v>1188</v>
      </c>
      <c r="C73" s="153" t="s">
        <v>909</v>
      </c>
      <c r="D73" s="154">
        <v>0</v>
      </c>
      <c r="E73" s="155">
        <v>60222258</v>
      </c>
      <c r="F73" s="153" t="s">
        <v>269</v>
      </c>
      <c r="G73" s="153" t="s">
        <v>910</v>
      </c>
      <c r="H73" s="153" t="s">
        <v>356</v>
      </c>
      <c r="I73" s="153" t="s">
        <v>382</v>
      </c>
      <c r="J73" s="153" t="s">
        <v>887</v>
      </c>
      <c r="K73" s="153"/>
      <c r="L73" s="153"/>
      <c r="M73" s="153" t="s">
        <v>388</v>
      </c>
      <c r="N73" s="153" t="s">
        <v>43</v>
      </c>
      <c r="O73" s="153" t="s">
        <v>386</v>
      </c>
      <c r="P73" s="153" t="s">
        <v>978</v>
      </c>
      <c r="Q73" s="153" t="s">
        <v>1189</v>
      </c>
      <c r="R73" s="153" t="s">
        <v>60</v>
      </c>
      <c r="S73" s="153"/>
    </row>
    <row r="74" spans="1:19">
      <c r="A74" s="153" t="s">
        <v>1190</v>
      </c>
      <c r="B74" s="153" t="s">
        <v>1191</v>
      </c>
      <c r="C74" s="153" t="s">
        <v>1134</v>
      </c>
      <c r="D74" s="155">
        <v>59</v>
      </c>
      <c r="E74" s="155">
        <v>60222255</v>
      </c>
      <c r="F74" s="153" t="s">
        <v>847</v>
      </c>
      <c r="G74" s="153" t="s">
        <v>910</v>
      </c>
      <c r="H74" s="153" t="s">
        <v>325</v>
      </c>
      <c r="I74" s="153" t="s">
        <v>382</v>
      </c>
      <c r="J74" s="153" t="s">
        <v>887</v>
      </c>
      <c r="K74" s="153"/>
      <c r="L74" s="153"/>
      <c r="M74" s="153" t="s">
        <v>388</v>
      </c>
      <c r="N74" s="153" t="s">
        <v>43</v>
      </c>
      <c r="O74" s="153" t="s">
        <v>386</v>
      </c>
      <c r="P74" s="153" t="s">
        <v>978</v>
      </c>
      <c r="Q74" s="153" t="s">
        <v>1192</v>
      </c>
      <c r="R74" s="153" t="s">
        <v>60</v>
      </c>
      <c r="S74" s="153"/>
    </row>
    <row r="75" spans="1:19">
      <c r="A75" s="153" t="s">
        <v>1193</v>
      </c>
      <c r="B75" s="153" t="s">
        <v>1191</v>
      </c>
      <c r="C75" s="153" t="s">
        <v>990</v>
      </c>
      <c r="D75" s="155">
        <v>57</v>
      </c>
      <c r="E75" s="155">
        <v>60222255</v>
      </c>
      <c r="F75" s="153" t="s">
        <v>847</v>
      </c>
      <c r="G75" s="153" t="s">
        <v>910</v>
      </c>
      <c r="H75" s="153" t="s">
        <v>325</v>
      </c>
      <c r="I75" s="153" t="s">
        <v>382</v>
      </c>
      <c r="J75" s="153" t="s">
        <v>887</v>
      </c>
      <c r="K75" s="153"/>
      <c r="L75" s="153"/>
      <c r="M75" s="153" t="s">
        <v>388</v>
      </c>
      <c r="N75" s="153" t="s">
        <v>43</v>
      </c>
      <c r="O75" s="153" t="s">
        <v>386</v>
      </c>
      <c r="P75" s="153" t="s">
        <v>978</v>
      </c>
      <c r="Q75" s="153" t="s">
        <v>1192</v>
      </c>
      <c r="R75" s="153" t="s">
        <v>60</v>
      </c>
      <c r="S75" s="153"/>
    </row>
    <row r="76" spans="1:19">
      <c r="A76" s="153" t="s">
        <v>1194</v>
      </c>
      <c r="B76" s="153" t="s">
        <v>1191</v>
      </c>
      <c r="C76" s="153" t="s">
        <v>1144</v>
      </c>
      <c r="D76" s="155">
        <v>55</v>
      </c>
      <c r="E76" s="155">
        <v>60222255</v>
      </c>
      <c r="F76" s="153" t="s">
        <v>847</v>
      </c>
      <c r="G76" s="153" t="s">
        <v>910</v>
      </c>
      <c r="H76" s="153" t="s">
        <v>325</v>
      </c>
      <c r="I76" s="153" t="s">
        <v>382</v>
      </c>
      <c r="J76" s="153" t="s">
        <v>887</v>
      </c>
      <c r="K76" s="153"/>
      <c r="L76" s="153"/>
      <c r="M76" s="153" t="s">
        <v>388</v>
      </c>
      <c r="N76" s="153" t="s">
        <v>43</v>
      </c>
      <c r="O76" s="153" t="s">
        <v>386</v>
      </c>
      <c r="P76" s="153" t="s">
        <v>978</v>
      </c>
      <c r="Q76" s="153" t="s">
        <v>1192</v>
      </c>
      <c r="R76" s="153" t="s">
        <v>60</v>
      </c>
      <c r="S76" s="153"/>
    </row>
    <row r="77" spans="1:19">
      <c r="A77" s="153" t="s">
        <v>1195</v>
      </c>
      <c r="B77" s="153" t="s">
        <v>1196</v>
      </c>
      <c r="C77" s="153" t="s">
        <v>1134</v>
      </c>
      <c r="D77" s="155">
        <v>59</v>
      </c>
      <c r="E77" s="155">
        <v>60222249</v>
      </c>
      <c r="F77" s="153" t="s">
        <v>71</v>
      </c>
      <c r="G77" s="153" t="s">
        <v>910</v>
      </c>
      <c r="H77" s="153" t="s">
        <v>325</v>
      </c>
      <c r="I77" s="153" t="s">
        <v>382</v>
      </c>
      <c r="J77" s="153" t="s">
        <v>887</v>
      </c>
      <c r="K77" s="153"/>
      <c r="L77" s="153"/>
      <c r="M77" s="153" t="s">
        <v>388</v>
      </c>
      <c r="N77" s="153" t="s">
        <v>43</v>
      </c>
      <c r="O77" s="153" t="s">
        <v>541</v>
      </c>
      <c r="P77" s="153" t="s">
        <v>978</v>
      </c>
      <c r="Q77" s="153" t="s">
        <v>1197</v>
      </c>
      <c r="R77" s="153" t="s">
        <v>71</v>
      </c>
      <c r="S77" s="153"/>
    </row>
    <row r="78" spans="1:19">
      <c r="A78" s="153" t="s">
        <v>1198</v>
      </c>
      <c r="B78" s="153" t="s">
        <v>1196</v>
      </c>
      <c r="C78" s="153" t="s">
        <v>990</v>
      </c>
      <c r="D78" s="155">
        <v>57</v>
      </c>
      <c r="E78" s="155">
        <v>60222249</v>
      </c>
      <c r="F78" s="153" t="s">
        <v>71</v>
      </c>
      <c r="G78" s="153" t="s">
        <v>910</v>
      </c>
      <c r="H78" s="153" t="s">
        <v>325</v>
      </c>
      <c r="I78" s="153" t="s">
        <v>382</v>
      </c>
      <c r="J78" s="153" t="s">
        <v>887</v>
      </c>
      <c r="K78" s="153"/>
      <c r="L78" s="153"/>
      <c r="M78" s="153" t="s">
        <v>388</v>
      </c>
      <c r="N78" s="153" t="s">
        <v>43</v>
      </c>
      <c r="O78" s="153" t="s">
        <v>541</v>
      </c>
      <c r="P78" s="153" t="s">
        <v>978</v>
      </c>
      <c r="Q78" s="153" t="s">
        <v>1197</v>
      </c>
      <c r="R78" s="153" t="s">
        <v>71</v>
      </c>
      <c r="S78" s="153"/>
    </row>
    <row r="79" spans="1:19">
      <c r="A79" s="153" t="s">
        <v>1199</v>
      </c>
      <c r="B79" s="153" t="s">
        <v>1196</v>
      </c>
      <c r="C79" s="153" t="s">
        <v>1144</v>
      </c>
      <c r="D79" s="155">
        <v>55</v>
      </c>
      <c r="E79" s="155">
        <v>60222249</v>
      </c>
      <c r="F79" s="153" t="s">
        <v>71</v>
      </c>
      <c r="G79" s="153" t="s">
        <v>910</v>
      </c>
      <c r="H79" s="153" t="s">
        <v>325</v>
      </c>
      <c r="I79" s="153" t="s">
        <v>382</v>
      </c>
      <c r="J79" s="153" t="s">
        <v>887</v>
      </c>
      <c r="K79" s="153"/>
      <c r="L79" s="153"/>
      <c r="M79" s="153" t="s">
        <v>388</v>
      </c>
      <c r="N79" s="153" t="s">
        <v>43</v>
      </c>
      <c r="O79" s="153" t="s">
        <v>541</v>
      </c>
      <c r="P79" s="153" t="s">
        <v>978</v>
      </c>
      <c r="Q79" s="153" t="s">
        <v>1197</v>
      </c>
      <c r="R79" s="153" t="s">
        <v>71</v>
      </c>
      <c r="S79" s="153"/>
    </row>
    <row r="80" spans="1:19">
      <c r="A80" s="153" t="s">
        <v>1200</v>
      </c>
      <c r="B80" s="153" t="s">
        <v>1201</v>
      </c>
      <c r="C80" s="153" t="s">
        <v>1134</v>
      </c>
      <c r="D80" s="155">
        <v>59</v>
      </c>
      <c r="E80" s="155">
        <v>60222227</v>
      </c>
      <c r="F80" s="153" t="s">
        <v>57</v>
      </c>
      <c r="G80" s="153" t="s">
        <v>910</v>
      </c>
      <c r="H80" s="153" t="s">
        <v>325</v>
      </c>
      <c r="I80" s="153" t="s">
        <v>382</v>
      </c>
      <c r="J80" s="153" t="s">
        <v>887</v>
      </c>
      <c r="K80" s="153"/>
      <c r="L80" s="153"/>
      <c r="M80" s="153" t="s">
        <v>388</v>
      </c>
      <c r="N80" s="153" t="s">
        <v>43</v>
      </c>
      <c r="O80" s="153" t="s">
        <v>541</v>
      </c>
      <c r="P80" s="153" t="s">
        <v>978</v>
      </c>
      <c r="Q80" s="153" t="s">
        <v>1018</v>
      </c>
      <c r="R80" s="153" t="s">
        <v>57</v>
      </c>
      <c r="S80" s="153"/>
    </row>
    <row r="81" spans="1:19">
      <c r="A81" s="153" t="s">
        <v>1202</v>
      </c>
      <c r="B81" s="153" t="s">
        <v>1201</v>
      </c>
      <c r="C81" s="153" t="s">
        <v>990</v>
      </c>
      <c r="D81" s="155">
        <v>57</v>
      </c>
      <c r="E81" s="155">
        <v>60222227</v>
      </c>
      <c r="F81" s="153" t="s">
        <v>57</v>
      </c>
      <c r="G81" s="153" t="s">
        <v>910</v>
      </c>
      <c r="H81" s="153" t="s">
        <v>325</v>
      </c>
      <c r="I81" s="153" t="s">
        <v>382</v>
      </c>
      <c r="J81" s="153" t="s">
        <v>887</v>
      </c>
      <c r="K81" s="153"/>
      <c r="L81" s="153"/>
      <c r="M81" s="153" t="s">
        <v>388</v>
      </c>
      <c r="N81" s="153" t="s">
        <v>43</v>
      </c>
      <c r="O81" s="153" t="s">
        <v>541</v>
      </c>
      <c r="P81" s="153" t="s">
        <v>978</v>
      </c>
      <c r="Q81" s="153" t="s">
        <v>1018</v>
      </c>
      <c r="R81" s="153" t="s">
        <v>57</v>
      </c>
      <c r="S81" s="153"/>
    </row>
    <row r="82" spans="1:19">
      <c r="A82" s="153" t="s">
        <v>1203</v>
      </c>
      <c r="B82" s="153" t="s">
        <v>1204</v>
      </c>
      <c r="C82" s="153" t="s">
        <v>1134</v>
      </c>
      <c r="D82" s="155">
        <v>59</v>
      </c>
      <c r="E82" s="155">
        <v>60222226</v>
      </c>
      <c r="F82" s="153" t="s">
        <v>195</v>
      </c>
      <c r="G82" s="153" t="s">
        <v>910</v>
      </c>
      <c r="H82" s="153" t="s">
        <v>325</v>
      </c>
      <c r="I82" s="153" t="s">
        <v>382</v>
      </c>
      <c r="J82" s="153" t="s">
        <v>887</v>
      </c>
      <c r="K82" s="153"/>
      <c r="L82" s="153"/>
      <c r="M82" s="153" t="s">
        <v>388</v>
      </c>
      <c r="N82" s="153" t="s">
        <v>43</v>
      </c>
      <c r="O82" s="153" t="s">
        <v>541</v>
      </c>
      <c r="P82" s="153" t="s">
        <v>978</v>
      </c>
      <c r="Q82" s="153" t="s">
        <v>1205</v>
      </c>
      <c r="R82" s="153" t="s">
        <v>195</v>
      </c>
      <c r="S82" s="153"/>
    </row>
    <row r="83" spans="1:19">
      <c r="A83" s="153" t="s">
        <v>1206</v>
      </c>
      <c r="B83" s="153" t="s">
        <v>1204</v>
      </c>
      <c r="C83" s="153" t="s">
        <v>990</v>
      </c>
      <c r="D83" s="155">
        <v>57</v>
      </c>
      <c r="E83" s="155">
        <v>60222226</v>
      </c>
      <c r="F83" s="153" t="s">
        <v>195</v>
      </c>
      <c r="G83" s="153" t="s">
        <v>910</v>
      </c>
      <c r="H83" s="153" t="s">
        <v>325</v>
      </c>
      <c r="I83" s="153" t="s">
        <v>382</v>
      </c>
      <c r="J83" s="153" t="s">
        <v>887</v>
      </c>
      <c r="K83" s="153"/>
      <c r="L83" s="153"/>
      <c r="M83" s="153" t="s">
        <v>388</v>
      </c>
      <c r="N83" s="153" t="s">
        <v>43</v>
      </c>
      <c r="O83" s="153" t="s">
        <v>541</v>
      </c>
      <c r="P83" s="153" t="s">
        <v>978</v>
      </c>
      <c r="Q83" s="153" t="s">
        <v>1205</v>
      </c>
      <c r="R83" s="153" t="s">
        <v>195</v>
      </c>
      <c r="S83" s="153"/>
    </row>
    <row r="84" spans="1:19">
      <c r="A84" s="153" t="s">
        <v>1207</v>
      </c>
      <c r="B84" s="153" t="s">
        <v>1204</v>
      </c>
      <c r="C84" s="153" t="s">
        <v>1144</v>
      </c>
      <c r="D84" s="155">
        <v>55</v>
      </c>
      <c r="E84" s="155">
        <v>60222226</v>
      </c>
      <c r="F84" s="153" t="s">
        <v>195</v>
      </c>
      <c r="G84" s="153" t="s">
        <v>910</v>
      </c>
      <c r="H84" s="153" t="s">
        <v>325</v>
      </c>
      <c r="I84" s="153" t="s">
        <v>382</v>
      </c>
      <c r="J84" s="153" t="s">
        <v>887</v>
      </c>
      <c r="K84" s="153"/>
      <c r="L84" s="153"/>
      <c r="M84" s="153" t="s">
        <v>388</v>
      </c>
      <c r="N84" s="153" t="s">
        <v>43</v>
      </c>
      <c r="O84" s="153" t="s">
        <v>541</v>
      </c>
      <c r="P84" s="153" t="s">
        <v>978</v>
      </c>
      <c r="Q84" s="153" t="s">
        <v>1205</v>
      </c>
      <c r="R84" s="153" t="s">
        <v>195</v>
      </c>
      <c r="S84" s="153"/>
    </row>
    <row r="85" spans="1:19">
      <c r="A85" s="153" t="s">
        <v>1208</v>
      </c>
      <c r="B85" s="153" t="s">
        <v>1209</v>
      </c>
      <c r="C85" s="153" t="s">
        <v>909</v>
      </c>
      <c r="D85" s="154">
        <v>0</v>
      </c>
      <c r="E85" s="153" t="s">
        <v>1210</v>
      </c>
      <c r="F85" s="153" t="s">
        <v>53</v>
      </c>
      <c r="G85" s="153" t="s">
        <v>910</v>
      </c>
      <c r="H85" s="153" t="s">
        <v>327</v>
      </c>
      <c r="I85" s="153" t="s">
        <v>382</v>
      </c>
      <c r="J85" s="153" t="s">
        <v>887</v>
      </c>
      <c r="K85" s="153" t="s">
        <v>920</v>
      </c>
      <c r="L85" s="153" t="s">
        <v>1211</v>
      </c>
      <c r="M85" s="153" t="s">
        <v>388</v>
      </c>
      <c r="N85" s="153" t="s">
        <v>43</v>
      </c>
      <c r="O85" s="153" t="s">
        <v>541</v>
      </c>
      <c r="P85" s="153" t="s">
        <v>978</v>
      </c>
      <c r="Q85" s="153" t="s">
        <v>987</v>
      </c>
      <c r="R85" s="153" t="s">
        <v>53</v>
      </c>
      <c r="S85" s="153"/>
    </row>
    <row r="86" spans="1:19">
      <c r="A86" s="153" t="s">
        <v>1212</v>
      </c>
      <c r="B86" s="153" t="s">
        <v>1213</v>
      </c>
      <c r="C86" s="153" t="s">
        <v>909</v>
      </c>
      <c r="D86" s="154">
        <v>0</v>
      </c>
      <c r="E86" s="153" t="s">
        <v>1214</v>
      </c>
      <c r="F86" s="153" t="s">
        <v>55</v>
      </c>
      <c r="G86" s="153" t="s">
        <v>910</v>
      </c>
      <c r="H86" s="153" t="s">
        <v>327</v>
      </c>
      <c r="I86" s="153" t="s">
        <v>382</v>
      </c>
      <c r="J86" s="153" t="s">
        <v>887</v>
      </c>
      <c r="K86" s="153" t="s">
        <v>920</v>
      </c>
      <c r="L86" s="153" t="s">
        <v>1215</v>
      </c>
      <c r="M86" s="153" t="s">
        <v>388</v>
      </c>
      <c r="N86" s="153" t="s">
        <v>43</v>
      </c>
      <c r="O86" s="153" t="s">
        <v>386</v>
      </c>
      <c r="P86" s="153" t="s">
        <v>978</v>
      </c>
      <c r="Q86" s="153" t="s">
        <v>1159</v>
      </c>
      <c r="R86" s="153" t="s">
        <v>71</v>
      </c>
      <c r="S86" s="153"/>
    </row>
    <row r="87" spans="1:19">
      <c r="A87" s="153" t="s">
        <v>1216</v>
      </c>
      <c r="B87" s="153" t="s">
        <v>1217</v>
      </c>
      <c r="C87" s="153" t="s">
        <v>909</v>
      </c>
      <c r="D87" s="154">
        <v>0</v>
      </c>
      <c r="E87" s="155">
        <v>60144011</v>
      </c>
      <c r="F87" s="153" t="s">
        <v>83</v>
      </c>
      <c r="G87" s="153" t="s">
        <v>1218</v>
      </c>
      <c r="H87" s="153" t="s">
        <v>340</v>
      </c>
      <c r="I87" s="153" t="s">
        <v>387</v>
      </c>
      <c r="J87" s="153" t="s">
        <v>887</v>
      </c>
      <c r="K87" s="153"/>
      <c r="L87" s="153"/>
      <c r="M87" s="153" t="s">
        <v>389</v>
      </c>
      <c r="N87" s="153"/>
      <c r="O87" s="153" t="s">
        <v>386</v>
      </c>
      <c r="P87" s="153" t="s">
        <v>978</v>
      </c>
      <c r="Q87" s="153" t="s">
        <v>1171</v>
      </c>
      <c r="R87" s="153" t="s">
        <v>83</v>
      </c>
      <c r="S87" s="153"/>
    </row>
    <row r="88" spans="1:19">
      <c r="A88" s="153" t="s">
        <v>1219</v>
      </c>
      <c r="B88" s="153" t="s">
        <v>1220</v>
      </c>
      <c r="C88" s="153" t="s">
        <v>909</v>
      </c>
      <c r="D88" s="154">
        <v>0</v>
      </c>
      <c r="E88" s="155">
        <v>60144009</v>
      </c>
      <c r="F88" s="153" t="s">
        <v>120</v>
      </c>
      <c r="G88" s="153" t="s">
        <v>1218</v>
      </c>
      <c r="H88" s="153" t="s">
        <v>340</v>
      </c>
      <c r="I88" s="153" t="s">
        <v>387</v>
      </c>
      <c r="J88" s="153" t="s">
        <v>887</v>
      </c>
      <c r="K88" s="153"/>
      <c r="L88" s="153"/>
      <c r="M88" s="153" t="s">
        <v>389</v>
      </c>
      <c r="N88" s="153"/>
      <c r="O88" s="153" t="s">
        <v>386</v>
      </c>
      <c r="P88" s="153" t="s">
        <v>978</v>
      </c>
      <c r="Q88" s="153" t="s">
        <v>1221</v>
      </c>
      <c r="R88" s="153" t="s">
        <v>91</v>
      </c>
      <c r="S88" s="153"/>
    </row>
    <row r="89" spans="1:19">
      <c r="A89" s="153" t="s">
        <v>1222</v>
      </c>
      <c r="B89" s="153" t="s">
        <v>1223</v>
      </c>
      <c r="C89" s="153" t="s">
        <v>909</v>
      </c>
      <c r="D89" s="154">
        <v>0</v>
      </c>
      <c r="E89" s="153" t="s">
        <v>1224</v>
      </c>
      <c r="F89" s="153" t="s">
        <v>55</v>
      </c>
      <c r="G89" s="153" t="s">
        <v>1218</v>
      </c>
      <c r="H89" s="153" t="s">
        <v>340</v>
      </c>
      <c r="I89" s="153" t="s">
        <v>382</v>
      </c>
      <c r="J89" s="153" t="s">
        <v>887</v>
      </c>
      <c r="K89" s="153" t="s">
        <v>920</v>
      </c>
      <c r="L89" s="153" t="s">
        <v>1225</v>
      </c>
      <c r="M89" s="153" t="s">
        <v>389</v>
      </c>
      <c r="N89" s="153"/>
      <c r="O89" s="153" t="s">
        <v>386</v>
      </c>
      <c r="P89" s="153" t="s">
        <v>978</v>
      </c>
      <c r="Q89" s="153" t="s">
        <v>1226</v>
      </c>
      <c r="R89" s="153" t="s">
        <v>71</v>
      </c>
      <c r="S89" s="153"/>
    </row>
    <row r="90" spans="1:19">
      <c r="A90" s="153" t="s">
        <v>1227</v>
      </c>
      <c r="B90" s="153" t="s">
        <v>1228</v>
      </c>
      <c r="C90" s="153" t="s">
        <v>909</v>
      </c>
      <c r="D90" s="154">
        <v>0</v>
      </c>
      <c r="E90" s="153" t="s">
        <v>1229</v>
      </c>
      <c r="F90" s="153" t="s">
        <v>57</v>
      </c>
      <c r="G90" s="153" t="s">
        <v>918</v>
      </c>
      <c r="H90" s="153" t="s">
        <v>327</v>
      </c>
      <c r="I90" s="153" t="s">
        <v>382</v>
      </c>
      <c r="J90" s="153" t="s">
        <v>887</v>
      </c>
      <c r="K90" s="153" t="s">
        <v>920</v>
      </c>
      <c r="L90" s="153" t="s">
        <v>1225</v>
      </c>
      <c r="M90" s="153" t="s">
        <v>388</v>
      </c>
      <c r="N90" s="153"/>
      <c r="O90" s="153" t="s">
        <v>386</v>
      </c>
      <c r="P90" s="153" t="s">
        <v>978</v>
      </c>
      <c r="Q90" s="153" t="s">
        <v>983</v>
      </c>
      <c r="R90" s="153" t="s">
        <v>57</v>
      </c>
      <c r="S90" s="153"/>
    </row>
    <row r="91" spans="1:19">
      <c r="A91" s="153" t="s">
        <v>1230</v>
      </c>
      <c r="B91" s="153" t="s">
        <v>1231</v>
      </c>
      <c r="C91" s="153" t="s">
        <v>909</v>
      </c>
      <c r="D91" s="154">
        <v>0</v>
      </c>
      <c r="E91" s="153" t="s">
        <v>1232</v>
      </c>
      <c r="F91" s="153" t="s">
        <v>302</v>
      </c>
      <c r="G91" s="153" t="s">
        <v>1218</v>
      </c>
      <c r="H91" s="153" t="s">
        <v>342</v>
      </c>
      <c r="I91" s="153" t="s">
        <v>382</v>
      </c>
      <c r="J91" s="153" t="s">
        <v>887</v>
      </c>
      <c r="K91" s="153" t="s">
        <v>920</v>
      </c>
      <c r="L91" s="153" t="s">
        <v>1211</v>
      </c>
      <c r="M91" s="153" t="s">
        <v>389</v>
      </c>
      <c r="N91" s="153"/>
      <c r="O91" s="153" t="s">
        <v>386</v>
      </c>
      <c r="P91" s="153" t="s">
        <v>978</v>
      </c>
      <c r="Q91" s="153" t="s">
        <v>1233</v>
      </c>
      <c r="R91" s="153" t="s">
        <v>53</v>
      </c>
      <c r="S91" s="153"/>
    </row>
    <row r="92" spans="1:19">
      <c r="A92" s="153" t="s">
        <v>1234</v>
      </c>
      <c r="B92" s="153" t="s">
        <v>1235</v>
      </c>
      <c r="C92" s="153" t="s">
        <v>909</v>
      </c>
      <c r="D92" s="154">
        <v>0</v>
      </c>
      <c r="E92" s="153" t="s">
        <v>1236</v>
      </c>
      <c r="F92" s="153" t="s">
        <v>302</v>
      </c>
      <c r="G92" s="153" t="s">
        <v>910</v>
      </c>
      <c r="H92" s="153" t="s">
        <v>327</v>
      </c>
      <c r="I92" s="153" t="s">
        <v>382</v>
      </c>
      <c r="J92" s="153" t="s">
        <v>887</v>
      </c>
      <c r="K92" s="153" t="s">
        <v>920</v>
      </c>
      <c r="L92" s="153" t="s">
        <v>1211</v>
      </c>
      <c r="M92" s="153" t="s">
        <v>388</v>
      </c>
      <c r="N92" s="153" t="s">
        <v>43</v>
      </c>
      <c r="O92" s="153" t="s">
        <v>386</v>
      </c>
      <c r="P92" s="153" t="s">
        <v>978</v>
      </c>
      <c r="Q92" s="153" t="s">
        <v>1159</v>
      </c>
      <c r="R92" s="153" t="s">
        <v>53</v>
      </c>
      <c r="S92" s="153"/>
    </row>
    <row r="93" spans="1:19">
      <c r="A93" s="153" t="s">
        <v>1237</v>
      </c>
      <c r="B93" s="153" t="s">
        <v>1238</v>
      </c>
      <c r="C93" s="153" t="s">
        <v>909</v>
      </c>
      <c r="D93" s="154">
        <v>0</v>
      </c>
      <c r="E93" s="153" t="s">
        <v>1239</v>
      </c>
      <c r="F93" s="153" t="s">
        <v>78</v>
      </c>
      <c r="G93" s="153" t="s">
        <v>1218</v>
      </c>
      <c r="H93" s="153" t="s">
        <v>340</v>
      </c>
      <c r="I93" s="153" t="s">
        <v>382</v>
      </c>
      <c r="J93" s="153" t="s">
        <v>887</v>
      </c>
      <c r="K93" s="153" t="s">
        <v>920</v>
      </c>
      <c r="L93" s="153" t="s">
        <v>1211</v>
      </c>
      <c r="M93" s="153" t="s">
        <v>389</v>
      </c>
      <c r="N93" s="153"/>
      <c r="O93" s="153" t="s">
        <v>386</v>
      </c>
      <c r="P93" s="153" t="s">
        <v>978</v>
      </c>
      <c r="Q93" s="153" t="s">
        <v>1233</v>
      </c>
      <c r="R93" s="153" t="s">
        <v>78</v>
      </c>
      <c r="S93" s="153"/>
    </row>
    <row r="94" spans="1:19">
      <c r="A94" s="153" t="s">
        <v>1240</v>
      </c>
      <c r="B94" s="153" t="s">
        <v>1241</v>
      </c>
      <c r="C94" s="153" t="s">
        <v>909</v>
      </c>
      <c r="D94" s="154">
        <v>0</v>
      </c>
      <c r="E94" s="153" t="s">
        <v>1242</v>
      </c>
      <c r="F94" s="153" t="s">
        <v>83</v>
      </c>
      <c r="G94" s="153" t="s">
        <v>1218</v>
      </c>
      <c r="H94" s="153" t="s">
        <v>342</v>
      </c>
      <c r="I94" s="153" t="s">
        <v>382</v>
      </c>
      <c r="J94" s="153" t="s">
        <v>887</v>
      </c>
      <c r="K94" s="153" t="s">
        <v>920</v>
      </c>
      <c r="L94" s="153" t="s">
        <v>1211</v>
      </c>
      <c r="M94" s="153" t="s">
        <v>389</v>
      </c>
      <c r="N94" s="153"/>
      <c r="O94" s="153" t="s">
        <v>386</v>
      </c>
      <c r="P94" s="153" t="s">
        <v>978</v>
      </c>
      <c r="Q94" s="153" t="s">
        <v>1243</v>
      </c>
      <c r="R94" s="153" t="s">
        <v>83</v>
      </c>
      <c r="S94" s="153"/>
    </row>
    <row r="95" spans="1:19">
      <c r="A95" s="153" t="s">
        <v>1244</v>
      </c>
      <c r="B95" s="153" t="s">
        <v>1245</v>
      </c>
      <c r="C95" s="153" t="s">
        <v>909</v>
      </c>
      <c r="D95" s="154">
        <v>0</v>
      </c>
      <c r="E95" s="153" t="s">
        <v>1246</v>
      </c>
      <c r="F95" s="153" t="s">
        <v>78</v>
      </c>
      <c r="G95" s="153" t="s">
        <v>1247</v>
      </c>
      <c r="H95" s="153" t="s">
        <v>327</v>
      </c>
      <c r="I95" s="153" t="s">
        <v>382</v>
      </c>
      <c r="J95" s="153" t="s">
        <v>887</v>
      </c>
      <c r="K95" s="153" t="s">
        <v>920</v>
      </c>
      <c r="L95" s="153" t="s">
        <v>1211</v>
      </c>
      <c r="M95" s="153" t="s">
        <v>388</v>
      </c>
      <c r="N95" s="153" t="s">
        <v>43</v>
      </c>
      <c r="O95" s="153" t="s">
        <v>386</v>
      </c>
      <c r="P95" s="153" t="s">
        <v>978</v>
      </c>
      <c r="Q95" s="153" t="s">
        <v>1248</v>
      </c>
      <c r="R95" s="153" t="s">
        <v>78</v>
      </c>
      <c r="S95" s="153"/>
    </row>
    <row r="96" spans="1:19">
      <c r="A96" s="153" t="s">
        <v>1249</v>
      </c>
      <c r="B96" s="153" t="s">
        <v>1250</v>
      </c>
      <c r="C96" s="153" t="s">
        <v>909</v>
      </c>
      <c r="D96" s="154">
        <v>0</v>
      </c>
      <c r="E96" s="153" t="s">
        <v>1251</v>
      </c>
      <c r="F96" s="153" t="s">
        <v>53</v>
      </c>
      <c r="G96" s="153" t="s">
        <v>910</v>
      </c>
      <c r="H96" s="153" t="s">
        <v>356</v>
      </c>
      <c r="I96" s="153" t="s">
        <v>382</v>
      </c>
      <c r="J96" s="153" t="s">
        <v>887</v>
      </c>
      <c r="K96" s="153" t="s">
        <v>920</v>
      </c>
      <c r="L96" s="153" t="s">
        <v>1211</v>
      </c>
      <c r="M96" s="153" t="s">
        <v>388</v>
      </c>
      <c r="N96" s="153" t="s">
        <v>43</v>
      </c>
      <c r="O96" s="153" t="s">
        <v>386</v>
      </c>
      <c r="P96" s="153" t="s">
        <v>978</v>
      </c>
      <c r="Q96" s="153" t="s">
        <v>987</v>
      </c>
      <c r="R96" s="153" t="s">
        <v>53</v>
      </c>
      <c r="S96" s="153"/>
    </row>
    <row r="97" spans="1:19">
      <c r="A97" s="153" t="s">
        <v>1252</v>
      </c>
      <c r="B97" s="153" t="s">
        <v>1253</v>
      </c>
      <c r="C97" s="153" t="s">
        <v>909</v>
      </c>
      <c r="D97" s="154">
        <v>0</v>
      </c>
      <c r="E97" s="153" t="s">
        <v>1254</v>
      </c>
      <c r="F97" s="153" t="s">
        <v>53</v>
      </c>
      <c r="G97" s="153" t="s">
        <v>918</v>
      </c>
      <c r="H97" s="153" t="s">
        <v>327</v>
      </c>
      <c r="I97" s="153" t="s">
        <v>382</v>
      </c>
      <c r="J97" s="153" t="s">
        <v>887</v>
      </c>
      <c r="K97" s="153" t="s">
        <v>920</v>
      </c>
      <c r="L97" s="153" t="s">
        <v>1211</v>
      </c>
      <c r="M97" s="153" t="s">
        <v>388</v>
      </c>
      <c r="N97" s="153"/>
      <c r="O97" s="153" t="s">
        <v>386</v>
      </c>
      <c r="P97" s="153" t="s">
        <v>978</v>
      </c>
      <c r="Q97" s="153" t="s">
        <v>987</v>
      </c>
      <c r="R97" s="153" t="s">
        <v>53</v>
      </c>
      <c r="S97" s="153"/>
    </row>
    <row r="98" spans="1:19">
      <c r="A98" s="153" t="s">
        <v>1255</v>
      </c>
      <c r="B98" s="153" t="s">
        <v>1256</v>
      </c>
      <c r="C98" s="153" t="s">
        <v>909</v>
      </c>
      <c r="D98" s="154">
        <v>0</v>
      </c>
      <c r="E98" s="153" t="s">
        <v>1257</v>
      </c>
      <c r="F98" s="153" t="s">
        <v>78</v>
      </c>
      <c r="G98" s="153" t="s">
        <v>918</v>
      </c>
      <c r="H98" s="153" t="s">
        <v>327</v>
      </c>
      <c r="I98" s="153" t="s">
        <v>382</v>
      </c>
      <c r="J98" s="153" t="s">
        <v>887</v>
      </c>
      <c r="K98" s="153" t="s">
        <v>920</v>
      </c>
      <c r="L98" s="153" t="s">
        <v>1211</v>
      </c>
      <c r="M98" s="153" t="s">
        <v>388</v>
      </c>
      <c r="N98" s="153"/>
      <c r="O98" s="153" t="s">
        <v>386</v>
      </c>
      <c r="P98" s="153" t="s">
        <v>978</v>
      </c>
      <c r="Q98" s="153" t="s">
        <v>1248</v>
      </c>
      <c r="R98" s="153" t="s">
        <v>78</v>
      </c>
      <c r="S98" s="153"/>
    </row>
    <row r="99" spans="1:19">
      <c r="A99" s="153" t="s">
        <v>1258</v>
      </c>
      <c r="B99" s="153" t="s">
        <v>1259</v>
      </c>
      <c r="C99" s="153" t="s">
        <v>909</v>
      </c>
      <c r="D99" s="154">
        <v>0</v>
      </c>
      <c r="E99" s="153" t="s">
        <v>1260</v>
      </c>
      <c r="F99" s="153" t="s">
        <v>71</v>
      </c>
      <c r="G99" s="153" t="s">
        <v>910</v>
      </c>
      <c r="H99" s="153" t="s">
        <v>356</v>
      </c>
      <c r="I99" s="153" t="s">
        <v>382</v>
      </c>
      <c r="J99" s="153" t="s">
        <v>887</v>
      </c>
      <c r="K99" s="153" t="s">
        <v>920</v>
      </c>
      <c r="L99" s="153" t="s">
        <v>1261</v>
      </c>
      <c r="M99" s="153" t="s">
        <v>388</v>
      </c>
      <c r="N99" s="153" t="s">
        <v>43</v>
      </c>
      <c r="O99" s="153" t="s">
        <v>386</v>
      </c>
      <c r="P99" s="153" t="s">
        <v>978</v>
      </c>
      <c r="Q99" s="153" t="s">
        <v>1262</v>
      </c>
      <c r="R99" s="153" t="s">
        <v>71</v>
      </c>
      <c r="S99" s="153"/>
    </row>
    <row r="100" spans="1:19">
      <c r="A100" s="153" t="s">
        <v>1263</v>
      </c>
      <c r="B100" s="153" t="s">
        <v>1264</v>
      </c>
      <c r="C100" s="153" t="s">
        <v>909</v>
      </c>
      <c r="D100" s="154">
        <v>0</v>
      </c>
      <c r="E100" s="153" t="s">
        <v>1265</v>
      </c>
      <c r="F100" s="153" t="s">
        <v>71</v>
      </c>
      <c r="G100" s="153" t="s">
        <v>918</v>
      </c>
      <c r="H100" s="153" t="s">
        <v>327</v>
      </c>
      <c r="I100" s="153" t="s">
        <v>382</v>
      </c>
      <c r="J100" s="153" t="s">
        <v>887</v>
      </c>
      <c r="K100" s="153" t="s">
        <v>920</v>
      </c>
      <c r="L100" s="153" t="s">
        <v>1261</v>
      </c>
      <c r="M100" s="153" t="s">
        <v>388</v>
      </c>
      <c r="N100" s="153"/>
      <c r="O100" s="153" t="s">
        <v>386</v>
      </c>
      <c r="P100" s="153" t="s">
        <v>978</v>
      </c>
      <c r="Q100" s="153" t="s">
        <v>983</v>
      </c>
      <c r="R100" s="153" t="s">
        <v>71</v>
      </c>
      <c r="S100" s="153"/>
    </row>
    <row r="101" spans="1:19">
      <c r="A101" s="153" t="s">
        <v>1266</v>
      </c>
      <c r="B101" s="153" t="s">
        <v>1267</v>
      </c>
      <c r="C101" s="153" t="s">
        <v>909</v>
      </c>
      <c r="D101" s="154">
        <v>0</v>
      </c>
      <c r="E101" s="153" t="s">
        <v>1268</v>
      </c>
      <c r="F101" s="153" t="s">
        <v>71</v>
      </c>
      <c r="G101" s="153" t="s">
        <v>1218</v>
      </c>
      <c r="H101" s="153" t="s">
        <v>340</v>
      </c>
      <c r="I101" s="153" t="s">
        <v>382</v>
      </c>
      <c r="J101" s="153" t="s">
        <v>887</v>
      </c>
      <c r="K101" s="153" t="s">
        <v>920</v>
      </c>
      <c r="L101" s="153" t="s">
        <v>1261</v>
      </c>
      <c r="M101" s="153" t="s">
        <v>389</v>
      </c>
      <c r="N101" s="153"/>
      <c r="O101" s="153" t="s">
        <v>386</v>
      </c>
      <c r="P101" s="153" t="s">
        <v>978</v>
      </c>
      <c r="Q101" s="153" t="s">
        <v>1262</v>
      </c>
      <c r="R101" s="153" t="s">
        <v>71</v>
      </c>
      <c r="S101" s="153"/>
    </row>
    <row r="102" spans="1:19">
      <c r="A102" s="153" t="s">
        <v>1269</v>
      </c>
      <c r="B102" s="153" t="s">
        <v>1270</v>
      </c>
      <c r="C102" s="153" t="s">
        <v>909</v>
      </c>
      <c r="D102" s="154">
        <v>0</v>
      </c>
      <c r="E102" s="153" t="s">
        <v>1271</v>
      </c>
      <c r="F102" s="153" t="s">
        <v>71</v>
      </c>
      <c r="G102" s="153" t="s">
        <v>1218</v>
      </c>
      <c r="H102" s="153" t="s">
        <v>342</v>
      </c>
      <c r="I102" s="153" t="s">
        <v>382</v>
      </c>
      <c r="J102" s="153" t="s">
        <v>887</v>
      </c>
      <c r="K102" s="153" t="s">
        <v>920</v>
      </c>
      <c r="L102" s="153" t="s">
        <v>1261</v>
      </c>
      <c r="M102" s="153" t="s">
        <v>389</v>
      </c>
      <c r="N102" s="153"/>
      <c r="O102" s="153" t="s">
        <v>386</v>
      </c>
      <c r="P102" s="153" t="s">
        <v>978</v>
      </c>
      <c r="Q102" s="153" t="s">
        <v>1226</v>
      </c>
      <c r="R102" s="153" t="s">
        <v>71</v>
      </c>
      <c r="S102" s="153"/>
    </row>
    <row r="103" spans="1:19">
      <c r="A103" s="153" t="s">
        <v>1272</v>
      </c>
      <c r="B103" s="153" t="s">
        <v>1273</v>
      </c>
      <c r="C103" s="153" t="s">
        <v>909</v>
      </c>
      <c r="D103" s="154">
        <v>0</v>
      </c>
      <c r="E103" s="153" t="s">
        <v>1274</v>
      </c>
      <c r="F103" s="153" t="s">
        <v>60</v>
      </c>
      <c r="G103" s="153" t="s">
        <v>910</v>
      </c>
      <c r="H103" s="153" t="s">
        <v>327</v>
      </c>
      <c r="I103" s="153" t="s">
        <v>382</v>
      </c>
      <c r="J103" s="153" t="s">
        <v>887</v>
      </c>
      <c r="K103" s="153" t="s">
        <v>1275</v>
      </c>
      <c r="L103" s="153" t="s">
        <v>1276</v>
      </c>
      <c r="M103" s="153" t="s">
        <v>388</v>
      </c>
      <c r="N103" s="153" t="s">
        <v>43</v>
      </c>
      <c r="O103" s="153" t="s">
        <v>386</v>
      </c>
      <c r="P103" s="153" t="s">
        <v>978</v>
      </c>
      <c r="Q103" s="153" t="s">
        <v>1277</v>
      </c>
      <c r="R103" s="153" t="s">
        <v>60</v>
      </c>
      <c r="S103" s="153"/>
    </row>
    <row r="104" spans="1:19">
      <c r="A104" s="153" t="s">
        <v>1278</v>
      </c>
      <c r="B104" s="153" t="s">
        <v>1279</v>
      </c>
      <c r="C104" s="153" t="s">
        <v>909</v>
      </c>
      <c r="D104" s="154">
        <v>0</v>
      </c>
      <c r="E104" s="153" t="s">
        <v>1280</v>
      </c>
      <c r="F104" s="153" t="s">
        <v>71</v>
      </c>
      <c r="G104" s="153" t="s">
        <v>910</v>
      </c>
      <c r="H104" s="153" t="s">
        <v>356</v>
      </c>
      <c r="I104" s="153" t="s">
        <v>382</v>
      </c>
      <c r="J104" s="153" t="s">
        <v>887</v>
      </c>
      <c r="K104" s="153" t="s">
        <v>1281</v>
      </c>
      <c r="L104" s="153" t="s">
        <v>1282</v>
      </c>
      <c r="M104" s="153" t="s">
        <v>388</v>
      </c>
      <c r="N104" s="153" t="s">
        <v>43</v>
      </c>
      <c r="O104" s="153" t="s">
        <v>386</v>
      </c>
      <c r="P104" s="153" t="s">
        <v>978</v>
      </c>
      <c r="Q104" s="153" t="s">
        <v>1283</v>
      </c>
      <c r="R104" s="153" t="s">
        <v>71</v>
      </c>
      <c r="S104" s="153"/>
    </row>
    <row r="105" spans="1:19">
      <c r="A105" s="153" t="s">
        <v>1284</v>
      </c>
      <c r="B105" s="153" t="s">
        <v>1285</v>
      </c>
      <c r="C105" s="153" t="s">
        <v>909</v>
      </c>
      <c r="D105" s="154">
        <v>0</v>
      </c>
      <c r="E105" s="153" t="s">
        <v>1286</v>
      </c>
      <c r="F105" s="153" t="s">
        <v>86</v>
      </c>
      <c r="G105" s="153" t="s">
        <v>1218</v>
      </c>
      <c r="H105" s="153" t="s">
        <v>340</v>
      </c>
      <c r="I105" s="153" t="s">
        <v>382</v>
      </c>
      <c r="J105" s="153" t="s">
        <v>887</v>
      </c>
      <c r="K105" s="153" t="s">
        <v>911</v>
      </c>
      <c r="L105" s="153" t="s">
        <v>914</v>
      </c>
      <c r="M105" s="153" t="s">
        <v>389</v>
      </c>
      <c r="N105" s="153"/>
      <c r="O105" s="153" t="s">
        <v>386</v>
      </c>
      <c r="P105" s="153" t="s">
        <v>978</v>
      </c>
      <c r="Q105" s="153" t="s">
        <v>1287</v>
      </c>
      <c r="R105" s="153" t="s">
        <v>86</v>
      </c>
      <c r="S105" s="153"/>
    </row>
    <row r="106" spans="1:19">
      <c r="A106" s="153" t="s">
        <v>1288</v>
      </c>
      <c r="B106" s="153" t="s">
        <v>1289</v>
      </c>
      <c r="C106" s="153" t="s">
        <v>909</v>
      </c>
      <c r="D106" s="154">
        <v>0</v>
      </c>
      <c r="E106" s="153" t="s">
        <v>1290</v>
      </c>
      <c r="F106" s="153" t="s">
        <v>121</v>
      </c>
      <c r="G106" s="153" t="s">
        <v>1218</v>
      </c>
      <c r="H106" s="153" t="s">
        <v>340</v>
      </c>
      <c r="I106" s="153" t="s">
        <v>382</v>
      </c>
      <c r="J106" s="153" t="s">
        <v>887</v>
      </c>
      <c r="K106" s="153" t="s">
        <v>911</v>
      </c>
      <c r="L106" s="153" t="s">
        <v>914</v>
      </c>
      <c r="M106" s="153" t="s">
        <v>389</v>
      </c>
      <c r="N106" s="153"/>
      <c r="O106" s="153" t="s">
        <v>386</v>
      </c>
      <c r="P106" s="153" t="s">
        <v>978</v>
      </c>
      <c r="Q106" s="153" t="s">
        <v>1291</v>
      </c>
      <c r="R106" s="153" t="s">
        <v>121</v>
      </c>
      <c r="S106" s="153"/>
    </row>
    <row r="107" spans="1:19">
      <c r="A107" s="153" t="s">
        <v>1292</v>
      </c>
      <c r="B107" s="153" t="s">
        <v>1293</v>
      </c>
      <c r="C107" s="153" t="s">
        <v>909</v>
      </c>
      <c r="D107" s="154">
        <v>0</v>
      </c>
      <c r="E107" s="153" t="s">
        <v>1294</v>
      </c>
      <c r="F107" s="153" t="s">
        <v>53</v>
      </c>
      <c r="G107" s="153" t="s">
        <v>1218</v>
      </c>
      <c r="H107" s="153" t="s">
        <v>340</v>
      </c>
      <c r="I107" s="153" t="s">
        <v>382</v>
      </c>
      <c r="J107" s="153" t="s">
        <v>887</v>
      </c>
      <c r="K107" s="153" t="s">
        <v>911</v>
      </c>
      <c r="L107" s="153" t="s">
        <v>914</v>
      </c>
      <c r="M107" s="153" t="s">
        <v>389</v>
      </c>
      <c r="N107" s="153"/>
      <c r="O107" s="153" t="s">
        <v>386</v>
      </c>
      <c r="P107" s="153" t="s">
        <v>978</v>
      </c>
      <c r="Q107" s="153" t="s">
        <v>1295</v>
      </c>
      <c r="R107" s="153" t="s">
        <v>53</v>
      </c>
      <c r="S107" s="153"/>
    </row>
    <row r="108" spans="1:19">
      <c r="A108" s="153" t="s">
        <v>1296</v>
      </c>
      <c r="B108" s="153" t="s">
        <v>1297</v>
      </c>
      <c r="C108" s="153" t="s">
        <v>909</v>
      </c>
      <c r="D108" s="154">
        <v>0</v>
      </c>
      <c r="E108" s="153" t="s">
        <v>1298</v>
      </c>
      <c r="F108" s="153" t="s">
        <v>53</v>
      </c>
      <c r="G108" s="153" t="s">
        <v>1218</v>
      </c>
      <c r="H108" s="153" t="s">
        <v>340</v>
      </c>
      <c r="I108" s="153" t="s">
        <v>382</v>
      </c>
      <c r="J108" s="153" t="s">
        <v>887</v>
      </c>
      <c r="K108" s="153" t="s">
        <v>911</v>
      </c>
      <c r="L108" s="153" t="s">
        <v>914</v>
      </c>
      <c r="M108" s="153" t="s">
        <v>389</v>
      </c>
      <c r="N108" s="153"/>
      <c r="O108" s="153" t="s">
        <v>386</v>
      </c>
      <c r="P108" s="153" t="s">
        <v>978</v>
      </c>
      <c r="Q108" s="153" t="s">
        <v>1299</v>
      </c>
      <c r="R108" s="153" t="s">
        <v>53</v>
      </c>
      <c r="S108" s="153"/>
    </row>
    <row r="109" spans="1:19">
      <c r="A109" s="153" t="s">
        <v>1300</v>
      </c>
      <c r="B109" s="153" t="s">
        <v>1301</v>
      </c>
      <c r="C109" s="153" t="s">
        <v>909</v>
      </c>
      <c r="D109" s="154">
        <v>0</v>
      </c>
      <c r="E109" s="153" t="s">
        <v>1302</v>
      </c>
      <c r="F109" s="153" t="s">
        <v>205</v>
      </c>
      <c r="G109" s="153" t="s">
        <v>1218</v>
      </c>
      <c r="H109" s="153" t="s">
        <v>340</v>
      </c>
      <c r="I109" s="153" t="s">
        <v>382</v>
      </c>
      <c r="J109" s="153" t="s">
        <v>887</v>
      </c>
      <c r="K109" s="153" t="s">
        <v>911</v>
      </c>
      <c r="L109" s="153" t="s">
        <v>914</v>
      </c>
      <c r="M109" s="153" t="s">
        <v>389</v>
      </c>
      <c r="N109" s="153"/>
      <c r="O109" s="153" t="s">
        <v>386</v>
      </c>
      <c r="P109" s="153" t="s">
        <v>978</v>
      </c>
      <c r="Q109" s="153" t="s">
        <v>1018</v>
      </c>
      <c r="R109" s="153" t="s">
        <v>63</v>
      </c>
      <c r="S109" s="153"/>
    </row>
    <row r="110" spans="1:19">
      <c r="A110" s="153" t="s">
        <v>1303</v>
      </c>
      <c r="B110" s="153" t="s">
        <v>1304</v>
      </c>
      <c r="C110" s="153" t="s">
        <v>909</v>
      </c>
      <c r="D110" s="154">
        <v>0</v>
      </c>
      <c r="E110" s="155">
        <v>60141650</v>
      </c>
      <c r="F110" s="153" t="s">
        <v>195</v>
      </c>
      <c r="G110" s="153" t="s">
        <v>1218</v>
      </c>
      <c r="H110" s="153" t="s">
        <v>340</v>
      </c>
      <c r="I110" s="153" t="s">
        <v>382</v>
      </c>
      <c r="J110" s="153" t="s">
        <v>887</v>
      </c>
      <c r="K110" s="153"/>
      <c r="L110" s="153"/>
      <c r="M110" s="153" t="s">
        <v>389</v>
      </c>
      <c r="N110" s="153"/>
      <c r="O110" s="153" t="s">
        <v>386</v>
      </c>
      <c r="P110" s="153" t="s">
        <v>978</v>
      </c>
      <c r="Q110" s="153" t="s">
        <v>1205</v>
      </c>
      <c r="R110" s="153" t="s">
        <v>195</v>
      </c>
      <c r="S110" s="153"/>
    </row>
    <row r="111" spans="1:19">
      <c r="A111" s="153" t="s">
        <v>1305</v>
      </c>
      <c r="B111" s="153" t="s">
        <v>1306</v>
      </c>
      <c r="C111" s="153" t="s">
        <v>909</v>
      </c>
      <c r="D111" s="154">
        <v>0</v>
      </c>
      <c r="E111" s="155">
        <v>60141649</v>
      </c>
      <c r="F111" s="153" t="s">
        <v>71</v>
      </c>
      <c r="G111" s="153" t="s">
        <v>1218</v>
      </c>
      <c r="H111" s="153" t="s">
        <v>340</v>
      </c>
      <c r="I111" s="153" t="s">
        <v>382</v>
      </c>
      <c r="J111" s="153" t="s">
        <v>887</v>
      </c>
      <c r="K111" s="153"/>
      <c r="L111" s="153"/>
      <c r="M111" s="153" t="s">
        <v>389</v>
      </c>
      <c r="N111" s="153"/>
      <c r="O111" s="153" t="s">
        <v>386</v>
      </c>
      <c r="P111" s="153" t="s">
        <v>978</v>
      </c>
      <c r="Q111" s="153" t="s">
        <v>1307</v>
      </c>
      <c r="R111" s="153" t="s">
        <v>71</v>
      </c>
      <c r="S111" s="153"/>
    </row>
    <row r="112" spans="1:19">
      <c r="A112" s="153" t="s">
        <v>1308</v>
      </c>
      <c r="B112" s="153" t="s">
        <v>1309</v>
      </c>
      <c r="C112" s="153" t="s">
        <v>909</v>
      </c>
      <c r="D112" s="154">
        <v>0</v>
      </c>
      <c r="E112" s="155">
        <v>60141613</v>
      </c>
      <c r="F112" s="153" t="s">
        <v>199</v>
      </c>
      <c r="G112" s="153" t="s">
        <v>1218</v>
      </c>
      <c r="H112" s="153" t="s">
        <v>340</v>
      </c>
      <c r="I112" s="153" t="s">
        <v>382</v>
      </c>
      <c r="J112" s="153" t="s">
        <v>887</v>
      </c>
      <c r="K112" s="153"/>
      <c r="L112" s="153"/>
      <c r="M112" s="153" t="s">
        <v>389</v>
      </c>
      <c r="N112" s="153"/>
      <c r="O112" s="153" t="s">
        <v>386</v>
      </c>
      <c r="P112" s="153" t="s">
        <v>978</v>
      </c>
      <c r="Q112" s="153" t="s">
        <v>1310</v>
      </c>
      <c r="R112" s="153" t="s">
        <v>199</v>
      </c>
      <c r="S112" s="153"/>
    </row>
    <row r="113" spans="1:19">
      <c r="A113" s="153" t="s">
        <v>1311</v>
      </c>
      <c r="B113" s="153" t="s">
        <v>1312</v>
      </c>
      <c r="C113" s="153" t="s">
        <v>909</v>
      </c>
      <c r="D113" s="154">
        <v>0</v>
      </c>
      <c r="E113" s="153" t="s">
        <v>1313</v>
      </c>
      <c r="F113" s="153" t="s">
        <v>83</v>
      </c>
      <c r="G113" s="153" t="s">
        <v>1218</v>
      </c>
      <c r="H113" s="153" t="s">
        <v>340</v>
      </c>
      <c r="I113" s="153" t="s">
        <v>382</v>
      </c>
      <c r="J113" s="153" t="s">
        <v>887</v>
      </c>
      <c r="K113" s="153" t="s">
        <v>1061</v>
      </c>
      <c r="L113" s="153" t="s">
        <v>1155</v>
      </c>
      <c r="M113" s="153" t="s">
        <v>389</v>
      </c>
      <c r="N113" s="153"/>
      <c r="O113" s="153" t="s">
        <v>386</v>
      </c>
      <c r="P113" s="153" t="s">
        <v>978</v>
      </c>
      <c r="Q113" s="153" t="s">
        <v>1142</v>
      </c>
      <c r="R113" s="153" t="s">
        <v>83</v>
      </c>
      <c r="S113" s="153"/>
    </row>
    <row r="114" spans="1:19">
      <c r="A114" s="153" t="s">
        <v>1314</v>
      </c>
      <c r="B114" s="153" t="s">
        <v>1315</v>
      </c>
      <c r="C114" s="153" t="s">
        <v>1134</v>
      </c>
      <c r="D114" s="155">
        <v>59</v>
      </c>
      <c r="E114" s="155">
        <v>60141477</v>
      </c>
      <c r="F114" s="153" t="s">
        <v>53</v>
      </c>
      <c r="G114" s="153" t="s">
        <v>910</v>
      </c>
      <c r="H114" s="153" t="s">
        <v>325</v>
      </c>
      <c r="I114" s="153" t="s">
        <v>382</v>
      </c>
      <c r="J114" s="153" t="s">
        <v>887</v>
      </c>
      <c r="K114" s="153"/>
      <c r="L114" s="153"/>
      <c r="M114" s="153" t="s">
        <v>388</v>
      </c>
      <c r="N114" s="153" t="s">
        <v>43</v>
      </c>
      <c r="O114" s="153" t="s">
        <v>386</v>
      </c>
      <c r="P114" s="153" t="s">
        <v>978</v>
      </c>
      <c r="Q114" s="153" t="s">
        <v>987</v>
      </c>
      <c r="R114" s="153" t="s">
        <v>53</v>
      </c>
      <c r="S114" s="153"/>
    </row>
    <row r="115" spans="1:19">
      <c r="A115" s="153" t="s">
        <v>1316</v>
      </c>
      <c r="B115" s="153" t="s">
        <v>1315</v>
      </c>
      <c r="C115" s="153" t="s">
        <v>990</v>
      </c>
      <c r="D115" s="155">
        <v>57</v>
      </c>
      <c r="E115" s="155">
        <v>60141477</v>
      </c>
      <c r="F115" s="153" t="s">
        <v>53</v>
      </c>
      <c r="G115" s="153" t="s">
        <v>910</v>
      </c>
      <c r="H115" s="153" t="s">
        <v>325</v>
      </c>
      <c r="I115" s="153" t="s">
        <v>382</v>
      </c>
      <c r="J115" s="153" t="s">
        <v>887</v>
      </c>
      <c r="K115" s="153"/>
      <c r="L115" s="153"/>
      <c r="M115" s="153" t="s">
        <v>388</v>
      </c>
      <c r="N115" s="153" t="s">
        <v>43</v>
      </c>
      <c r="O115" s="153" t="s">
        <v>386</v>
      </c>
      <c r="P115" s="153" t="s">
        <v>978</v>
      </c>
      <c r="Q115" s="153" t="s">
        <v>987</v>
      </c>
      <c r="R115" s="153" t="s">
        <v>53</v>
      </c>
      <c r="S115" s="153"/>
    </row>
    <row r="116" spans="1:19">
      <c r="A116" s="153" t="s">
        <v>1317</v>
      </c>
      <c r="B116" s="153" t="s">
        <v>1315</v>
      </c>
      <c r="C116" s="153" t="s">
        <v>1144</v>
      </c>
      <c r="D116" s="155">
        <v>55</v>
      </c>
      <c r="E116" s="155">
        <v>60141477</v>
      </c>
      <c r="F116" s="153" t="s">
        <v>53</v>
      </c>
      <c r="G116" s="153" t="s">
        <v>910</v>
      </c>
      <c r="H116" s="153" t="s">
        <v>325</v>
      </c>
      <c r="I116" s="153" t="s">
        <v>382</v>
      </c>
      <c r="J116" s="153" t="s">
        <v>887</v>
      </c>
      <c r="K116" s="153"/>
      <c r="L116" s="153"/>
      <c r="M116" s="153" t="s">
        <v>388</v>
      </c>
      <c r="N116" s="153" t="s">
        <v>43</v>
      </c>
      <c r="O116" s="153" t="s">
        <v>386</v>
      </c>
      <c r="P116" s="153" t="s">
        <v>978</v>
      </c>
      <c r="Q116" s="153" t="s">
        <v>987</v>
      </c>
      <c r="R116" s="153" t="s">
        <v>53</v>
      </c>
      <c r="S116" s="153"/>
    </row>
    <row r="117" spans="1:19">
      <c r="A117" s="153" t="s">
        <v>1318</v>
      </c>
      <c r="B117" s="153" t="s">
        <v>1319</v>
      </c>
      <c r="C117" s="153" t="s">
        <v>1038</v>
      </c>
      <c r="D117" s="155">
        <v>58</v>
      </c>
      <c r="E117" s="153" t="s">
        <v>1320</v>
      </c>
      <c r="F117" s="153" t="s">
        <v>78</v>
      </c>
      <c r="G117" s="153" t="s">
        <v>1101</v>
      </c>
      <c r="H117" s="153" t="s">
        <v>327</v>
      </c>
      <c r="I117" s="153" t="s">
        <v>382</v>
      </c>
      <c r="J117" s="153" t="s">
        <v>887</v>
      </c>
      <c r="K117" s="153" t="s">
        <v>1061</v>
      </c>
      <c r="L117" s="153" t="s">
        <v>1062</v>
      </c>
      <c r="M117" s="153" t="s">
        <v>388</v>
      </c>
      <c r="N117" s="153" t="s">
        <v>43</v>
      </c>
      <c r="O117" s="153" t="s">
        <v>386</v>
      </c>
      <c r="P117" s="153" t="s">
        <v>978</v>
      </c>
      <c r="Q117" s="153" t="s">
        <v>1321</v>
      </c>
      <c r="R117" s="153" t="s">
        <v>78</v>
      </c>
      <c r="S117" s="153"/>
    </row>
    <row r="118" spans="1:19">
      <c r="A118" s="153" t="s">
        <v>1322</v>
      </c>
      <c r="B118" s="153" t="s">
        <v>1319</v>
      </c>
      <c r="C118" s="153" t="s">
        <v>1043</v>
      </c>
      <c r="D118" s="155">
        <v>56</v>
      </c>
      <c r="E118" s="153" t="s">
        <v>1320</v>
      </c>
      <c r="F118" s="153" t="s">
        <v>78</v>
      </c>
      <c r="G118" s="153" t="s">
        <v>1101</v>
      </c>
      <c r="H118" s="153" t="s">
        <v>327</v>
      </c>
      <c r="I118" s="153" t="s">
        <v>382</v>
      </c>
      <c r="J118" s="153" t="s">
        <v>887</v>
      </c>
      <c r="K118" s="153" t="s">
        <v>1061</v>
      </c>
      <c r="L118" s="153" t="s">
        <v>1062</v>
      </c>
      <c r="M118" s="153" t="s">
        <v>388</v>
      </c>
      <c r="N118" s="153" t="s">
        <v>43</v>
      </c>
      <c r="O118" s="153" t="s">
        <v>386</v>
      </c>
      <c r="P118" s="153" t="s">
        <v>978</v>
      </c>
      <c r="Q118" s="153" t="s">
        <v>1321</v>
      </c>
      <c r="R118" s="153" t="s">
        <v>78</v>
      </c>
      <c r="S118" s="153"/>
    </row>
    <row r="119" spans="1:19">
      <c r="A119" s="153" t="s">
        <v>1323</v>
      </c>
      <c r="B119" s="153" t="s">
        <v>1324</v>
      </c>
      <c r="C119" s="153" t="s">
        <v>1038</v>
      </c>
      <c r="D119" s="155">
        <v>58</v>
      </c>
      <c r="E119" s="153" t="s">
        <v>1325</v>
      </c>
      <c r="F119" s="153" t="s">
        <v>286</v>
      </c>
      <c r="G119" s="153" t="s">
        <v>1101</v>
      </c>
      <c r="H119" s="153" t="s">
        <v>327</v>
      </c>
      <c r="I119" s="153" t="s">
        <v>382</v>
      </c>
      <c r="J119" s="153" t="s">
        <v>887</v>
      </c>
      <c r="K119" s="153" t="s">
        <v>1061</v>
      </c>
      <c r="L119" s="153" t="s">
        <v>1155</v>
      </c>
      <c r="M119" s="153" t="s">
        <v>388</v>
      </c>
      <c r="N119" s="153" t="s">
        <v>43</v>
      </c>
      <c r="O119" s="153" t="s">
        <v>386</v>
      </c>
      <c r="P119" s="153" t="s">
        <v>978</v>
      </c>
      <c r="Q119" s="153" t="s">
        <v>1326</v>
      </c>
      <c r="R119" s="153" t="s">
        <v>286</v>
      </c>
      <c r="S119" s="153"/>
    </row>
    <row r="120" spans="1:19">
      <c r="A120" s="153" t="s">
        <v>1327</v>
      </c>
      <c r="B120" s="153" t="s">
        <v>1324</v>
      </c>
      <c r="C120" s="153" t="s">
        <v>1043</v>
      </c>
      <c r="D120" s="155">
        <v>56</v>
      </c>
      <c r="E120" s="153" t="s">
        <v>1325</v>
      </c>
      <c r="F120" s="153" t="s">
        <v>286</v>
      </c>
      <c r="G120" s="153" t="s">
        <v>1101</v>
      </c>
      <c r="H120" s="153" t="s">
        <v>327</v>
      </c>
      <c r="I120" s="153" t="s">
        <v>382</v>
      </c>
      <c r="J120" s="153" t="s">
        <v>887</v>
      </c>
      <c r="K120" s="153" t="s">
        <v>1061</v>
      </c>
      <c r="L120" s="153" t="s">
        <v>1155</v>
      </c>
      <c r="M120" s="153" t="s">
        <v>388</v>
      </c>
      <c r="N120" s="153" t="s">
        <v>43</v>
      </c>
      <c r="O120" s="153" t="s">
        <v>386</v>
      </c>
      <c r="P120" s="153" t="s">
        <v>978</v>
      </c>
      <c r="Q120" s="153" t="s">
        <v>1326</v>
      </c>
      <c r="R120" s="153" t="s">
        <v>286</v>
      </c>
      <c r="S120" s="153"/>
    </row>
    <row r="121" spans="1:19">
      <c r="A121" s="153" t="s">
        <v>1328</v>
      </c>
      <c r="B121" s="153" t="s">
        <v>1329</v>
      </c>
      <c r="C121" s="153" t="s">
        <v>1330</v>
      </c>
      <c r="D121" s="155">
        <v>60</v>
      </c>
      <c r="E121" s="153" t="s">
        <v>1331</v>
      </c>
      <c r="F121" s="153" t="s">
        <v>53</v>
      </c>
      <c r="G121" s="153" t="s">
        <v>910</v>
      </c>
      <c r="H121" s="153" t="s">
        <v>783</v>
      </c>
      <c r="I121" s="153" t="s">
        <v>382</v>
      </c>
      <c r="J121" s="153" t="s">
        <v>887</v>
      </c>
      <c r="K121" s="153" t="s">
        <v>911</v>
      </c>
      <c r="L121" s="153" t="s">
        <v>914</v>
      </c>
      <c r="M121" s="153" t="s">
        <v>388</v>
      </c>
      <c r="N121" s="153" t="s">
        <v>43</v>
      </c>
      <c r="O121" s="153" t="s">
        <v>541</v>
      </c>
      <c r="P121" s="153" t="s">
        <v>978</v>
      </c>
      <c r="Q121" s="153" t="s">
        <v>1332</v>
      </c>
      <c r="R121" s="153" t="s">
        <v>53</v>
      </c>
      <c r="S121" s="153"/>
    </row>
    <row r="122" spans="1:19">
      <c r="A122" s="153" t="s">
        <v>1333</v>
      </c>
      <c r="B122" s="153" t="s">
        <v>1334</v>
      </c>
      <c r="C122" s="153" t="s">
        <v>1038</v>
      </c>
      <c r="D122" s="155">
        <v>58</v>
      </c>
      <c r="E122" s="153" t="s">
        <v>1335</v>
      </c>
      <c r="F122" s="153" t="s">
        <v>53</v>
      </c>
      <c r="G122" s="153" t="s">
        <v>1101</v>
      </c>
      <c r="H122" s="153" t="s">
        <v>327</v>
      </c>
      <c r="I122" s="153" t="s">
        <v>382</v>
      </c>
      <c r="J122" s="153" t="s">
        <v>887</v>
      </c>
      <c r="K122" s="153" t="s">
        <v>1080</v>
      </c>
      <c r="L122" s="153" t="s">
        <v>1081</v>
      </c>
      <c r="M122" s="153" t="s">
        <v>388</v>
      </c>
      <c r="N122" s="153" t="s">
        <v>43</v>
      </c>
      <c r="O122" s="153" t="s">
        <v>386</v>
      </c>
      <c r="P122" s="153" t="s">
        <v>978</v>
      </c>
      <c r="Q122" s="153" t="s">
        <v>987</v>
      </c>
      <c r="R122" s="153" t="s">
        <v>53</v>
      </c>
      <c r="S122" s="153"/>
    </row>
    <row r="123" spans="1:19">
      <c r="A123" s="153" t="s">
        <v>1336</v>
      </c>
      <c r="B123" s="153" t="s">
        <v>1334</v>
      </c>
      <c r="C123" s="153" t="s">
        <v>1043</v>
      </c>
      <c r="D123" s="155">
        <v>56</v>
      </c>
      <c r="E123" s="153" t="s">
        <v>1335</v>
      </c>
      <c r="F123" s="153" t="s">
        <v>53</v>
      </c>
      <c r="G123" s="153" t="s">
        <v>1101</v>
      </c>
      <c r="H123" s="153" t="s">
        <v>327</v>
      </c>
      <c r="I123" s="153" t="s">
        <v>382</v>
      </c>
      <c r="J123" s="153" t="s">
        <v>887</v>
      </c>
      <c r="K123" s="153" t="s">
        <v>1080</v>
      </c>
      <c r="L123" s="153" t="s">
        <v>1081</v>
      </c>
      <c r="M123" s="153" t="s">
        <v>388</v>
      </c>
      <c r="N123" s="153" t="s">
        <v>43</v>
      </c>
      <c r="O123" s="153" t="s">
        <v>386</v>
      </c>
      <c r="P123" s="153" t="s">
        <v>978</v>
      </c>
      <c r="Q123" s="153" t="s">
        <v>987</v>
      </c>
      <c r="R123" s="153" t="s">
        <v>53</v>
      </c>
      <c r="S123" s="153"/>
    </row>
    <row r="124" spans="1:19">
      <c r="A124" s="153" t="s">
        <v>1337</v>
      </c>
      <c r="B124" s="153" t="s">
        <v>1338</v>
      </c>
      <c r="C124" s="153" t="s">
        <v>1038</v>
      </c>
      <c r="D124" s="155">
        <v>58</v>
      </c>
      <c r="E124" s="153" t="s">
        <v>1339</v>
      </c>
      <c r="F124" s="153" t="s">
        <v>71</v>
      </c>
      <c r="G124" s="153" t="s">
        <v>910</v>
      </c>
      <c r="H124" s="153" t="s">
        <v>783</v>
      </c>
      <c r="I124" s="153" t="s">
        <v>382</v>
      </c>
      <c r="J124" s="153" t="s">
        <v>887</v>
      </c>
      <c r="K124" s="153" t="s">
        <v>911</v>
      </c>
      <c r="L124" s="153" t="s">
        <v>912</v>
      </c>
      <c r="M124" s="153" t="s">
        <v>388</v>
      </c>
      <c r="N124" s="153" t="s">
        <v>43</v>
      </c>
      <c r="O124" s="153" t="s">
        <v>541</v>
      </c>
      <c r="P124" s="153" t="s">
        <v>978</v>
      </c>
      <c r="Q124" s="153" t="s">
        <v>1340</v>
      </c>
      <c r="R124" s="153" t="s">
        <v>71</v>
      </c>
      <c r="S124" s="153"/>
    </row>
    <row r="125" spans="1:19">
      <c r="A125" s="153" t="s">
        <v>1341</v>
      </c>
      <c r="B125" s="153" t="s">
        <v>1338</v>
      </c>
      <c r="C125" s="153" t="s">
        <v>1043</v>
      </c>
      <c r="D125" s="155">
        <v>56</v>
      </c>
      <c r="E125" s="153" t="s">
        <v>1339</v>
      </c>
      <c r="F125" s="153" t="s">
        <v>71</v>
      </c>
      <c r="G125" s="153" t="s">
        <v>910</v>
      </c>
      <c r="H125" s="153" t="s">
        <v>783</v>
      </c>
      <c r="I125" s="153" t="s">
        <v>382</v>
      </c>
      <c r="J125" s="153" t="s">
        <v>887</v>
      </c>
      <c r="K125" s="153" t="s">
        <v>911</v>
      </c>
      <c r="L125" s="153" t="s">
        <v>912</v>
      </c>
      <c r="M125" s="153" t="s">
        <v>388</v>
      </c>
      <c r="N125" s="153" t="s">
        <v>43</v>
      </c>
      <c r="O125" s="153" t="s">
        <v>541</v>
      </c>
      <c r="P125" s="153" t="s">
        <v>978</v>
      </c>
      <c r="Q125" s="153" t="s">
        <v>1340</v>
      </c>
      <c r="R125" s="153" t="s">
        <v>71</v>
      </c>
      <c r="S125" s="153"/>
    </row>
    <row r="126" spans="1:19">
      <c r="A126" s="153" t="s">
        <v>1342</v>
      </c>
      <c r="B126" s="153" t="s">
        <v>1343</v>
      </c>
      <c r="C126" s="153" t="s">
        <v>909</v>
      </c>
      <c r="D126" s="154">
        <v>0</v>
      </c>
      <c r="E126" s="153" t="s">
        <v>1344</v>
      </c>
      <c r="F126" s="153" t="s">
        <v>83</v>
      </c>
      <c r="G126" s="153" t="s">
        <v>1218</v>
      </c>
      <c r="H126" s="153" t="s">
        <v>342</v>
      </c>
      <c r="I126" s="153" t="s">
        <v>382</v>
      </c>
      <c r="J126" s="153" t="s">
        <v>887</v>
      </c>
      <c r="K126" s="153" t="s">
        <v>1061</v>
      </c>
      <c r="L126" s="153" t="s">
        <v>1062</v>
      </c>
      <c r="M126" s="153" t="s">
        <v>389</v>
      </c>
      <c r="N126" s="153"/>
      <c r="O126" s="153" t="s">
        <v>386</v>
      </c>
      <c r="P126" s="153" t="s">
        <v>978</v>
      </c>
      <c r="Q126" s="153" t="s">
        <v>993</v>
      </c>
      <c r="R126" s="153" t="s">
        <v>83</v>
      </c>
      <c r="S126" s="153"/>
    </row>
    <row r="127" spans="1:19">
      <c r="A127" s="153" t="s">
        <v>1345</v>
      </c>
      <c r="B127" s="153" t="s">
        <v>1346</v>
      </c>
      <c r="C127" s="153" t="s">
        <v>909</v>
      </c>
      <c r="D127" s="154">
        <v>0</v>
      </c>
      <c r="E127" s="153" t="s">
        <v>1347</v>
      </c>
      <c r="F127" s="153" t="s">
        <v>277</v>
      </c>
      <c r="G127" s="153" t="s">
        <v>1218</v>
      </c>
      <c r="H127" s="153" t="s">
        <v>342</v>
      </c>
      <c r="I127" s="153" t="s">
        <v>382</v>
      </c>
      <c r="J127" s="153" t="s">
        <v>887</v>
      </c>
      <c r="K127" s="153" t="s">
        <v>1061</v>
      </c>
      <c r="L127" s="153" t="s">
        <v>1348</v>
      </c>
      <c r="M127" s="153" t="s">
        <v>389</v>
      </c>
      <c r="N127" s="153"/>
      <c r="O127" s="153" t="s">
        <v>386</v>
      </c>
      <c r="P127" s="153" t="s">
        <v>978</v>
      </c>
      <c r="Q127" s="153" t="s">
        <v>993</v>
      </c>
      <c r="R127" s="153" t="s">
        <v>83</v>
      </c>
      <c r="S127" s="153"/>
    </row>
    <row r="128" spans="1:19">
      <c r="A128" s="153" t="s">
        <v>1349</v>
      </c>
      <c r="B128" s="153" t="s">
        <v>1350</v>
      </c>
      <c r="C128" s="153" t="s">
        <v>909</v>
      </c>
      <c r="D128" s="154">
        <v>0</v>
      </c>
      <c r="E128" s="153" t="s">
        <v>1351</v>
      </c>
      <c r="F128" s="153" t="s">
        <v>83</v>
      </c>
      <c r="G128" s="153" t="s">
        <v>1218</v>
      </c>
      <c r="H128" s="153" t="s">
        <v>342</v>
      </c>
      <c r="I128" s="153" t="s">
        <v>382</v>
      </c>
      <c r="J128" s="153" t="s">
        <v>887</v>
      </c>
      <c r="K128" s="153" t="s">
        <v>1061</v>
      </c>
      <c r="L128" s="153" t="s">
        <v>1352</v>
      </c>
      <c r="M128" s="153" t="s">
        <v>389</v>
      </c>
      <c r="N128" s="153"/>
      <c r="O128" s="153" t="s">
        <v>386</v>
      </c>
      <c r="P128" s="153" t="s">
        <v>978</v>
      </c>
      <c r="Q128" s="153" t="s">
        <v>993</v>
      </c>
      <c r="R128" s="153" t="s">
        <v>83</v>
      </c>
      <c r="S128" s="153"/>
    </row>
    <row r="129" spans="1:19">
      <c r="A129" s="153" t="s">
        <v>1353</v>
      </c>
      <c r="B129" s="153" t="s">
        <v>1354</v>
      </c>
      <c r="C129" s="153" t="s">
        <v>909</v>
      </c>
      <c r="D129" s="154">
        <v>0</v>
      </c>
      <c r="E129" s="153" t="s">
        <v>1355</v>
      </c>
      <c r="F129" s="153" t="s">
        <v>53</v>
      </c>
      <c r="G129" s="153" t="s">
        <v>1218</v>
      </c>
      <c r="H129" s="153" t="s">
        <v>342</v>
      </c>
      <c r="I129" s="153" t="s">
        <v>382</v>
      </c>
      <c r="J129" s="153" t="s">
        <v>887</v>
      </c>
      <c r="K129" s="153" t="s">
        <v>1061</v>
      </c>
      <c r="L129" s="153" t="s">
        <v>1356</v>
      </c>
      <c r="M129" s="153" t="s">
        <v>389</v>
      </c>
      <c r="N129" s="153"/>
      <c r="O129" s="153" t="s">
        <v>386</v>
      </c>
      <c r="P129" s="153" t="s">
        <v>978</v>
      </c>
      <c r="Q129" s="153" t="s">
        <v>993</v>
      </c>
      <c r="R129" s="153" t="s">
        <v>53</v>
      </c>
      <c r="S129" s="153"/>
    </row>
    <row r="130" spans="1:19">
      <c r="A130" s="153" t="s">
        <v>1357</v>
      </c>
      <c r="B130" s="153" t="s">
        <v>1358</v>
      </c>
      <c r="C130" s="153" t="s">
        <v>909</v>
      </c>
      <c r="D130" s="154">
        <v>0</v>
      </c>
      <c r="E130" s="155">
        <v>12881461</v>
      </c>
      <c r="F130" s="153" t="s">
        <v>53</v>
      </c>
      <c r="G130" s="153" t="s">
        <v>918</v>
      </c>
      <c r="H130" s="153" t="s">
        <v>327</v>
      </c>
      <c r="I130" s="153" t="s">
        <v>382</v>
      </c>
      <c r="J130" s="153" t="s">
        <v>887</v>
      </c>
      <c r="K130" s="153"/>
      <c r="L130" s="153"/>
      <c r="M130" s="153" t="s">
        <v>388</v>
      </c>
      <c r="N130" s="153"/>
      <c r="O130" s="153" t="s">
        <v>386</v>
      </c>
      <c r="P130" s="153" t="s">
        <v>978</v>
      </c>
      <c r="Q130" s="153" t="s">
        <v>987</v>
      </c>
      <c r="R130" s="153" t="s">
        <v>53</v>
      </c>
      <c r="S130" s="153"/>
    </row>
    <row r="131" spans="1:19">
      <c r="A131" s="153" t="s">
        <v>1359</v>
      </c>
      <c r="B131" s="153" t="s">
        <v>1360</v>
      </c>
      <c r="C131" s="153" t="s">
        <v>909</v>
      </c>
      <c r="D131" s="154">
        <v>0</v>
      </c>
      <c r="E131" s="155">
        <v>12573358</v>
      </c>
      <c r="F131" s="153" t="s">
        <v>57</v>
      </c>
      <c r="G131" s="153" t="s">
        <v>910</v>
      </c>
      <c r="H131" s="153" t="s">
        <v>356</v>
      </c>
      <c r="I131" s="153" t="s">
        <v>382</v>
      </c>
      <c r="J131" s="153" t="s">
        <v>887</v>
      </c>
      <c r="K131" s="153"/>
      <c r="L131" s="153"/>
      <c r="M131" s="153" t="s">
        <v>388</v>
      </c>
      <c r="N131" s="153" t="s">
        <v>43</v>
      </c>
      <c r="O131" s="153" t="s">
        <v>386</v>
      </c>
      <c r="P131" s="153" t="s">
        <v>978</v>
      </c>
      <c r="Q131" s="153" t="s">
        <v>983</v>
      </c>
      <c r="R131" s="153" t="s">
        <v>57</v>
      </c>
      <c r="S131" s="153"/>
    </row>
    <row r="132" spans="1:19">
      <c r="A132" s="153" t="s">
        <v>1361</v>
      </c>
      <c r="B132" s="153" t="s">
        <v>1362</v>
      </c>
      <c r="C132" s="153" t="s">
        <v>1330</v>
      </c>
      <c r="D132" s="155">
        <v>60</v>
      </c>
      <c r="E132" s="153" t="s">
        <v>1363</v>
      </c>
      <c r="F132" s="153" t="s">
        <v>121</v>
      </c>
      <c r="G132" s="153" t="s">
        <v>918</v>
      </c>
      <c r="H132" s="153" t="s">
        <v>327</v>
      </c>
      <c r="I132" s="153" t="s">
        <v>382</v>
      </c>
      <c r="J132" s="153" t="s">
        <v>887</v>
      </c>
      <c r="K132" s="153" t="s">
        <v>911</v>
      </c>
      <c r="L132" s="153" t="s">
        <v>914</v>
      </c>
      <c r="M132" s="153" t="s">
        <v>388</v>
      </c>
      <c r="N132" s="153"/>
      <c r="O132" s="153" t="s">
        <v>541</v>
      </c>
      <c r="P132" s="153" t="s">
        <v>978</v>
      </c>
      <c r="Q132" s="153" t="s">
        <v>1364</v>
      </c>
      <c r="R132" s="153" t="s">
        <v>121</v>
      </c>
      <c r="S132" s="153"/>
    </row>
    <row r="133" spans="1:19">
      <c r="A133" s="153" t="s">
        <v>1365</v>
      </c>
      <c r="B133" s="153" t="s">
        <v>1366</v>
      </c>
      <c r="C133" s="153" t="s">
        <v>909</v>
      </c>
      <c r="D133" s="154">
        <v>0</v>
      </c>
      <c r="E133" s="153" t="s">
        <v>1367</v>
      </c>
      <c r="F133" s="153" t="s">
        <v>83</v>
      </c>
      <c r="G133" s="153" t="s">
        <v>910</v>
      </c>
      <c r="H133" s="153" t="s">
        <v>327</v>
      </c>
      <c r="I133" s="153" t="s">
        <v>382</v>
      </c>
      <c r="J133" s="153" t="s">
        <v>887</v>
      </c>
      <c r="K133" s="153" t="s">
        <v>911</v>
      </c>
      <c r="L133" s="153" t="s">
        <v>914</v>
      </c>
      <c r="M133" s="153" t="s">
        <v>388</v>
      </c>
      <c r="N133" s="153" t="s">
        <v>43</v>
      </c>
      <c r="O133" s="153" t="s">
        <v>386</v>
      </c>
      <c r="P133" s="153" t="s">
        <v>978</v>
      </c>
      <c r="Q133" s="153" t="s">
        <v>1368</v>
      </c>
      <c r="R133" s="153" t="s">
        <v>83</v>
      </c>
      <c r="S133" s="153"/>
    </row>
    <row r="134" spans="1:19">
      <c r="A134" s="153" t="s">
        <v>1369</v>
      </c>
      <c r="B134" s="153" t="s">
        <v>1370</v>
      </c>
      <c r="C134" s="153" t="s">
        <v>909</v>
      </c>
      <c r="D134" s="154">
        <v>0</v>
      </c>
      <c r="E134" s="155">
        <v>12505780</v>
      </c>
      <c r="F134" s="153" t="s">
        <v>65</v>
      </c>
      <c r="G134" s="153" t="s">
        <v>1218</v>
      </c>
      <c r="H134" s="153" t="s">
        <v>340</v>
      </c>
      <c r="I134" s="153" t="s">
        <v>382</v>
      </c>
      <c r="J134" s="153" t="s">
        <v>887</v>
      </c>
      <c r="K134" s="153"/>
      <c r="L134" s="153"/>
      <c r="M134" s="153" t="s">
        <v>389</v>
      </c>
      <c r="N134" s="153"/>
      <c r="O134" s="153" t="s">
        <v>386</v>
      </c>
      <c r="P134" s="153" t="s">
        <v>978</v>
      </c>
      <c r="Q134" s="153" t="s">
        <v>1371</v>
      </c>
      <c r="R134" s="153" t="s">
        <v>65</v>
      </c>
      <c r="S134" s="153"/>
    </row>
    <row r="135" spans="1:19">
      <c r="A135" s="153" t="s">
        <v>1372</v>
      </c>
      <c r="B135" s="153" t="s">
        <v>1373</v>
      </c>
      <c r="C135" s="153" t="s">
        <v>909</v>
      </c>
      <c r="D135" s="154">
        <v>0</v>
      </c>
      <c r="E135" s="155">
        <v>12505779</v>
      </c>
      <c r="F135" s="153" t="s">
        <v>53</v>
      </c>
      <c r="G135" s="153" t="s">
        <v>1218</v>
      </c>
      <c r="H135" s="153" t="s">
        <v>340</v>
      </c>
      <c r="I135" s="153" t="s">
        <v>382</v>
      </c>
      <c r="J135" s="153" t="s">
        <v>887</v>
      </c>
      <c r="K135" s="153"/>
      <c r="L135" s="153"/>
      <c r="M135" s="153" t="s">
        <v>389</v>
      </c>
      <c r="N135" s="153"/>
      <c r="O135" s="153" t="s">
        <v>386</v>
      </c>
      <c r="P135" s="153" t="s">
        <v>978</v>
      </c>
      <c r="Q135" s="153" t="s">
        <v>987</v>
      </c>
      <c r="R135" s="153" t="s">
        <v>53</v>
      </c>
      <c r="S135" s="153"/>
    </row>
    <row r="136" spans="1:19">
      <c r="A136" s="153" t="s">
        <v>1374</v>
      </c>
      <c r="B136" s="153" t="s">
        <v>1375</v>
      </c>
      <c r="C136" s="153" t="s">
        <v>909</v>
      </c>
      <c r="D136" s="154">
        <v>0</v>
      </c>
      <c r="E136" s="155">
        <v>12505772</v>
      </c>
      <c r="F136" s="153" t="s">
        <v>121</v>
      </c>
      <c r="G136" s="153" t="s">
        <v>1376</v>
      </c>
      <c r="H136" s="153" t="s">
        <v>340</v>
      </c>
      <c r="I136" s="153" t="s">
        <v>382</v>
      </c>
      <c r="J136" s="153" t="s">
        <v>887</v>
      </c>
      <c r="K136" s="153"/>
      <c r="L136" s="153"/>
      <c r="M136" s="153" t="s">
        <v>389</v>
      </c>
      <c r="N136" s="153"/>
      <c r="O136" s="153" t="s">
        <v>386</v>
      </c>
      <c r="P136" s="153" t="s">
        <v>978</v>
      </c>
      <c r="Q136" s="153" t="s">
        <v>1291</v>
      </c>
      <c r="R136" s="153" t="s">
        <v>121</v>
      </c>
      <c r="S136" s="153"/>
    </row>
    <row r="137" spans="1:19">
      <c r="A137" s="153" t="s">
        <v>1377</v>
      </c>
      <c r="B137" s="153" t="s">
        <v>1378</v>
      </c>
      <c r="C137" s="153" t="s">
        <v>909</v>
      </c>
      <c r="D137" s="154">
        <v>0</v>
      </c>
      <c r="E137" s="155">
        <v>12505771</v>
      </c>
      <c r="F137" s="153" t="s">
        <v>195</v>
      </c>
      <c r="G137" s="153" t="s">
        <v>1376</v>
      </c>
      <c r="H137" s="153" t="s">
        <v>340</v>
      </c>
      <c r="I137" s="153" t="s">
        <v>382</v>
      </c>
      <c r="J137" s="153" t="s">
        <v>887</v>
      </c>
      <c r="K137" s="153"/>
      <c r="L137" s="153"/>
      <c r="M137" s="153" t="s">
        <v>389</v>
      </c>
      <c r="N137" s="153"/>
      <c r="O137" s="153" t="s">
        <v>386</v>
      </c>
      <c r="P137" s="153" t="s">
        <v>978</v>
      </c>
      <c r="Q137" s="153" t="s">
        <v>1205</v>
      </c>
      <c r="R137" s="153" t="s">
        <v>195</v>
      </c>
      <c r="S137" s="153"/>
    </row>
    <row r="138" spans="1:19">
      <c r="A138" s="153" t="s">
        <v>1379</v>
      </c>
      <c r="B138" s="153" t="s">
        <v>1380</v>
      </c>
      <c r="C138" s="153" t="s">
        <v>909</v>
      </c>
      <c r="D138" s="154">
        <v>0</v>
      </c>
      <c r="E138" s="153" t="s">
        <v>1381</v>
      </c>
      <c r="F138" s="153" t="s">
        <v>252</v>
      </c>
      <c r="G138" s="153" t="s">
        <v>1218</v>
      </c>
      <c r="H138" s="153" t="s">
        <v>340</v>
      </c>
      <c r="I138" s="153" t="s">
        <v>382</v>
      </c>
      <c r="J138" s="153" t="s">
        <v>887</v>
      </c>
      <c r="K138" s="153" t="s">
        <v>911</v>
      </c>
      <c r="L138" s="153" t="s">
        <v>915</v>
      </c>
      <c r="M138" s="153" t="s">
        <v>389</v>
      </c>
      <c r="N138" s="153"/>
      <c r="O138" s="153" t="s">
        <v>386</v>
      </c>
      <c r="P138" s="153" t="s">
        <v>978</v>
      </c>
      <c r="Q138" s="153" t="s">
        <v>1332</v>
      </c>
      <c r="R138" s="153" t="s">
        <v>71</v>
      </c>
      <c r="S138" s="153"/>
    </row>
    <row r="139" spans="1:19">
      <c r="A139" s="153" t="s">
        <v>1382</v>
      </c>
      <c r="B139" s="153" t="s">
        <v>1383</v>
      </c>
      <c r="C139" s="153" t="s">
        <v>909</v>
      </c>
      <c r="D139" s="154">
        <v>0</v>
      </c>
      <c r="E139" s="153" t="s">
        <v>1384</v>
      </c>
      <c r="F139" s="153" t="s">
        <v>121</v>
      </c>
      <c r="G139" s="153" t="s">
        <v>1218</v>
      </c>
      <c r="H139" s="153" t="s">
        <v>340</v>
      </c>
      <c r="I139" s="153" t="s">
        <v>382</v>
      </c>
      <c r="J139" s="153" t="s">
        <v>887</v>
      </c>
      <c r="K139" s="153" t="s">
        <v>911</v>
      </c>
      <c r="L139" s="153" t="s">
        <v>912</v>
      </c>
      <c r="M139" s="153" t="s">
        <v>389</v>
      </c>
      <c r="N139" s="153"/>
      <c r="O139" s="153" t="s">
        <v>386</v>
      </c>
      <c r="P139" s="153" t="s">
        <v>978</v>
      </c>
      <c r="Q139" s="153" t="s">
        <v>1291</v>
      </c>
      <c r="R139" s="153" t="s">
        <v>121</v>
      </c>
      <c r="S139" s="153"/>
    </row>
    <row r="140" spans="1:19">
      <c r="A140" s="153" t="s">
        <v>1385</v>
      </c>
      <c r="B140" s="153" t="s">
        <v>1386</v>
      </c>
      <c r="C140" s="153" t="s">
        <v>909</v>
      </c>
      <c r="D140" s="154">
        <v>0</v>
      </c>
      <c r="E140" s="153" t="s">
        <v>1387</v>
      </c>
      <c r="F140" s="153" t="s">
        <v>53</v>
      </c>
      <c r="G140" s="153" t="s">
        <v>1218</v>
      </c>
      <c r="H140" s="153" t="s">
        <v>340</v>
      </c>
      <c r="I140" s="153" t="s">
        <v>382</v>
      </c>
      <c r="J140" s="153" t="s">
        <v>887</v>
      </c>
      <c r="K140" s="153" t="s">
        <v>911</v>
      </c>
      <c r="L140" s="153" t="s">
        <v>914</v>
      </c>
      <c r="M140" s="153" t="s">
        <v>389</v>
      </c>
      <c r="N140" s="153"/>
      <c r="O140" s="153" t="s">
        <v>386</v>
      </c>
      <c r="P140" s="153" t="s">
        <v>978</v>
      </c>
      <c r="Q140" s="153" t="s">
        <v>987</v>
      </c>
      <c r="R140" s="153" t="s">
        <v>53</v>
      </c>
      <c r="S140" s="153"/>
    </row>
    <row r="141" spans="1:19">
      <c r="A141" s="153" t="s">
        <v>1388</v>
      </c>
      <c r="B141" s="153" t="s">
        <v>1389</v>
      </c>
      <c r="C141" s="153" t="s">
        <v>909</v>
      </c>
      <c r="D141" s="154">
        <v>0</v>
      </c>
      <c r="E141" s="153" t="s">
        <v>1390</v>
      </c>
      <c r="F141" s="153" t="s">
        <v>71</v>
      </c>
      <c r="G141" s="153" t="s">
        <v>1218</v>
      </c>
      <c r="H141" s="153" t="s">
        <v>340</v>
      </c>
      <c r="I141" s="153" t="s">
        <v>382</v>
      </c>
      <c r="J141" s="153" t="s">
        <v>887</v>
      </c>
      <c r="K141" s="153" t="s">
        <v>911</v>
      </c>
      <c r="L141" s="153" t="s">
        <v>914</v>
      </c>
      <c r="M141" s="153" t="s">
        <v>389</v>
      </c>
      <c r="N141" s="153"/>
      <c r="O141" s="153" t="s">
        <v>386</v>
      </c>
      <c r="P141" s="153" t="s">
        <v>978</v>
      </c>
      <c r="Q141" s="153" t="s">
        <v>1159</v>
      </c>
      <c r="R141" s="153" t="s">
        <v>71</v>
      </c>
      <c r="S141" s="153"/>
    </row>
    <row r="142" spans="1:19">
      <c r="A142" s="153" t="s">
        <v>1391</v>
      </c>
      <c r="B142" s="153" t="s">
        <v>1392</v>
      </c>
      <c r="C142" s="153" t="s">
        <v>909</v>
      </c>
      <c r="D142" s="154">
        <v>0</v>
      </c>
      <c r="E142" s="153" t="s">
        <v>1393</v>
      </c>
      <c r="F142" s="153" t="s">
        <v>71</v>
      </c>
      <c r="G142" s="153" t="s">
        <v>1218</v>
      </c>
      <c r="H142" s="153" t="s">
        <v>340</v>
      </c>
      <c r="I142" s="153" t="s">
        <v>382</v>
      </c>
      <c r="J142" s="153" t="s">
        <v>887</v>
      </c>
      <c r="K142" s="153" t="s">
        <v>911</v>
      </c>
      <c r="L142" s="153" t="s">
        <v>916</v>
      </c>
      <c r="M142" s="153" t="s">
        <v>389</v>
      </c>
      <c r="N142" s="153"/>
      <c r="O142" s="153" t="s">
        <v>386</v>
      </c>
      <c r="P142" s="153" t="s">
        <v>978</v>
      </c>
      <c r="Q142" s="153" t="s">
        <v>1159</v>
      </c>
      <c r="R142" s="153" t="s">
        <v>71</v>
      </c>
      <c r="S142" s="153"/>
    </row>
    <row r="143" spans="1:19">
      <c r="A143" s="153" t="s">
        <v>1394</v>
      </c>
      <c r="B143" s="153" t="s">
        <v>1395</v>
      </c>
      <c r="C143" s="153" t="s">
        <v>909</v>
      </c>
      <c r="D143" s="154">
        <v>0</v>
      </c>
      <c r="E143" s="155">
        <v>12489441</v>
      </c>
      <c r="F143" s="153" t="s">
        <v>68</v>
      </c>
      <c r="G143" s="153" t="s">
        <v>1218</v>
      </c>
      <c r="H143" s="153" t="s">
        <v>340</v>
      </c>
      <c r="I143" s="153" t="s">
        <v>382</v>
      </c>
      <c r="J143" s="153" t="s">
        <v>887</v>
      </c>
      <c r="K143" s="153"/>
      <c r="L143" s="153"/>
      <c r="M143" s="153" t="s">
        <v>389</v>
      </c>
      <c r="N143" s="153"/>
      <c r="O143" s="153" t="s">
        <v>386</v>
      </c>
      <c r="P143" s="153" t="s">
        <v>978</v>
      </c>
      <c r="Q143" s="153" t="s">
        <v>1162</v>
      </c>
      <c r="R143" s="153" t="s">
        <v>68</v>
      </c>
      <c r="S143" s="153"/>
    </row>
    <row r="144" spans="1:19">
      <c r="A144" s="153" t="s">
        <v>1396</v>
      </c>
      <c r="B144" s="153" t="s">
        <v>1397</v>
      </c>
      <c r="C144" s="153" t="s">
        <v>909</v>
      </c>
      <c r="D144" s="154">
        <v>0</v>
      </c>
      <c r="E144" s="155">
        <v>12489435</v>
      </c>
      <c r="F144" s="153" t="s">
        <v>121</v>
      </c>
      <c r="G144" s="153" t="s">
        <v>1218</v>
      </c>
      <c r="H144" s="153" t="s">
        <v>340</v>
      </c>
      <c r="I144" s="153" t="s">
        <v>382</v>
      </c>
      <c r="J144" s="153" t="s">
        <v>887</v>
      </c>
      <c r="K144" s="153"/>
      <c r="L144" s="153"/>
      <c r="M144" s="153" t="s">
        <v>389</v>
      </c>
      <c r="N144" s="153"/>
      <c r="O144" s="153" t="s">
        <v>386</v>
      </c>
      <c r="P144" s="153" t="s">
        <v>978</v>
      </c>
      <c r="Q144" s="153" t="s">
        <v>1398</v>
      </c>
      <c r="R144" s="153" t="s">
        <v>121</v>
      </c>
      <c r="S144" s="153"/>
    </row>
    <row r="145" spans="1:19">
      <c r="A145" s="153" t="s">
        <v>1399</v>
      </c>
      <c r="B145" s="153" t="s">
        <v>1400</v>
      </c>
      <c r="C145" s="153" t="s">
        <v>909</v>
      </c>
      <c r="D145" s="154">
        <v>0</v>
      </c>
      <c r="E145" s="155">
        <v>12489434</v>
      </c>
      <c r="F145" s="153" t="s">
        <v>277</v>
      </c>
      <c r="G145" s="153" t="s">
        <v>1218</v>
      </c>
      <c r="H145" s="153" t="s">
        <v>340</v>
      </c>
      <c r="I145" s="153" t="s">
        <v>382</v>
      </c>
      <c r="J145" s="153" t="s">
        <v>887</v>
      </c>
      <c r="K145" s="153"/>
      <c r="L145" s="153"/>
      <c r="M145" s="153" t="s">
        <v>389</v>
      </c>
      <c r="N145" s="153"/>
      <c r="O145" s="153" t="s">
        <v>386</v>
      </c>
      <c r="P145" s="153" t="s">
        <v>978</v>
      </c>
      <c r="Q145" s="153" t="s">
        <v>1401</v>
      </c>
      <c r="R145" s="153" t="s">
        <v>83</v>
      </c>
      <c r="S145" s="153"/>
    </row>
    <row r="146" spans="1:19">
      <c r="A146" s="153" t="s">
        <v>1402</v>
      </c>
      <c r="B146" s="153" t="s">
        <v>1403</v>
      </c>
      <c r="C146" s="153" t="s">
        <v>909</v>
      </c>
      <c r="D146" s="154">
        <v>0</v>
      </c>
      <c r="E146" s="155">
        <v>12309046</v>
      </c>
      <c r="F146" s="153" t="s">
        <v>158</v>
      </c>
      <c r="G146" s="153" t="s">
        <v>910</v>
      </c>
      <c r="H146" s="153" t="s">
        <v>356</v>
      </c>
      <c r="I146" s="153" t="s">
        <v>382</v>
      </c>
      <c r="J146" s="153" t="s">
        <v>887</v>
      </c>
      <c r="K146" s="153"/>
      <c r="L146" s="153"/>
      <c r="M146" s="153" t="s">
        <v>388</v>
      </c>
      <c r="N146" s="153" t="s">
        <v>43</v>
      </c>
      <c r="O146" s="153" t="s">
        <v>386</v>
      </c>
      <c r="P146" s="153" t="s">
        <v>978</v>
      </c>
      <c r="Q146" s="153" t="s">
        <v>1404</v>
      </c>
      <c r="R146" s="153" t="s">
        <v>60</v>
      </c>
      <c r="S146" s="153"/>
    </row>
    <row r="147" spans="1:19">
      <c r="A147" s="153" t="s">
        <v>1405</v>
      </c>
      <c r="B147" s="153" t="s">
        <v>1406</v>
      </c>
      <c r="C147" s="153" t="s">
        <v>909</v>
      </c>
      <c r="D147" s="154">
        <v>0</v>
      </c>
      <c r="E147" s="153" t="s">
        <v>1407</v>
      </c>
      <c r="F147" s="153" t="s">
        <v>53</v>
      </c>
      <c r="G147" s="153" t="s">
        <v>910</v>
      </c>
      <c r="H147" s="153" t="s">
        <v>327</v>
      </c>
      <c r="I147" s="153" t="s">
        <v>382</v>
      </c>
      <c r="J147" s="153" t="s">
        <v>887</v>
      </c>
      <c r="K147" s="153" t="s">
        <v>1061</v>
      </c>
      <c r="L147" s="153" t="s">
        <v>1062</v>
      </c>
      <c r="M147" s="153" t="s">
        <v>388</v>
      </c>
      <c r="N147" s="153" t="s">
        <v>43</v>
      </c>
      <c r="O147" s="153" t="s">
        <v>386</v>
      </c>
      <c r="P147" s="153" t="s">
        <v>978</v>
      </c>
      <c r="Q147" s="153" t="s">
        <v>987</v>
      </c>
      <c r="R147" s="153" t="s">
        <v>53</v>
      </c>
      <c r="S147" s="153"/>
    </row>
    <row r="148" spans="1:19">
      <c r="A148" s="153" t="s">
        <v>1408</v>
      </c>
      <c r="B148" s="153" t="s">
        <v>1409</v>
      </c>
      <c r="C148" s="153" t="s">
        <v>909</v>
      </c>
      <c r="D148" s="154">
        <v>0</v>
      </c>
      <c r="E148" s="153" t="s">
        <v>1410</v>
      </c>
      <c r="F148" s="153" t="s">
        <v>53</v>
      </c>
      <c r="G148" s="153" t="s">
        <v>910</v>
      </c>
      <c r="H148" s="153" t="s">
        <v>327</v>
      </c>
      <c r="I148" s="153" t="s">
        <v>382</v>
      </c>
      <c r="J148" s="153" t="s">
        <v>887</v>
      </c>
      <c r="K148" s="153" t="s">
        <v>1061</v>
      </c>
      <c r="L148" s="153" t="s">
        <v>1155</v>
      </c>
      <c r="M148" s="153" t="s">
        <v>388</v>
      </c>
      <c r="N148" s="153" t="s">
        <v>43</v>
      </c>
      <c r="O148" s="153" t="s">
        <v>386</v>
      </c>
      <c r="P148" s="153" t="s">
        <v>978</v>
      </c>
      <c r="Q148" s="153" t="s">
        <v>987</v>
      </c>
      <c r="R148" s="153" t="s">
        <v>53</v>
      </c>
      <c r="S148" s="153"/>
    </row>
    <row r="149" spans="1:19">
      <c r="A149" s="153" t="s">
        <v>1411</v>
      </c>
      <c r="B149" s="153" t="s">
        <v>1412</v>
      </c>
      <c r="C149" s="153" t="s">
        <v>1043</v>
      </c>
      <c r="D149" s="155">
        <v>56</v>
      </c>
      <c r="E149" s="153" t="s">
        <v>1413</v>
      </c>
      <c r="F149" s="153" t="s">
        <v>53</v>
      </c>
      <c r="G149" s="153" t="s">
        <v>1101</v>
      </c>
      <c r="H149" s="153" t="s">
        <v>327</v>
      </c>
      <c r="I149" s="153" t="s">
        <v>382</v>
      </c>
      <c r="J149" s="153" t="s">
        <v>887</v>
      </c>
      <c r="K149" s="153" t="s">
        <v>1061</v>
      </c>
      <c r="L149" s="153" t="s">
        <v>1062</v>
      </c>
      <c r="M149" s="153" t="s">
        <v>388</v>
      </c>
      <c r="N149" s="153" t="s">
        <v>43</v>
      </c>
      <c r="O149" s="153" t="s">
        <v>386</v>
      </c>
      <c r="P149" s="153" t="s">
        <v>978</v>
      </c>
      <c r="Q149" s="153" t="s">
        <v>987</v>
      </c>
      <c r="R149" s="153" t="s">
        <v>53</v>
      </c>
      <c r="S149" s="153"/>
    </row>
    <row r="150" spans="1:19">
      <c r="A150" s="153" t="s">
        <v>1414</v>
      </c>
      <c r="B150" s="153" t="s">
        <v>1415</v>
      </c>
      <c r="C150" s="153" t="s">
        <v>909</v>
      </c>
      <c r="D150" s="154">
        <v>0</v>
      </c>
      <c r="E150" s="155">
        <v>12162668</v>
      </c>
      <c r="F150" s="153" t="s">
        <v>53</v>
      </c>
      <c r="G150" s="153" t="s">
        <v>910</v>
      </c>
      <c r="H150" s="153" t="s">
        <v>356</v>
      </c>
      <c r="I150" s="153" t="s">
        <v>382</v>
      </c>
      <c r="J150" s="153" t="s">
        <v>887</v>
      </c>
      <c r="K150" s="153"/>
      <c r="L150" s="153"/>
      <c r="M150" s="153" t="s">
        <v>388</v>
      </c>
      <c r="N150" s="153" t="s">
        <v>43</v>
      </c>
      <c r="O150" s="153" t="s">
        <v>386</v>
      </c>
      <c r="P150" s="153" t="s">
        <v>978</v>
      </c>
      <c r="Q150" s="153" t="s">
        <v>987</v>
      </c>
      <c r="R150" s="153" t="s">
        <v>53</v>
      </c>
      <c r="S150" s="153"/>
    </row>
    <row r="151" spans="1:19">
      <c r="A151" s="153" t="s">
        <v>1416</v>
      </c>
      <c r="B151" s="153" t="s">
        <v>1417</v>
      </c>
      <c r="C151" s="153" t="s">
        <v>909</v>
      </c>
      <c r="D151" s="154">
        <v>0</v>
      </c>
      <c r="E151" s="153" t="s">
        <v>1418</v>
      </c>
      <c r="F151" s="153" t="s">
        <v>53</v>
      </c>
      <c r="G151" s="153" t="s">
        <v>1218</v>
      </c>
      <c r="H151" s="153" t="s">
        <v>340</v>
      </c>
      <c r="I151" s="153" t="s">
        <v>382</v>
      </c>
      <c r="J151" s="153" t="s">
        <v>887</v>
      </c>
      <c r="K151" s="153" t="s">
        <v>1061</v>
      </c>
      <c r="L151" s="153" t="s">
        <v>1062</v>
      </c>
      <c r="M151" s="153" t="s">
        <v>389</v>
      </c>
      <c r="N151" s="153"/>
      <c r="O151" s="153" t="s">
        <v>386</v>
      </c>
      <c r="P151" s="153" t="s">
        <v>978</v>
      </c>
      <c r="Q151" s="153" t="s">
        <v>993</v>
      </c>
      <c r="R151" s="153" t="s">
        <v>53</v>
      </c>
      <c r="S151" s="153"/>
    </row>
    <row r="152" spans="1:19">
      <c r="A152" s="153" t="s">
        <v>1419</v>
      </c>
      <c r="B152" s="153" t="s">
        <v>1420</v>
      </c>
      <c r="C152" s="153" t="s">
        <v>909</v>
      </c>
      <c r="D152" s="154">
        <v>0</v>
      </c>
      <c r="E152" s="153" t="s">
        <v>1421</v>
      </c>
      <c r="F152" s="153" t="s">
        <v>53</v>
      </c>
      <c r="G152" s="153" t="s">
        <v>1218</v>
      </c>
      <c r="H152" s="153" t="s">
        <v>340</v>
      </c>
      <c r="I152" s="153" t="s">
        <v>382</v>
      </c>
      <c r="J152" s="153" t="s">
        <v>887</v>
      </c>
      <c r="K152" s="153" t="s">
        <v>911</v>
      </c>
      <c r="L152" s="153" t="s">
        <v>914</v>
      </c>
      <c r="M152" s="153" t="s">
        <v>389</v>
      </c>
      <c r="N152" s="153"/>
      <c r="O152" s="153" t="s">
        <v>386</v>
      </c>
      <c r="P152" s="153" t="s">
        <v>978</v>
      </c>
      <c r="Q152" s="153" t="s">
        <v>997</v>
      </c>
      <c r="R152" s="153" t="s">
        <v>53</v>
      </c>
      <c r="S152" s="153"/>
    </row>
    <row r="153" spans="1:19">
      <c r="A153" s="153" t="s">
        <v>1422</v>
      </c>
      <c r="B153" s="153" t="s">
        <v>1423</v>
      </c>
      <c r="C153" s="153" t="s">
        <v>909</v>
      </c>
      <c r="D153" s="154">
        <v>0</v>
      </c>
      <c r="E153" s="153" t="s">
        <v>1424</v>
      </c>
      <c r="F153" s="153" t="s">
        <v>71</v>
      </c>
      <c r="G153" s="153" t="s">
        <v>1218</v>
      </c>
      <c r="H153" s="153" t="s">
        <v>340</v>
      </c>
      <c r="I153" s="153" t="s">
        <v>382</v>
      </c>
      <c r="J153" s="153" t="s">
        <v>887</v>
      </c>
      <c r="K153" s="153" t="s">
        <v>911</v>
      </c>
      <c r="L153" s="153" t="s">
        <v>912</v>
      </c>
      <c r="M153" s="153" t="s">
        <v>389</v>
      </c>
      <c r="N153" s="153"/>
      <c r="O153" s="153" t="s">
        <v>386</v>
      </c>
      <c r="P153" s="153" t="s">
        <v>978</v>
      </c>
      <c r="Q153" s="153" t="s">
        <v>1425</v>
      </c>
      <c r="R153" s="153" t="s">
        <v>71</v>
      </c>
      <c r="S153" s="153"/>
    </row>
    <row r="154" spans="1:19">
      <c r="A154" s="153" t="s">
        <v>1426</v>
      </c>
      <c r="B154" s="153" t="s">
        <v>1427</v>
      </c>
      <c r="C154" s="153" t="s">
        <v>909</v>
      </c>
      <c r="D154" s="154">
        <v>0</v>
      </c>
      <c r="E154" s="155">
        <v>12033128</v>
      </c>
      <c r="F154" s="153" t="s">
        <v>53</v>
      </c>
      <c r="G154" s="153" t="s">
        <v>1218</v>
      </c>
      <c r="H154" s="153" t="s">
        <v>340</v>
      </c>
      <c r="I154" s="153" t="s">
        <v>382</v>
      </c>
      <c r="J154" s="153" t="s">
        <v>887</v>
      </c>
      <c r="K154" s="153"/>
      <c r="L154" s="153"/>
      <c r="M154" s="153" t="s">
        <v>389</v>
      </c>
      <c r="N154" s="153"/>
      <c r="O154" s="153" t="s">
        <v>386</v>
      </c>
      <c r="P154" s="153" t="s">
        <v>978</v>
      </c>
      <c r="Q154" s="153" t="s">
        <v>987</v>
      </c>
      <c r="R154" s="153" t="s">
        <v>53</v>
      </c>
      <c r="S154" s="153"/>
    </row>
    <row r="155" spans="1:19">
      <c r="A155" s="153" t="s">
        <v>1428</v>
      </c>
      <c r="B155" s="153" t="s">
        <v>1429</v>
      </c>
      <c r="C155" s="153" t="s">
        <v>909</v>
      </c>
      <c r="D155" s="154">
        <v>0</v>
      </c>
      <c r="E155" s="155">
        <v>12033103</v>
      </c>
      <c r="F155" s="153" t="s">
        <v>53</v>
      </c>
      <c r="G155" s="153" t="s">
        <v>1218</v>
      </c>
      <c r="H155" s="153" t="s">
        <v>340</v>
      </c>
      <c r="I155" s="153" t="s">
        <v>382</v>
      </c>
      <c r="J155" s="153" t="s">
        <v>887</v>
      </c>
      <c r="K155" s="153"/>
      <c r="L155" s="153"/>
      <c r="M155" s="153" t="s">
        <v>389</v>
      </c>
      <c r="N155" s="153"/>
      <c r="O155" s="153" t="s">
        <v>386</v>
      </c>
      <c r="P155" s="153" t="s">
        <v>978</v>
      </c>
      <c r="Q155" s="153" t="s">
        <v>987</v>
      </c>
      <c r="R155" s="153" t="s">
        <v>53</v>
      </c>
      <c r="S155" s="153"/>
    </row>
    <row r="156" spans="1:19">
      <c r="A156" s="153" t="s">
        <v>1430</v>
      </c>
      <c r="B156" s="153" t="s">
        <v>1431</v>
      </c>
      <c r="C156" s="153" t="s">
        <v>909</v>
      </c>
      <c r="D156" s="154">
        <v>0</v>
      </c>
      <c r="E156" s="155">
        <v>12033099</v>
      </c>
      <c r="F156" s="153" t="s">
        <v>195</v>
      </c>
      <c r="G156" s="153" t="s">
        <v>1218</v>
      </c>
      <c r="H156" s="153" t="s">
        <v>340</v>
      </c>
      <c r="I156" s="153" t="s">
        <v>382</v>
      </c>
      <c r="J156" s="153" t="s">
        <v>887</v>
      </c>
      <c r="K156" s="153"/>
      <c r="L156" s="153"/>
      <c r="M156" s="153" t="s">
        <v>389</v>
      </c>
      <c r="N156" s="153"/>
      <c r="O156" s="153" t="s">
        <v>386</v>
      </c>
      <c r="P156" s="153" t="s">
        <v>978</v>
      </c>
      <c r="Q156" s="153" t="s">
        <v>1205</v>
      </c>
      <c r="R156" s="153" t="s">
        <v>195</v>
      </c>
      <c r="S156" s="153"/>
    </row>
    <row r="157" spans="1:19">
      <c r="A157" s="153" t="s">
        <v>1432</v>
      </c>
      <c r="B157" s="153" t="s">
        <v>1433</v>
      </c>
      <c r="C157" s="153" t="s">
        <v>909</v>
      </c>
      <c r="D157" s="154">
        <v>0</v>
      </c>
      <c r="E157" s="155">
        <v>12033078</v>
      </c>
      <c r="F157" s="153" t="s">
        <v>53</v>
      </c>
      <c r="G157" s="153" t="s">
        <v>1218</v>
      </c>
      <c r="H157" s="153" t="s">
        <v>340</v>
      </c>
      <c r="I157" s="153" t="s">
        <v>382</v>
      </c>
      <c r="J157" s="153" t="s">
        <v>887</v>
      </c>
      <c r="K157" s="153"/>
      <c r="L157" s="153"/>
      <c r="M157" s="153" t="s">
        <v>389</v>
      </c>
      <c r="N157" s="153"/>
      <c r="O157" s="153" t="s">
        <v>386</v>
      </c>
      <c r="P157" s="153" t="s">
        <v>978</v>
      </c>
      <c r="Q157" s="153" t="s">
        <v>987</v>
      </c>
      <c r="R157" s="153" t="s">
        <v>53</v>
      </c>
      <c r="S157" s="153"/>
    </row>
    <row r="158" spans="1:19">
      <c r="A158" s="153" t="s">
        <v>1434</v>
      </c>
      <c r="B158" s="153" t="s">
        <v>1435</v>
      </c>
      <c r="C158" s="153" t="s">
        <v>909</v>
      </c>
      <c r="D158" s="154">
        <v>0</v>
      </c>
      <c r="E158" s="155">
        <v>12033074</v>
      </c>
      <c r="F158" s="153" t="s">
        <v>55</v>
      </c>
      <c r="G158" s="153" t="s">
        <v>1218</v>
      </c>
      <c r="H158" s="153" t="s">
        <v>340</v>
      </c>
      <c r="I158" s="153" t="s">
        <v>382</v>
      </c>
      <c r="J158" s="153" t="s">
        <v>887</v>
      </c>
      <c r="K158" s="153"/>
      <c r="L158" s="153"/>
      <c r="M158" s="153" t="s">
        <v>389</v>
      </c>
      <c r="N158" s="153"/>
      <c r="O158" s="153" t="s">
        <v>386</v>
      </c>
      <c r="P158" s="153" t="s">
        <v>978</v>
      </c>
      <c r="Q158" s="153" t="s">
        <v>1436</v>
      </c>
      <c r="R158" s="153" t="s">
        <v>71</v>
      </c>
      <c r="S158" s="153"/>
    </row>
    <row r="159" spans="1:19">
      <c r="A159" s="153" t="s">
        <v>1437</v>
      </c>
      <c r="B159" s="153" t="s">
        <v>1438</v>
      </c>
      <c r="C159" s="153" t="s">
        <v>909</v>
      </c>
      <c r="D159" s="154">
        <v>0</v>
      </c>
      <c r="E159" s="155">
        <v>11601067</v>
      </c>
      <c r="F159" s="153" t="s">
        <v>71</v>
      </c>
      <c r="G159" s="153" t="s">
        <v>1218</v>
      </c>
      <c r="H159" s="153" t="s">
        <v>342</v>
      </c>
      <c r="I159" s="153" t="s">
        <v>382</v>
      </c>
      <c r="J159" s="153" t="s">
        <v>887</v>
      </c>
      <c r="K159" s="153"/>
      <c r="L159" s="153"/>
      <c r="M159" s="153" t="s">
        <v>389</v>
      </c>
      <c r="N159" s="153"/>
      <c r="O159" s="153" t="s">
        <v>386</v>
      </c>
      <c r="P159" s="153" t="s">
        <v>978</v>
      </c>
      <c r="Q159" s="153" t="s">
        <v>1439</v>
      </c>
      <c r="R159" s="153" t="s">
        <v>71</v>
      </c>
      <c r="S159" s="153"/>
    </row>
    <row r="160" spans="1:19">
      <c r="A160" s="153" t="s">
        <v>1440</v>
      </c>
      <c r="B160" s="153" t="s">
        <v>1649</v>
      </c>
      <c r="C160" s="153" t="s">
        <v>909</v>
      </c>
      <c r="D160" s="154">
        <v>0</v>
      </c>
      <c r="E160" s="155">
        <v>11601006</v>
      </c>
      <c r="F160" s="153" t="s">
        <v>780</v>
      </c>
      <c r="G160" s="153" t="s">
        <v>1218</v>
      </c>
      <c r="H160" s="153" t="s">
        <v>342</v>
      </c>
      <c r="I160" s="153" t="s">
        <v>382</v>
      </c>
      <c r="J160" s="153" t="s">
        <v>887</v>
      </c>
      <c r="K160" s="153"/>
      <c r="L160" s="153"/>
      <c r="M160" s="153" t="s">
        <v>389</v>
      </c>
      <c r="N160" s="153"/>
      <c r="O160" s="153" t="s">
        <v>386</v>
      </c>
      <c r="P160" s="153" t="s">
        <v>978</v>
      </c>
      <c r="Q160" s="153" t="s">
        <v>1441</v>
      </c>
      <c r="R160" s="153" t="s">
        <v>71</v>
      </c>
      <c r="S160" s="153"/>
    </row>
    <row r="161" spans="1:19">
      <c r="A161" s="153" t="s">
        <v>1442</v>
      </c>
      <c r="B161" s="153" t="s">
        <v>1443</v>
      </c>
      <c r="C161" s="153" t="s">
        <v>909</v>
      </c>
      <c r="D161" s="154">
        <v>0</v>
      </c>
      <c r="E161" s="155">
        <v>11600974</v>
      </c>
      <c r="F161" s="153" t="s">
        <v>83</v>
      </c>
      <c r="G161" s="153" t="s">
        <v>1218</v>
      </c>
      <c r="H161" s="153" t="s">
        <v>342</v>
      </c>
      <c r="I161" s="153" t="s">
        <v>382</v>
      </c>
      <c r="J161" s="153" t="s">
        <v>887</v>
      </c>
      <c r="K161" s="153"/>
      <c r="L161" s="153"/>
      <c r="M161" s="153" t="s">
        <v>389</v>
      </c>
      <c r="N161" s="153"/>
      <c r="O161" s="153" t="s">
        <v>386</v>
      </c>
      <c r="P161" s="153" t="s">
        <v>978</v>
      </c>
      <c r="Q161" s="153" t="s">
        <v>1444</v>
      </c>
      <c r="R161" s="153" t="s">
        <v>83</v>
      </c>
      <c r="S161" s="153"/>
    </row>
    <row r="162" spans="1:19">
      <c r="A162" s="153" t="s">
        <v>1445</v>
      </c>
      <c r="B162" s="153" t="s">
        <v>1650</v>
      </c>
      <c r="C162" s="153" t="s">
        <v>909</v>
      </c>
      <c r="D162" s="154">
        <v>0</v>
      </c>
      <c r="E162" s="153" t="s">
        <v>1651</v>
      </c>
      <c r="F162" s="153" t="s">
        <v>55</v>
      </c>
      <c r="G162" s="153" t="s">
        <v>1218</v>
      </c>
      <c r="H162" s="153" t="s">
        <v>340</v>
      </c>
      <c r="I162" s="153" t="s">
        <v>382</v>
      </c>
      <c r="J162" s="153" t="s">
        <v>887</v>
      </c>
      <c r="K162" s="153" t="s">
        <v>1080</v>
      </c>
      <c r="L162" s="153" t="s">
        <v>1652</v>
      </c>
      <c r="M162" s="153" t="s">
        <v>389</v>
      </c>
      <c r="N162" s="153"/>
      <c r="O162" s="153" t="s">
        <v>386</v>
      </c>
      <c r="P162" s="153" t="s">
        <v>978</v>
      </c>
      <c r="Q162" s="153" t="s">
        <v>1221</v>
      </c>
      <c r="R162" s="153" t="s">
        <v>71</v>
      </c>
      <c r="S162" s="153"/>
    </row>
    <row r="163" spans="1:19">
      <c r="A163" s="153" t="s">
        <v>1446</v>
      </c>
      <c r="B163" s="153" t="s">
        <v>1447</v>
      </c>
      <c r="C163" s="153" t="s">
        <v>909</v>
      </c>
      <c r="D163" s="154">
        <v>0</v>
      </c>
      <c r="E163" s="153" t="s">
        <v>1448</v>
      </c>
      <c r="F163" s="153" t="s">
        <v>746</v>
      </c>
      <c r="G163" s="153" t="s">
        <v>1218</v>
      </c>
      <c r="H163" s="153" t="s">
        <v>342</v>
      </c>
      <c r="I163" s="153" t="s">
        <v>382</v>
      </c>
      <c r="J163" s="153" t="s">
        <v>887</v>
      </c>
      <c r="K163" s="153" t="s">
        <v>911</v>
      </c>
      <c r="L163" s="153" t="s">
        <v>912</v>
      </c>
      <c r="M163" s="153" t="s">
        <v>389</v>
      </c>
      <c r="N163" s="153"/>
      <c r="O163" s="153" t="s">
        <v>386</v>
      </c>
      <c r="P163" s="153" t="s">
        <v>978</v>
      </c>
      <c r="Q163" s="153" t="s">
        <v>993</v>
      </c>
      <c r="R163" s="153" t="s">
        <v>83</v>
      </c>
      <c r="S163" s="153"/>
    </row>
    <row r="164" spans="1:19">
      <c r="A164" s="153" t="s">
        <v>1449</v>
      </c>
      <c r="B164" s="153" t="s">
        <v>1450</v>
      </c>
      <c r="C164" s="153" t="s">
        <v>909</v>
      </c>
      <c r="D164" s="154">
        <v>0</v>
      </c>
      <c r="E164" s="153" t="s">
        <v>1451</v>
      </c>
      <c r="F164" s="153" t="s">
        <v>246</v>
      </c>
      <c r="G164" s="153" t="s">
        <v>1218</v>
      </c>
      <c r="H164" s="153" t="s">
        <v>342</v>
      </c>
      <c r="I164" s="153" t="s">
        <v>382</v>
      </c>
      <c r="J164" s="153" t="s">
        <v>887</v>
      </c>
      <c r="K164" s="153" t="s">
        <v>911</v>
      </c>
      <c r="L164" s="153" t="s">
        <v>914</v>
      </c>
      <c r="M164" s="153" t="s">
        <v>389</v>
      </c>
      <c r="N164" s="153"/>
      <c r="O164" s="153" t="s">
        <v>386</v>
      </c>
      <c r="P164" s="153" t="s">
        <v>978</v>
      </c>
      <c r="Q164" s="153" t="s">
        <v>993</v>
      </c>
      <c r="R164" s="153" t="s">
        <v>83</v>
      </c>
      <c r="S164" s="153"/>
    </row>
    <row r="165" spans="1:19">
      <c r="A165" s="153" t="s">
        <v>1452</v>
      </c>
      <c r="B165" s="153" t="s">
        <v>1453</v>
      </c>
      <c r="C165" s="153" t="s">
        <v>909</v>
      </c>
      <c r="D165" s="154">
        <v>0</v>
      </c>
      <c r="E165" s="153" t="s">
        <v>1454</v>
      </c>
      <c r="F165" s="153" t="s">
        <v>57</v>
      </c>
      <c r="G165" s="153" t="s">
        <v>910</v>
      </c>
      <c r="H165" s="153" t="s">
        <v>327</v>
      </c>
      <c r="I165" s="153" t="s">
        <v>382</v>
      </c>
      <c r="J165" s="153" t="s">
        <v>887</v>
      </c>
      <c r="K165" s="153" t="s">
        <v>911</v>
      </c>
      <c r="L165" s="153" t="s">
        <v>912</v>
      </c>
      <c r="M165" s="153" t="s">
        <v>388</v>
      </c>
      <c r="N165" s="153" t="s">
        <v>43</v>
      </c>
      <c r="O165" s="153" t="s">
        <v>386</v>
      </c>
      <c r="P165" s="153" t="s">
        <v>978</v>
      </c>
      <c r="Q165" s="153" t="s">
        <v>1287</v>
      </c>
      <c r="R165" s="153" t="s">
        <v>57</v>
      </c>
      <c r="S165" s="153"/>
    </row>
    <row r="166" spans="1:19">
      <c r="A166" s="153" t="s">
        <v>1455</v>
      </c>
      <c r="B166" s="153" t="s">
        <v>1456</v>
      </c>
      <c r="C166" s="153" t="s">
        <v>909</v>
      </c>
      <c r="D166" s="154">
        <v>0</v>
      </c>
      <c r="E166" s="155">
        <v>11277642</v>
      </c>
      <c r="F166" s="153" t="s">
        <v>250</v>
      </c>
      <c r="G166" s="153" t="s">
        <v>1218</v>
      </c>
      <c r="H166" s="153" t="s">
        <v>342</v>
      </c>
      <c r="I166" s="153" t="s">
        <v>382</v>
      </c>
      <c r="J166" s="153" t="s">
        <v>887</v>
      </c>
      <c r="K166" s="153"/>
      <c r="L166" s="153"/>
      <c r="M166" s="153" t="s">
        <v>389</v>
      </c>
      <c r="N166" s="153"/>
      <c r="O166" s="153" t="s">
        <v>386</v>
      </c>
      <c r="P166" s="153" t="s">
        <v>978</v>
      </c>
      <c r="Q166" s="153" t="s">
        <v>1457</v>
      </c>
      <c r="R166" s="153" t="s">
        <v>71</v>
      </c>
      <c r="S166" s="153"/>
    </row>
    <row r="167" spans="1:19">
      <c r="A167" s="153" t="s">
        <v>1458</v>
      </c>
      <c r="B167" s="153" t="s">
        <v>1459</v>
      </c>
      <c r="C167" s="153" t="s">
        <v>1038</v>
      </c>
      <c r="D167" s="155">
        <v>58</v>
      </c>
      <c r="E167" s="155">
        <v>11179873</v>
      </c>
      <c r="F167" s="153" t="s">
        <v>83</v>
      </c>
      <c r="G167" s="153" t="s">
        <v>1040</v>
      </c>
      <c r="H167" s="153" t="s">
        <v>327</v>
      </c>
      <c r="I167" s="153" t="s">
        <v>382</v>
      </c>
      <c r="J167" s="153" t="s">
        <v>887</v>
      </c>
      <c r="K167" s="153"/>
      <c r="L167" s="153"/>
      <c r="M167" s="153" t="s">
        <v>388</v>
      </c>
      <c r="N167" s="153"/>
      <c r="O167" s="153" t="s">
        <v>386</v>
      </c>
      <c r="P167" s="153" t="s">
        <v>978</v>
      </c>
      <c r="Q167" s="153" t="s">
        <v>1047</v>
      </c>
      <c r="R167" s="153" t="s">
        <v>83</v>
      </c>
      <c r="S167" s="153"/>
    </row>
    <row r="168" spans="1:19">
      <c r="A168" s="153" t="s">
        <v>1460</v>
      </c>
      <c r="B168" s="153" t="s">
        <v>1459</v>
      </c>
      <c r="C168" s="153" t="s">
        <v>1043</v>
      </c>
      <c r="D168" s="155">
        <v>56</v>
      </c>
      <c r="E168" s="155">
        <v>11179873</v>
      </c>
      <c r="F168" s="153" t="s">
        <v>83</v>
      </c>
      <c r="G168" s="153" t="s">
        <v>1040</v>
      </c>
      <c r="H168" s="153" t="s">
        <v>327</v>
      </c>
      <c r="I168" s="153" t="s">
        <v>382</v>
      </c>
      <c r="J168" s="153" t="s">
        <v>887</v>
      </c>
      <c r="K168" s="153"/>
      <c r="L168" s="153"/>
      <c r="M168" s="153" t="s">
        <v>388</v>
      </c>
      <c r="N168" s="153"/>
      <c r="O168" s="153" t="s">
        <v>386</v>
      </c>
      <c r="P168" s="153" t="s">
        <v>978</v>
      </c>
      <c r="Q168" s="153" t="s">
        <v>1047</v>
      </c>
      <c r="R168" s="153" t="s">
        <v>83</v>
      </c>
      <c r="S168" s="153"/>
    </row>
    <row r="169" spans="1:19">
      <c r="A169" s="153" t="s">
        <v>1461</v>
      </c>
      <c r="B169" s="153" t="s">
        <v>1462</v>
      </c>
      <c r="C169" s="153" t="s">
        <v>909</v>
      </c>
      <c r="D169" s="154">
        <v>0</v>
      </c>
      <c r="E169" s="155">
        <v>11179866</v>
      </c>
      <c r="F169" s="153" t="s">
        <v>53</v>
      </c>
      <c r="G169" s="153" t="s">
        <v>910</v>
      </c>
      <c r="H169" s="153" t="s">
        <v>327</v>
      </c>
      <c r="I169" s="153" t="s">
        <v>382</v>
      </c>
      <c r="J169" s="153" t="s">
        <v>887</v>
      </c>
      <c r="K169" s="153"/>
      <c r="L169" s="153"/>
      <c r="M169" s="153" t="s">
        <v>388</v>
      </c>
      <c r="N169" s="153" t="s">
        <v>43</v>
      </c>
      <c r="O169" s="153" t="s">
        <v>386</v>
      </c>
      <c r="P169" s="153" t="s">
        <v>978</v>
      </c>
      <c r="Q169" s="153" t="s">
        <v>1028</v>
      </c>
      <c r="R169" s="153" t="s">
        <v>53</v>
      </c>
      <c r="S169" s="153"/>
    </row>
    <row r="170" spans="1:19">
      <c r="A170" s="153" t="s">
        <v>1463</v>
      </c>
      <c r="B170" s="153" t="s">
        <v>1464</v>
      </c>
      <c r="C170" s="153" t="s">
        <v>909</v>
      </c>
      <c r="D170" s="154">
        <v>0</v>
      </c>
      <c r="E170" s="155">
        <v>11179834</v>
      </c>
      <c r="F170" s="153" t="s">
        <v>83</v>
      </c>
      <c r="G170" s="153" t="s">
        <v>910</v>
      </c>
      <c r="H170" s="153" t="s">
        <v>327</v>
      </c>
      <c r="I170" s="153" t="s">
        <v>382</v>
      </c>
      <c r="J170" s="153" t="s">
        <v>887</v>
      </c>
      <c r="K170" s="153"/>
      <c r="L170" s="153"/>
      <c r="M170" s="153" t="s">
        <v>388</v>
      </c>
      <c r="N170" s="153" t="s">
        <v>43</v>
      </c>
      <c r="O170" s="153" t="s">
        <v>386</v>
      </c>
      <c r="P170" s="153" t="s">
        <v>978</v>
      </c>
      <c r="Q170" s="153" t="s">
        <v>1465</v>
      </c>
      <c r="R170" s="153" t="s">
        <v>83</v>
      </c>
      <c r="S170" s="153"/>
    </row>
    <row r="171" spans="1:19">
      <c r="A171" s="153" t="s">
        <v>1466</v>
      </c>
      <c r="B171" s="153" t="s">
        <v>1467</v>
      </c>
      <c r="C171" s="153" t="s">
        <v>909</v>
      </c>
      <c r="D171" s="154">
        <v>0</v>
      </c>
      <c r="E171" s="155">
        <v>11179831</v>
      </c>
      <c r="F171" s="153" t="s">
        <v>53</v>
      </c>
      <c r="G171" s="153" t="s">
        <v>910</v>
      </c>
      <c r="H171" s="153" t="s">
        <v>327</v>
      </c>
      <c r="I171" s="153" t="s">
        <v>382</v>
      </c>
      <c r="J171" s="153" t="s">
        <v>887</v>
      </c>
      <c r="K171" s="153"/>
      <c r="L171" s="153"/>
      <c r="M171" s="153" t="s">
        <v>388</v>
      </c>
      <c r="N171" s="153" t="s">
        <v>43</v>
      </c>
      <c r="O171" s="153" t="s">
        <v>386</v>
      </c>
      <c r="P171" s="153" t="s">
        <v>978</v>
      </c>
      <c r="Q171" s="153" t="s">
        <v>983</v>
      </c>
      <c r="R171" s="153" t="s">
        <v>53</v>
      </c>
      <c r="S171" s="153"/>
    </row>
    <row r="172" spans="1:19">
      <c r="A172" s="153" t="s">
        <v>1468</v>
      </c>
      <c r="B172" s="153" t="s">
        <v>1469</v>
      </c>
      <c r="C172" s="153" t="s">
        <v>1330</v>
      </c>
      <c r="D172" s="155">
        <v>60</v>
      </c>
      <c r="E172" s="153" t="s">
        <v>1470</v>
      </c>
      <c r="F172" s="153" t="s">
        <v>53</v>
      </c>
      <c r="G172" s="153" t="s">
        <v>1101</v>
      </c>
      <c r="H172" s="153" t="s">
        <v>327</v>
      </c>
      <c r="I172" s="153" t="s">
        <v>382</v>
      </c>
      <c r="J172" s="153" t="s">
        <v>887</v>
      </c>
      <c r="K172" s="153" t="s">
        <v>911</v>
      </c>
      <c r="L172" s="153" t="s">
        <v>914</v>
      </c>
      <c r="M172" s="153" t="s">
        <v>388</v>
      </c>
      <c r="N172" s="153" t="s">
        <v>43</v>
      </c>
      <c r="O172" s="153" t="s">
        <v>541</v>
      </c>
      <c r="P172" s="153" t="s">
        <v>978</v>
      </c>
      <c r="Q172" s="153" t="s">
        <v>997</v>
      </c>
      <c r="R172" s="153" t="s">
        <v>53</v>
      </c>
      <c r="S172" s="153"/>
    </row>
    <row r="173" spans="1:19">
      <c r="A173" s="153" t="s">
        <v>1471</v>
      </c>
      <c r="B173" s="153" t="s">
        <v>1469</v>
      </c>
      <c r="C173" s="153" t="s">
        <v>1038</v>
      </c>
      <c r="D173" s="155">
        <v>58</v>
      </c>
      <c r="E173" s="153" t="s">
        <v>1470</v>
      </c>
      <c r="F173" s="153" t="s">
        <v>53</v>
      </c>
      <c r="G173" s="153" t="s">
        <v>1101</v>
      </c>
      <c r="H173" s="153" t="s">
        <v>327</v>
      </c>
      <c r="I173" s="153" t="s">
        <v>382</v>
      </c>
      <c r="J173" s="153" t="s">
        <v>887</v>
      </c>
      <c r="K173" s="153" t="s">
        <v>911</v>
      </c>
      <c r="L173" s="153" t="s">
        <v>914</v>
      </c>
      <c r="M173" s="153" t="s">
        <v>388</v>
      </c>
      <c r="N173" s="153" t="s">
        <v>43</v>
      </c>
      <c r="O173" s="153" t="s">
        <v>541</v>
      </c>
      <c r="P173" s="153" t="s">
        <v>978</v>
      </c>
      <c r="Q173" s="153" t="s">
        <v>997</v>
      </c>
      <c r="R173" s="153" t="s">
        <v>53</v>
      </c>
      <c r="S173" s="153"/>
    </row>
    <row r="174" spans="1:19">
      <c r="A174" s="153" t="s">
        <v>1472</v>
      </c>
      <c r="B174" s="153" t="s">
        <v>1469</v>
      </c>
      <c r="C174" s="153" t="s">
        <v>1043</v>
      </c>
      <c r="D174" s="155">
        <v>56</v>
      </c>
      <c r="E174" s="153" t="s">
        <v>1470</v>
      </c>
      <c r="F174" s="153" t="s">
        <v>53</v>
      </c>
      <c r="G174" s="153" t="s">
        <v>1101</v>
      </c>
      <c r="H174" s="153" t="s">
        <v>327</v>
      </c>
      <c r="I174" s="153" t="s">
        <v>382</v>
      </c>
      <c r="J174" s="153" t="s">
        <v>887</v>
      </c>
      <c r="K174" s="153" t="s">
        <v>911</v>
      </c>
      <c r="L174" s="153" t="s">
        <v>914</v>
      </c>
      <c r="M174" s="153" t="s">
        <v>388</v>
      </c>
      <c r="N174" s="153" t="s">
        <v>43</v>
      </c>
      <c r="O174" s="153" t="s">
        <v>541</v>
      </c>
      <c r="P174" s="153" t="s">
        <v>978</v>
      </c>
      <c r="Q174" s="153" t="s">
        <v>997</v>
      </c>
      <c r="R174" s="153" t="s">
        <v>53</v>
      </c>
      <c r="S174" s="153"/>
    </row>
    <row r="175" spans="1:19">
      <c r="A175" s="153" t="s">
        <v>1129</v>
      </c>
      <c r="B175" s="153" t="s">
        <v>1130</v>
      </c>
      <c r="C175" s="153" t="s">
        <v>909</v>
      </c>
      <c r="D175" s="154">
        <v>0</v>
      </c>
      <c r="E175" s="153" t="s">
        <v>1131</v>
      </c>
      <c r="F175" s="153" t="s">
        <v>592</v>
      </c>
      <c r="G175" s="153" t="s">
        <v>918</v>
      </c>
      <c r="H175" s="153" t="s">
        <v>327</v>
      </c>
      <c r="I175" s="153" t="s">
        <v>382</v>
      </c>
      <c r="J175" s="153" t="s">
        <v>887</v>
      </c>
      <c r="K175" s="153" t="s">
        <v>911</v>
      </c>
      <c r="L175" s="153" t="s">
        <v>917</v>
      </c>
      <c r="M175" s="153" t="s">
        <v>388</v>
      </c>
      <c r="N175" s="153"/>
      <c r="O175" s="153" t="s">
        <v>541</v>
      </c>
      <c r="P175" s="153" t="s">
        <v>978</v>
      </c>
      <c r="Q175" s="153" t="s">
        <v>1057</v>
      </c>
      <c r="R175" s="153" t="s">
        <v>71</v>
      </c>
      <c r="S175" s="153"/>
    </row>
    <row r="176" spans="1:19">
      <c r="A176" s="153" t="s">
        <v>1126</v>
      </c>
      <c r="B176" s="153" t="s">
        <v>1127</v>
      </c>
      <c r="C176" s="153" t="s">
        <v>909</v>
      </c>
      <c r="D176" s="154">
        <v>0</v>
      </c>
      <c r="E176" s="153" t="s">
        <v>1128</v>
      </c>
      <c r="F176" s="153" t="s">
        <v>55</v>
      </c>
      <c r="G176" s="153" t="s">
        <v>918</v>
      </c>
      <c r="H176" s="153" t="s">
        <v>327</v>
      </c>
      <c r="I176" s="153" t="s">
        <v>382</v>
      </c>
      <c r="J176" s="153" t="s">
        <v>887</v>
      </c>
      <c r="K176" s="153" t="s">
        <v>911</v>
      </c>
      <c r="L176" s="153" t="s">
        <v>915</v>
      </c>
      <c r="M176" s="153" t="s">
        <v>388</v>
      </c>
      <c r="N176" s="153"/>
      <c r="O176" s="153" t="s">
        <v>541</v>
      </c>
      <c r="P176" s="153" t="s">
        <v>978</v>
      </c>
      <c r="Q176" s="153" t="s">
        <v>993</v>
      </c>
      <c r="R176" s="153" t="s">
        <v>71</v>
      </c>
      <c r="S176" s="153"/>
    </row>
    <row r="177" spans="1:19">
      <c r="A177" s="153" t="s">
        <v>975</v>
      </c>
      <c r="B177" s="153" t="s">
        <v>976</v>
      </c>
      <c r="C177" s="153" t="s">
        <v>909</v>
      </c>
      <c r="D177" s="154">
        <v>0</v>
      </c>
      <c r="E177" s="153" t="s">
        <v>977</v>
      </c>
      <c r="F177" s="153" t="s">
        <v>78</v>
      </c>
      <c r="G177" s="153" t="s">
        <v>910</v>
      </c>
      <c r="H177" s="153" t="s">
        <v>327</v>
      </c>
      <c r="I177" s="153" t="s">
        <v>382</v>
      </c>
      <c r="J177" s="153" t="s">
        <v>887</v>
      </c>
      <c r="K177" s="153" t="s">
        <v>911</v>
      </c>
      <c r="L177" s="153" t="s">
        <v>914</v>
      </c>
      <c r="M177" s="153" t="s">
        <v>388</v>
      </c>
      <c r="N177" s="153" t="s">
        <v>43</v>
      </c>
      <c r="O177" s="153" t="s">
        <v>541</v>
      </c>
      <c r="P177" s="153" t="s">
        <v>978</v>
      </c>
      <c r="Q177" s="153" t="s">
        <v>979</v>
      </c>
      <c r="R177" s="153" t="s">
        <v>78</v>
      </c>
      <c r="S177" s="153"/>
    </row>
    <row r="178" spans="1:19">
      <c r="A178" s="153" t="s">
        <v>980</v>
      </c>
      <c r="B178" s="153" t="s">
        <v>981</v>
      </c>
      <c r="C178" s="153" t="s">
        <v>909</v>
      </c>
      <c r="D178" s="154">
        <v>0</v>
      </c>
      <c r="E178" s="153" t="s">
        <v>982</v>
      </c>
      <c r="F178" s="153" t="s">
        <v>57</v>
      </c>
      <c r="G178" s="153" t="s">
        <v>910</v>
      </c>
      <c r="H178" s="153" t="s">
        <v>327</v>
      </c>
      <c r="I178" s="153" t="s">
        <v>387</v>
      </c>
      <c r="J178" s="153" t="s">
        <v>887</v>
      </c>
      <c r="K178" s="153" t="s">
        <v>911</v>
      </c>
      <c r="L178" s="153" t="s">
        <v>914</v>
      </c>
      <c r="M178" s="153" t="s">
        <v>388</v>
      </c>
      <c r="N178" s="153" t="s">
        <v>43</v>
      </c>
      <c r="O178" s="153" t="s">
        <v>541</v>
      </c>
      <c r="P178" s="153" t="s">
        <v>978</v>
      </c>
      <c r="Q178" s="153" t="s">
        <v>983</v>
      </c>
      <c r="R178" s="153" t="s">
        <v>57</v>
      </c>
      <c r="S178" s="153"/>
    </row>
    <row r="179" spans="1:19">
      <c r="A179" s="153" t="s">
        <v>984</v>
      </c>
      <c r="B179" s="153" t="s">
        <v>985</v>
      </c>
      <c r="C179" s="153" t="s">
        <v>909</v>
      </c>
      <c r="D179" s="154">
        <v>0</v>
      </c>
      <c r="E179" s="153" t="s">
        <v>986</v>
      </c>
      <c r="F179" s="153" t="s">
        <v>53</v>
      </c>
      <c r="G179" s="153" t="s">
        <v>910</v>
      </c>
      <c r="H179" s="153" t="s">
        <v>327</v>
      </c>
      <c r="I179" s="153" t="s">
        <v>382</v>
      </c>
      <c r="J179" s="153" t="s">
        <v>887</v>
      </c>
      <c r="K179" s="153" t="s">
        <v>911</v>
      </c>
      <c r="L179" s="153" t="s">
        <v>914</v>
      </c>
      <c r="M179" s="153" t="s">
        <v>388</v>
      </c>
      <c r="N179" s="153" t="s">
        <v>43</v>
      </c>
      <c r="O179" s="153" t="s">
        <v>541</v>
      </c>
      <c r="P179" s="153" t="s">
        <v>978</v>
      </c>
      <c r="Q179" s="153" t="s">
        <v>987</v>
      </c>
      <c r="R179" s="153" t="s">
        <v>53</v>
      </c>
      <c r="S179" s="153"/>
    </row>
    <row r="180" spans="1:19">
      <c r="A180" s="153" t="s">
        <v>988</v>
      </c>
      <c r="B180" s="153" t="s">
        <v>989</v>
      </c>
      <c r="C180" s="153" t="s">
        <v>990</v>
      </c>
      <c r="D180" s="155">
        <v>57</v>
      </c>
      <c r="E180" s="153" t="s">
        <v>991</v>
      </c>
      <c r="F180" s="153" t="s">
        <v>53</v>
      </c>
      <c r="G180" s="153" t="s">
        <v>918</v>
      </c>
      <c r="H180" s="153" t="s">
        <v>783</v>
      </c>
      <c r="I180" s="153" t="s">
        <v>382</v>
      </c>
      <c r="J180" s="153" t="s">
        <v>887</v>
      </c>
      <c r="K180" s="153" t="s">
        <v>911</v>
      </c>
      <c r="L180" s="153" t="s">
        <v>992</v>
      </c>
      <c r="M180" s="153" t="s">
        <v>388</v>
      </c>
      <c r="N180" s="153"/>
      <c r="O180" s="153" t="s">
        <v>541</v>
      </c>
      <c r="P180" s="153" t="s">
        <v>978</v>
      </c>
      <c r="Q180" s="153" t="s">
        <v>993</v>
      </c>
      <c r="R180" s="153" t="s">
        <v>53</v>
      </c>
      <c r="S180" s="153"/>
    </row>
    <row r="181" spans="1:19">
      <c r="A181" s="153" t="s">
        <v>994</v>
      </c>
      <c r="B181" s="153" t="s">
        <v>995</v>
      </c>
      <c r="C181" s="153" t="s">
        <v>909</v>
      </c>
      <c r="D181" s="154">
        <v>0</v>
      </c>
      <c r="E181" s="153" t="s">
        <v>996</v>
      </c>
      <c r="F181" s="153" t="s">
        <v>53</v>
      </c>
      <c r="G181" s="153" t="s">
        <v>910</v>
      </c>
      <c r="H181" s="153" t="s">
        <v>356</v>
      </c>
      <c r="I181" s="153" t="s">
        <v>382</v>
      </c>
      <c r="J181" s="153" t="s">
        <v>887</v>
      </c>
      <c r="K181" s="153" t="s">
        <v>911</v>
      </c>
      <c r="L181" s="153" t="s">
        <v>912</v>
      </c>
      <c r="M181" s="153" t="s">
        <v>388</v>
      </c>
      <c r="N181" s="153" t="s">
        <v>43</v>
      </c>
      <c r="O181" s="153" t="s">
        <v>541</v>
      </c>
      <c r="P181" s="153" t="s">
        <v>978</v>
      </c>
      <c r="Q181" s="153" t="s">
        <v>997</v>
      </c>
      <c r="R181" s="153" t="s">
        <v>53</v>
      </c>
      <c r="S181" s="153"/>
    </row>
    <row r="182" spans="1:19">
      <c r="A182" s="153" t="s">
        <v>998</v>
      </c>
      <c r="B182" s="153" t="s">
        <v>999</v>
      </c>
      <c r="C182" s="153" t="s">
        <v>909</v>
      </c>
      <c r="D182" s="154">
        <v>0</v>
      </c>
      <c r="E182" s="153" t="s">
        <v>1000</v>
      </c>
      <c r="F182" s="153" t="s">
        <v>57</v>
      </c>
      <c r="G182" s="153" t="s">
        <v>918</v>
      </c>
      <c r="H182" s="153" t="s">
        <v>356</v>
      </c>
      <c r="I182" s="153" t="s">
        <v>382</v>
      </c>
      <c r="J182" s="153" t="s">
        <v>887</v>
      </c>
      <c r="K182" s="153" t="s">
        <v>911</v>
      </c>
      <c r="L182" s="153" t="s">
        <v>914</v>
      </c>
      <c r="M182" s="153" t="s">
        <v>388</v>
      </c>
      <c r="N182" s="153"/>
      <c r="O182" s="153" t="s">
        <v>541</v>
      </c>
      <c r="P182" s="153" t="s">
        <v>978</v>
      </c>
      <c r="Q182" s="153" t="s">
        <v>1001</v>
      </c>
      <c r="R182" s="153" t="s">
        <v>57</v>
      </c>
      <c r="S182" s="153"/>
    </row>
    <row r="183" spans="1:19">
      <c r="A183" s="153" t="s">
        <v>1002</v>
      </c>
      <c r="B183" s="153" t="s">
        <v>1003</v>
      </c>
      <c r="C183" s="153" t="s">
        <v>909</v>
      </c>
      <c r="D183" s="154">
        <v>0</v>
      </c>
      <c r="E183" s="153" t="s">
        <v>1004</v>
      </c>
      <c r="F183" s="153" t="s">
        <v>149</v>
      </c>
      <c r="G183" s="153" t="s">
        <v>910</v>
      </c>
      <c r="H183" s="153" t="s">
        <v>356</v>
      </c>
      <c r="I183" s="153" t="s">
        <v>382</v>
      </c>
      <c r="J183" s="153" t="s">
        <v>887</v>
      </c>
      <c r="K183" s="153" t="s">
        <v>911</v>
      </c>
      <c r="L183" s="153" t="s">
        <v>914</v>
      </c>
      <c r="M183" s="153" t="s">
        <v>388</v>
      </c>
      <c r="N183" s="153" t="s">
        <v>43</v>
      </c>
      <c r="O183" s="153" t="s">
        <v>541</v>
      </c>
      <c r="P183" s="153" t="s">
        <v>978</v>
      </c>
      <c r="Q183" s="153" t="s">
        <v>1005</v>
      </c>
      <c r="R183" s="153" t="s">
        <v>60</v>
      </c>
      <c r="S183" s="153"/>
    </row>
    <row r="184" spans="1:19">
      <c r="A184" s="153" t="s">
        <v>1006</v>
      </c>
      <c r="B184" s="153" t="s">
        <v>1007</v>
      </c>
      <c r="C184" s="153" t="s">
        <v>909</v>
      </c>
      <c r="D184" s="154">
        <v>0</v>
      </c>
      <c r="E184" s="153" t="s">
        <v>1008</v>
      </c>
      <c r="F184" s="153" t="s">
        <v>66</v>
      </c>
      <c r="G184" s="153" t="s">
        <v>910</v>
      </c>
      <c r="H184" s="153" t="s">
        <v>356</v>
      </c>
      <c r="I184" s="153" t="s">
        <v>382</v>
      </c>
      <c r="J184" s="153" t="s">
        <v>887</v>
      </c>
      <c r="K184" s="153" t="s">
        <v>911</v>
      </c>
      <c r="L184" s="153" t="s">
        <v>914</v>
      </c>
      <c r="M184" s="153" t="s">
        <v>388</v>
      </c>
      <c r="N184" s="153" t="s">
        <v>43</v>
      </c>
      <c r="O184" s="153" t="s">
        <v>541</v>
      </c>
      <c r="P184" s="153" t="s">
        <v>978</v>
      </c>
      <c r="Q184" s="153" t="s">
        <v>1009</v>
      </c>
      <c r="R184" s="153" t="s">
        <v>63</v>
      </c>
      <c r="S184" s="153"/>
    </row>
    <row r="185" spans="1:19">
      <c r="A185" s="153" t="s">
        <v>1010</v>
      </c>
      <c r="B185" s="153" t="s">
        <v>1011</v>
      </c>
      <c r="C185" s="153" t="s">
        <v>909</v>
      </c>
      <c r="D185" s="154">
        <v>0</v>
      </c>
      <c r="E185" s="153" t="s">
        <v>1012</v>
      </c>
      <c r="F185" s="153" t="s">
        <v>119</v>
      </c>
      <c r="G185" s="153" t="s">
        <v>910</v>
      </c>
      <c r="H185" s="153" t="s">
        <v>356</v>
      </c>
      <c r="I185" s="153" t="s">
        <v>382</v>
      </c>
      <c r="J185" s="153" t="s">
        <v>887</v>
      </c>
      <c r="K185" s="153" t="s">
        <v>911</v>
      </c>
      <c r="L185" s="153" t="s">
        <v>914</v>
      </c>
      <c r="M185" s="153" t="s">
        <v>388</v>
      </c>
      <c r="N185" s="153" t="s">
        <v>43</v>
      </c>
      <c r="O185" s="153" t="s">
        <v>541</v>
      </c>
      <c r="P185" s="153" t="s">
        <v>978</v>
      </c>
      <c r="Q185" s="153" t="s">
        <v>993</v>
      </c>
      <c r="R185" s="153" t="s">
        <v>57</v>
      </c>
      <c r="S185" s="153"/>
    </row>
    <row r="186" spans="1:19">
      <c r="A186" s="153" t="s">
        <v>1013</v>
      </c>
      <c r="B186" s="153" t="s">
        <v>1014</v>
      </c>
      <c r="C186" s="153" t="s">
        <v>909</v>
      </c>
      <c r="D186" s="154">
        <v>0</v>
      </c>
      <c r="E186" s="153" t="s">
        <v>1015</v>
      </c>
      <c r="F186" s="153" t="s">
        <v>53</v>
      </c>
      <c r="G186" s="153" t="s">
        <v>910</v>
      </c>
      <c r="H186" s="153" t="s">
        <v>327</v>
      </c>
      <c r="I186" s="153" t="s">
        <v>382</v>
      </c>
      <c r="J186" s="153" t="s">
        <v>887</v>
      </c>
      <c r="K186" s="153" t="s">
        <v>911</v>
      </c>
      <c r="L186" s="153" t="s">
        <v>914</v>
      </c>
      <c r="M186" s="153" t="s">
        <v>388</v>
      </c>
      <c r="N186" s="153" t="s">
        <v>43</v>
      </c>
      <c r="O186" s="153" t="s">
        <v>541</v>
      </c>
      <c r="P186" s="153" t="s">
        <v>978</v>
      </c>
      <c r="Q186" s="153" t="s">
        <v>987</v>
      </c>
      <c r="R186" s="153" t="s">
        <v>53</v>
      </c>
      <c r="S186" s="153"/>
    </row>
    <row r="187" spans="1:19">
      <c r="A187" s="153" t="s">
        <v>1016</v>
      </c>
      <c r="B187" s="153" t="s">
        <v>1653</v>
      </c>
      <c r="C187" s="153" t="s">
        <v>909</v>
      </c>
      <c r="D187" s="154">
        <v>0</v>
      </c>
      <c r="E187" s="153" t="s">
        <v>1017</v>
      </c>
      <c r="F187" s="153" t="s">
        <v>63</v>
      </c>
      <c r="G187" s="153" t="s">
        <v>910</v>
      </c>
      <c r="H187" s="153" t="s">
        <v>327</v>
      </c>
      <c r="I187" s="153" t="s">
        <v>382</v>
      </c>
      <c r="J187" s="153" t="s">
        <v>887</v>
      </c>
      <c r="K187" s="153" t="s">
        <v>911</v>
      </c>
      <c r="L187" s="153" t="s">
        <v>914</v>
      </c>
      <c r="M187" s="153" t="s">
        <v>388</v>
      </c>
      <c r="N187" s="153" t="s">
        <v>43</v>
      </c>
      <c r="O187" s="153" t="s">
        <v>541</v>
      </c>
      <c r="P187" s="153" t="s">
        <v>978</v>
      </c>
      <c r="Q187" s="153" t="s">
        <v>1018</v>
      </c>
      <c r="R187" s="153" t="s">
        <v>63</v>
      </c>
      <c r="S187" s="153"/>
    </row>
    <row r="188" spans="1:19">
      <c r="A188" s="153" t="s">
        <v>1019</v>
      </c>
      <c r="B188" s="153" t="s">
        <v>1020</v>
      </c>
      <c r="C188" s="153" t="s">
        <v>909</v>
      </c>
      <c r="D188" s="154">
        <v>0</v>
      </c>
      <c r="E188" s="153" t="s">
        <v>1021</v>
      </c>
      <c r="F188" s="153" t="s">
        <v>57</v>
      </c>
      <c r="G188" s="153" t="s">
        <v>910</v>
      </c>
      <c r="H188" s="153" t="s">
        <v>356</v>
      </c>
      <c r="I188" s="153" t="s">
        <v>382</v>
      </c>
      <c r="J188" s="153" t="s">
        <v>887</v>
      </c>
      <c r="K188" s="153" t="s">
        <v>911</v>
      </c>
      <c r="L188" s="153" t="s">
        <v>914</v>
      </c>
      <c r="M188" s="153" t="s">
        <v>388</v>
      </c>
      <c r="N188" s="153" t="s">
        <v>43</v>
      </c>
      <c r="O188" s="153" t="s">
        <v>541</v>
      </c>
      <c r="P188" s="153" t="s">
        <v>978</v>
      </c>
      <c r="Q188" s="153" t="s">
        <v>983</v>
      </c>
      <c r="R188" s="153" t="s">
        <v>57</v>
      </c>
      <c r="S188" s="153"/>
    </row>
    <row r="189" spans="1:19">
      <c r="A189" s="153" t="s">
        <v>1022</v>
      </c>
      <c r="B189" s="153" t="s">
        <v>1023</v>
      </c>
      <c r="C189" s="153" t="s">
        <v>909</v>
      </c>
      <c r="D189" s="154">
        <v>0</v>
      </c>
      <c r="E189" s="153" t="s">
        <v>1024</v>
      </c>
      <c r="F189" s="153" t="s">
        <v>53</v>
      </c>
      <c r="G189" s="153" t="s">
        <v>910</v>
      </c>
      <c r="H189" s="153" t="s">
        <v>327</v>
      </c>
      <c r="I189" s="153" t="s">
        <v>387</v>
      </c>
      <c r="J189" s="153" t="s">
        <v>887</v>
      </c>
      <c r="K189" s="153" t="s">
        <v>911</v>
      </c>
      <c r="L189" s="153" t="s">
        <v>914</v>
      </c>
      <c r="M189" s="153" t="s">
        <v>388</v>
      </c>
      <c r="N189" s="153" t="s">
        <v>43</v>
      </c>
      <c r="O189" s="153" t="s">
        <v>541</v>
      </c>
      <c r="P189" s="153" t="s">
        <v>978</v>
      </c>
      <c r="Q189" s="153" t="s">
        <v>997</v>
      </c>
      <c r="R189" s="153" t="s">
        <v>53</v>
      </c>
      <c r="S189" s="153"/>
    </row>
    <row r="190" spans="1:19">
      <c r="A190" s="153" t="s">
        <v>1025</v>
      </c>
      <c r="B190" s="153" t="s">
        <v>1026</v>
      </c>
      <c r="C190" s="153" t="s">
        <v>909</v>
      </c>
      <c r="D190" s="154">
        <v>0</v>
      </c>
      <c r="E190" s="153" t="s">
        <v>1027</v>
      </c>
      <c r="F190" s="153" t="s">
        <v>53</v>
      </c>
      <c r="G190" s="153" t="s">
        <v>910</v>
      </c>
      <c r="H190" s="153" t="s">
        <v>327</v>
      </c>
      <c r="I190" s="153" t="s">
        <v>387</v>
      </c>
      <c r="J190" s="153" t="s">
        <v>887</v>
      </c>
      <c r="K190" s="153" t="s">
        <v>911</v>
      </c>
      <c r="L190" s="153" t="s">
        <v>914</v>
      </c>
      <c r="M190" s="153" t="s">
        <v>388</v>
      </c>
      <c r="N190" s="153" t="s">
        <v>43</v>
      </c>
      <c r="O190" s="153" t="s">
        <v>541</v>
      </c>
      <c r="P190" s="153" t="s">
        <v>978</v>
      </c>
      <c r="Q190" s="153" t="s">
        <v>1028</v>
      </c>
      <c r="R190" s="153" t="s">
        <v>53</v>
      </c>
      <c r="S190" s="153"/>
    </row>
    <row r="191" spans="1:19">
      <c r="A191" s="153" t="s">
        <v>1029</v>
      </c>
      <c r="B191" s="153" t="s">
        <v>1030</v>
      </c>
      <c r="C191" s="153" t="s">
        <v>909</v>
      </c>
      <c r="D191" s="154">
        <v>0</v>
      </c>
      <c r="E191" s="153" t="s">
        <v>1031</v>
      </c>
      <c r="F191" s="153" t="s">
        <v>53</v>
      </c>
      <c r="G191" s="153" t="s">
        <v>910</v>
      </c>
      <c r="H191" s="153" t="s">
        <v>327</v>
      </c>
      <c r="I191" s="153" t="s">
        <v>382</v>
      </c>
      <c r="J191" s="153" t="s">
        <v>887</v>
      </c>
      <c r="K191" s="153" t="s">
        <v>911</v>
      </c>
      <c r="L191" s="153" t="s">
        <v>912</v>
      </c>
      <c r="M191" s="153" t="s">
        <v>388</v>
      </c>
      <c r="N191" s="153" t="s">
        <v>43</v>
      </c>
      <c r="O191" s="153" t="s">
        <v>541</v>
      </c>
      <c r="P191" s="153" t="s">
        <v>978</v>
      </c>
      <c r="Q191" s="153" t="s">
        <v>987</v>
      </c>
      <c r="R191" s="153" t="s">
        <v>53</v>
      </c>
      <c r="S191" s="153"/>
    </row>
    <row r="192" spans="1:19">
      <c r="A192" s="153" t="s">
        <v>1032</v>
      </c>
      <c r="B192" s="153" t="s">
        <v>1033</v>
      </c>
      <c r="C192" s="153" t="s">
        <v>909</v>
      </c>
      <c r="D192" s="154">
        <v>0</v>
      </c>
      <c r="E192" s="153" t="s">
        <v>1034</v>
      </c>
      <c r="F192" s="153" t="s">
        <v>158</v>
      </c>
      <c r="G192" s="153" t="s">
        <v>910</v>
      </c>
      <c r="H192" s="153" t="s">
        <v>327</v>
      </c>
      <c r="I192" s="153" t="s">
        <v>382</v>
      </c>
      <c r="J192" s="153" t="s">
        <v>887</v>
      </c>
      <c r="K192" s="153" t="s">
        <v>911</v>
      </c>
      <c r="L192" s="153" t="s">
        <v>914</v>
      </c>
      <c r="M192" s="153" t="s">
        <v>388</v>
      </c>
      <c r="N192" s="153" t="s">
        <v>43</v>
      </c>
      <c r="O192" s="153" t="s">
        <v>541</v>
      </c>
      <c r="P192" s="153" t="s">
        <v>978</v>
      </c>
      <c r="Q192" s="153" t="s">
        <v>1035</v>
      </c>
      <c r="R192" s="153" t="s">
        <v>60</v>
      </c>
      <c r="S192" s="153"/>
    </row>
    <row r="193" spans="1:19">
      <c r="A193" s="153" t="s">
        <v>1036</v>
      </c>
      <c r="B193" s="153" t="s">
        <v>1037</v>
      </c>
      <c r="C193" s="153" t="s">
        <v>1038</v>
      </c>
      <c r="D193" s="155">
        <v>58</v>
      </c>
      <c r="E193" s="153" t="s">
        <v>1039</v>
      </c>
      <c r="F193" s="153" t="s">
        <v>53</v>
      </c>
      <c r="G193" s="153" t="s">
        <v>1040</v>
      </c>
      <c r="H193" s="153" t="s">
        <v>327</v>
      </c>
      <c r="I193" s="153" t="s">
        <v>382</v>
      </c>
      <c r="J193" s="153" t="s">
        <v>887</v>
      </c>
      <c r="K193" s="153" t="s">
        <v>911</v>
      </c>
      <c r="L193" s="153" t="s">
        <v>914</v>
      </c>
      <c r="M193" s="153" t="s">
        <v>388</v>
      </c>
      <c r="N193" s="153"/>
      <c r="O193" s="153" t="s">
        <v>541</v>
      </c>
      <c r="P193" s="153" t="s">
        <v>978</v>
      </c>
      <c r="Q193" s="153" t="s">
        <v>1041</v>
      </c>
      <c r="R193" s="153" t="s">
        <v>53</v>
      </c>
      <c r="S193" s="153"/>
    </row>
    <row r="194" spans="1:19">
      <c r="A194" s="153" t="s">
        <v>1042</v>
      </c>
      <c r="B194" s="153" t="s">
        <v>1037</v>
      </c>
      <c r="C194" s="153" t="s">
        <v>1043</v>
      </c>
      <c r="D194" s="155">
        <v>56</v>
      </c>
      <c r="E194" s="153" t="s">
        <v>1039</v>
      </c>
      <c r="F194" s="153" t="s">
        <v>53</v>
      </c>
      <c r="G194" s="153" t="s">
        <v>1040</v>
      </c>
      <c r="H194" s="153" t="s">
        <v>327</v>
      </c>
      <c r="I194" s="153" t="s">
        <v>382</v>
      </c>
      <c r="J194" s="153" t="s">
        <v>887</v>
      </c>
      <c r="K194" s="153" t="s">
        <v>911</v>
      </c>
      <c r="L194" s="153" t="s">
        <v>914</v>
      </c>
      <c r="M194" s="153" t="s">
        <v>388</v>
      </c>
      <c r="N194" s="153"/>
      <c r="O194" s="153" t="s">
        <v>541</v>
      </c>
      <c r="P194" s="153" t="s">
        <v>978</v>
      </c>
      <c r="Q194" s="153" t="s">
        <v>1041</v>
      </c>
      <c r="R194" s="153" t="s">
        <v>53</v>
      </c>
      <c r="S194" s="153"/>
    </row>
    <row r="195" spans="1:19">
      <c r="A195" s="153" t="s">
        <v>1044</v>
      </c>
      <c r="B195" s="153" t="s">
        <v>1045</v>
      </c>
      <c r="C195" s="153" t="s">
        <v>909</v>
      </c>
      <c r="D195" s="154">
        <v>0</v>
      </c>
      <c r="E195" s="153" t="s">
        <v>1046</v>
      </c>
      <c r="F195" s="153" t="s">
        <v>237</v>
      </c>
      <c r="G195" s="153" t="s">
        <v>910</v>
      </c>
      <c r="H195" s="153" t="s">
        <v>356</v>
      </c>
      <c r="I195" s="153" t="s">
        <v>382</v>
      </c>
      <c r="J195" s="153" t="s">
        <v>887</v>
      </c>
      <c r="K195" s="153" t="s">
        <v>911</v>
      </c>
      <c r="L195" s="153" t="s">
        <v>914</v>
      </c>
      <c r="M195" s="153" t="s">
        <v>388</v>
      </c>
      <c r="N195" s="153" t="s">
        <v>43</v>
      </c>
      <c r="O195" s="153" t="s">
        <v>541</v>
      </c>
      <c r="P195" s="153" t="s">
        <v>978</v>
      </c>
      <c r="Q195" s="153" t="s">
        <v>1047</v>
      </c>
      <c r="R195" s="153" t="s">
        <v>83</v>
      </c>
      <c r="S195" s="153"/>
    </row>
    <row r="196" spans="1:19">
      <c r="A196" s="153" t="s">
        <v>1048</v>
      </c>
      <c r="B196" s="153" t="s">
        <v>1049</v>
      </c>
      <c r="C196" s="153" t="s">
        <v>909</v>
      </c>
      <c r="D196" s="154">
        <v>0</v>
      </c>
      <c r="E196" s="153" t="s">
        <v>1050</v>
      </c>
      <c r="F196" s="153" t="s">
        <v>179</v>
      </c>
      <c r="G196" s="153" t="s">
        <v>910</v>
      </c>
      <c r="H196" s="153" t="s">
        <v>356</v>
      </c>
      <c r="I196" s="153" t="s">
        <v>382</v>
      </c>
      <c r="J196" s="153" t="s">
        <v>887</v>
      </c>
      <c r="K196" s="153" t="s">
        <v>911</v>
      </c>
      <c r="L196" s="153" t="s">
        <v>914</v>
      </c>
      <c r="M196" s="153" t="s">
        <v>388</v>
      </c>
      <c r="N196" s="153" t="s">
        <v>43</v>
      </c>
      <c r="O196" s="153" t="s">
        <v>541</v>
      </c>
      <c r="P196" s="153" t="s">
        <v>978</v>
      </c>
      <c r="Q196" s="153" t="s">
        <v>1051</v>
      </c>
      <c r="R196" s="153" t="s">
        <v>78</v>
      </c>
      <c r="S196" s="153"/>
    </row>
    <row r="197" spans="1:19">
      <c r="A197" s="153" t="s">
        <v>1052</v>
      </c>
      <c r="B197" s="153" t="s">
        <v>1053</v>
      </c>
      <c r="C197" s="153" t="s">
        <v>909</v>
      </c>
      <c r="D197" s="154">
        <v>0</v>
      </c>
      <c r="E197" s="153" t="s">
        <v>1054</v>
      </c>
      <c r="F197" s="153" t="s">
        <v>845</v>
      </c>
      <c r="G197" s="153" t="s">
        <v>910</v>
      </c>
      <c r="H197" s="153" t="s">
        <v>356</v>
      </c>
      <c r="I197" s="153" t="s">
        <v>382</v>
      </c>
      <c r="J197" s="153" t="s">
        <v>887</v>
      </c>
      <c r="K197" s="153" t="s">
        <v>911</v>
      </c>
      <c r="L197" s="153" t="s">
        <v>914</v>
      </c>
      <c r="M197" s="153" t="s">
        <v>388</v>
      </c>
      <c r="N197" s="153" t="s">
        <v>43</v>
      </c>
      <c r="O197" s="153" t="s">
        <v>541</v>
      </c>
      <c r="P197" s="153" t="s">
        <v>978</v>
      </c>
      <c r="Q197" s="153" t="s">
        <v>987</v>
      </c>
      <c r="R197" s="153" t="s">
        <v>60</v>
      </c>
      <c r="S197" s="153"/>
    </row>
    <row r="198" spans="1:19">
      <c r="A198" s="153" t="s">
        <v>1055</v>
      </c>
      <c r="B198" s="153" t="s">
        <v>1056</v>
      </c>
      <c r="C198" s="153" t="s">
        <v>909</v>
      </c>
      <c r="D198" s="154">
        <v>0</v>
      </c>
      <c r="E198" s="156">
        <v>11576724</v>
      </c>
      <c r="F198" s="153" t="s">
        <v>55</v>
      </c>
      <c r="G198" s="153" t="s">
        <v>918</v>
      </c>
      <c r="H198" s="153" t="s">
        <v>327</v>
      </c>
      <c r="I198" s="153" t="s">
        <v>382</v>
      </c>
      <c r="J198" s="153" t="s">
        <v>887</v>
      </c>
      <c r="K198" s="153"/>
      <c r="L198" s="153"/>
      <c r="M198" s="153" t="s">
        <v>388</v>
      </c>
      <c r="N198" s="153"/>
      <c r="O198" s="153" t="s">
        <v>541</v>
      </c>
      <c r="P198" s="153" t="s">
        <v>978</v>
      </c>
      <c r="Q198" s="153" t="s">
        <v>1057</v>
      </c>
      <c r="R198" s="153" t="s">
        <v>71</v>
      </c>
      <c r="S198" s="153"/>
    </row>
    <row r="199" spans="1:19">
      <c r="A199" s="153" t="s">
        <v>1058</v>
      </c>
      <c r="B199" s="153" t="s">
        <v>1059</v>
      </c>
      <c r="C199" s="153" t="s">
        <v>909</v>
      </c>
      <c r="D199" s="154">
        <v>0</v>
      </c>
      <c r="E199" s="153" t="s">
        <v>1060</v>
      </c>
      <c r="F199" s="153" t="s">
        <v>53</v>
      </c>
      <c r="G199" s="153" t="s">
        <v>918</v>
      </c>
      <c r="H199" s="153" t="s">
        <v>327</v>
      </c>
      <c r="I199" s="153" t="s">
        <v>382</v>
      </c>
      <c r="J199" s="153" t="s">
        <v>887</v>
      </c>
      <c r="K199" s="153" t="s">
        <v>1061</v>
      </c>
      <c r="L199" s="153" t="s">
        <v>1062</v>
      </c>
      <c r="M199" s="153" t="s">
        <v>388</v>
      </c>
      <c r="N199" s="153"/>
      <c r="O199" s="153" t="s">
        <v>541</v>
      </c>
      <c r="P199" s="153" t="s">
        <v>978</v>
      </c>
      <c r="Q199" s="153" t="s">
        <v>993</v>
      </c>
      <c r="R199" s="153" t="s">
        <v>53</v>
      </c>
      <c r="S199" s="153"/>
    </row>
    <row r="200" spans="1:19">
      <c r="A200" s="153" t="s">
        <v>1063</v>
      </c>
      <c r="B200" s="153" t="s">
        <v>1064</v>
      </c>
      <c r="C200" s="153" t="s">
        <v>909</v>
      </c>
      <c r="D200" s="154">
        <v>0</v>
      </c>
      <c r="E200" s="153" t="s">
        <v>1065</v>
      </c>
      <c r="F200" s="153" t="s">
        <v>248</v>
      </c>
      <c r="G200" s="153" t="s">
        <v>910</v>
      </c>
      <c r="H200" s="153" t="s">
        <v>356</v>
      </c>
      <c r="I200" s="153" t="s">
        <v>382</v>
      </c>
      <c r="J200" s="153" t="s">
        <v>887</v>
      </c>
      <c r="K200" s="153" t="s">
        <v>911</v>
      </c>
      <c r="L200" s="153" t="s">
        <v>912</v>
      </c>
      <c r="M200" s="153" t="s">
        <v>388</v>
      </c>
      <c r="N200" s="153" t="s">
        <v>43</v>
      </c>
      <c r="O200" s="153" t="s">
        <v>541</v>
      </c>
      <c r="P200" s="153" t="s">
        <v>978</v>
      </c>
      <c r="Q200" s="153" t="s">
        <v>1066</v>
      </c>
      <c r="R200" s="153" t="s">
        <v>71</v>
      </c>
      <c r="S200" s="153"/>
    </row>
    <row r="201" spans="1:19">
      <c r="A201" s="153" t="s">
        <v>1067</v>
      </c>
      <c r="B201" s="153" t="s">
        <v>1068</v>
      </c>
      <c r="C201" s="153" t="s">
        <v>1038</v>
      </c>
      <c r="D201" s="155">
        <v>58</v>
      </c>
      <c r="E201" s="153" t="s">
        <v>1069</v>
      </c>
      <c r="F201" s="153" t="s">
        <v>53</v>
      </c>
      <c r="G201" s="153" t="s">
        <v>910</v>
      </c>
      <c r="H201" s="153" t="s">
        <v>783</v>
      </c>
      <c r="I201" s="153" t="s">
        <v>382</v>
      </c>
      <c r="J201" s="153" t="s">
        <v>887</v>
      </c>
      <c r="K201" s="153" t="s">
        <v>911</v>
      </c>
      <c r="L201" s="153" t="s">
        <v>914</v>
      </c>
      <c r="M201" s="153" t="s">
        <v>388</v>
      </c>
      <c r="N201" s="153" t="s">
        <v>43</v>
      </c>
      <c r="O201" s="153" t="s">
        <v>541</v>
      </c>
      <c r="P201" s="153" t="s">
        <v>978</v>
      </c>
      <c r="Q201" s="153" t="s">
        <v>997</v>
      </c>
      <c r="R201" s="153" t="s">
        <v>53</v>
      </c>
      <c r="S201" s="153"/>
    </row>
    <row r="202" spans="1:19">
      <c r="A202" s="153" t="s">
        <v>1070</v>
      </c>
      <c r="B202" s="153" t="s">
        <v>1068</v>
      </c>
      <c r="C202" s="153" t="s">
        <v>1043</v>
      </c>
      <c r="D202" s="155">
        <v>56</v>
      </c>
      <c r="E202" s="153" t="s">
        <v>1069</v>
      </c>
      <c r="F202" s="153" t="s">
        <v>53</v>
      </c>
      <c r="G202" s="153" t="s">
        <v>910</v>
      </c>
      <c r="H202" s="153" t="s">
        <v>783</v>
      </c>
      <c r="I202" s="153" t="s">
        <v>382</v>
      </c>
      <c r="J202" s="153" t="s">
        <v>887</v>
      </c>
      <c r="K202" s="153" t="s">
        <v>911</v>
      </c>
      <c r="L202" s="153" t="s">
        <v>914</v>
      </c>
      <c r="M202" s="153" t="s">
        <v>388</v>
      </c>
      <c r="N202" s="153" t="s">
        <v>43</v>
      </c>
      <c r="O202" s="153" t="s">
        <v>541</v>
      </c>
      <c r="P202" s="153" t="s">
        <v>978</v>
      </c>
      <c r="Q202" s="153" t="s">
        <v>997</v>
      </c>
      <c r="R202" s="153" t="s">
        <v>53</v>
      </c>
      <c r="S202" s="153"/>
    </row>
    <row r="203" spans="1:19">
      <c r="A203" s="153" t="s">
        <v>1071</v>
      </c>
      <c r="B203" s="153" t="s">
        <v>1072</v>
      </c>
      <c r="C203" s="153" t="s">
        <v>909</v>
      </c>
      <c r="D203" s="154">
        <v>0</v>
      </c>
      <c r="E203" s="153" t="s">
        <v>1073</v>
      </c>
      <c r="F203" s="153" t="s">
        <v>71</v>
      </c>
      <c r="G203" s="153" t="s">
        <v>910</v>
      </c>
      <c r="H203" s="153" t="s">
        <v>327</v>
      </c>
      <c r="I203" s="153" t="s">
        <v>382</v>
      </c>
      <c r="J203" s="153" t="s">
        <v>887</v>
      </c>
      <c r="K203" s="153" t="s">
        <v>911</v>
      </c>
      <c r="L203" s="153" t="s">
        <v>914</v>
      </c>
      <c r="M203" s="153" t="s">
        <v>388</v>
      </c>
      <c r="N203" s="153" t="s">
        <v>43</v>
      </c>
      <c r="O203" s="153" t="s">
        <v>541</v>
      </c>
      <c r="P203" s="153" t="s">
        <v>978</v>
      </c>
      <c r="Q203" s="153" t="s">
        <v>1066</v>
      </c>
      <c r="R203" s="153" t="s">
        <v>71</v>
      </c>
      <c r="S203" s="153"/>
    </row>
    <row r="204" spans="1:19">
      <c r="A204" s="153" t="s">
        <v>1074</v>
      </c>
      <c r="B204" s="153" t="s">
        <v>1075</v>
      </c>
      <c r="C204" s="153" t="s">
        <v>909</v>
      </c>
      <c r="D204" s="154">
        <v>0</v>
      </c>
      <c r="E204" s="153" t="s">
        <v>1076</v>
      </c>
      <c r="F204" s="153" t="s">
        <v>68</v>
      </c>
      <c r="G204" s="153" t="s">
        <v>910</v>
      </c>
      <c r="H204" s="153" t="s">
        <v>327</v>
      </c>
      <c r="I204" s="153" t="s">
        <v>387</v>
      </c>
      <c r="J204" s="153" t="s">
        <v>887</v>
      </c>
      <c r="K204" s="153" t="s">
        <v>911</v>
      </c>
      <c r="L204" s="153" t="s">
        <v>914</v>
      </c>
      <c r="M204" s="153" t="s">
        <v>388</v>
      </c>
      <c r="N204" s="153" t="s">
        <v>43</v>
      </c>
      <c r="O204" s="153" t="s">
        <v>541</v>
      </c>
      <c r="P204" s="153" t="s">
        <v>978</v>
      </c>
      <c r="Q204" s="153" t="s">
        <v>983</v>
      </c>
      <c r="R204" s="153" t="s">
        <v>68</v>
      </c>
      <c r="S204" s="153"/>
    </row>
    <row r="205" spans="1:19">
      <c r="A205" s="153" t="s">
        <v>1077</v>
      </c>
      <c r="B205" s="153" t="s">
        <v>1078</v>
      </c>
      <c r="C205" s="153" t="s">
        <v>1038</v>
      </c>
      <c r="D205" s="155">
        <v>58</v>
      </c>
      <c r="E205" s="153" t="s">
        <v>1079</v>
      </c>
      <c r="F205" s="153" t="s">
        <v>308</v>
      </c>
      <c r="G205" s="153" t="s">
        <v>910</v>
      </c>
      <c r="H205" s="153" t="s">
        <v>783</v>
      </c>
      <c r="I205" s="153" t="s">
        <v>382</v>
      </c>
      <c r="J205" s="153" t="s">
        <v>887</v>
      </c>
      <c r="K205" s="153" t="s">
        <v>1080</v>
      </c>
      <c r="L205" s="153" t="s">
        <v>1081</v>
      </c>
      <c r="M205" s="153" t="s">
        <v>388</v>
      </c>
      <c r="N205" s="153" t="s">
        <v>43</v>
      </c>
      <c r="O205" s="153" t="s">
        <v>541</v>
      </c>
      <c r="P205" s="153" t="s">
        <v>978</v>
      </c>
      <c r="Q205" s="153" t="s">
        <v>987</v>
      </c>
      <c r="R205" s="153" t="s">
        <v>53</v>
      </c>
      <c r="S205" s="153"/>
    </row>
    <row r="206" spans="1:19">
      <c r="A206" s="153" t="s">
        <v>1082</v>
      </c>
      <c r="B206" s="153" t="s">
        <v>1078</v>
      </c>
      <c r="C206" s="153" t="s">
        <v>1043</v>
      </c>
      <c r="D206" s="155">
        <v>56</v>
      </c>
      <c r="E206" s="153" t="s">
        <v>1079</v>
      </c>
      <c r="F206" s="153" t="s">
        <v>308</v>
      </c>
      <c r="G206" s="153" t="s">
        <v>910</v>
      </c>
      <c r="H206" s="153" t="s">
        <v>783</v>
      </c>
      <c r="I206" s="153" t="s">
        <v>382</v>
      </c>
      <c r="J206" s="153" t="s">
        <v>887</v>
      </c>
      <c r="K206" s="153" t="s">
        <v>1080</v>
      </c>
      <c r="L206" s="153" t="s">
        <v>1081</v>
      </c>
      <c r="M206" s="153" t="s">
        <v>388</v>
      </c>
      <c r="N206" s="153" t="s">
        <v>43</v>
      </c>
      <c r="O206" s="153" t="s">
        <v>541</v>
      </c>
      <c r="P206" s="153" t="s">
        <v>978</v>
      </c>
      <c r="Q206" s="153" t="s">
        <v>987</v>
      </c>
      <c r="R206" s="153" t="s">
        <v>53</v>
      </c>
      <c r="S206" s="153"/>
    </row>
    <row r="207" spans="1:19">
      <c r="A207" s="153" t="s">
        <v>1083</v>
      </c>
      <c r="B207" s="153" t="s">
        <v>1084</v>
      </c>
      <c r="C207" s="153" t="s">
        <v>1038</v>
      </c>
      <c r="D207" s="155">
        <v>58</v>
      </c>
      <c r="E207" s="153" t="s">
        <v>1085</v>
      </c>
      <c r="F207" s="153" t="s">
        <v>55</v>
      </c>
      <c r="G207" s="153" t="s">
        <v>910</v>
      </c>
      <c r="H207" s="153" t="s">
        <v>783</v>
      </c>
      <c r="I207" s="153" t="s">
        <v>382</v>
      </c>
      <c r="J207" s="153" t="s">
        <v>887</v>
      </c>
      <c r="K207" s="153" t="s">
        <v>911</v>
      </c>
      <c r="L207" s="153" t="s">
        <v>915</v>
      </c>
      <c r="M207" s="153" t="s">
        <v>388</v>
      </c>
      <c r="N207" s="153" t="s">
        <v>43</v>
      </c>
      <c r="O207" s="153" t="s">
        <v>541</v>
      </c>
      <c r="P207" s="153" t="s">
        <v>978</v>
      </c>
      <c r="Q207" s="153" t="s">
        <v>1086</v>
      </c>
      <c r="R207" s="153" t="s">
        <v>71</v>
      </c>
      <c r="S207" s="153"/>
    </row>
    <row r="208" spans="1:19">
      <c r="A208" s="153" t="s">
        <v>1087</v>
      </c>
      <c r="B208" s="153" t="s">
        <v>1084</v>
      </c>
      <c r="C208" s="153" t="s">
        <v>1043</v>
      </c>
      <c r="D208" s="155">
        <v>56</v>
      </c>
      <c r="E208" s="153" t="s">
        <v>1085</v>
      </c>
      <c r="F208" s="153" t="s">
        <v>55</v>
      </c>
      <c r="G208" s="153" t="s">
        <v>910</v>
      </c>
      <c r="H208" s="153" t="s">
        <v>783</v>
      </c>
      <c r="I208" s="153" t="s">
        <v>382</v>
      </c>
      <c r="J208" s="153" t="s">
        <v>887</v>
      </c>
      <c r="K208" s="153" t="s">
        <v>911</v>
      </c>
      <c r="L208" s="153" t="s">
        <v>915</v>
      </c>
      <c r="M208" s="153" t="s">
        <v>388</v>
      </c>
      <c r="N208" s="153" t="s">
        <v>43</v>
      </c>
      <c r="O208" s="153" t="s">
        <v>541</v>
      </c>
      <c r="P208" s="153" t="s">
        <v>978</v>
      </c>
      <c r="Q208" s="153" t="s">
        <v>1086</v>
      </c>
      <c r="R208" s="153" t="s">
        <v>71</v>
      </c>
      <c r="S208" s="153"/>
    </row>
    <row r="209" spans="1:19">
      <c r="A209" s="153" t="s">
        <v>1088</v>
      </c>
      <c r="B209" s="153" t="s">
        <v>1089</v>
      </c>
      <c r="C209" s="153" t="s">
        <v>1038</v>
      </c>
      <c r="D209" s="155">
        <v>58</v>
      </c>
      <c r="E209" s="153" t="s">
        <v>1090</v>
      </c>
      <c r="F209" s="153" t="s">
        <v>55</v>
      </c>
      <c r="G209" s="153" t="s">
        <v>910</v>
      </c>
      <c r="H209" s="153" t="s">
        <v>783</v>
      </c>
      <c r="I209" s="153" t="s">
        <v>382</v>
      </c>
      <c r="J209" s="153" t="s">
        <v>887</v>
      </c>
      <c r="K209" s="153" t="s">
        <v>911</v>
      </c>
      <c r="L209" s="153" t="s">
        <v>914</v>
      </c>
      <c r="M209" s="153" t="s">
        <v>388</v>
      </c>
      <c r="N209" s="153" t="s">
        <v>43</v>
      </c>
      <c r="O209" s="153" t="s">
        <v>541</v>
      </c>
      <c r="P209" s="153" t="s">
        <v>978</v>
      </c>
      <c r="Q209" s="153" t="s">
        <v>1091</v>
      </c>
      <c r="R209" s="153" t="s">
        <v>71</v>
      </c>
      <c r="S209" s="153"/>
    </row>
    <row r="210" spans="1:19">
      <c r="A210" s="153" t="s">
        <v>1092</v>
      </c>
      <c r="B210" s="153" t="s">
        <v>1089</v>
      </c>
      <c r="C210" s="153" t="s">
        <v>1043</v>
      </c>
      <c r="D210" s="155">
        <v>56</v>
      </c>
      <c r="E210" s="153" t="s">
        <v>1090</v>
      </c>
      <c r="F210" s="153" t="s">
        <v>55</v>
      </c>
      <c r="G210" s="153" t="s">
        <v>910</v>
      </c>
      <c r="H210" s="153" t="s">
        <v>783</v>
      </c>
      <c r="I210" s="153" t="s">
        <v>382</v>
      </c>
      <c r="J210" s="153" t="s">
        <v>887</v>
      </c>
      <c r="K210" s="153" t="s">
        <v>911</v>
      </c>
      <c r="L210" s="153" t="s">
        <v>914</v>
      </c>
      <c r="M210" s="153" t="s">
        <v>388</v>
      </c>
      <c r="N210" s="153" t="s">
        <v>43</v>
      </c>
      <c r="O210" s="153" t="s">
        <v>541</v>
      </c>
      <c r="P210" s="153" t="s">
        <v>978</v>
      </c>
      <c r="Q210" s="153" t="s">
        <v>1091</v>
      </c>
      <c r="R210" s="153" t="s">
        <v>71</v>
      </c>
      <c r="S210" s="153"/>
    </row>
    <row r="211" spans="1:19">
      <c r="A211" s="153" t="s">
        <v>1093</v>
      </c>
      <c r="B211" s="153" t="s">
        <v>1094</v>
      </c>
      <c r="C211" s="153" t="s">
        <v>909</v>
      </c>
      <c r="D211" s="154">
        <v>0</v>
      </c>
      <c r="E211" s="153" t="s">
        <v>1095</v>
      </c>
      <c r="F211" s="153" t="s">
        <v>53</v>
      </c>
      <c r="G211" s="153" t="s">
        <v>910</v>
      </c>
      <c r="H211" s="153" t="s">
        <v>327</v>
      </c>
      <c r="I211" s="153" t="s">
        <v>382</v>
      </c>
      <c r="J211" s="153" t="s">
        <v>887</v>
      </c>
      <c r="K211" s="153" t="s">
        <v>911</v>
      </c>
      <c r="L211" s="153" t="s">
        <v>914</v>
      </c>
      <c r="M211" s="153" t="s">
        <v>388</v>
      </c>
      <c r="N211" s="153" t="s">
        <v>43</v>
      </c>
      <c r="O211" s="153" t="s">
        <v>541</v>
      </c>
      <c r="P211" s="153" t="s">
        <v>978</v>
      </c>
      <c r="Q211" s="153" t="s">
        <v>1028</v>
      </c>
      <c r="R211" s="153" t="s">
        <v>53</v>
      </c>
      <c r="S211" s="153"/>
    </row>
    <row r="212" spans="1:19">
      <c r="A212" s="153" t="s">
        <v>1096</v>
      </c>
      <c r="B212" s="153" t="s">
        <v>1097</v>
      </c>
      <c r="C212" s="153" t="s">
        <v>909</v>
      </c>
      <c r="D212" s="154">
        <v>0</v>
      </c>
      <c r="E212" s="153" t="s">
        <v>1098</v>
      </c>
      <c r="F212" s="153" t="s">
        <v>55</v>
      </c>
      <c r="G212" s="153" t="s">
        <v>910</v>
      </c>
      <c r="H212" s="153" t="s">
        <v>327</v>
      </c>
      <c r="I212" s="153" t="s">
        <v>382</v>
      </c>
      <c r="J212" s="153" t="s">
        <v>887</v>
      </c>
      <c r="K212" s="153" t="s">
        <v>911</v>
      </c>
      <c r="L212" s="153" t="s">
        <v>914</v>
      </c>
      <c r="M212" s="153" t="s">
        <v>388</v>
      </c>
      <c r="N212" s="153" t="s">
        <v>43</v>
      </c>
      <c r="O212" s="153" t="s">
        <v>541</v>
      </c>
      <c r="P212" s="153" t="s">
        <v>978</v>
      </c>
      <c r="Q212" s="153" t="s">
        <v>1091</v>
      </c>
      <c r="R212" s="153" t="s">
        <v>71</v>
      </c>
      <c r="S212" s="153"/>
    </row>
    <row r="213" spans="1:19">
      <c r="A213" s="153" t="s">
        <v>1099</v>
      </c>
      <c r="B213" s="153" t="s">
        <v>1654</v>
      </c>
      <c r="C213" s="153" t="s">
        <v>1038</v>
      </c>
      <c r="D213" s="155">
        <v>58</v>
      </c>
      <c r="E213" s="153" t="s">
        <v>1100</v>
      </c>
      <c r="F213" s="153" t="s">
        <v>53</v>
      </c>
      <c r="G213" s="153" t="s">
        <v>1101</v>
      </c>
      <c r="H213" s="153" t="s">
        <v>327</v>
      </c>
      <c r="I213" s="153" t="s">
        <v>382</v>
      </c>
      <c r="J213" s="153" t="s">
        <v>887</v>
      </c>
      <c r="K213" s="153" t="s">
        <v>911</v>
      </c>
      <c r="L213" s="153" t="s">
        <v>914</v>
      </c>
      <c r="M213" s="153" t="s">
        <v>388</v>
      </c>
      <c r="N213" s="153" t="s">
        <v>43</v>
      </c>
      <c r="O213" s="153" t="s">
        <v>541</v>
      </c>
      <c r="P213" s="153" t="s">
        <v>978</v>
      </c>
      <c r="Q213" s="153" t="s">
        <v>1102</v>
      </c>
      <c r="R213" s="153" t="s">
        <v>53</v>
      </c>
      <c r="S213" s="153"/>
    </row>
    <row r="214" spans="1:19">
      <c r="A214" s="153" t="s">
        <v>1103</v>
      </c>
      <c r="B214" s="153" t="s">
        <v>1654</v>
      </c>
      <c r="C214" s="153" t="s">
        <v>1043</v>
      </c>
      <c r="D214" s="155">
        <v>56</v>
      </c>
      <c r="E214" s="153" t="s">
        <v>1100</v>
      </c>
      <c r="F214" s="153" t="s">
        <v>53</v>
      </c>
      <c r="G214" s="153" t="s">
        <v>1101</v>
      </c>
      <c r="H214" s="153" t="s">
        <v>327</v>
      </c>
      <c r="I214" s="153" t="s">
        <v>382</v>
      </c>
      <c r="J214" s="153" t="s">
        <v>887</v>
      </c>
      <c r="K214" s="153" t="s">
        <v>911</v>
      </c>
      <c r="L214" s="153" t="s">
        <v>914</v>
      </c>
      <c r="M214" s="153" t="s">
        <v>388</v>
      </c>
      <c r="N214" s="153" t="s">
        <v>43</v>
      </c>
      <c r="O214" s="153" t="s">
        <v>541</v>
      </c>
      <c r="P214" s="153" t="s">
        <v>978</v>
      </c>
      <c r="Q214" s="153" t="s">
        <v>1102</v>
      </c>
      <c r="R214" s="153" t="s">
        <v>53</v>
      </c>
      <c r="S214" s="153"/>
    </row>
    <row r="215" spans="1:19">
      <c r="A215" s="153" t="s">
        <v>1104</v>
      </c>
      <c r="B215" s="153" t="s">
        <v>1105</v>
      </c>
      <c r="C215" s="153" t="s">
        <v>1038</v>
      </c>
      <c r="D215" s="155">
        <v>58</v>
      </c>
      <c r="E215" s="153" t="s">
        <v>1106</v>
      </c>
      <c r="F215" s="153" t="s">
        <v>53</v>
      </c>
      <c r="G215" s="153" t="s">
        <v>1101</v>
      </c>
      <c r="H215" s="153" t="s">
        <v>327</v>
      </c>
      <c r="I215" s="153" t="s">
        <v>382</v>
      </c>
      <c r="J215" s="153" t="s">
        <v>887</v>
      </c>
      <c r="K215" s="153" t="s">
        <v>911</v>
      </c>
      <c r="L215" s="153" t="s">
        <v>914</v>
      </c>
      <c r="M215" s="153" t="s">
        <v>388</v>
      </c>
      <c r="N215" s="153" t="s">
        <v>43</v>
      </c>
      <c r="O215" s="153" t="s">
        <v>541</v>
      </c>
      <c r="P215" s="153" t="s">
        <v>978</v>
      </c>
      <c r="Q215" s="153" t="s">
        <v>1107</v>
      </c>
      <c r="R215" s="153" t="s">
        <v>53</v>
      </c>
      <c r="S215" s="153"/>
    </row>
    <row r="216" spans="1:19">
      <c r="A216" s="153" t="s">
        <v>1108</v>
      </c>
      <c r="B216" s="153" t="s">
        <v>1105</v>
      </c>
      <c r="C216" s="153" t="s">
        <v>1043</v>
      </c>
      <c r="D216" s="155">
        <v>56</v>
      </c>
      <c r="E216" s="153" t="s">
        <v>1106</v>
      </c>
      <c r="F216" s="153" t="s">
        <v>53</v>
      </c>
      <c r="G216" s="153" t="s">
        <v>1101</v>
      </c>
      <c r="H216" s="153" t="s">
        <v>327</v>
      </c>
      <c r="I216" s="153" t="s">
        <v>382</v>
      </c>
      <c r="J216" s="153" t="s">
        <v>887</v>
      </c>
      <c r="K216" s="153" t="s">
        <v>911</v>
      </c>
      <c r="L216" s="153" t="s">
        <v>914</v>
      </c>
      <c r="M216" s="153" t="s">
        <v>388</v>
      </c>
      <c r="N216" s="153" t="s">
        <v>43</v>
      </c>
      <c r="O216" s="153" t="s">
        <v>541</v>
      </c>
      <c r="P216" s="153" t="s">
        <v>978</v>
      </c>
      <c r="Q216" s="153" t="s">
        <v>1107</v>
      </c>
      <c r="R216" s="153" t="s">
        <v>53</v>
      </c>
      <c r="S216" s="153"/>
    </row>
    <row r="217" spans="1:19">
      <c r="A217" s="153" t="s">
        <v>1109</v>
      </c>
      <c r="B217" s="153" t="s">
        <v>1110</v>
      </c>
      <c r="C217" s="153" t="s">
        <v>909</v>
      </c>
      <c r="D217" s="154">
        <v>0</v>
      </c>
      <c r="E217" s="153" t="s">
        <v>1111</v>
      </c>
      <c r="F217" s="153" t="s">
        <v>53</v>
      </c>
      <c r="G217" s="153" t="s">
        <v>918</v>
      </c>
      <c r="H217" s="153" t="s">
        <v>327</v>
      </c>
      <c r="I217" s="153" t="s">
        <v>382</v>
      </c>
      <c r="J217" s="153" t="s">
        <v>887</v>
      </c>
      <c r="K217" s="153" t="s">
        <v>911</v>
      </c>
      <c r="L217" s="153" t="s">
        <v>919</v>
      </c>
      <c r="M217" s="153" t="s">
        <v>388</v>
      </c>
      <c r="N217" s="153"/>
      <c r="O217" s="153" t="s">
        <v>541</v>
      </c>
      <c r="P217" s="153" t="s">
        <v>978</v>
      </c>
      <c r="Q217" s="153" t="s">
        <v>993</v>
      </c>
      <c r="R217" s="153" t="s">
        <v>53</v>
      </c>
      <c r="S217" s="153"/>
    </row>
    <row r="218" spans="1:19">
      <c r="A218" s="153" t="s">
        <v>1112</v>
      </c>
      <c r="B218" s="153" t="s">
        <v>1113</v>
      </c>
      <c r="C218" s="153" t="s">
        <v>909</v>
      </c>
      <c r="D218" s="154">
        <v>0</v>
      </c>
      <c r="E218" s="153" t="s">
        <v>1114</v>
      </c>
      <c r="F218" s="153" t="s">
        <v>151</v>
      </c>
      <c r="G218" s="153" t="s">
        <v>918</v>
      </c>
      <c r="H218" s="153" t="s">
        <v>327</v>
      </c>
      <c r="I218" s="153" t="s">
        <v>382</v>
      </c>
      <c r="J218" s="153" t="s">
        <v>887</v>
      </c>
      <c r="K218" s="153" t="s">
        <v>911</v>
      </c>
      <c r="L218" s="153" t="s">
        <v>916</v>
      </c>
      <c r="M218" s="153" t="s">
        <v>388</v>
      </c>
      <c r="N218" s="153"/>
      <c r="O218" s="153" t="s">
        <v>541</v>
      </c>
      <c r="P218" s="153" t="s">
        <v>978</v>
      </c>
      <c r="Q218" s="153" t="s">
        <v>1115</v>
      </c>
      <c r="R218" s="153" t="s">
        <v>60</v>
      </c>
      <c r="S218" s="153"/>
    </row>
    <row r="219" spans="1:19">
      <c r="A219" s="153" t="s">
        <v>1116</v>
      </c>
      <c r="B219" s="153" t="s">
        <v>1117</v>
      </c>
      <c r="C219" s="153" t="s">
        <v>909</v>
      </c>
      <c r="D219" s="154">
        <v>0</v>
      </c>
      <c r="E219" s="153" t="s">
        <v>1118</v>
      </c>
      <c r="F219" s="153" t="s">
        <v>55</v>
      </c>
      <c r="G219" s="153" t="s">
        <v>918</v>
      </c>
      <c r="H219" s="153" t="s">
        <v>327</v>
      </c>
      <c r="I219" s="153" t="s">
        <v>382</v>
      </c>
      <c r="J219" s="153" t="s">
        <v>887</v>
      </c>
      <c r="K219" s="153" t="s">
        <v>911</v>
      </c>
      <c r="L219" s="153" t="s">
        <v>914</v>
      </c>
      <c r="M219" s="153" t="s">
        <v>388</v>
      </c>
      <c r="N219" s="153"/>
      <c r="O219" s="153" t="s">
        <v>541</v>
      </c>
      <c r="P219" s="153" t="s">
        <v>978</v>
      </c>
      <c r="Q219" s="153" t="s">
        <v>1057</v>
      </c>
      <c r="R219" s="153" t="s">
        <v>71</v>
      </c>
      <c r="S219" s="153"/>
    </row>
    <row r="220" spans="1:19">
      <c r="A220" s="153" t="s">
        <v>1119</v>
      </c>
      <c r="B220" s="153" t="s">
        <v>1120</v>
      </c>
      <c r="C220" s="153" t="s">
        <v>909</v>
      </c>
      <c r="D220" s="154">
        <v>0</v>
      </c>
      <c r="E220" s="153" t="s">
        <v>1121</v>
      </c>
      <c r="F220" s="153" t="s">
        <v>71</v>
      </c>
      <c r="G220" s="153" t="s">
        <v>918</v>
      </c>
      <c r="H220" s="153" t="s">
        <v>327</v>
      </c>
      <c r="I220" s="153" t="s">
        <v>382</v>
      </c>
      <c r="J220" s="153" t="s">
        <v>887</v>
      </c>
      <c r="K220" s="153" t="s">
        <v>911</v>
      </c>
      <c r="L220" s="153" t="s">
        <v>912</v>
      </c>
      <c r="M220" s="153" t="s">
        <v>388</v>
      </c>
      <c r="N220" s="153"/>
      <c r="O220" s="153" t="s">
        <v>541</v>
      </c>
      <c r="P220" s="153" t="s">
        <v>978</v>
      </c>
      <c r="Q220" s="153" t="s">
        <v>1122</v>
      </c>
      <c r="R220" s="153" t="s">
        <v>71</v>
      </c>
      <c r="S220" s="153"/>
    </row>
    <row r="221" spans="1:19">
      <c r="A221" s="153" t="s">
        <v>1123</v>
      </c>
      <c r="B221" s="153" t="s">
        <v>1124</v>
      </c>
      <c r="C221" s="153" t="s">
        <v>909</v>
      </c>
      <c r="D221" s="154">
        <v>0</v>
      </c>
      <c r="E221" s="153" t="s">
        <v>1125</v>
      </c>
      <c r="F221" s="153" t="s">
        <v>53</v>
      </c>
      <c r="G221" s="153" t="s">
        <v>918</v>
      </c>
      <c r="H221" s="153" t="s">
        <v>327</v>
      </c>
      <c r="I221" s="153" t="s">
        <v>382</v>
      </c>
      <c r="J221" s="153" t="s">
        <v>887</v>
      </c>
      <c r="K221" s="153" t="s">
        <v>911</v>
      </c>
      <c r="L221" s="153" t="s">
        <v>992</v>
      </c>
      <c r="M221" s="153" t="s">
        <v>388</v>
      </c>
      <c r="N221" s="153"/>
      <c r="O221" s="153" t="s">
        <v>541</v>
      </c>
      <c r="P221" s="153" t="s">
        <v>978</v>
      </c>
      <c r="Q221" s="153" t="s">
        <v>1028</v>
      </c>
      <c r="R221" s="153" t="s">
        <v>53</v>
      </c>
      <c r="S221" s="153"/>
    </row>
    <row r="222" spans="1:19">
      <c r="A222" s="153" t="s">
        <v>1655</v>
      </c>
      <c r="B222" s="153" t="s">
        <v>1656</v>
      </c>
      <c r="C222" s="153" t="s">
        <v>909</v>
      </c>
      <c r="D222" s="154">
        <v>0</v>
      </c>
      <c r="E222" s="153" t="s">
        <v>1657</v>
      </c>
      <c r="F222" s="153" t="s">
        <v>83</v>
      </c>
      <c r="G222" s="153" t="s">
        <v>910</v>
      </c>
      <c r="H222" s="153" t="s">
        <v>327</v>
      </c>
      <c r="I222" s="153" t="s">
        <v>387</v>
      </c>
      <c r="J222" s="153" t="s">
        <v>887</v>
      </c>
      <c r="K222" s="153" t="s">
        <v>911</v>
      </c>
      <c r="L222" s="153" t="s">
        <v>914</v>
      </c>
      <c r="M222" s="153" t="s">
        <v>388</v>
      </c>
      <c r="N222" s="153" t="s">
        <v>43</v>
      </c>
      <c r="O222" s="153" t="s">
        <v>386</v>
      </c>
      <c r="P222" s="153" t="s">
        <v>978</v>
      </c>
      <c r="Q222" s="153" t="s">
        <v>1658</v>
      </c>
      <c r="R222" s="153" t="s">
        <v>83</v>
      </c>
      <c r="S222" s="153"/>
    </row>
    <row r="223" spans="1:19">
      <c r="A223" s="153" t="s">
        <v>1659</v>
      </c>
      <c r="B223" s="153" t="s">
        <v>1660</v>
      </c>
      <c r="C223" s="153" t="s">
        <v>909</v>
      </c>
      <c r="D223" s="154">
        <v>0</v>
      </c>
      <c r="E223" s="153" t="s">
        <v>1661</v>
      </c>
      <c r="F223" s="153" t="s">
        <v>53</v>
      </c>
      <c r="G223" s="153" t="s">
        <v>918</v>
      </c>
      <c r="H223" s="153" t="s">
        <v>327</v>
      </c>
      <c r="I223" s="153" t="s">
        <v>382</v>
      </c>
      <c r="J223" s="153" t="s">
        <v>887</v>
      </c>
      <c r="K223" s="153" t="s">
        <v>1061</v>
      </c>
      <c r="L223" s="153" t="s">
        <v>1062</v>
      </c>
      <c r="M223" s="153" t="s">
        <v>388</v>
      </c>
      <c r="N223" s="153"/>
      <c r="O223" s="153" t="s">
        <v>541</v>
      </c>
      <c r="P223" s="153" t="s">
        <v>978</v>
      </c>
      <c r="Q223" s="153" t="s">
        <v>987</v>
      </c>
      <c r="R223" s="153" t="s">
        <v>53</v>
      </c>
      <c r="S223" s="153"/>
    </row>
    <row r="224" spans="1:19">
      <c r="A224" s="153" t="s">
        <v>1662</v>
      </c>
      <c r="B224" s="153" t="s">
        <v>1663</v>
      </c>
      <c r="C224" s="153" t="s">
        <v>909</v>
      </c>
      <c r="D224" s="154">
        <v>0</v>
      </c>
      <c r="E224" s="153" t="s">
        <v>1664</v>
      </c>
      <c r="F224" s="153" t="s">
        <v>53</v>
      </c>
      <c r="G224" s="153" t="s">
        <v>918</v>
      </c>
      <c r="H224" s="153" t="s">
        <v>327</v>
      </c>
      <c r="I224" s="153" t="s">
        <v>382</v>
      </c>
      <c r="J224" s="153" t="s">
        <v>887</v>
      </c>
      <c r="K224" s="153" t="s">
        <v>1061</v>
      </c>
      <c r="L224" s="153" t="s">
        <v>1155</v>
      </c>
      <c r="M224" s="153" t="s">
        <v>388</v>
      </c>
      <c r="N224" s="153"/>
      <c r="O224" s="153" t="s">
        <v>541</v>
      </c>
      <c r="P224" s="153" t="s">
        <v>978</v>
      </c>
      <c r="Q224" s="153" t="s">
        <v>993</v>
      </c>
      <c r="R224" s="153" t="s">
        <v>53</v>
      </c>
      <c r="S224" s="153"/>
    </row>
    <row r="225" spans="1:19">
      <c r="A225" s="153" t="s">
        <v>1665</v>
      </c>
      <c r="B225" s="153" t="s">
        <v>1666</v>
      </c>
      <c r="C225" s="153" t="s">
        <v>909</v>
      </c>
      <c r="D225" s="154">
        <v>0</v>
      </c>
      <c r="E225" s="153" t="s">
        <v>1667</v>
      </c>
      <c r="F225" s="153" t="s">
        <v>53</v>
      </c>
      <c r="G225" s="153" t="s">
        <v>918</v>
      </c>
      <c r="H225" s="153" t="s">
        <v>327</v>
      </c>
      <c r="I225" s="153" t="s">
        <v>382</v>
      </c>
      <c r="J225" s="153" t="s">
        <v>887</v>
      </c>
      <c r="K225" s="153" t="s">
        <v>911</v>
      </c>
      <c r="L225" s="153" t="s">
        <v>914</v>
      </c>
      <c r="M225" s="153" t="s">
        <v>388</v>
      </c>
      <c r="N225" s="153"/>
      <c r="O225" s="153" t="s">
        <v>541</v>
      </c>
      <c r="P225" s="153" t="s">
        <v>978</v>
      </c>
      <c r="Q225" s="153" t="s">
        <v>1028</v>
      </c>
      <c r="R225" s="153" t="s">
        <v>53</v>
      </c>
      <c r="S225" s="153"/>
    </row>
    <row r="226" spans="1:19">
      <c r="A226" s="153" t="s">
        <v>1668</v>
      </c>
      <c r="B226" s="153" t="s">
        <v>1669</v>
      </c>
      <c r="C226" s="153" t="s">
        <v>909</v>
      </c>
      <c r="D226" s="154">
        <v>0</v>
      </c>
      <c r="E226" s="153" t="s">
        <v>1670</v>
      </c>
      <c r="F226" s="153" t="s">
        <v>53</v>
      </c>
      <c r="G226" s="153" t="s">
        <v>1632</v>
      </c>
      <c r="H226" s="153" t="s">
        <v>327</v>
      </c>
      <c r="I226" s="153" t="s">
        <v>382</v>
      </c>
      <c r="J226" s="153" t="s">
        <v>887</v>
      </c>
      <c r="K226" s="153" t="s">
        <v>911</v>
      </c>
      <c r="L226" s="153" t="s">
        <v>914</v>
      </c>
      <c r="M226" s="153" t="s">
        <v>388</v>
      </c>
      <c r="N226" s="153" t="s">
        <v>43</v>
      </c>
      <c r="O226" s="153" t="s">
        <v>386</v>
      </c>
      <c r="P226" s="153" t="s">
        <v>978</v>
      </c>
      <c r="Q226" s="153" t="s">
        <v>987</v>
      </c>
      <c r="R226" s="153" t="s">
        <v>53</v>
      </c>
      <c r="S226" s="1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2022-07-20T12:20:17Z</dcterms:modified>
</cp:coreProperties>
</file>