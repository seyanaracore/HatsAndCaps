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21\"/>
    </mc:Choice>
  </mc:AlternateContent>
  <xr:revisionPtr revIDLastSave="0" documentId="13_ncr:1_{BD869938-B4DB-4EF5-BC4D-B40945C6BADB}" xr6:coauthVersionLast="47" xr6:coauthVersionMax="47" xr10:uidLastSave="{00000000-0000-0000-0000-000000000000}"/>
  <bookViews>
    <workbookView xWindow="-120" yWindow="-120" windowWidth="29040" windowHeight="15840" activeTab="1" xr2:uid="{3A48B2BB-835E-4247-BB6E-D08F5B3ED053}"/>
  </bookViews>
  <sheets>
    <sheet name="Справочник" sheetId="2" r:id="rId1"/>
    <sheet name="Data" sheetId="3" r:id="rId2"/>
    <sheet name="КомандыИзНазвания" sheetId="4" r:id="rId3"/>
    <sheet name="3677" sheetId="6" r:id="rId4"/>
    <sheet name="3678" sheetId="7" r:id="rId5"/>
    <sheet name="Transposed" sheetId="5" r:id="rId6"/>
  </sheets>
  <functionGroups builtInGroupCount="19"/>
  <externalReferences>
    <externalReference r:id="rId7"/>
  </externalReferences>
  <definedNames>
    <definedName name="_xlpm.sizeCol" hidden="1" xlm="1">#NAME?</definedName>
    <definedName name="_xlnm._FilterDatabase" localSheetId="1" hidden="1">Data!$A$1:$Q$99</definedName>
    <definedName name="_xlnm._FilterDatabase" localSheetId="5" hidden="1">Transposed!$B$1:$Q$44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3" l="1" a="1"/>
  <c r="F4" i="3" s="1"/>
  <c r="F28" i="3" a="1"/>
  <c r="F28" i="3" s="1"/>
  <c r="F44" i="3" a="1"/>
  <c r="F44" i="3" s="1"/>
  <c r="F68" i="3" a="1"/>
  <c r="F68" i="3" s="1"/>
  <c r="F92" i="3" a="1"/>
  <c r="F92" i="3" s="1"/>
  <c r="E2" i="3"/>
  <c r="F2" i="3" s="1" a="1"/>
  <c r="F2" i="3" s="1"/>
  <c r="E3" i="3"/>
  <c r="F3" i="3" s="1" a="1"/>
  <c r="F3" i="3" s="1"/>
  <c r="E4" i="3"/>
  <c r="E5" i="3"/>
  <c r="F5" i="3" s="1" a="1"/>
  <c r="F5" i="3" s="1"/>
  <c r="E6" i="3"/>
  <c r="F6" i="3" s="1" a="1"/>
  <c r="F6" i="3" s="1"/>
  <c r="E7" i="3"/>
  <c r="F7" i="3" s="1" a="1"/>
  <c r="F7" i="3" s="1"/>
  <c r="E8" i="3"/>
  <c r="F8" i="3" s="1" a="1"/>
  <c r="F8" i="3" s="1"/>
  <c r="E9" i="3"/>
  <c r="F9" i="3" s="1" a="1"/>
  <c r="F9" i="3" s="1"/>
  <c r="E10" i="3"/>
  <c r="F10" i="3" s="1" a="1"/>
  <c r="F10" i="3" s="1"/>
  <c r="E11" i="3"/>
  <c r="F11" i="3" s="1" a="1"/>
  <c r="F11" i="3" s="1"/>
  <c r="E12" i="3"/>
  <c r="F12" i="3" s="1" a="1"/>
  <c r="F12" i="3" s="1"/>
  <c r="E13" i="3"/>
  <c r="F13" i="3" s="1" a="1"/>
  <c r="F13" i="3" s="1"/>
  <c r="E14" i="3"/>
  <c r="F14" i="3" s="1" a="1"/>
  <c r="F14" i="3" s="1"/>
  <c r="E15" i="3"/>
  <c r="F15" i="3" s="1" a="1"/>
  <c r="F15" i="3" s="1"/>
  <c r="E16" i="3"/>
  <c r="F16" i="3" s="1" a="1"/>
  <c r="F16" i="3" s="1"/>
  <c r="E17" i="3"/>
  <c r="F17" i="3" s="1" a="1"/>
  <c r="F17" i="3" s="1"/>
  <c r="E18" i="3"/>
  <c r="F18" i="3" s="1" a="1"/>
  <c r="F18" i="3" s="1"/>
  <c r="E19" i="3"/>
  <c r="F19" i="3" s="1" a="1"/>
  <c r="F19" i="3" s="1"/>
  <c r="E20" i="3"/>
  <c r="F20" i="3" s="1" a="1"/>
  <c r="F20" i="3" s="1"/>
  <c r="E21" i="3"/>
  <c r="F21" i="3" s="1" a="1"/>
  <c r="F21" i="3" s="1"/>
  <c r="E22" i="3"/>
  <c r="F22" i="3" s="1" a="1"/>
  <c r="F22" i="3" s="1"/>
  <c r="E23" i="3"/>
  <c r="F23" i="3" s="1" a="1"/>
  <c r="F23" i="3" s="1"/>
  <c r="E24" i="3"/>
  <c r="F24" i="3" s="1" a="1"/>
  <c r="F24" i="3" s="1"/>
  <c r="E25" i="3"/>
  <c r="F25" i="3" s="1" a="1"/>
  <c r="F25" i="3" s="1"/>
  <c r="E26" i="3"/>
  <c r="F26" i="3" s="1" a="1"/>
  <c r="F26" i="3" s="1"/>
  <c r="E27" i="3"/>
  <c r="F27" i="3" s="1" a="1"/>
  <c r="F27" i="3" s="1"/>
  <c r="E28" i="3"/>
  <c r="E29" i="3"/>
  <c r="F29" i="3" s="1" a="1"/>
  <c r="F29" i="3" s="1"/>
  <c r="E30" i="3"/>
  <c r="F30" i="3" s="1" a="1"/>
  <c r="F30" i="3" s="1"/>
  <c r="E31" i="3"/>
  <c r="F31" i="3" s="1" a="1"/>
  <c r="F31" i="3" s="1"/>
  <c r="E32" i="3"/>
  <c r="F32" i="3" s="1" a="1"/>
  <c r="F32" i="3" s="1"/>
  <c r="E33" i="3"/>
  <c r="F33" i="3" s="1" a="1"/>
  <c r="F33" i="3" s="1"/>
  <c r="E34" i="3"/>
  <c r="F34" i="3" s="1" a="1"/>
  <c r="F34" i="3" s="1"/>
  <c r="E35" i="3"/>
  <c r="F35" i="3" s="1" a="1"/>
  <c r="F35" i="3" s="1"/>
  <c r="E36" i="3"/>
  <c r="F36" i="3" s="1" a="1"/>
  <c r="F36" i="3" s="1"/>
  <c r="E37" i="3"/>
  <c r="F37" i="3" s="1" a="1"/>
  <c r="F37" i="3" s="1"/>
  <c r="E38" i="3"/>
  <c r="F38" i="3" s="1" a="1"/>
  <c r="F38" i="3" s="1"/>
  <c r="E39" i="3"/>
  <c r="F39" i="3" s="1" a="1"/>
  <c r="F39" i="3" s="1"/>
  <c r="E40" i="3"/>
  <c r="F40" i="3" s="1" a="1"/>
  <c r="F40" i="3" s="1"/>
  <c r="E41" i="3"/>
  <c r="F41" i="3" s="1" a="1"/>
  <c r="F41" i="3" s="1"/>
  <c r="E42" i="3"/>
  <c r="F42" i="3" s="1" a="1"/>
  <c r="F42" i="3" s="1"/>
  <c r="E43" i="3"/>
  <c r="F43" i="3" s="1" a="1"/>
  <c r="F43" i="3" s="1"/>
  <c r="E44" i="3"/>
  <c r="E45" i="3"/>
  <c r="F45" i="3" s="1" a="1"/>
  <c r="F45" i="3" s="1"/>
  <c r="E46" i="3"/>
  <c r="F46" i="3" s="1" a="1"/>
  <c r="F46" i="3" s="1"/>
  <c r="E47" i="3"/>
  <c r="F47" i="3" s="1" a="1"/>
  <c r="F47" i="3" s="1"/>
  <c r="E48" i="3"/>
  <c r="F48" i="3" s="1" a="1"/>
  <c r="F48" i="3" s="1"/>
  <c r="E49" i="3"/>
  <c r="F49" i="3" s="1" a="1"/>
  <c r="F49" i="3" s="1"/>
  <c r="E50" i="3"/>
  <c r="F50" i="3" s="1" a="1"/>
  <c r="F50" i="3" s="1"/>
  <c r="E51" i="3"/>
  <c r="F51" i="3" s="1" a="1"/>
  <c r="F51" i="3" s="1"/>
  <c r="E52" i="3"/>
  <c r="F52" i="3" s="1" a="1"/>
  <c r="F52" i="3" s="1"/>
  <c r="E53" i="3"/>
  <c r="F53" i="3" s="1" a="1"/>
  <c r="F53" i="3" s="1"/>
  <c r="E54" i="3"/>
  <c r="F54" i="3" s="1" a="1"/>
  <c r="F54" i="3" s="1"/>
  <c r="E55" i="3"/>
  <c r="F55" i="3" s="1" a="1"/>
  <c r="F55" i="3" s="1"/>
  <c r="E56" i="3"/>
  <c r="F56" i="3" s="1" a="1"/>
  <c r="F56" i="3" s="1"/>
  <c r="E57" i="3"/>
  <c r="F57" i="3" s="1" a="1"/>
  <c r="F57" i="3" s="1"/>
  <c r="E58" i="3"/>
  <c r="F58" i="3" s="1" a="1"/>
  <c r="F58" i="3" s="1"/>
  <c r="E59" i="3"/>
  <c r="F59" i="3" s="1" a="1"/>
  <c r="F59" i="3" s="1"/>
  <c r="E60" i="3"/>
  <c r="F60" i="3" s="1" a="1"/>
  <c r="F60" i="3" s="1"/>
  <c r="E61" i="3"/>
  <c r="F61" i="3" s="1" a="1"/>
  <c r="F61" i="3" s="1"/>
  <c r="E62" i="3"/>
  <c r="F62" i="3" s="1" a="1"/>
  <c r="F62" i="3" s="1"/>
  <c r="E63" i="3"/>
  <c r="F63" i="3" s="1" a="1"/>
  <c r="F63" i="3" s="1"/>
  <c r="E64" i="3"/>
  <c r="F64" i="3" s="1" a="1"/>
  <c r="F64" i="3" s="1"/>
  <c r="E65" i="3"/>
  <c r="F65" i="3" s="1" a="1"/>
  <c r="F65" i="3" s="1"/>
  <c r="E66" i="3"/>
  <c r="F66" i="3" s="1" a="1"/>
  <c r="F66" i="3" s="1"/>
  <c r="E67" i="3"/>
  <c r="F67" i="3" s="1" a="1"/>
  <c r="F67" i="3" s="1"/>
  <c r="E68" i="3"/>
  <c r="E69" i="3"/>
  <c r="F69" i="3" s="1" a="1"/>
  <c r="F69" i="3" s="1"/>
  <c r="E70" i="3"/>
  <c r="F70" i="3" s="1" a="1"/>
  <c r="F70" i="3" s="1"/>
  <c r="E71" i="3"/>
  <c r="F71" i="3" s="1" a="1"/>
  <c r="F71" i="3" s="1"/>
  <c r="E72" i="3"/>
  <c r="F72" i="3" s="1" a="1"/>
  <c r="F72" i="3" s="1"/>
  <c r="E73" i="3"/>
  <c r="F73" i="3" s="1" a="1"/>
  <c r="F73" i="3" s="1"/>
  <c r="E74" i="3"/>
  <c r="F74" i="3" s="1" a="1"/>
  <c r="F74" i="3" s="1"/>
  <c r="E75" i="3"/>
  <c r="F75" i="3" s="1" a="1"/>
  <c r="F75" i="3" s="1"/>
  <c r="E76" i="3"/>
  <c r="F76" i="3" s="1" a="1"/>
  <c r="F76" i="3" s="1"/>
  <c r="E77" i="3"/>
  <c r="F77" i="3" s="1" a="1"/>
  <c r="F77" i="3" s="1"/>
  <c r="E78" i="3"/>
  <c r="F78" i="3" s="1" a="1"/>
  <c r="F78" i="3" s="1"/>
  <c r="E79" i="3"/>
  <c r="F79" i="3" s="1" a="1"/>
  <c r="F79" i="3" s="1"/>
  <c r="E80" i="3"/>
  <c r="F80" i="3" s="1" a="1"/>
  <c r="F80" i="3" s="1"/>
  <c r="E81" i="3"/>
  <c r="F81" i="3" s="1" a="1"/>
  <c r="F81" i="3" s="1"/>
  <c r="E82" i="3"/>
  <c r="F82" i="3" s="1" a="1"/>
  <c r="F82" i="3" s="1"/>
  <c r="E83" i="3"/>
  <c r="F83" i="3" s="1" a="1"/>
  <c r="F83" i="3" s="1"/>
  <c r="E84" i="3"/>
  <c r="F84" i="3" s="1" a="1"/>
  <c r="F84" i="3" s="1"/>
  <c r="E85" i="3"/>
  <c r="F85" i="3" s="1" a="1"/>
  <c r="F85" i="3" s="1"/>
  <c r="E86" i="3"/>
  <c r="F86" i="3" s="1" a="1"/>
  <c r="F86" i="3" s="1"/>
  <c r="E87" i="3"/>
  <c r="F87" i="3" s="1" a="1"/>
  <c r="F87" i="3" s="1"/>
  <c r="E88" i="3"/>
  <c r="F88" i="3" s="1" a="1"/>
  <c r="F88" i="3" s="1"/>
  <c r="E89" i="3"/>
  <c r="F89" i="3" s="1" a="1"/>
  <c r="F89" i="3" s="1"/>
  <c r="E90" i="3"/>
  <c r="F90" i="3" s="1" a="1"/>
  <c r="F90" i="3" s="1"/>
  <c r="E91" i="3"/>
  <c r="F91" i="3" s="1" a="1"/>
  <c r="F91" i="3" s="1"/>
  <c r="E92" i="3"/>
  <c r="E93" i="3"/>
  <c r="F93" i="3" s="1" a="1"/>
  <c r="F93" i="3" s="1"/>
  <c r="E94" i="3"/>
  <c r="F94" i="3" s="1" a="1"/>
  <c r="F94" i="3" s="1"/>
  <c r="E95" i="3"/>
  <c r="F95" i="3" s="1" a="1"/>
  <c r="F95" i="3" s="1"/>
  <c r="E96" i="3"/>
  <c r="F96" i="3" s="1" a="1"/>
  <c r="F96" i="3" s="1"/>
  <c r="E97" i="3"/>
  <c r="F97" i="3" s="1" a="1"/>
  <c r="F97" i="3" s="1"/>
  <c r="E98" i="3"/>
  <c r="F98" i="3" s="1" a="1"/>
  <c r="F98" i="3" s="1"/>
  <c r="E99" i="3"/>
  <c r="F99" i="3" s="1" a="1"/>
  <c r="F99" i="3" s="1"/>
  <c r="A35" i="6"/>
  <c r="A36" i="6"/>
  <c r="A37" i="6"/>
  <c r="A38" i="6"/>
  <c r="A39" i="6"/>
  <c r="A40" i="6"/>
  <c r="A41" i="6"/>
  <c r="A35" i="7"/>
  <c r="A36" i="7"/>
  <c r="A37" i="7"/>
  <c r="A38" i="7"/>
  <c r="A39" i="7"/>
  <c r="A40" i="7"/>
  <c r="A41" i="7"/>
  <c r="A42" i="7"/>
  <c r="A43" i="7"/>
  <c r="A25" i="7"/>
  <c r="A26" i="7"/>
  <c r="A27" i="7"/>
  <c r="A28" i="7"/>
  <c r="A29" i="7"/>
  <c r="A30" i="7"/>
  <c r="A31" i="7"/>
  <c r="A32" i="7"/>
  <c r="A33" i="7"/>
  <c r="A34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Y1" i="7" a="1"/>
  <c r="Y1" i="7" s="1"/>
  <c r="A31" i="6" l="1"/>
  <c r="A32" i="6"/>
  <c r="A33" i="6"/>
  <c r="A34" i="6"/>
  <c r="Y1" i="6" l="1" a="1"/>
  <c r="Y1" i="6" s="1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12" i="6"/>
  <c r="A11" i="6"/>
  <c r="A10" i="6"/>
  <c r="A9" i="6"/>
  <c r="A8" i="6"/>
  <c r="A7" i="6"/>
  <c r="A6" i="6"/>
  <c r="A5" i="6"/>
  <c r="A4" i="6"/>
  <c r="A3" i="6"/>
  <c r="A2" i="6"/>
  <c r="V99" i="3"/>
  <c r="U99" i="3"/>
  <c r="T99" i="3"/>
  <c r="A99" i="3"/>
  <c r="V98" i="3"/>
  <c r="U98" i="3"/>
  <c r="T98" i="3"/>
  <c r="A98" i="3"/>
  <c r="V97" i="3"/>
  <c r="U97" i="3"/>
  <c r="T97" i="3"/>
  <c r="A97" i="3"/>
  <c r="V96" i="3"/>
  <c r="U96" i="3"/>
  <c r="T96" i="3"/>
  <c r="A96" i="3"/>
  <c r="V95" i="3"/>
  <c r="U95" i="3"/>
  <c r="T95" i="3"/>
  <c r="A95" i="3"/>
  <c r="V94" i="3"/>
  <c r="U94" i="3"/>
  <c r="T94" i="3"/>
  <c r="A94" i="3"/>
  <c r="V93" i="3"/>
  <c r="U93" i="3"/>
  <c r="T93" i="3"/>
  <c r="A93" i="3"/>
  <c r="V92" i="3"/>
  <c r="U92" i="3"/>
  <c r="T92" i="3"/>
  <c r="A92" i="3"/>
  <c r="V91" i="3"/>
  <c r="U91" i="3"/>
  <c r="T91" i="3"/>
  <c r="A91" i="3"/>
  <c r="V90" i="3"/>
  <c r="U90" i="3"/>
  <c r="T90" i="3"/>
  <c r="A90" i="3"/>
  <c r="V89" i="3"/>
  <c r="U89" i="3"/>
  <c r="T89" i="3"/>
  <c r="A89" i="3"/>
  <c r="V88" i="3"/>
  <c r="U88" i="3"/>
  <c r="T88" i="3"/>
  <c r="A88" i="3"/>
  <c r="V87" i="3"/>
  <c r="U87" i="3"/>
  <c r="T87" i="3"/>
  <c r="A87" i="3"/>
  <c r="V86" i="3"/>
  <c r="U86" i="3"/>
  <c r="T86" i="3"/>
  <c r="A86" i="3"/>
  <c r="V85" i="3"/>
  <c r="U85" i="3"/>
  <c r="T85" i="3"/>
  <c r="A85" i="3"/>
  <c r="V84" i="3"/>
  <c r="U84" i="3"/>
  <c r="T84" i="3"/>
  <c r="A84" i="3"/>
  <c r="V83" i="3"/>
  <c r="U83" i="3"/>
  <c r="T83" i="3"/>
  <c r="A83" i="3"/>
  <c r="V82" i="3"/>
  <c r="U82" i="3"/>
  <c r="T82" i="3"/>
  <c r="A82" i="3"/>
  <c r="V81" i="3"/>
  <c r="U81" i="3"/>
  <c r="T81" i="3"/>
  <c r="A81" i="3"/>
  <c r="V80" i="3"/>
  <c r="U80" i="3"/>
  <c r="T80" i="3"/>
  <c r="A80" i="3"/>
  <c r="V79" i="3"/>
  <c r="U79" i="3"/>
  <c r="T79" i="3"/>
  <c r="A79" i="3"/>
  <c r="V78" i="3"/>
  <c r="U78" i="3"/>
  <c r="T78" i="3"/>
  <c r="A78" i="3"/>
  <c r="V77" i="3"/>
  <c r="U77" i="3"/>
  <c r="T77" i="3"/>
  <c r="A77" i="3"/>
  <c r="V76" i="3"/>
  <c r="U76" i="3"/>
  <c r="T76" i="3"/>
  <c r="A76" i="3"/>
  <c r="V75" i="3"/>
  <c r="U75" i="3"/>
  <c r="T75" i="3"/>
  <c r="A75" i="3"/>
  <c r="V74" i="3"/>
  <c r="U74" i="3"/>
  <c r="T74" i="3"/>
  <c r="A74" i="3"/>
  <c r="V73" i="3"/>
  <c r="U73" i="3"/>
  <c r="T73" i="3"/>
  <c r="A73" i="3"/>
  <c r="V72" i="3"/>
  <c r="U72" i="3"/>
  <c r="T72" i="3"/>
  <c r="A72" i="3"/>
  <c r="V71" i="3"/>
  <c r="U71" i="3"/>
  <c r="T71" i="3"/>
  <c r="A71" i="3"/>
  <c r="V70" i="3"/>
  <c r="U70" i="3"/>
  <c r="T70" i="3"/>
  <c r="A70" i="3"/>
  <c r="V69" i="3"/>
  <c r="U69" i="3"/>
  <c r="T69" i="3"/>
  <c r="A69" i="3"/>
  <c r="V68" i="3"/>
  <c r="U68" i="3"/>
  <c r="T68" i="3"/>
  <c r="A68" i="3"/>
  <c r="V67" i="3"/>
  <c r="U67" i="3"/>
  <c r="T67" i="3"/>
  <c r="A67" i="3"/>
  <c r="V66" i="3"/>
  <c r="U66" i="3"/>
  <c r="T66" i="3"/>
  <c r="A66" i="3"/>
  <c r="V65" i="3"/>
  <c r="U65" i="3"/>
  <c r="T65" i="3"/>
  <c r="A65" i="3"/>
  <c r="V64" i="3"/>
  <c r="U64" i="3"/>
  <c r="T64" i="3"/>
  <c r="A64" i="3"/>
  <c r="V63" i="3"/>
  <c r="U63" i="3"/>
  <c r="T63" i="3"/>
  <c r="A63" i="3"/>
  <c r="V62" i="3"/>
  <c r="U62" i="3"/>
  <c r="T62" i="3"/>
  <c r="A62" i="3"/>
  <c r="V61" i="3"/>
  <c r="U61" i="3"/>
  <c r="T61" i="3"/>
  <c r="A61" i="3"/>
  <c r="V60" i="3"/>
  <c r="U60" i="3"/>
  <c r="T60" i="3"/>
  <c r="A60" i="3"/>
  <c r="V59" i="3"/>
  <c r="U59" i="3"/>
  <c r="T59" i="3"/>
  <c r="A59" i="3"/>
  <c r="V58" i="3"/>
  <c r="A58" i="3"/>
  <c r="V57" i="3"/>
  <c r="A57" i="3"/>
  <c r="V56" i="3"/>
  <c r="U56" i="3"/>
  <c r="T56" i="3"/>
  <c r="A56" i="3"/>
  <c r="V55" i="3"/>
  <c r="U55" i="3"/>
  <c r="T55" i="3"/>
  <c r="A55" i="3"/>
  <c r="V54" i="3"/>
  <c r="U54" i="3"/>
  <c r="T54" i="3"/>
  <c r="A54" i="3"/>
  <c r="V53" i="3"/>
  <c r="U53" i="3"/>
  <c r="T53" i="3"/>
  <c r="A53" i="3"/>
  <c r="V52" i="3"/>
  <c r="U52" i="3"/>
  <c r="T52" i="3"/>
  <c r="A52" i="3"/>
  <c r="V51" i="3"/>
  <c r="U51" i="3"/>
  <c r="T51" i="3"/>
  <c r="A51" i="3"/>
  <c r="V50" i="3"/>
  <c r="U50" i="3"/>
  <c r="T50" i="3"/>
  <c r="A50" i="3"/>
  <c r="V49" i="3"/>
  <c r="U49" i="3"/>
  <c r="T49" i="3"/>
  <c r="A49" i="3"/>
  <c r="V48" i="3"/>
  <c r="U48" i="3"/>
  <c r="T48" i="3"/>
  <c r="A48" i="3"/>
  <c r="V47" i="3"/>
  <c r="U47" i="3"/>
  <c r="T47" i="3"/>
  <c r="A47" i="3"/>
  <c r="V46" i="3"/>
  <c r="U46" i="3"/>
  <c r="T46" i="3"/>
  <c r="A46" i="3"/>
  <c r="V45" i="3"/>
  <c r="U45" i="3"/>
  <c r="T45" i="3"/>
  <c r="A45" i="3"/>
  <c r="V44" i="3"/>
  <c r="U44" i="3"/>
  <c r="T44" i="3"/>
  <c r="A44" i="3"/>
  <c r="V43" i="3"/>
  <c r="U43" i="3"/>
  <c r="T43" i="3"/>
  <c r="A43" i="3"/>
  <c r="V42" i="3"/>
  <c r="U42" i="3"/>
  <c r="T42" i="3"/>
  <c r="A42" i="3"/>
  <c r="V41" i="3"/>
  <c r="U41" i="3"/>
  <c r="T41" i="3"/>
  <c r="A41" i="3"/>
  <c r="V40" i="3"/>
  <c r="U40" i="3"/>
  <c r="T40" i="3"/>
  <c r="A40" i="3"/>
  <c r="V39" i="3"/>
  <c r="U39" i="3"/>
  <c r="T39" i="3"/>
  <c r="A39" i="3"/>
  <c r="V38" i="3"/>
  <c r="U38" i="3"/>
  <c r="T38" i="3"/>
  <c r="A38" i="3"/>
  <c r="V37" i="3"/>
  <c r="U37" i="3"/>
  <c r="T37" i="3"/>
  <c r="A37" i="3"/>
  <c r="V36" i="3"/>
  <c r="U36" i="3"/>
  <c r="T36" i="3"/>
  <c r="A36" i="3"/>
  <c r="V35" i="3"/>
  <c r="U35" i="3"/>
  <c r="T35" i="3"/>
  <c r="A35" i="3"/>
  <c r="V34" i="3"/>
  <c r="U34" i="3"/>
  <c r="T34" i="3"/>
  <c r="A34" i="3"/>
  <c r="V33" i="3"/>
  <c r="U33" i="3"/>
  <c r="T33" i="3"/>
  <c r="A33" i="3"/>
  <c r="V32" i="3"/>
  <c r="U32" i="3"/>
  <c r="T32" i="3"/>
  <c r="A32" i="3"/>
  <c r="V31" i="3"/>
  <c r="U31" i="3"/>
  <c r="T31" i="3"/>
  <c r="A31" i="3"/>
  <c r="V30" i="3"/>
  <c r="U30" i="3"/>
  <c r="T30" i="3"/>
  <c r="A30" i="3"/>
  <c r="V29" i="3"/>
  <c r="U29" i="3"/>
  <c r="T29" i="3"/>
  <c r="A29" i="3"/>
  <c r="V28" i="3"/>
  <c r="U28" i="3"/>
  <c r="T28" i="3"/>
  <c r="A28" i="3"/>
  <c r="V27" i="3"/>
  <c r="U27" i="3"/>
  <c r="T27" i="3"/>
  <c r="A27" i="3"/>
  <c r="V26" i="3"/>
  <c r="U26" i="3"/>
  <c r="T26" i="3"/>
  <c r="A26" i="3"/>
  <c r="V25" i="3"/>
  <c r="U25" i="3"/>
  <c r="T25" i="3"/>
  <c r="A25" i="3"/>
  <c r="V24" i="3"/>
  <c r="U24" i="3"/>
  <c r="T24" i="3"/>
  <c r="A24" i="3"/>
  <c r="V23" i="3"/>
  <c r="U23" i="3"/>
  <c r="T23" i="3"/>
  <c r="A23" i="3"/>
  <c r="V22" i="3"/>
  <c r="U22" i="3"/>
  <c r="T22" i="3"/>
  <c r="A22" i="3"/>
  <c r="V21" i="3"/>
  <c r="U21" i="3"/>
  <c r="T21" i="3"/>
  <c r="A21" i="3"/>
  <c r="V20" i="3"/>
  <c r="U20" i="3"/>
  <c r="T20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V10" i="3"/>
  <c r="U10" i="3"/>
  <c r="T10" i="3"/>
  <c r="A10" i="3"/>
  <c r="V9" i="3"/>
  <c r="U9" i="3"/>
  <c r="T9" i="3"/>
  <c r="A9" i="3"/>
  <c r="V8" i="3"/>
  <c r="U8" i="3"/>
  <c r="T8" i="3"/>
  <c r="A8" i="3"/>
  <c r="V7" i="3"/>
  <c r="U7" i="3"/>
  <c r="T7" i="3"/>
  <c r="A7" i="3"/>
  <c r="V6" i="3"/>
  <c r="U6" i="3"/>
  <c r="T6" i="3"/>
  <c r="A6" i="3"/>
  <c r="V5" i="3"/>
  <c r="U5" i="3"/>
  <c r="T5" i="3"/>
  <c r="A5" i="3"/>
  <c r="V4" i="3"/>
  <c r="U4" i="3"/>
  <c r="T4" i="3"/>
  <c r="A4" i="3"/>
  <c r="V3" i="3"/>
  <c r="U3" i="3"/>
  <c r="T3" i="3"/>
  <c r="A3" i="3"/>
  <c r="V2" i="3"/>
  <c r="U2" i="3"/>
  <c r="T2" i="3"/>
  <c r="A2" i="3"/>
  <c r="S6" i="3" l="1"/>
  <c r="W6" i="3" s="1"/>
  <c r="S7" i="3"/>
  <c r="W7" i="3" s="1"/>
  <c r="S9" i="3"/>
  <c r="W9" i="3" s="1"/>
  <c r="S76" i="3"/>
  <c r="W76" i="3" s="1"/>
  <c r="S39" i="3"/>
  <c r="W39" i="3" s="1"/>
  <c r="S80" i="3"/>
  <c r="W80" i="3" s="1"/>
  <c r="S92" i="3"/>
  <c r="W92" i="3" s="1"/>
  <c r="S68" i="3"/>
  <c r="W68" i="3" s="1"/>
  <c r="S26" i="3"/>
  <c r="W26" i="3" s="1"/>
  <c r="S30" i="3"/>
  <c r="W30" i="3" s="1"/>
  <c r="S34" i="3"/>
  <c r="W34" i="3" s="1"/>
  <c r="S42" i="3"/>
  <c r="W42" i="3" s="1"/>
  <c r="S60" i="3"/>
  <c r="W60" i="3" s="1"/>
  <c r="S84" i="3"/>
  <c r="W84" i="3" s="1"/>
  <c r="S10" i="3"/>
  <c r="W10" i="3" s="1"/>
  <c r="S22" i="3"/>
  <c r="W22" i="3" s="1"/>
  <c r="S54" i="3"/>
  <c r="W54" i="3" s="1"/>
  <c r="S43" i="3"/>
  <c r="W43" i="3" s="1"/>
  <c r="S45" i="3"/>
  <c r="W45" i="3" s="1"/>
  <c r="S61" i="3"/>
  <c r="W61" i="3" s="1"/>
  <c r="S63" i="3"/>
  <c r="W63" i="3" s="1"/>
  <c r="S78" i="3"/>
  <c r="W78" i="3" s="1"/>
  <c r="S93" i="3"/>
  <c r="W93" i="3" s="1"/>
  <c r="S95" i="3"/>
  <c r="W95" i="3" s="1"/>
  <c r="S41" i="3"/>
  <c r="W41" i="3" s="1"/>
  <c r="S91" i="3"/>
  <c r="W91" i="3" s="1"/>
  <c r="S13" i="3"/>
  <c r="W13" i="3" s="1"/>
  <c r="S15" i="3"/>
  <c r="W15" i="3" s="1"/>
  <c r="S17" i="3"/>
  <c r="W17" i="3" s="1"/>
  <c r="S32" i="3"/>
  <c r="W32" i="3" s="1"/>
  <c r="S47" i="3"/>
  <c r="W47" i="3" s="1"/>
  <c r="S49" i="3"/>
  <c r="W49" i="3" s="1"/>
  <c r="S65" i="3"/>
  <c r="W65" i="3" s="1"/>
  <c r="S67" i="3"/>
  <c r="W67" i="3" s="1"/>
  <c r="S82" i="3"/>
  <c r="W82" i="3" s="1"/>
  <c r="S97" i="3"/>
  <c r="W97" i="3" s="1"/>
  <c r="S99" i="3"/>
  <c r="W99" i="3" s="1"/>
  <c r="S72" i="3"/>
  <c r="W72" i="3" s="1"/>
  <c r="S28" i="3"/>
  <c r="W28" i="3" s="1"/>
  <c r="S2" i="3"/>
  <c r="W2" i="3" s="1"/>
  <c r="S4" i="3"/>
  <c r="W4" i="3" s="1"/>
  <c r="S19" i="3"/>
  <c r="W19" i="3" s="1"/>
  <c r="S21" i="3"/>
  <c r="W21" i="3" s="1"/>
  <c r="S36" i="3"/>
  <c r="W36" i="3" s="1"/>
  <c r="S51" i="3"/>
  <c r="W51" i="3" s="1"/>
  <c r="S53" i="3"/>
  <c r="W53" i="3" s="1"/>
  <c r="S69" i="3"/>
  <c r="W69" i="3" s="1"/>
  <c r="S71" i="3"/>
  <c r="W71" i="3" s="1"/>
  <c r="S86" i="3"/>
  <c r="W86" i="3" s="1"/>
  <c r="S56" i="3"/>
  <c r="W56" i="3" s="1"/>
  <c r="S89" i="3"/>
  <c r="W89" i="3" s="1"/>
  <c r="S11" i="3"/>
  <c r="W11" i="3" s="1"/>
  <c r="S8" i="3"/>
  <c r="W8" i="3" s="1"/>
  <c r="S23" i="3"/>
  <c r="W23" i="3" s="1"/>
  <c r="S25" i="3"/>
  <c r="W25" i="3" s="1"/>
  <c r="S38" i="3"/>
  <c r="W38" i="3" s="1"/>
  <c r="S40" i="3"/>
  <c r="W40" i="3" s="1"/>
  <c r="S55" i="3"/>
  <c r="W55" i="3" s="1"/>
  <c r="S57" i="3"/>
  <c r="W57" i="3" s="1"/>
  <c r="S73" i="3"/>
  <c r="W73" i="3" s="1"/>
  <c r="S75" i="3"/>
  <c r="W75" i="3" s="1"/>
  <c r="S88" i="3"/>
  <c r="W88" i="3" s="1"/>
  <c r="S90" i="3"/>
  <c r="W90" i="3" s="1"/>
  <c r="S74" i="3"/>
  <c r="W74" i="3" s="1"/>
  <c r="S12" i="3"/>
  <c r="W12" i="3" s="1"/>
  <c r="S27" i="3"/>
  <c r="W27" i="3" s="1"/>
  <c r="S29" i="3"/>
  <c r="W29" i="3" s="1"/>
  <c r="S44" i="3"/>
  <c r="W44" i="3" s="1"/>
  <c r="S62" i="3"/>
  <c r="W62" i="3" s="1"/>
  <c r="S77" i="3"/>
  <c r="W77" i="3" s="1"/>
  <c r="S79" i="3"/>
  <c r="W79" i="3" s="1"/>
  <c r="S94" i="3"/>
  <c r="W94" i="3" s="1"/>
  <c r="S14" i="3"/>
  <c r="W14" i="3" s="1"/>
  <c r="S16" i="3"/>
  <c r="W16" i="3" s="1"/>
  <c r="S31" i="3"/>
  <c r="W31" i="3" s="1"/>
  <c r="S33" i="3"/>
  <c r="W33" i="3" s="1"/>
  <c r="S46" i="3"/>
  <c r="W46" i="3" s="1"/>
  <c r="S48" i="3"/>
  <c r="W48" i="3" s="1"/>
  <c r="S58" i="3"/>
  <c r="W58" i="3" s="1"/>
  <c r="S64" i="3"/>
  <c r="W64" i="3" s="1"/>
  <c r="S66" i="3"/>
  <c r="W66" i="3" s="1"/>
  <c r="S81" i="3"/>
  <c r="W81" i="3" s="1"/>
  <c r="S83" i="3"/>
  <c r="W83" i="3" s="1"/>
  <c r="S96" i="3"/>
  <c r="W96" i="3" s="1"/>
  <c r="S98" i="3"/>
  <c r="W98" i="3" s="1"/>
  <c r="S24" i="3"/>
  <c r="W24" i="3" s="1"/>
  <c r="S59" i="3"/>
  <c r="W59" i="3" s="1"/>
  <c r="S3" i="3"/>
  <c r="W3" i="3" s="1"/>
  <c r="S5" i="3"/>
  <c r="W5" i="3" s="1"/>
  <c r="S18" i="3"/>
  <c r="W18" i="3" s="1"/>
  <c r="S20" i="3"/>
  <c r="W20" i="3" s="1"/>
  <c r="S35" i="3"/>
  <c r="W35" i="3" s="1"/>
  <c r="S37" i="3"/>
  <c r="W37" i="3" s="1"/>
  <c r="S50" i="3"/>
  <c r="W50" i="3" s="1"/>
  <c r="S52" i="3"/>
  <c r="W52" i="3" s="1"/>
  <c r="S70" i="3"/>
  <c r="W70" i="3" s="1"/>
  <c r="S85" i="3"/>
  <c r="W85" i="3" s="1"/>
  <c r="S87" i="3"/>
  <c r="W87" i="3" s="1"/>
  <c r="J44" i="5"/>
  <c r="R44" i="5" s="1"/>
  <c r="J5" i="5"/>
  <c r="R5" i="5" s="1"/>
  <c r="J9" i="5"/>
  <c r="R9" i="5" s="1"/>
  <c r="J13" i="5"/>
  <c r="R13" i="5" s="1"/>
  <c r="J17" i="5"/>
  <c r="R17" i="5" s="1"/>
  <c r="J21" i="5"/>
  <c r="R21" i="5" s="1"/>
  <c r="J25" i="5"/>
  <c r="R25" i="5" s="1"/>
  <c r="J29" i="5"/>
  <c r="R29" i="5" s="1"/>
  <c r="J33" i="5"/>
  <c r="R33" i="5" s="1"/>
  <c r="J37" i="5"/>
  <c r="R37" i="5" s="1"/>
  <c r="J41" i="5"/>
  <c r="R41" i="5" s="1"/>
  <c r="J2" i="5"/>
  <c r="R2" i="5" s="1"/>
  <c r="J6" i="5"/>
  <c r="R6" i="5" s="1"/>
  <c r="J10" i="5"/>
  <c r="R10" i="5" s="1"/>
  <c r="J14" i="5"/>
  <c r="R14" i="5" s="1"/>
  <c r="J18" i="5"/>
  <c r="R18" i="5" s="1"/>
  <c r="J22" i="5"/>
  <c r="R22" i="5" s="1"/>
  <c r="J26" i="5"/>
  <c r="R26" i="5" s="1"/>
  <c r="J30" i="5"/>
  <c r="R30" i="5" s="1"/>
  <c r="J34" i="5"/>
  <c r="R34" i="5" s="1"/>
  <c r="J38" i="5"/>
  <c r="R38" i="5" s="1"/>
  <c r="J42" i="5"/>
  <c r="R42" i="5" s="1"/>
  <c r="J3" i="5"/>
  <c r="R3" i="5" s="1"/>
  <c r="J7" i="5"/>
  <c r="R7" i="5" s="1"/>
  <c r="J11" i="5"/>
  <c r="R11" i="5" s="1"/>
  <c r="J15" i="5"/>
  <c r="R15" i="5" s="1"/>
  <c r="J19" i="5"/>
  <c r="R19" i="5" s="1"/>
  <c r="J23" i="5"/>
  <c r="R23" i="5" s="1"/>
  <c r="J27" i="5"/>
  <c r="R27" i="5" s="1"/>
  <c r="J31" i="5"/>
  <c r="R31" i="5" s="1"/>
  <c r="J35" i="5"/>
  <c r="R35" i="5" s="1"/>
  <c r="J39" i="5"/>
  <c r="R39" i="5" s="1"/>
  <c r="J43" i="5"/>
  <c r="R43" i="5" s="1"/>
  <c r="J4" i="5"/>
  <c r="R4" i="5" s="1"/>
  <c r="J8" i="5"/>
  <c r="R8" i="5" s="1"/>
  <c r="J12" i="5"/>
  <c r="R12" i="5" s="1"/>
  <c r="J16" i="5"/>
  <c r="R16" i="5" s="1"/>
  <c r="J20" i="5"/>
  <c r="R20" i="5" s="1"/>
  <c r="J24" i="5"/>
  <c r="R24" i="5" s="1"/>
  <c r="J28" i="5"/>
  <c r="R28" i="5" s="1"/>
  <c r="J32" i="5"/>
  <c r="R32" i="5" s="1"/>
  <c r="J36" i="5"/>
  <c r="R36" i="5" s="1"/>
  <c r="J40" i="5"/>
  <c r="R40" i="5" s="1"/>
  <c r="X1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<sst xmlns="http://schemas.openxmlformats.org/spreadsheetml/2006/main" count="1946" uniqueCount="239">
  <si>
    <t>Style/Color</t>
  </si>
  <si>
    <t>Size</t>
  </si>
  <si>
    <t>Count</t>
  </si>
  <si>
    <t>Color</t>
  </si>
  <si>
    <t>Style</t>
  </si>
  <si>
    <t>Цена</t>
  </si>
  <si>
    <t>BLKBLK</t>
  </si>
  <si>
    <t>WHI</t>
  </si>
  <si>
    <t>O/S</t>
  </si>
  <si>
    <t>BLKWHI</t>
  </si>
  <si>
    <t>GRAWHI</t>
  </si>
  <si>
    <t>OTC</t>
  </si>
  <si>
    <t>BLK</t>
  </si>
  <si>
    <t>STN</t>
  </si>
  <si>
    <t>NAVY</t>
  </si>
  <si>
    <t>GM</t>
  </si>
  <si>
    <t>GRN</t>
  </si>
  <si>
    <t>NVYWHT</t>
  </si>
  <si>
    <t>BLAWHT</t>
  </si>
  <si>
    <t>NVYWHI</t>
  </si>
  <si>
    <t>TEAM</t>
  </si>
  <si>
    <t>LRYWHI</t>
  </si>
  <si>
    <t>SCAWHI</t>
  </si>
  <si>
    <t>BLKOTC</t>
  </si>
  <si>
    <t>MNCBLK</t>
  </si>
  <si>
    <t>STNWHI</t>
  </si>
  <si>
    <t>NOVWHI</t>
  </si>
  <si>
    <t>WHIWHI</t>
  </si>
  <si>
    <t>GRAPNK</t>
  </si>
  <si>
    <t>CARWHI</t>
  </si>
  <si>
    <t>Код команды</t>
  </si>
  <si>
    <t>Название</t>
  </si>
  <si>
    <t>Лига</t>
  </si>
  <si>
    <t>Команды</t>
  </si>
  <si>
    <t>Лиги</t>
  </si>
  <si>
    <t>Размер их</t>
  </si>
  <si>
    <t>Наш</t>
  </si>
  <si>
    <t>NEYYAN</t>
  </si>
  <si>
    <t>New York Yankees</t>
  </si>
  <si>
    <t>MLB</t>
  </si>
  <si>
    <t>Los Angeles Dodgers</t>
  </si>
  <si>
    <t>L/XL</t>
  </si>
  <si>
    <t>LOSDOD</t>
  </si>
  <si>
    <t>o/s</t>
  </si>
  <si>
    <t>CHIBUL</t>
  </si>
  <si>
    <t>Chicago Bulls</t>
  </si>
  <si>
    <t>NBA</t>
  </si>
  <si>
    <t>M/L</t>
  </si>
  <si>
    <t>LOSLAK</t>
  </si>
  <si>
    <t>Los Angeles Lakers</t>
  </si>
  <si>
    <t>S/M</t>
  </si>
  <si>
    <t>OAKATH</t>
  </si>
  <si>
    <t>Oakland Athletics</t>
  </si>
  <si>
    <t>Boston Red Sox</t>
  </si>
  <si>
    <t>7 1/2</t>
  </si>
  <si>
    <t>BOSRED</t>
  </si>
  <si>
    <t>Las Vegas Raiders</t>
  </si>
  <si>
    <t>NFL</t>
  </si>
  <si>
    <t>L</t>
  </si>
  <si>
    <t>LOSCLI</t>
  </si>
  <si>
    <t>Los Angeles Clippers</t>
  </si>
  <si>
    <t>M</t>
  </si>
  <si>
    <t>OTCBROOKLYN</t>
  </si>
  <si>
    <t>Brooklyn Nets</t>
  </si>
  <si>
    <t>S</t>
  </si>
  <si>
    <t>MIAHEA</t>
  </si>
  <si>
    <t>Miami Heat</t>
  </si>
  <si>
    <t>LASRAI</t>
  </si>
  <si>
    <t>CHELFC</t>
  </si>
  <si>
    <t>Chelsea</t>
  </si>
  <si>
    <t>EPL</t>
  </si>
  <si>
    <t>MANUTD</t>
  </si>
  <si>
    <t>Manchester United</t>
  </si>
  <si>
    <t>NEYGIA</t>
  </si>
  <si>
    <t>New York Giants</t>
  </si>
  <si>
    <t>TOTHAT</t>
  </si>
  <si>
    <t>Tottenham Hotspur</t>
  </si>
  <si>
    <t>CRYPAL</t>
  </si>
  <si>
    <t>Crystal Palace</t>
  </si>
  <si>
    <t>ATHMAD</t>
  </si>
  <si>
    <t>Atletico Madrid</t>
  </si>
  <si>
    <t>LaLiga</t>
  </si>
  <si>
    <t>FAI</t>
  </si>
  <si>
    <t>FA Ireland</t>
  </si>
  <si>
    <t>UEFA</t>
  </si>
  <si>
    <t>ATLBRA</t>
  </si>
  <si>
    <t>Atlanta Braves</t>
  </si>
  <si>
    <t>CHIWHI</t>
  </si>
  <si>
    <t>Chicago White Socks</t>
  </si>
  <si>
    <t>PITPIR</t>
  </si>
  <si>
    <t>Pittsburgh Pirates</t>
  </si>
  <si>
    <t>Средняя цена</t>
  </si>
  <si>
    <t>Name</t>
  </si>
  <si>
    <t>Рос</t>
  </si>
  <si>
    <t>Наш размер</t>
  </si>
  <si>
    <t>Страна по ГТД</t>
  </si>
  <si>
    <t>Кол-во</t>
  </si>
  <si>
    <t>ГТД</t>
  </si>
  <si>
    <t>Состав</t>
  </si>
  <si>
    <t>Описание</t>
  </si>
  <si>
    <t>Пол</t>
  </si>
  <si>
    <t>Команда</t>
  </si>
  <si>
    <t>Сумма</t>
  </si>
  <si>
    <t>Сумма по средней</t>
  </si>
  <si>
    <t>10047507-NAVY o/s  Бейсболка THE LEAGUE ATLBRA GM тёмно-синий р. o/s</t>
  </si>
  <si>
    <t>Б/р</t>
  </si>
  <si>
    <t>БАНГЛАДЕШ</t>
  </si>
  <si>
    <t>10013160/090622/3291500/1</t>
  </si>
  <si>
    <t>100% Полиэстер</t>
  </si>
  <si>
    <t>унисекс</t>
  </si>
  <si>
    <t>10047511-OTC o/s  Бейсболка THE LEAGUE BOSRED GM тёмно-синий р. o/s</t>
  </si>
  <si>
    <t>10047515-BLKWHI o/s  Бейсболка THE LEAGUE CHIWHI GM черный р. o/s</t>
  </si>
  <si>
    <t>Модель 9FIFTY с логотипом команды MLB CHICAGO WHITE SOX и логотипом New Era.</t>
  </si>
  <si>
    <t>10047531-GM o/s  Бейсболка THE LEAGUE LOSDOD GM синий р. o/s</t>
  </si>
  <si>
    <t>Модель 9FIFTY с логотипом команды MLB LOS ANGELES DODGERS и логотипом New Era.</t>
  </si>
  <si>
    <t>КИТАЙ</t>
  </si>
  <si>
    <t>10216170/160120/0009423/3</t>
  </si>
  <si>
    <t>10047538-NAVY o/s  Бейсболка THE LEAGUE NEYYAN GM тёмно-синий р. o/s</t>
  </si>
  <si>
    <t>Модель 9FIFTY с логотипом команды MLB NEW YORK YANKEES и логотипом New Era.</t>
  </si>
  <si>
    <t>10047540-GRN o/s  Бейсболка THE LEAGUE OAKATH HM зеленый р. o/s</t>
  </si>
  <si>
    <t>Модель 9FIFTY с логотипом команды MLB OAKLAND ATHLETICS и логотипом New Era.</t>
  </si>
  <si>
    <t>10047544-OTC o/s  Бейсболка THE LEAGUE PITPIR GM чёрный р. o/s</t>
  </si>
  <si>
    <t>Модель 9FIFTY с логотипом команды MLB PITTSBURGH PIRATES и логотипом New Era.</t>
  </si>
  <si>
    <t>10145636-NVYWHT M/L  Бейсболка 39THIRTY LEAGUE BASIC NEYYAN NAVY/WHITE синий р. M/L</t>
  </si>
  <si>
    <t>57-60</t>
  </si>
  <si>
    <t>97% Хлопок - 3% Эластан</t>
  </si>
  <si>
    <t>Модель 39THIRTY с логотипом команды MLB NEW YORK YANKEES и логотипом New Era.</t>
  </si>
  <si>
    <t>10145636-NVYWHT S/M  Бейсболка 39THIRTY LEAGUE BASIC NEYYAN NAVY/WHITE синий р. S/M</t>
  </si>
  <si>
    <t>54-57</t>
  </si>
  <si>
    <t>10145637-BLKBLK M/L  Бейсболка 39THIRTY LEAGUE BASIC NEYYAN BLACK/BLACK черный р. M/L</t>
  </si>
  <si>
    <t>10702070/060921/0281005/1</t>
  </si>
  <si>
    <t>10145637-BLKBLK S/M  Бейсболка 39THIRTY LEAGUE BASIC NEYYAN BLACK/BLACK черный р. S/M</t>
  </si>
  <si>
    <t>10145638-BLAWHT M/L  Бейсболка 39THIRTY LEAGUE BASIC NEYYAN BLACK/WHITE черный р. M/L</t>
  </si>
  <si>
    <t>10145638-BLAWHT S/M  Бейсболка 39THIRTY LEAGUE BASIC NEYYAN BLACK/WHITE черный р. S/M</t>
  </si>
  <si>
    <t>10531939-NVYWHI o/s  Бейсболка 940 LEAG BASIC NEYYAN NAVY/WHITE синий р. o/s</t>
  </si>
  <si>
    <t>100% Хлопок</t>
  </si>
  <si>
    <t>Бренд New Era создает кепки, которые не выходят из моды многие годы. Данная модель имеет изогнутый козырек и удобную систему регулировки размера. Хлопок обеспечивает отличную вентиляцию, для лучшего доступа воздуха предусмотрены люверсы на каждом "лепестке".</t>
  </si>
  <si>
    <t>10531941-BLKWHI o/s  Бейсболка 940 LEAG BASIC NEYYAN BLACK/WHITE чёрный р. o/s</t>
  </si>
  <si>
    <t>Отличная базовая бейсболка с объемным логотипом команды MLB New York Yankees. Выполнена из 100% хлопка.</t>
  </si>
  <si>
    <t>10531953-NVYWHI M/L  Бейсболка MLB 9FIFTY NEYYAN TEAM черный р. M/L</t>
  </si>
  <si>
    <t>10531953-NVYWHI S/M  Бейсболка MLB 9FIFTY NEYYAN TEAM черный р. S/M</t>
  </si>
  <si>
    <t>10531954-TEAM M/L  Бейсболка MLB 9FIFTY LOSDOD TEAM синий р. M/L</t>
  </si>
  <si>
    <t>10531954-TEAM S/M  Бейсболка MLB 9FIFTY LOSDOD TEAM синий р. S/M</t>
  </si>
  <si>
    <t>10531956-TEAM M/L  Бейсболка MLB 9FIFTY BOSRED TEAM черный р. M/L</t>
  </si>
  <si>
    <t>Модель 9FIFTY с логотипом команды MLB BOSTON RED и логотипом New Era.</t>
  </si>
  <si>
    <t>10531956-TEAM S/M  Бейсболка MLB 9FIFTY BOSRED TEAM черный р. S/M</t>
  </si>
  <si>
    <t>10879529-BLK M/L  Бейсболка NFL COTTON BLOCK LASRAI GREY/BLACK черный/серый р. M/L</t>
  </si>
  <si>
    <t>10879529-BLK S/M  Бейсболка NFL COTTON BLOCK LASRAI GREY/BLACK черный/серый р. S/M</t>
  </si>
  <si>
    <t>11157578-WHI o/s  Бейсболка FASHION ESS 940 NEYYAN PNKWHI розовый р. o/s</t>
  </si>
  <si>
    <t>Бейсболка модели 9Forty c логотипом команды MLB New York YANKEES и логотипом New Era. Удобная посадка и отличное качество вышивки.</t>
  </si>
  <si>
    <t>женский</t>
  </si>
  <si>
    <t>11157579-LRYWHI o/s  Бейсболка 940 LEAGUE BASIC NEYYAN LRYWHI синий р. o/s</t>
  </si>
  <si>
    <t>11180834-BLKBLK M/L  Бейсболка MLB 9FIFTY NEYYAN BLKBLK черный р. M/L</t>
  </si>
  <si>
    <t>Бейсболка модели 9Fifty с логотипом команды MLB New York Yankees и логотипом New Era. Бейсболка регулируется сзади.</t>
  </si>
  <si>
    <t>11180834-BLKBLK S/M  Бейсболка MLB 9FIFTY NEYYAN BLKBLK черный р. S/M</t>
  </si>
  <si>
    <t>11405497-LRYWHI o/s  Бейсболка CLEAN TRUCKER LOSDOD LRYWHI синий р. o/s</t>
  </si>
  <si>
    <t>Классическая бейсболка-тракер А-силуэта с логотипом клуба LOS ANGELES DODGERS и логотипом New Era.</t>
  </si>
  <si>
    <t>11405614-OTC o/s  Бейсболка THE LEAGUE CHIBUL OTC чёрный р. o/s</t>
  </si>
  <si>
    <t>Модель 9FIFTY с логотипом команды NBA CHICAGO BULLS и логотипом New Era.</t>
  </si>
  <si>
    <t>11576724-NAVY o/s  Бейсболка THE LEAGUE DETTIG HM 18 тёмно-синий р. o/s</t>
  </si>
  <si>
    <t>11579473-BLK o/s  Бейсболка CLEAN TRUCKER NEYYAN WDCBLK камуфляж р. o/s</t>
  </si>
  <si>
    <t>11588488-SCAWHI o/s  Бейсболка CLEAN TRUCKER 2 NEYYAN SCAWHI красный р. o/s</t>
  </si>
  <si>
    <t>11588490-GRAWHI o/s  Бейсболка CLEAN TRUCKER 2 NEYYAN GRAWHI серый р. o/s</t>
  </si>
  <si>
    <t>11871279-. M/L  Бейсболка STRETCH SNAP 9FIFTY NEYYAN BLKOTC чёрный р. M/L</t>
  </si>
  <si>
    <t>95% Полиэстер - 5% Эластан</t>
  </si>
  <si>
    <t>11871279-. S/M  Бейсболка STRETCH SNAP 9FIFTY NEYYAN BLKOTC чёрный р. S/M</t>
  </si>
  <si>
    <t>12051998-MNCBLK o/s  Бейсболка LEAGUE ESSENTIAL 940 NEYYAN MNCBLK камуфляж р. o/s</t>
  </si>
  <si>
    <t>Бейсболка модели 9Forty c эмблемой команды NEW YORK YANKEES и логотипом New Era.</t>
  </si>
  <si>
    <t>12052000-BLK o/s  Бейсболка LEAGUE ESSENTIAL 940 LOSDOD BLKBLK 2 чёрный р. o/s</t>
  </si>
  <si>
    <t>Бейсболка модели 9Forty c эмблемой команды LOS ANGELES DODGERS и логотипом New Era.</t>
  </si>
  <si>
    <t>12122741-BLKWHI o/s  Бейсболка ESSENTIAL 940 WMNS NEYYAN BLKWHI чёрный р. o/s</t>
  </si>
  <si>
    <t>12122742-BLKBLK o/s  Бейсболка ESSENTIAL 940 WMNS NEYYAN BLKBLK чёрный р. o/s</t>
  </si>
  <si>
    <t>12285467-WHI o/s  Бейсболка ESSENTIAL AF TRUCKER NEYYAN WHI белый р. o/s</t>
  </si>
  <si>
    <t>100% хлопок</t>
  </si>
  <si>
    <t>12380590-STN o/s  Бейсболка LEAGUE ESSENTIAL 940 NEYYAN STN 3 бежевый р. o/s</t>
  </si>
  <si>
    <t>12380594-BLK o/s  Бейсболка LEAGUE ESSENTIAL 940 NEYYAN BLK 2 чёрный р. o/s</t>
  </si>
  <si>
    <t>12380796-OTC o/s  Бейсболка TEAM COLOUR BLOCK TRUCKER NEYYAN OTC синий р. o/s</t>
  </si>
  <si>
    <t>12523893-STNWHI o/s  Бейсболка LEAGUE ESSENL 940 AF TRCKR NEYYAN STNWHI бежевый р. o/s</t>
  </si>
  <si>
    <t>12523894-NOVWHI o/s  Бейсболка LEAGUE ESSENL 940 AF TRCKR NEYYAN NOVWHI оливковый р.o/s</t>
  </si>
  <si>
    <t>12523903-WHIWHI o/s  Бейсболка DIAMOND ERA 9FORTY NEYYAN WHIWHI белый р. o/s</t>
  </si>
  <si>
    <t>12523912-BLKBLK o/s  Бейсболка BOB TEAM LOGO 940 AF TRCKR LOSDOD BLKBLK черный р. o/s</t>
  </si>
  <si>
    <t>12572845-OTC 7 1/8  Бейсболка ACPERF EMEA CHIWHI GM 5950 CHIWHI OTC чёрный р. 7 1/8</t>
  </si>
  <si>
    <t>7 1/8</t>
  </si>
  <si>
    <t>80468932-BLK o/s  Бейсболка MLB LEAGUE ESS 940 NEYYAN BLKBLK чёрный р. o/s</t>
  </si>
  <si>
    <t>80489231-GRAPNK o/s  Бейсболка TECH JERSEY 9FORTY WMN NEYYAN GRAPNK серый р. o/s</t>
  </si>
  <si>
    <t>100% полиэстер</t>
  </si>
  <si>
    <t>Женская модель 9Forty c логотипом команды MLB New York YANKEES и логотипом New Era. Удобная посадка и отличное качество вышивки.</t>
  </si>
  <si>
    <t>80524868-WHI o/s  Бейсболка WMN ESSENTIAL 940 NEYYAN WHI белый р. o/s</t>
  </si>
  <si>
    <t>80636012-CARWHI o/s  Бейсболка LEAG ESNL 940 NEYYAN CARWHI тёмно-красный р. o/s</t>
  </si>
  <si>
    <t>Группа</t>
  </si>
  <si>
    <t>СУММА</t>
  </si>
  <si>
    <t>10047507NAVY</t>
  </si>
  <si>
    <t>10047511OTC</t>
  </si>
  <si>
    <t>10047515BLKWHI</t>
  </si>
  <si>
    <t>10047531GM</t>
  </si>
  <si>
    <t>10047538NAVY</t>
  </si>
  <si>
    <t>10047540GRN</t>
  </si>
  <si>
    <t>10047544OTC</t>
  </si>
  <si>
    <t>PITTSBURGH PIRATES</t>
  </si>
  <si>
    <t>10145636NVYWHT</t>
  </si>
  <si>
    <t>10145637BLKBLK</t>
  </si>
  <si>
    <t>10145638BLAWHT</t>
  </si>
  <si>
    <t>10531939NVYWHI</t>
  </si>
  <si>
    <t>10531941BLKWHI</t>
  </si>
  <si>
    <t>10531953NVYWHI</t>
  </si>
  <si>
    <t>10531954TEAM</t>
  </si>
  <si>
    <t>10531956TEAM</t>
  </si>
  <si>
    <t>10879529BLK</t>
  </si>
  <si>
    <t>11157578WHI</t>
  </si>
  <si>
    <t>11157579LRYWHI</t>
  </si>
  <si>
    <t>11180834BLKBLK</t>
  </si>
  <si>
    <t>11405497LRYWHI</t>
  </si>
  <si>
    <t>11405614OTC</t>
  </si>
  <si>
    <t>11576724NAVY</t>
  </si>
  <si>
    <t>11579473BLK</t>
  </si>
  <si>
    <t>11588488SCAWHI</t>
  </si>
  <si>
    <t>11588490GRAWHI</t>
  </si>
  <si>
    <t>11871279BLKOTC</t>
  </si>
  <si>
    <t>12051998MNCBLK</t>
  </si>
  <si>
    <t>12052000BLK</t>
  </si>
  <si>
    <t>12122741BLKWHI</t>
  </si>
  <si>
    <t>12122742BLKBLK</t>
  </si>
  <si>
    <t>12285467WHI</t>
  </si>
  <si>
    <t>12380590STN</t>
  </si>
  <si>
    <t>12380594BLK</t>
  </si>
  <si>
    <t>12380796OTC</t>
  </si>
  <si>
    <t>12523893STNWHI</t>
  </si>
  <si>
    <t>12523894NOVWHI</t>
  </si>
  <si>
    <t>12523903WHIWHI</t>
  </si>
  <si>
    <t>12523912BLKBLK</t>
  </si>
  <si>
    <t>12572845OTC</t>
  </si>
  <si>
    <t>80468932BLK</t>
  </si>
  <si>
    <t>80489231GRAPNK</t>
  </si>
  <si>
    <t>80524868WHI</t>
  </si>
  <si>
    <t>80636012CARWHI</t>
  </si>
  <si>
    <t>Формула</t>
  </si>
  <si>
    <t>СЧ</t>
  </si>
  <si>
    <t>ONE</t>
  </si>
  <si>
    <t>ЦЕНА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</si>
</sst>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0" xfId="0" applyFont="1" applyBorder="1"/>
    <xf numFmtId="0" fontId="1" fillId="2" borderId="3" xfId="0" applyFont="1" applyFill="1" applyBorder="1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1" fontId="1" fillId="3" borderId="5" xfId="0" applyNumberFormat="1" applyFont="1" applyFill="1" applyBorder="1" applyAlignment="1">
      <alignment horizontal="center" vertical="center"/>
    </xf>
    <xf numFmtId="0" fontId="1" fillId="5" borderId="2" xfId="0" applyFont="1" applyFill="1" applyBorder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333375</xdr:colOff>
          <xdr:row>1</xdr:row>
          <xdr:rowOff>57150</xdr:rowOff>
        </xdr:from>
        <xdr:to>
          <xdr:col>24</xdr:col>
          <xdr:colOff>114300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333375</xdr:colOff>
          <xdr:row>1</xdr:row>
          <xdr:rowOff>57150</xdr:rowOff>
        </xdr:from>
        <xdr:to>
          <xdr:col>24</xdr:col>
          <xdr:colOff>114300</xdr:colOff>
          <xdr:row>3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120650</xdr:colOff>
      <xdr:row>1</xdr:row>
      <xdr:rowOff>25479</xdr:rowOff>
    </xdr:from>
    <xdr:to>
      <xdr:col>0</xdr:col>
      <xdr:colOff>1898650</xdr:colOff>
      <xdr:row>1</xdr:row>
      <xdr:rowOff>2270046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159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</xdr:row>
      <xdr:rowOff>25479</xdr:rowOff>
    </xdr:from>
    <xdr:to>
      <xdr:col>0</xdr:col>
      <xdr:colOff>1898650</xdr:colOff>
      <xdr:row>2</xdr:row>
      <xdr:rowOff>2270046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5115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</xdr:row>
      <xdr:rowOff>25479</xdr:rowOff>
    </xdr:from>
    <xdr:to>
      <xdr:col>0</xdr:col>
      <xdr:colOff>1898650</xdr:colOff>
      <xdr:row>3</xdr:row>
      <xdr:rowOff>2270046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8070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</xdr:row>
      <xdr:rowOff>25479</xdr:rowOff>
    </xdr:from>
    <xdr:to>
      <xdr:col>0</xdr:col>
      <xdr:colOff>1898650</xdr:colOff>
      <xdr:row>4</xdr:row>
      <xdr:rowOff>2270046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1025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5</xdr:row>
      <xdr:rowOff>25479</xdr:rowOff>
    </xdr:from>
    <xdr:to>
      <xdr:col>0</xdr:col>
      <xdr:colOff>1898650</xdr:colOff>
      <xdr:row>5</xdr:row>
      <xdr:rowOff>2270046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93980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6</xdr:row>
      <xdr:rowOff>25479</xdr:rowOff>
    </xdr:from>
    <xdr:to>
      <xdr:col>0</xdr:col>
      <xdr:colOff>1898650</xdr:colOff>
      <xdr:row>6</xdr:row>
      <xdr:rowOff>2270046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16936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7</xdr:row>
      <xdr:rowOff>25479</xdr:rowOff>
    </xdr:from>
    <xdr:to>
      <xdr:col>0</xdr:col>
      <xdr:colOff>1898650</xdr:colOff>
      <xdr:row>7</xdr:row>
      <xdr:rowOff>2270046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39891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8</xdr:row>
      <xdr:rowOff>25479</xdr:rowOff>
    </xdr:from>
    <xdr:to>
      <xdr:col>0</xdr:col>
      <xdr:colOff>1898650</xdr:colOff>
      <xdr:row>8</xdr:row>
      <xdr:rowOff>2270046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62846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9</xdr:row>
      <xdr:rowOff>25479</xdr:rowOff>
    </xdr:from>
    <xdr:to>
      <xdr:col>0</xdr:col>
      <xdr:colOff>1898650</xdr:colOff>
      <xdr:row>9</xdr:row>
      <xdr:rowOff>2270046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85801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11</xdr:row>
      <xdr:rowOff>25479</xdr:rowOff>
    </xdr:from>
    <xdr:to>
      <xdr:col>0</xdr:col>
      <xdr:colOff>1898650</xdr:colOff>
      <xdr:row>11</xdr:row>
      <xdr:rowOff>2270046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30569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12</xdr:row>
      <xdr:rowOff>25479</xdr:rowOff>
    </xdr:from>
    <xdr:to>
      <xdr:col>0</xdr:col>
      <xdr:colOff>1898650</xdr:colOff>
      <xdr:row>12</xdr:row>
      <xdr:rowOff>2270046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53524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13</xdr:row>
      <xdr:rowOff>25479</xdr:rowOff>
    </xdr:from>
    <xdr:to>
      <xdr:col>0</xdr:col>
      <xdr:colOff>1898650</xdr:colOff>
      <xdr:row>13</xdr:row>
      <xdr:rowOff>2270046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76479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14</xdr:row>
      <xdr:rowOff>25478</xdr:rowOff>
    </xdr:from>
    <xdr:to>
      <xdr:col>0</xdr:col>
      <xdr:colOff>1898650</xdr:colOff>
      <xdr:row>14</xdr:row>
      <xdr:rowOff>2270045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99435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15</xdr:row>
      <xdr:rowOff>25478</xdr:rowOff>
    </xdr:from>
    <xdr:to>
      <xdr:col>0</xdr:col>
      <xdr:colOff>1898650</xdr:colOff>
      <xdr:row>15</xdr:row>
      <xdr:rowOff>2270045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22390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16</xdr:row>
      <xdr:rowOff>25478</xdr:rowOff>
    </xdr:from>
    <xdr:to>
      <xdr:col>0</xdr:col>
      <xdr:colOff>1898650</xdr:colOff>
      <xdr:row>16</xdr:row>
      <xdr:rowOff>2270045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453455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17</xdr:row>
      <xdr:rowOff>25478</xdr:rowOff>
    </xdr:from>
    <xdr:to>
      <xdr:col>0</xdr:col>
      <xdr:colOff>1898650</xdr:colOff>
      <xdr:row>17</xdr:row>
      <xdr:rowOff>2270045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683007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25478</xdr:rowOff>
    </xdr:from>
    <xdr:to>
      <xdr:col>0</xdr:col>
      <xdr:colOff>1898650</xdr:colOff>
      <xdr:row>18</xdr:row>
      <xdr:rowOff>2270045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91256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20</xdr:row>
      <xdr:rowOff>25478</xdr:rowOff>
    </xdr:from>
    <xdr:to>
      <xdr:col>0</xdr:col>
      <xdr:colOff>1898650</xdr:colOff>
      <xdr:row>20</xdr:row>
      <xdr:rowOff>2270045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36976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21</xdr:row>
      <xdr:rowOff>25478</xdr:rowOff>
    </xdr:from>
    <xdr:to>
      <xdr:col>0</xdr:col>
      <xdr:colOff>1898650</xdr:colOff>
      <xdr:row>21</xdr:row>
      <xdr:rowOff>2270045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59931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22</xdr:row>
      <xdr:rowOff>25478</xdr:rowOff>
    </xdr:from>
    <xdr:to>
      <xdr:col>0</xdr:col>
      <xdr:colOff>1898650</xdr:colOff>
      <xdr:row>22</xdr:row>
      <xdr:rowOff>2270045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828865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23</xdr:row>
      <xdr:rowOff>25478</xdr:rowOff>
    </xdr:from>
    <xdr:to>
      <xdr:col>0</xdr:col>
      <xdr:colOff>1898650</xdr:colOff>
      <xdr:row>23</xdr:row>
      <xdr:rowOff>2270045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058417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24</xdr:row>
      <xdr:rowOff>25478</xdr:rowOff>
    </xdr:from>
    <xdr:to>
      <xdr:col>0</xdr:col>
      <xdr:colOff>1898650</xdr:colOff>
      <xdr:row>24</xdr:row>
      <xdr:rowOff>2270045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28797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25</xdr:row>
      <xdr:rowOff>25478</xdr:rowOff>
    </xdr:from>
    <xdr:to>
      <xdr:col>0</xdr:col>
      <xdr:colOff>1898650</xdr:colOff>
      <xdr:row>25</xdr:row>
      <xdr:rowOff>2270045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51752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27</xdr:row>
      <xdr:rowOff>25481</xdr:rowOff>
    </xdr:from>
    <xdr:to>
      <xdr:col>0</xdr:col>
      <xdr:colOff>1898650</xdr:colOff>
      <xdr:row>27</xdr:row>
      <xdr:rowOff>2270048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96996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28</xdr:row>
      <xdr:rowOff>25481</xdr:rowOff>
    </xdr:from>
    <xdr:to>
      <xdr:col>0</xdr:col>
      <xdr:colOff>1898650</xdr:colOff>
      <xdr:row>28</xdr:row>
      <xdr:rowOff>2270048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19951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29</xdr:row>
      <xdr:rowOff>25481</xdr:rowOff>
    </xdr:from>
    <xdr:to>
      <xdr:col>0</xdr:col>
      <xdr:colOff>1898650</xdr:colOff>
      <xdr:row>29</xdr:row>
      <xdr:rowOff>2270048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42906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30</xdr:row>
      <xdr:rowOff>25481</xdr:rowOff>
    </xdr:from>
    <xdr:to>
      <xdr:col>0</xdr:col>
      <xdr:colOff>1898650</xdr:colOff>
      <xdr:row>30</xdr:row>
      <xdr:rowOff>2270048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65861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32</xdr:row>
      <xdr:rowOff>25481</xdr:rowOff>
    </xdr:from>
    <xdr:to>
      <xdr:col>0</xdr:col>
      <xdr:colOff>1898650</xdr:colOff>
      <xdr:row>32</xdr:row>
      <xdr:rowOff>2270048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90722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33</xdr:row>
      <xdr:rowOff>25481</xdr:rowOff>
    </xdr:from>
    <xdr:to>
      <xdr:col>0</xdr:col>
      <xdr:colOff>1898650</xdr:colOff>
      <xdr:row>33</xdr:row>
      <xdr:rowOff>2270048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13677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34</xdr:row>
      <xdr:rowOff>25481</xdr:rowOff>
    </xdr:from>
    <xdr:to>
      <xdr:col>0</xdr:col>
      <xdr:colOff>1898650</xdr:colOff>
      <xdr:row>34</xdr:row>
      <xdr:rowOff>2270048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36632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35</xdr:row>
      <xdr:rowOff>25481</xdr:rowOff>
    </xdr:from>
    <xdr:to>
      <xdr:col>0</xdr:col>
      <xdr:colOff>1898650</xdr:colOff>
      <xdr:row>35</xdr:row>
      <xdr:rowOff>2270048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59587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36</xdr:row>
      <xdr:rowOff>25481</xdr:rowOff>
    </xdr:from>
    <xdr:to>
      <xdr:col>0</xdr:col>
      <xdr:colOff>1898650</xdr:colOff>
      <xdr:row>36</xdr:row>
      <xdr:rowOff>2270048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82543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37</xdr:row>
      <xdr:rowOff>25481</xdr:rowOff>
    </xdr:from>
    <xdr:to>
      <xdr:col>0</xdr:col>
      <xdr:colOff>1898650</xdr:colOff>
      <xdr:row>37</xdr:row>
      <xdr:rowOff>2270048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05498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38</xdr:row>
      <xdr:rowOff>25481</xdr:rowOff>
    </xdr:from>
    <xdr:to>
      <xdr:col>0</xdr:col>
      <xdr:colOff>1898650</xdr:colOff>
      <xdr:row>38</xdr:row>
      <xdr:rowOff>2270048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28453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39</xdr:row>
      <xdr:rowOff>25481</xdr:rowOff>
    </xdr:from>
    <xdr:to>
      <xdr:col>0</xdr:col>
      <xdr:colOff>1898650</xdr:colOff>
      <xdr:row>39</xdr:row>
      <xdr:rowOff>2270048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51408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41</xdr:row>
      <xdr:rowOff>25481</xdr:rowOff>
    </xdr:from>
    <xdr:to>
      <xdr:col>0</xdr:col>
      <xdr:colOff>1898650</xdr:colOff>
      <xdr:row>41</xdr:row>
      <xdr:rowOff>2270048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97128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42</xdr:row>
      <xdr:rowOff>25481</xdr:rowOff>
    </xdr:from>
    <xdr:to>
      <xdr:col>0</xdr:col>
      <xdr:colOff>1898650</xdr:colOff>
      <xdr:row>42</xdr:row>
      <xdr:rowOff>2270048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920084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43</xdr:row>
      <xdr:rowOff>25481</xdr:rowOff>
    </xdr:from>
    <xdr:to>
      <xdr:col>0</xdr:col>
      <xdr:colOff>1898650</xdr:colOff>
      <xdr:row>43</xdr:row>
      <xdr:rowOff>2270048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94303931"/>
          <a:ext cx="1778000" cy="224456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1972234</xdr:colOff>
      <xdr:row>10</xdr:row>
      <xdr:rowOff>2141284</xdr:rowOff>
    </xdr:to>
    <xdr:pic>
      <xdr:nvPicPr>
        <xdr:cNvPr id="40" name="Picture 86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850225"/>
          <a:ext cx="1972234" cy="2141284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0</xdr:col>
      <xdr:colOff>0</xdr:colOff>
      <xdr:row>18</xdr:row>
      <xdr:rowOff>2297205</xdr:rowOff>
    </xdr:from>
    <xdr:to>
      <xdr:col>0</xdr:col>
      <xdr:colOff>1961028</xdr:colOff>
      <xdr:row>19</xdr:row>
      <xdr:rowOff>2129116</xdr:rowOff>
    </xdr:to>
    <xdr:pic>
      <xdr:nvPicPr>
        <xdr:cNvPr id="41" name="Picture 2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397330"/>
          <a:ext cx="1961028" cy="2127436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0</xdr:col>
      <xdr:colOff>0</xdr:colOff>
      <xdr:row>26</xdr:row>
      <xdr:rowOff>33618</xdr:rowOff>
    </xdr:from>
    <xdr:to>
      <xdr:col>0</xdr:col>
      <xdr:colOff>1981672</xdr:colOff>
      <xdr:row>26</xdr:row>
      <xdr:rowOff>2185148</xdr:rowOff>
    </xdr:to>
    <xdr:pic>
      <xdr:nvPicPr>
        <xdr:cNvPr id="42" name="Picture 63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478893"/>
          <a:ext cx="1981672" cy="2151530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0</xdr:col>
      <xdr:colOff>11206</xdr:colOff>
      <xdr:row>40</xdr:row>
      <xdr:rowOff>33617</xdr:rowOff>
    </xdr:from>
    <xdr:to>
      <xdr:col>0</xdr:col>
      <xdr:colOff>2003198</xdr:colOff>
      <xdr:row>40</xdr:row>
      <xdr:rowOff>2196352</xdr:rowOff>
    </xdr:to>
    <xdr:pic>
      <xdr:nvPicPr>
        <xdr:cNvPr id="43" name="Picture 38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6" y="87444542"/>
          <a:ext cx="1991992" cy="2162735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4.06.2022%20NEW%20ERA%20&#8212;%20&#1079;&#1072;&#1075;&#1088;&#1091;&#1079;&#1082;&#1072;%20367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грузка"/>
      <sheetName val="Лист1"/>
    </sheetNames>
    <sheetDataSet>
      <sheetData sheetId="0"/>
      <sheetData sheetId="1">
        <row r="1">
          <cell r="E1" t="str">
            <v>Размер</v>
          </cell>
        </row>
        <row r="2">
          <cell r="B2" t="str">
            <v>96-186-18-00</v>
          </cell>
          <cell r="E2" t="str">
            <v>ONE</v>
          </cell>
          <cell r="F2" t="str">
            <v>80636012carwhi</v>
          </cell>
        </row>
        <row r="3">
          <cell r="B3" t="str">
            <v>96-185-17-00</v>
          </cell>
          <cell r="E3" t="str">
            <v>ONE</v>
          </cell>
          <cell r="F3" t="str">
            <v>80524868whi</v>
          </cell>
        </row>
        <row r="4">
          <cell r="B4" t="str">
            <v>96-184-09-00</v>
          </cell>
          <cell r="E4" t="str">
            <v>ONE</v>
          </cell>
          <cell r="F4" t="str">
            <v>80468932blk</v>
          </cell>
        </row>
        <row r="5">
          <cell r="B5" t="str">
            <v>96-183-09-57</v>
          </cell>
          <cell r="E5">
            <v>57</v>
          </cell>
          <cell r="F5" t="str">
            <v>12572845otc</v>
          </cell>
        </row>
        <row r="6">
          <cell r="B6" t="str">
            <v>96-182-09-00</v>
          </cell>
          <cell r="E6" t="str">
            <v>ONE</v>
          </cell>
          <cell r="F6" t="str">
            <v>12523912blkblk</v>
          </cell>
        </row>
        <row r="7">
          <cell r="B7" t="str">
            <v>96-181-17-00</v>
          </cell>
          <cell r="E7" t="str">
            <v>ONE</v>
          </cell>
          <cell r="F7" t="str">
            <v>12523903whiwhi</v>
          </cell>
        </row>
        <row r="8">
          <cell r="B8" t="str">
            <v>96-180-11-00</v>
          </cell>
          <cell r="E8" t="str">
            <v>ONE</v>
          </cell>
          <cell r="F8" t="str">
            <v>12523894novwhi</v>
          </cell>
        </row>
        <row r="9">
          <cell r="B9" t="str">
            <v>96-179-17-00</v>
          </cell>
          <cell r="E9" t="str">
            <v>ONE</v>
          </cell>
          <cell r="F9" t="str">
            <v>12523893stnwhi</v>
          </cell>
        </row>
        <row r="10">
          <cell r="B10" t="str">
            <v>96-178-48-00</v>
          </cell>
          <cell r="E10" t="str">
            <v>ONE</v>
          </cell>
          <cell r="F10" t="str">
            <v>12380796otc</v>
          </cell>
        </row>
        <row r="11">
          <cell r="B11" t="str">
            <v>96-177-09-00</v>
          </cell>
          <cell r="E11" t="str">
            <v>ONE</v>
          </cell>
          <cell r="F11" t="str">
            <v>12380594blk</v>
          </cell>
        </row>
        <row r="12">
          <cell r="B12" t="str">
            <v>96-176-17-00</v>
          </cell>
          <cell r="E12" t="str">
            <v>ONE</v>
          </cell>
          <cell r="F12" t="str">
            <v>12380590stn</v>
          </cell>
        </row>
        <row r="13">
          <cell r="B13" t="str">
            <v>96-175-17-00</v>
          </cell>
          <cell r="E13" t="str">
            <v>ONE</v>
          </cell>
          <cell r="F13" t="str">
            <v>12285467whi</v>
          </cell>
        </row>
        <row r="14">
          <cell r="B14" t="str">
            <v>96-174-09-00</v>
          </cell>
          <cell r="E14" t="str">
            <v>ONE</v>
          </cell>
          <cell r="F14" t="str">
            <v>12122742blkblk</v>
          </cell>
        </row>
        <row r="15">
          <cell r="B15" t="str">
            <v>96-173-09-00</v>
          </cell>
          <cell r="E15" t="str">
            <v>ONE</v>
          </cell>
          <cell r="F15" t="str">
            <v>12122741blkwhi</v>
          </cell>
        </row>
        <row r="16">
          <cell r="B16" t="str">
            <v>96-172-09-00</v>
          </cell>
          <cell r="E16" t="str">
            <v>ONE</v>
          </cell>
          <cell r="F16" t="str">
            <v>12052000blk</v>
          </cell>
        </row>
        <row r="17">
          <cell r="B17" t="str">
            <v>96-171-00-00</v>
          </cell>
          <cell r="E17" t="str">
            <v>ONE</v>
          </cell>
          <cell r="F17" t="str">
            <v>12051998mncblk</v>
          </cell>
        </row>
        <row r="18">
          <cell r="B18" t="str">
            <v>96-170-09-58</v>
          </cell>
          <cell r="E18">
            <v>58</v>
          </cell>
          <cell r="F18" t="str">
            <v>11871279blkotc</v>
          </cell>
        </row>
        <row r="19">
          <cell r="B19" t="str">
            <v>96-170-09-56</v>
          </cell>
          <cell r="E19">
            <v>56</v>
          </cell>
          <cell r="F19" t="str">
            <v>11871279blkotc</v>
          </cell>
        </row>
        <row r="20">
          <cell r="B20" t="str">
            <v>96-169-50-00</v>
          </cell>
          <cell r="E20" t="str">
            <v>ONE</v>
          </cell>
          <cell r="F20" t="str">
            <v>11588490grawhi</v>
          </cell>
        </row>
        <row r="21">
          <cell r="B21" t="str">
            <v>96-168-18-00</v>
          </cell>
          <cell r="E21" t="str">
            <v>ONE</v>
          </cell>
          <cell r="F21" t="str">
            <v>11588488scawhi</v>
          </cell>
        </row>
        <row r="22">
          <cell r="B22" t="str">
            <v>96-167-00-00</v>
          </cell>
          <cell r="E22" t="str">
            <v>ONE</v>
          </cell>
          <cell r="F22" t="str">
            <v>11579473blk</v>
          </cell>
        </row>
        <row r="23">
          <cell r="B23" t="str">
            <v>96-166-16-00</v>
          </cell>
          <cell r="E23" t="str">
            <v>ONE</v>
          </cell>
          <cell r="F23" t="str">
            <v>11576724navy</v>
          </cell>
        </row>
        <row r="24">
          <cell r="B24" t="str">
            <v>96-165-09-00</v>
          </cell>
          <cell r="E24" t="str">
            <v>ONE</v>
          </cell>
          <cell r="F24" t="str">
            <v>11405614otc</v>
          </cell>
        </row>
        <row r="25">
          <cell r="B25" t="str">
            <v>96-164-95-00</v>
          </cell>
          <cell r="E25" t="str">
            <v>ONE</v>
          </cell>
          <cell r="F25" t="str">
            <v>11405497lrywhi</v>
          </cell>
        </row>
        <row r="26">
          <cell r="B26" t="str">
            <v>96-163-09-58</v>
          </cell>
          <cell r="E26">
            <v>58</v>
          </cell>
          <cell r="F26" t="str">
            <v>11180834blkblk</v>
          </cell>
        </row>
        <row r="27">
          <cell r="B27" t="str">
            <v>96-163-09-56</v>
          </cell>
          <cell r="E27">
            <v>56</v>
          </cell>
          <cell r="F27" t="str">
            <v>11180834blkblk</v>
          </cell>
        </row>
        <row r="28">
          <cell r="B28" t="str">
            <v>96-162-06-00</v>
          </cell>
          <cell r="E28" t="str">
            <v>ONE</v>
          </cell>
          <cell r="F28" t="str">
            <v>11157579lrywhi</v>
          </cell>
        </row>
        <row r="29">
          <cell r="B29" t="str">
            <v>96-161-34-00</v>
          </cell>
          <cell r="E29" t="str">
            <v>ONE</v>
          </cell>
          <cell r="F29" t="str">
            <v>11157578whi</v>
          </cell>
        </row>
        <row r="30">
          <cell r="B30" t="str">
            <v>96-160-10-58</v>
          </cell>
          <cell r="E30">
            <v>58</v>
          </cell>
          <cell r="F30" t="str">
            <v>10879529blk</v>
          </cell>
        </row>
        <row r="31">
          <cell r="B31" t="str">
            <v>96-160-10-56</v>
          </cell>
          <cell r="E31">
            <v>56</v>
          </cell>
          <cell r="F31" t="str">
            <v>10879529blk</v>
          </cell>
        </row>
        <row r="32">
          <cell r="B32" t="str">
            <v>96-159-09-58</v>
          </cell>
          <cell r="E32">
            <v>58</v>
          </cell>
          <cell r="F32" t="str">
            <v>10531956team</v>
          </cell>
        </row>
        <row r="33">
          <cell r="B33" t="str">
            <v>96-159-09-56</v>
          </cell>
          <cell r="E33">
            <v>56</v>
          </cell>
          <cell r="F33" t="str">
            <v>10531956team</v>
          </cell>
        </row>
        <row r="34">
          <cell r="B34" t="str">
            <v>96-158-16-58</v>
          </cell>
          <cell r="E34">
            <v>58</v>
          </cell>
          <cell r="F34" t="str">
            <v>10531953nvywhi</v>
          </cell>
        </row>
        <row r="35">
          <cell r="B35" t="str">
            <v>96-158-16-56</v>
          </cell>
          <cell r="E35">
            <v>56</v>
          </cell>
          <cell r="F35" t="str">
            <v>10531953nvywhi</v>
          </cell>
        </row>
        <row r="36">
          <cell r="B36" t="str">
            <v>96-157-09-00</v>
          </cell>
          <cell r="E36" t="str">
            <v>ONE</v>
          </cell>
          <cell r="F36" t="str">
            <v>10531941blkwhi</v>
          </cell>
        </row>
        <row r="37">
          <cell r="B37" t="str">
            <v>96-156-16-00</v>
          </cell>
          <cell r="E37" t="str">
            <v>ONE</v>
          </cell>
          <cell r="F37" t="str">
            <v>10531939nvywhi</v>
          </cell>
        </row>
        <row r="38">
          <cell r="B38" t="str">
            <v>96-155-06-58</v>
          </cell>
          <cell r="E38">
            <v>58</v>
          </cell>
          <cell r="F38" t="str">
            <v>10145638blawht</v>
          </cell>
        </row>
        <row r="39">
          <cell r="B39" t="str">
            <v>96-155-06-56</v>
          </cell>
          <cell r="E39">
            <v>56</v>
          </cell>
          <cell r="F39" t="str">
            <v>10145638blawht</v>
          </cell>
        </row>
        <row r="40">
          <cell r="B40" t="str">
            <v>96-154-09-58</v>
          </cell>
          <cell r="E40">
            <v>58</v>
          </cell>
          <cell r="F40" t="str">
            <v>10145636nvywht</v>
          </cell>
        </row>
        <row r="41">
          <cell r="B41" t="str">
            <v>96-154-09-56</v>
          </cell>
          <cell r="E41">
            <v>56</v>
          </cell>
          <cell r="F41" t="str">
            <v>10145636nvywht</v>
          </cell>
        </row>
        <row r="42">
          <cell r="B42" t="str">
            <v>96-153-09-00</v>
          </cell>
          <cell r="E42" t="str">
            <v>ONE</v>
          </cell>
          <cell r="F42" t="str">
            <v>10047544otc</v>
          </cell>
        </row>
        <row r="43">
          <cell r="B43" t="str">
            <v>96-152-00-00</v>
          </cell>
          <cell r="E43" t="str">
            <v>ONE</v>
          </cell>
          <cell r="F43" t="str">
            <v>10047540grn</v>
          </cell>
        </row>
        <row r="44">
          <cell r="B44" t="str">
            <v>96-151-16-00</v>
          </cell>
          <cell r="E44" t="str">
            <v>ONE</v>
          </cell>
          <cell r="F44" t="str">
            <v>10047538navy</v>
          </cell>
        </row>
        <row r="45">
          <cell r="B45" t="str">
            <v>96-150-06-00</v>
          </cell>
          <cell r="E45" t="str">
            <v>ONE</v>
          </cell>
          <cell r="F45" t="str">
            <v>10047531gm</v>
          </cell>
        </row>
        <row r="46">
          <cell r="B46" t="str">
            <v>96-149-09-00</v>
          </cell>
          <cell r="E46" t="str">
            <v>ONE</v>
          </cell>
          <cell r="F46" t="str">
            <v>10047515blkwhi</v>
          </cell>
        </row>
        <row r="47">
          <cell r="B47" t="str">
            <v>96-148-09-00</v>
          </cell>
          <cell r="E47" t="str">
            <v>ONE</v>
          </cell>
          <cell r="F47" t="str">
            <v>10047511otc</v>
          </cell>
        </row>
        <row r="48">
          <cell r="B48" t="str">
            <v>96-147-71-00</v>
          </cell>
          <cell r="E48" t="str">
            <v>ONE</v>
          </cell>
          <cell r="F48" t="str">
            <v>10047507navy</v>
          </cell>
        </row>
        <row r="49">
          <cell r="B49" t="str">
            <v>96-047-09-58</v>
          </cell>
          <cell r="E49">
            <v>58</v>
          </cell>
          <cell r="F49" t="str">
            <v>10145637blkblk</v>
          </cell>
        </row>
        <row r="50">
          <cell r="B50" t="str">
            <v>96-047-09-56</v>
          </cell>
          <cell r="E50">
            <v>56</v>
          </cell>
          <cell r="F50" t="str">
            <v>10145637blkblk</v>
          </cell>
        </row>
        <row r="51">
          <cell r="B51" t="str">
            <v>96-012-80-00</v>
          </cell>
          <cell r="E51" t="str">
            <v>ONE</v>
          </cell>
          <cell r="F51" t="str">
            <v>80489231grapnk</v>
          </cell>
        </row>
        <row r="52">
          <cell r="B52" t="str">
            <v>96-001-18-58</v>
          </cell>
          <cell r="E52">
            <v>58</v>
          </cell>
          <cell r="F52" t="str">
            <v>10531954team</v>
          </cell>
        </row>
        <row r="53">
          <cell r="B53" t="str">
            <v>96-001-18-56</v>
          </cell>
          <cell r="E53">
            <v>56</v>
          </cell>
          <cell r="F53" t="str">
            <v>10531954team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5896E-AED8-46D7-99E5-2E8D359DA3D0}">
  <sheetPr codeName="Лист1">
    <tabColor theme="0" tint="-4.9989318521683403E-2"/>
  </sheetPr>
  <dimension ref="A1:I21"/>
  <sheetViews>
    <sheetView showGridLines="0" workbookViewId="0">
      <selection sqref="A1:C1"/>
    </sheetView>
  </sheetViews>
  <sheetFormatPr defaultRowHeight="15" x14ac:dyDescent="0.25"/>
  <cols>
    <col min="1" max="1" width="13.28515625" bestFit="1" customWidth="1"/>
    <col min="2" max="2" width="19.42578125" bestFit="1" customWidth="1"/>
    <col min="5" max="5" width="19.42578125" bestFit="1" customWidth="1"/>
    <col min="8" max="8" width="10.28515625" bestFit="1" customWidth="1"/>
    <col min="9" max="9" width="4.85546875" bestFit="1" customWidth="1"/>
  </cols>
  <sheetData>
    <row r="1" spans="1:9" s="1" customFormat="1" x14ac:dyDescent="0.25">
      <c r="A1" s="4" t="s">
        <v>30</v>
      </c>
      <c r="B1" s="4" t="s">
        <v>31</v>
      </c>
      <c r="C1" s="4" t="s">
        <v>32</v>
      </c>
      <c r="E1" s="4" t="s">
        <v>33</v>
      </c>
      <c r="F1" s="4" t="s">
        <v>34</v>
      </c>
      <c r="H1" s="4" t="s">
        <v>35</v>
      </c>
      <c r="I1" s="4" t="s">
        <v>36</v>
      </c>
    </row>
    <row r="2" spans="1:9" x14ac:dyDescent="0.25">
      <c r="A2" s="5" t="s">
        <v>37</v>
      </c>
      <c r="B2" s="5" t="s">
        <v>38</v>
      </c>
      <c r="C2" s="5" t="s">
        <v>39</v>
      </c>
      <c r="E2" s="5" t="s">
        <v>40</v>
      </c>
      <c r="F2" s="5" t="s">
        <v>39</v>
      </c>
      <c r="H2" s="5" t="s">
        <v>41</v>
      </c>
      <c r="I2" s="5">
        <v>60</v>
      </c>
    </row>
    <row r="3" spans="1:9" x14ac:dyDescent="0.25">
      <c r="A3" s="5" t="s">
        <v>42</v>
      </c>
      <c r="B3" s="5" t="s">
        <v>40</v>
      </c>
      <c r="C3" s="5" t="s">
        <v>39</v>
      </c>
      <c r="E3" s="5" t="s">
        <v>38</v>
      </c>
      <c r="F3" s="5" t="s">
        <v>39</v>
      </c>
      <c r="H3" s="5" t="s">
        <v>43</v>
      </c>
      <c r="I3" s="5" t="s">
        <v>8</v>
      </c>
    </row>
    <row r="4" spans="1:9" x14ac:dyDescent="0.25">
      <c r="A4" s="5" t="s">
        <v>44</v>
      </c>
      <c r="B4" s="5" t="s">
        <v>45</v>
      </c>
      <c r="C4" s="5" t="s">
        <v>46</v>
      </c>
      <c r="E4" s="5" t="s">
        <v>45</v>
      </c>
      <c r="F4" s="5" t="s">
        <v>46</v>
      </c>
      <c r="H4" s="5" t="s">
        <v>47</v>
      </c>
      <c r="I4" s="5">
        <v>58</v>
      </c>
    </row>
    <row r="5" spans="1:9" x14ac:dyDescent="0.25">
      <c r="A5" s="5" t="s">
        <v>48</v>
      </c>
      <c r="B5" s="5" t="s">
        <v>49</v>
      </c>
      <c r="C5" s="5" t="s">
        <v>46</v>
      </c>
      <c r="E5" s="5" t="s">
        <v>49</v>
      </c>
      <c r="F5" s="5" t="s">
        <v>46</v>
      </c>
      <c r="H5" s="5" t="s">
        <v>50</v>
      </c>
      <c r="I5" s="5">
        <v>56</v>
      </c>
    </row>
    <row r="6" spans="1:9" x14ac:dyDescent="0.25">
      <c r="A6" s="5" t="s">
        <v>51</v>
      </c>
      <c r="B6" s="5" t="s">
        <v>52</v>
      </c>
      <c r="C6" s="5" t="s">
        <v>39</v>
      </c>
      <c r="E6" s="5" t="s">
        <v>53</v>
      </c>
      <c r="F6" s="5" t="s">
        <v>39</v>
      </c>
      <c r="H6" s="5" t="s">
        <v>54</v>
      </c>
      <c r="I6" s="5">
        <v>60</v>
      </c>
    </row>
    <row r="7" spans="1:9" x14ac:dyDescent="0.25">
      <c r="A7" s="5" t="s">
        <v>55</v>
      </c>
      <c r="B7" s="5" t="s">
        <v>53</v>
      </c>
      <c r="C7" s="5" t="s">
        <v>39</v>
      </c>
      <c r="E7" s="5" t="s">
        <v>56</v>
      </c>
      <c r="F7" s="5" t="s">
        <v>57</v>
      </c>
      <c r="H7" s="5" t="s">
        <v>58</v>
      </c>
      <c r="I7" s="5">
        <v>59</v>
      </c>
    </row>
    <row r="8" spans="1:9" x14ac:dyDescent="0.25">
      <c r="A8" s="5" t="s">
        <v>59</v>
      </c>
      <c r="B8" s="5" t="s">
        <v>60</v>
      </c>
      <c r="C8" s="5" t="s">
        <v>46</v>
      </c>
      <c r="H8" s="5" t="s">
        <v>61</v>
      </c>
      <c r="I8" s="5">
        <v>57</v>
      </c>
    </row>
    <row r="9" spans="1:9" x14ac:dyDescent="0.25">
      <c r="A9" s="5" t="s">
        <v>62</v>
      </c>
      <c r="B9" s="5" t="s">
        <v>63</v>
      </c>
      <c r="C9" s="5" t="s">
        <v>46</v>
      </c>
      <c r="H9" s="5" t="s">
        <v>64</v>
      </c>
      <c r="I9" s="5">
        <v>55</v>
      </c>
    </row>
    <row r="10" spans="1:9" x14ac:dyDescent="0.25">
      <c r="A10" s="5" t="s">
        <v>65</v>
      </c>
      <c r="B10" s="5" t="s">
        <v>66</v>
      </c>
      <c r="C10" s="5" t="s">
        <v>46</v>
      </c>
    </row>
    <row r="11" spans="1:9" x14ac:dyDescent="0.25">
      <c r="A11" s="5" t="s">
        <v>67</v>
      </c>
      <c r="B11" s="5" t="s">
        <v>56</v>
      </c>
      <c r="C11" s="5" t="s">
        <v>57</v>
      </c>
    </row>
    <row r="12" spans="1:9" x14ac:dyDescent="0.25">
      <c r="A12" s="5" t="s">
        <v>68</v>
      </c>
      <c r="B12" s="5" t="s">
        <v>69</v>
      </c>
      <c r="C12" s="5" t="s">
        <v>70</v>
      </c>
    </row>
    <row r="13" spans="1:9" x14ac:dyDescent="0.25">
      <c r="A13" s="5" t="s">
        <v>71</v>
      </c>
      <c r="B13" s="5" t="s">
        <v>72</v>
      </c>
      <c r="C13" s="5" t="s">
        <v>70</v>
      </c>
    </row>
    <row r="14" spans="1:9" x14ac:dyDescent="0.25">
      <c r="A14" s="5" t="s">
        <v>73</v>
      </c>
      <c r="B14" s="5" t="s">
        <v>74</v>
      </c>
      <c r="C14" s="5" t="s">
        <v>57</v>
      </c>
    </row>
    <row r="15" spans="1:9" x14ac:dyDescent="0.25">
      <c r="A15" s="5" t="s">
        <v>75</v>
      </c>
      <c r="B15" s="5" t="s">
        <v>76</v>
      </c>
      <c r="C15" s="5" t="s">
        <v>70</v>
      </c>
    </row>
    <row r="16" spans="1:9" x14ac:dyDescent="0.25">
      <c r="A16" s="5" t="s">
        <v>77</v>
      </c>
      <c r="B16" s="5" t="s">
        <v>78</v>
      </c>
      <c r="C16" s="5" t="s">
        <v>70</v>
      </c>
    </row>
    <row r="17" spans="1:3" x14ac:dyDescent="0.25">
      <c r="A17" s="5" t="s">
        <v>79</v>
      </c>
      <c r="B17" s="5" t="s">
        <v>80</v>
      </c>
      <c r="C17" s="6" t="s">
        <v>81</v>
      </c>
    </row>
    <row r="18" spans="1:3" x14ac:dyDescent="0.25">
      <c r="A18" s="5" t="s">
        <v>82</v>
      </c>
      <c r="B18" s="5" t="s">
        <v>83</v>
      </c>
      <c r="C18" s="6" t="s">
        <v>84</v>
      </c>
    </row>
    <row r="19" spans="1:3" x14ac:dyDescent="0.25">
      <c r="A19" s="5" t="s">
        <v>85</v>
      </c>
      <c r="B19" s="5" t="s">
        <v>86</v>
      </c>
      <c r="C19" s="5" t="s">
        <v>39</v>
      </c>
    </row>
    <row r="20" spans="1:3" x14ac:dyDescent="0.25">
      <c r="A20" s="5" t="s">
        <v>87</v>
      </c>
      <c r="B20" s="5" t="s">
        <v>88</v>
      </c>
      <c r="C20" s="5" t="s">
        <v>39</v>
      </c>
    </row>
    <row r="21" spans="1:3" x14ac:dyDescent="0.25">
      <c r="A21" s="5" t="s">
        <v>89</v>
      </c>
      <c r="B21" s="5" t="s">
        <v>90</v>
      </c>
      <c r="C21" s="5" t="s">
        <v>39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58FB4-F2AB-4AE6-B62B-F50433A3610B}">
  <sheetPr codeName="Лист3" filterMode="1">
    <tabColor rgb="FFFFFF00"/>
  </sheetPr>
  <dimension ref="A1:X99"/>
  <sheetViews>
    <sheetView tabSelected="1" topLeftCell="G1" workbookViewId="0">
      <selection activeCell="M99" sqref="M2:M99"/>
    </sheetView>
  </sheetViews>
  <sheetFormatPr defaultRowHeight="15" x14ac:dyDescent="0.25"/>
  <cols>
    <col min="1" max="1" width="17" style="3" bestFit="1" customWidth="1"/>
    <col min="2" max="2" width="9" style="3" bestFit="1" customWidth="1"/>
    <col min="3" max="3" width="8.85546875" style="3" bestFit="1" customWidth="1"/>
    <col min="4" max="4" width="8.85546875" style="3" customWidth="1"/>
    <col min="5" max="5" width="25.140625" style="3" bestFit="1" customWidth="1"/>
    <col min="6" max="6" width="25.140625" style="3" customWidth="1"/>
    <col min="7" max="7" width="91.5703125" style="3" bestFit="1" customWidth="1"/>
    <col min="8" max="8" width="6.85546875" style="3" bestFit="1" customWidth="1"/>
    <col min="9" max="9" width="6.42578125" style="3" bestFit="1" customWidth="1"/>
    <col min="10" max="10" width="14.42578125" style="3" bestFit="1" customWidth="1"/>
    <col min="11" max="11" width="16.140625" style="3" bestFit="1" customWidth="1"/>
    <col min="12" max="12" width="9.5703125" style="3" customWidth="1"/>
    <col min="13" max="13" width="26.140625" style="3" bestFit="1" customWidth="1"/>
    <col min="14" max="14" width="27" style="3" bestFit="1" customWidth="1"/>
    <col min="15" max="15" width="15.7109375" style="3" customWidth="1"/>
    <col min="16" max="16" width="8.85546875" style="3" bestFit="1" customWidth="1"/>
    <col min="17" max="17" width="8" style="3" bestFit="1" customWidth="1"/>
    <col min="18" max="18" width="13.85546875" style="3" bestFit="1" customWidth="1"/>
    <col min="19" max="19" width="16.140625" style="3" bestFit="1" customWidth="1"/>
    <col min="20" max="20" width="19.42578125" style="3" bestFit="1" customWidth="1"/>
    <col min="21" max="21" width="5.140625" style="3" bestFit="1" customWidth="1"/>
    <col min="22" max="22" width="9" style="3" bestFit="1" customWidth="1"/>
    <col min="23" max="23" width="18.5703125" style="3" bestFit="1" customWidth="1"/>
    <col min="24" max="24" width="25.28515625" style="3" bestFit="1" customWidth="1"/>
  </cols>
  <sheetData>
    <row r="1" spans="1:24" s="1" customFormat="1" x14ac:dyDescent="0.25">
      <c r="A1" s="16" t="s">
        <v>0</v>
      </c>
      <c r="B1" s="15" t="s">
        <v>4</v>
      </c>
      <c r="C1" s="15" t="s">
        <v>3</v>
      </c>
      <c r="D1" s="15" t="s">
        <v>236</v>
      </c>
      <c r="E1" s="15"/>
      <c r="F1" s="15"/>
      <c r="G1" s="28" t="s">
        <v>92</v>
      </c>
      <c r="H1" s="28" t="s">
        <v>1</v>
      </c>
      <c r="I1" s="28" t="s">
        <v>93</v>
      </c>
      <c r="J1" s="28" t="s">
        <v>94</v>
      </c>
      <c r="K1" s="28" t="s">
        <v>95</v>
      </c>
      <c r="L1" s="28" t="s">
        <v>96</v>
      </c>
      <c r="M1" s="28" t="s">
        <v>97</v>
      </c>
      <c r="N1" s="28" t="s">
        <v>98</v>
      </c>
      <c r="O1" s="28" t="s">
        <v>99</v>
      </c>
      <c r="P1" s="28" t="s">
        <v>100</v>
      </c>
      <c r="Q1" s="28" t="s">
        <v>5</v>
      </c>
      <c r="R1" s="28" t="s">
        <v>30</v>
      </c>
      <c r="S1" s="16" t="s">
        <v>91</v>
      </c>
      <c r="T1" s="16" t="s">
        <v>101</v>
      </c>
      <c r="U1" s="16" t="s">
        <v>32</v>
      </c>
      <c r="V1" s="16" t="s">
        <v>102</v>
      </c>
      <c r="W1" s="16" t="s">
        <v>103</v>
      </c>
      <c r="X1" s="2" t="str">
        <f>CONCATENATE("Суммы сходятся: ",SUM(V:V)=SUM(W:W))</f>
        <v>Суммы сходятся: ИСТИНА</v>
      </c>
    </row>
    <row r="2" spans="1:24" x14ac:dyDescent="0.25">
      <c r="A2" s="3" t="str">
        <f t="shared" ref="A2:A65" si="0">B2&amp;C2</f>
        <v>10047507NAVY</v>
      </c>
      <c r="B2" s="3">
        <v>10047507</v>
      </c>
      <c r="C2" s="3" t="s">
        <v>14</v>
      </c>
      <c r="D2" s="3">
        <v>3678</v>
      </c>
      <c r="E2" s="3" t="str">
        <f>B2&amp;C2&amp;J2</f>
        <v>10047507NAVYONE</v>
      </c>
      <c r="F2" s="3" t="str" cm="1">
        <f t="array" ref="F2">_xlfn.XLOOKUP(E2,[1]Лист1!$F:$F&amp;[1]Лист1!$E:$E,[1]Лист1!$B:$B,"",0)</f>
        <v>96-147-71-00</v>
      </c>
      <c r="G2" s="3" t="s">
        <v>104</v>
      </c>
      <c r="H2" s="3" t="s">
        <v>43</v>
      </c>
      <c r="I2" s="3" t="s">
        <v>105</v>
      </c>
      <c r="J2" s="3" t="s">
        <v>237</v>
      </c>
      <c r="K2" s="3" t="s">
        <v>106</v>
      </c>
      <c r="L2" s="3">
        <v>18</v>
      </c>
      <c r="M2" s="3" t="s">
        <v>107</v>
      </c>
      <c r="N2" s="3" t="s">
        <v>108</v>
      </c>
      <c r="P2" s="3" t="s">
        <v>109</v>
      </c>
      <c r="Q2" s="3">
        <v>1687.44</v>
      </c>
      <c r="R2" s="3" t="s">
        <v>85</v>
      </c>
      <c r="S2" s="3">
        <f t="shared" ref="S2:S33" si="1">SUMIF(A:A,A2,V:V)/SUMIF(A:A,A2,L:L)</f>
        <v>1626.2700000000002</v>
      </c>
      <c r="T2" s="3" t="str">
        <f>VLOOKUP(R2,Справочник!A:B,2,0)</f>
        <v>Atlanta Braves</v>
      </c>
      <c r="U2" s="3" t="str">
        <f>VLOOKUP(R2,Справочник!A:C,3,0)</f>
        <v>MLB</v>
      </c>
      <c r="V2" s="3">
        <f>Q2*L2</f>
        <v>30373.920000000002</v>
      </c>
      <c r="W2" s="3">
        <f t="shared" ref="W2:W33" si="2">S2*L2</f>
        <v>29272.860000000004</v>
      </c>
    </row>
    <row r="3" spans="1:24" hidden="1" x14ac:dyDescent="0.25">
      <c r="A3" s="3" t="str">
        <f t="shared" si="0"/>
        <v>10047507NAVY</v>
      </c>
      <c r="B3" s="3">
        <v>10047507</v>
      </c>
      <c r="C3" s="3" t="s">
        <v>14</v>
      </c>
      <c r="D3" s="3">
        <v>3677</v>
      </c>
      <c r="E3" s="3" t="str">
        <f t="shared" ref="E3:E66" si="3">B3&amp;C3&amp;J3</f>
        <v>10047507NAVYONE</v>
      </c>
      <c r="F3" s="3" t="str" cm="1">
        <f t="array" ref="F3">_xlfn.XLOOKUP(E3,[1]Лист1!$F:$F&amp;[1]Лист1!$E:$E,[1]Лист1!$B:$B,"",0)</f>
        <v>96-147-71-00</v>
      </c>
      <c r="G3" s="3" t="s">
        <v>104</v>
      </c>
      <c r="H3" s="3" t="s">
        <v>43</v>
      </c>
      <c r="I3" s="3" t="s">
        <v>105</v>
      </c>
      <c r="J3" s="3" t="s">
        <v>237</v>
      </c>
      <c r="K3" s="3" t="s">
        <v>106</v>
      </c>
      <c r="L3" s="3">
        <v>6</v>
      </c>
      <c r="M3" s="3" t="s">
        <v>107</v>
      </c>
      <c r="N3" s="3" t="s">
        <v>108</v>
      </c>
      <c r="P3" s="3" t="s">
        <v>109</v>
      </c>
      <c r="Q3" s="3">
        <v>1442.76</v>
      </c>
      <c r="R3" s="3" t="s">
        <v>85</v>
      </c>
      <c r="S3" s="3">
        <f t="shared" si="1"/>
        <v>1626.2700000000002</v>
      </c>
      <c r="T3" s="3" t="str">
        <f>VLOOKUP(R3,Справочник!A:B,2,0)</f>
        <v>Atlanta Braves</v>
      </c>
      <c r="U3" s="3" t="str">
        <f>VLOOKUP(R3,Справочник!A:C,3,0)</f>
        <v>MLB</v>
      </c>
      <c r="V3" s="3">
        <f t="shared" ref="V3:V66" si="4">Q3*L3</f>
        <v>8656.56</v>
      </c>
      <c r="W3" s="3">
        <f t="shared" si="2"/>
        <v>9757.6200000000008</v>
      </c>
    </row>
    <row r="4" spans="1:24" hidden="1" x14ac:dyDescent="0.25">
      <c r="A4" s="3" t="str">
        <f t="shared" si="0"/>
        <v>10047511OTC</v>
      </c>
      <c r="B4" s="3">
        <v>10047511</v>
      </c>
      <c r="C4" s="3" t="s">
        <v>11</v>
      </c>
      <c r="D4" s="3">
        <v>3677</v>
      </c>
      <c r="E4" s="3" t="str">
        <f t="shared" si="3"/>
        <v>10047511OTCONE</v>
      </c>
      <c r="F4" s="3" t="str" cm="1">
        <f t="array" ref="F4">_xlfn.XLOOKUP(E4,[1]Лист1!$F:$F&amp;[1]Лист1!$E:$E,[1]Лист1!$B:$B,"",0)</f>
        <v>96-148-09-00</v>
      </c>
      <c r="G4" s="3" t="s">
        <v>110</v>
      </c>
      <c r="H4" s="3" t="s">
        <v>43</v>
      </c>
      <c r="I4" s="3" t="s">
        <v>105</v>
      </c>
      <c r="J4" s="3" t="s">
        <v>237</v>
      </c>
      <c r="K4" s="3" t="s">
        <v>106</v>
      </c>
      <c r="L4" s="3">
        <v>6</v>
      </c>
      <c r="M4" s="3" t="s">
        <v>107</v>
      </c>
      <c r="N4" s="3" t="s">
        <v>108</v>
      </c>
      <c r="P4" s="3" t="s">
        <v>109</v>
      </c>
      <c r="Q4" s="3">
        <v>1442.76</v>
      </c>
      <c r="R4" s="3" t="s">
        <v>55</v>
      </c>
      <c r="S4" s="3">
        <f t="shared" si="1"/>
        <v>1380.8866666666665</v>
      </c>
      <c r="T4" s="3" t="str">
        <f>VLOOKUP(R4,Справочник!A:B,2,0)</f>
        <v>Boston Red Sox</v>
      </c>
      <c r="U4" s="3" t="str">
        <f>VLOOKUP(R4,Справочник!A:C,3,0)</f>
        <v>MLB</v>
      </c>
      <c r="V4" s="3">
        <f t="shared" si="4"/>
        <v>8656.56</v>
      </c>
      <c r="W4" s="3">
        <f t="shared" si="2"/>
        <v>8285.32</v>
      </c>
    </row>
    <row r="5" spans="1:24" x14ac:dyDescent="0.25">
      <c r="A5" s="3" t="str">
        <f t="shared" si="0"/>
        <v>10047511OTC</v>
      </c>
      <c r="B5" s="3">
        <v>10047511</v>
      </c>
      <c r="C5" s="3" t="s">
        <v>11</v>
      </c>
      <c r="D5" s="3">
        <v>3678</v>
      </c>
      <c r="E5" s="3" t="str">
        <f t="shared" si="3"/>
        <v>10047511OTCONE</v>
      </c>
      <c r="F5" s="3" t="str" cm="1">
        <f t="array" ref="F5">_xlfn.XLOOKUP(E5,[1]Лист1!$F:$F&amp;[1]Лист1!$E:$E,[1]Лист1!$B:$B,"",0)</f>
        <v>96-148-09-00</v>
      </c>
      <c r="G5" s="3" t="s">
        <v>110</v>
      </c>
      <c r="H5" s="3" t="s">
        <v>43</v>
      </c>
      <c r="I5" s="3" t="s">
        <v>105</v>
      </c>
      <c r="J5" s="3" t="s">
        <v>237</v>
      </c>
      <c r="K5" s="3" t="s">
        <v>106</v>
      </c>
      <c r="L5" s="3">
        <v>12</v>
      </c>
      <c r="M5" s="3" t="s">
        <v>107</v>
      </c>
      <c r="N5" s="3" t="s">
        <v>108</v>
      </c>
      <c r="P5" s="3" t="s">
        <v>109</v>
      </c>
      <c r="Q5" s="3">
        <v>1349.95</v>
      </c>
      <c r="R5" s="3" t="s">
        <v>55</v>
      </c>
      <c r="S5" s="3">
        <f t="shared" si="1"/>
        <v>1380.8866666666665</v>
      </c>
      <c r="T5" s="3" t="str">
        <f>VLOOKUP(R5,Справочник!A:B,2,0)</f>
        <v>Boston Red Sox</v>
      </c>
      <c r="U5" s="3" t="str">
        <f>VLOOKUP(R5,Справочник!A:C,3,0)</f>
        <v>MLB</v>
      </c>
      <c r="V5" s="3">
        <f t="shared" si="4"/>
        <v>16199.400000000001</v>
      </c>
      <c r="W5" s="3">
        <f t="shared" si="2"/>
        <v>16570.64</v>
      </c>
    </row>
    <row r="6" spans="1:24" x14ac:dyDescent="0.25">
      <c r="A6" s="3" t="str">
        <f t="shared" si="0"/>
        <v>10047515BLKWHI</v>
      </c>
      <c r="B6" s="3">
        <v>10047515</v>
      </c>
      <c r="C6" s="3" t="s">
        <v>9</v>
      </c>
      <c r="D6" s="3">
        <v>3678</v>
      </c>
      <c r="E6" s="3" t="str">
        <f t="shared" si="3"/>
        <v>10047515BLKWHIONE</v>
      </c>
      <c r="F6" s="3" t="str" cm="1">
        <f t="array" ref="F6">_xlfn.XLOOKUP(E6,[1]Лист1!$F:$F&amp;[1]Лист1!$E:$E,[1]Лист1!$B:$B,"",0)</f>
        <v>96-149-09-00</v>
      </c>
      <c r="G6" s="3" t="s">
        <v>111</v>
      </c>
      <c r="H6" s="3" t="s">
        <v>43</v>
      </c>
      <c r="I6" s="3" t="s">
        <v>105</v>
      </c>
      <c r="J6" s="3" t="s">
        <v>237</v>
      </c>
      <c r="K6" s="3" t="s">
        <v>106</v>
      </c>
      <c r="L6" s="3">
        <v>12</v>
      </c>
      <c r="M6" s="3" t="s">
        <v>107</v>
      </c>
      <c r="N6" s="3" t="s">
        <v>108</v>
      </c>
      <c r="O6" s="3" t="s">
        <v>112</v>
      </c>
      <c r="P6" s="3" t="s">
        <v>109</v>
      </c>
      <c r="Q6" s="3">
        <v>1349.95</v>
      </c>
      <c r="R6" s="3" t="s">
        <v>87</v>
      </c>
      <c r="S6" s="3">
        <f t="shared" si="1"/>
        <v>1380.8866666666665</v>
      </c>
      <c r="T6" s="3" t="str">
        <f>VLOOKUP(R6,Справочник!A:B,2,0)</f>
        <v>Chicago White Socks</v>
      </c>
      <c r="U6" s="3" t="str">
        <f>VLOOKUP(R6,Справочник!A:C,3,0)</f>
        <v>MLB</v>
      </c>
      <c r="V6" s="3">
        <f t="shared" si="4"/>
        <v>16199.400000000001</v>
      </c>
      <c r="W6" s="3">
        <f t="shared" si="2"/>
        <v>16570.64</v>
      </c>
    </row>
    <row r="7" spans="1:24" hidden="1" x14ac:dyDescent="0.25">
      <c r="A7" s="3" t="str">
        <f t="shared" si="0"/>
        <v>10047515BLKWHI</v>
      </c>
      <c r="B7" s="3">
        <v>10047515</v>
      </c>
      <c r="C7" s="3" t="s">
        <v>9</v>
      </c>
      <c r="D7" s="3">
        <v>3677</v>
      </c>
      <c r="E7" s="3" t="str">
        <f t="shared" si="3"/>
        <v>10047515BLKWHIONE</v>
      </c>
      <c r="F7" s="3" t="str" cm="1">
        <f t="array" ref="F7">_xlfn.XLOOKUP(E7,[1]Лист1!$F:$F&amp;[1]Лист1!$E:$E,[1]Лист1!$B:$B,"",0)</f>
        <v>96-149-09-00</v>
      </c>
      <c r="G7" s="3" t="s">
        <v>111</v>
      </c>
      <c r="H7" s="3" t="s">
        <v>43</v>
      </c>
      <c r="I7" s="3" t="s">
        <v>105</v>
      </c>
      <c r="J7" s="3" t="s">
        <v>237</v>
      </c>
      <c r="K7" s="3" t="s">
        <v>106</v>
      </c>
      <c r="L7" s="3">
        <v>6</v>
      </c>
      <c r="M7" s="3" t="s">
        <v>107</v>
      </c>
      <c r="N7" s="3" t="s">
        <v>108</v>
      </c>
      <c r="O7" s="3" t="s">
        <v>112</v>
      </c>
      <c r="P7" s="3" t="s">
        <v>109</v>
      </c>
      <c r="Q7" s="3">
        <v>1442.76</v>
      </c>
      <c r="R7" s="3" t="s">
        <v>87</v>
      </c>
      <c r="S7" s="3">
        <f t="shared" si="1"/>
        <v>1380.8866666666665</v>
      </c>
      <c r="T7" s="3" t="str">
        <f>VLOOKUP(R7,Справочник!A:B,2,0)</f>
        <v>Chicago White Socks</v>
      </c>
      <c r="U7" s="3" t="str">
        <f>VLOOKUP(R7,Справочник!A:C,3,0)</f>
        <v>MLB</v>
      </c>
      <c r="V7" s="3">
        <f t="shared" si="4"/>
        <v>8656.56</v>
      </c>
      <c r="W7" s="3">
        <f t="shared" si="2"/>
        <v>8285.32</v>
      </c>
    </row>
    <row r="8" spans="1:24" x14ac:dyDescent="0.25">
      <c r="A8" s="3" t="str">
        <f t="shared" si="0"/>
        <v>10047531GM</v>
      </c>
      <c r="B8" s="3">
        <v>10047531</v>
      </c>
      <c r="C8" s="3" t="s">
        <v>15</v>
      </c>
      <c r="D8" s="3">
        <v>3678</v>
      </c>
      <c r="E8" s="3" t="str">
        <f t="shared" si="3"/>
        <v>10047531GMONE</v>
      </c>
      <c r="F8" s="3" t="str" cm="1">
        <f t="array" ref="F8">_xlfn.XLOOKUP(E8,[1]Лист1!$F:$F&amp;[1]Лист1!$E:$E,[1]Лист1!$B:$B,"",0)</f>
        <v>96-150-06-00</v>
      </c>
      <c r="G8" s="3" t="s">
        <v>113</v>
      </c>
      <c r="H8" s="3" t="s">
        <v>43</v>
      </c>
      <c r="I8" s="3" t="s">
        <v>105</v>
      </c>
      <c r="J8" s="3" t="s">
        <v>237</v>
      </c>
      <c r="K8" s="3" t="s">
        <v>106</v>
      </c>
      <c r="L8" s="3">
        <v>24</v>
      </c>
      <c r="M8" s="3" t="s">
        <v>107</v>
      </c>
      <c r="N8" s="3" t="s">
        <v>108</v>
      </c>
      <c r="O8" s="3" t="s">
        <v>114</v>
      </c>
      <c r="P8" s="3" t="s">
        <v>109</v>
      </c>
      <c r="Q8" s="3">
        <v>1687.44</v>
      </c>
      <c r="R8" s="3" t="s">
        <v>42</v>
      </c>
      <c r="S8" s="3">
        <f t="shared" si="1"/>
        <v>1668.6184615384614</v>
      </c>
      <c r="T8" s="3" t="str">
        <f>VLOOKUP(R8,Справочник!A:B,2,0)</f>
        <v>Los Angeles Dodgers</v>
      </c>
      <c r="U8" s="3" t="str">
        <f>VLOOKUP(R8,Справочник!A:C,3,0)</f>
        <v>MLB</v>
      </c>
      <c r="V8" s="3">
        <f t="shared" si="4"/>
        <v>40498.559999999998</v>
      </c>
      <c r="W8" s="3">
        <f t="shared" si="2"/>
        <v>40046.843076923076</v>
      </c>
    </row>
    <row r="9" spans="1:24" hidden="1" x14ac:dyDescent="0.25">
      <c r="A9" s="3" t="str">
        <f t="shared" si="0"/>
        <v>10047531GM</v>
      </c>
      <c r="B9" s="3">
        <v>10047531</v>
      </c>
      <c r="C9" s="3" t="s">
        <v>15</v>
      </c>
      <c r="D9" s="3">
        <v>3677</v>
      </c>
      <c r="E9" s="3" t="str">
        <f t="shared" si="3"/>
        <v>10047531GMONE</v>
      </c>
      <c r="F9" s="3" t="str" cm="1">
        <f t="array" ref="F9">_xlfn.XLOOKUP(E9,[1]Лист1!$F:$F&amp;[1]Лист1!$E:$E,[1]Лист1!$B:$B,"",0)</f>
        <v>96-150-06-00</v>
      </c>
      <c r="G9" s="3" t="s">
        <v>113</v>
      </c>
      <c r="H9" s="3" t="s">
        <v>43</v>
      </c>
      <c r="I9" s="3" t="s">
        <v>105</v>
      </c>
      <c r="J9" s="3" t="s">
        <v>237</v>
      </c>
      <c r="K9" s="3" t="s">
        <v>115</v>
      </c>
      <c r="L9" s="3">
        <v>2</v>
      </c>
      <c r="M9" s="3" t="s">
        <v>116</v>
      </c>
      <c r="N9" s="3" t="s">
        <v>108</v>
      </c>
      <c r="O9" s="3" t="s">
        <v>114</v>
      </c>
      <c r="P9" s="3" t="s">
        <v>109</v>
      </c>
      <c r="Q9" s="3">
        <v>1442.76</v>
      </c>
      <c r="R9" s="3" t="s">
        <v>42</v>
      </c>
      <c r="S9" s="3">
        <f t="shared" si="1"/>
        <v>1668.6184615384614</v>
      </c>
      <c r="T9" s="3" t="str">
        <f>VLOOKUP(R9,Справочник!A:B,2,0)</f>
        <v>Los Angeles Dodgers</v>
      </c>
      <c r="U9" s="3" t="str">
        <f>VLOOKUP(R9,Справочник!A:C,3,0)</f>
        <v>MLB</v>
      </c>
      <c r="V9" s="3">
        <f t="shared" si="4"/>
        <v>2885.52</v>
      </c>
      <c r="W9" s="3">
        <f t="shared" si="2"/>
        <v>3337.2369230769227</v>
      </c>
    </row>
    <row r="10" spans="1:24" hidden="1" x14ac:dyDescent="0.25">
      <c r="A10" s="3" t="str">
        <f t="shared" si="0"/>
        <v>10047538NAVY</v>
      </c>
      <c r="B10" s="3">
        <v>10047538</v>
      </c>
      <c r="C10" s="3" t="s">
        <v>14</v>
      </c>
      <c r="D10" s="3">
        <v>3677</v>
      </c>
      <c r="E10" s="3" t="str">
        <f t="shared" si="3"/>
        <v>10047538NAVYONE</v>
      </c>
      <c r="F10" s="3" t="str" cm="1">
        <f t="array" ref="F10">_xlfn.XLOOKUP(E10,[1]Лист1!$F:$F&amp;[1]Лист1!$E:$E,[1]Лист1!$B:$B,"",0)</f>
        <v>96-151-16-00</v>
      </c>
      <c r="G10" s="3" t="s">
        <v>117</v>
      </c>
      <c r="H10" s="3" t="s">
        <v>43</v>
      </c>
      <c r="I10" s="3" t="s">
        <v>105</v>
      </c>
      <c r="J10" s="3" t="s">
        <v>237</v>
      </c>
      <c r="K10" s="3" t="s">
        <v>106</v>
      </c>
      <c r="L10" s="3">
        <v>20</v>
      </c>
      <c r="M10" s="3" t="s">
        <v>107</v>
      </c>
      <c r="N10" s="3" t="s">
        <v>108</v>
      </c>
      <c r="O10" s="3" t="s">
        <v>118</v>
      </c>
      <c r="P10" s="3" t="s">
        <v>109</v>
      </c>
      <c r="Q10" s="3">
        <v>1442.76</v>
      </c>
      <c r="R10" s="3" t="s">
        <v>37</v>
      </c>
      <c r="S10" s="3">
        <f t="shared" si="1"/>
        <v>1379.8887096774195</v>
      </c>
      <c r="T10" s="3" t="str">
        <f>VLOOKUP(R10,Справочник!A:B,2,0)</f>
        <v>New York Yankees</v>
      </c>
      <c r="U10" s="3" t="str">
        <f>VLOOKUP(R10,Справочник!A:C,3,0)</f>
        <v>MLB</v>
      </c>
      <c r="V10" s="3">
        <f t="shared" si="4"/>
        <v>28855.200000000001</v>
      </c>
      <c r="W10" s="3">
        <f t="shared" si="2"/>
        <v>27597.77419354839</v>
      </c>
    </row>
    <row r="11" spans="1:24" x14ac:dyDescent="0.25">
      <c r="A11" s="3" t="str">
        <f t="shared" si="0"/>
        <v>10047538NAVY</v>
      </c>
      <c r="B11" s="3">
        <v>10047538</v>
      </c>
      <c r="C11" s="3" t="s">
        <v>14</v>
      </c>
      <c r="D11" s="3">
        <v>3678</v>
      </c>
      <c r="E11" s="3" t="str">
        <f t="shared" si="3"/>
        <v>10047538NAVYONE</v>
      </c>
      <c r="F11" s="3" t="str" cm="1">
        <f t="array" ref="F11">_xlfn.XLOOKUP(E11,[1]Лист1!$F:$F&amp;[1]Лист1!$E:$E,[1]Лист1!$B:$B,"",0)</f>
        <v>96-151-16-00</v>
      </c>
      <c r="G11" s="3" t="s">
        <v>117</v>
      </c>
      <c r="H11" s="3" t="s">
        <v>43</v>
      </c>
      <c r="I11" s="3" t="s">
        <v>105</v>
      </c>
      <c r="J11" s="3" t="s">
        <v>237</v>
      </c>
      <c r="K11" s="3" t="s">
        <v>106</v>
      </c>
      <c r="L11" s="3">
        <v>42</v>
      </c>
      <c r="M11" s="3" t="s">
        <v>107</v>
      </c>
      <c r="N11" s="3" t="s">
        <v>108</v>
      </c>
      <c r="O11" s="3" t="s">
        <v>118</v>
      </c>
      <c r="P11" s="3" t="s">
        <v>109</v>
      </c>
      <c r="Q11" s="3">
        <v>1349.95</v>
      </c>
      <c r="R11" s="3" t="s">
        <v>37</v>
      </c>
      <c r="S11" s="3">
        <f t="shared" si="1"/>
        <v>1379.8887096774195</v>
      </c>
      <c r="T11" s="3" t="str">
        <f>VLOOKUP(R11,Справочник!A:B,2,0)</f>
        <v>New York Yankees</v>
      </c>
      <c r="U11" s="3" t="str">
        <f>VLOOKUP(R11,Справочник!A:C,3,0)</f>
        <v>MLB</v>
      </c>
      <c r="V11" s="3">
        <f t="shared" si="4"/>
        <v>56697.9</v>
      </c>
      <c r="W11" s="3">
        <f t="shared" si="2"/>
        <v>57955.325806451619</v>
      </c>
    </row>
    <row r="12" spans="1:24" hidden="1" x14ac:dyDescent="0.25">
      <c r="A12" s="3" t="str">
        <f t="shared" si="0"/>
        <v>10047540GRN</v>
      </c>
      <c r="B12" s="3">
        <v>10047540</v>
      </c>
      <c r="C12" s="3" t="s">
        <v>16</v>
      </c>
      <c r="D12" s="3">
        <v>3677</v>
      </c>
      <c r="E12" s="3" t="str">
        <f t="shared" si="3"/>
        <v>10047540GRNONE</v>
      </c>
      <c r="F12" s="3" t="str" cm="1">
        <f t="array" ref="F12">_xlfn.XLOOKUP(E12,[1]Лист1!$F:$F&amp;[1]Лист1!$E:$E,[1]Лист1!$B:$B,"",0)</f>
        <v>96-152-00-00</v>
      </c>
      <c r="G12" s="3" t="s">
        <v>119</v>
      </c>
      <c r="H12" s="3" t="s">
        <v>43</v>
      </c>
      <c r="I12" s="3" t="s">
        <v>105</v>
      </c>
      <c r="J12" s="3" t="s">
        <v>237</v>
      </c>
      <c r="K12" s="3" t="s">
        <v>106</v>
      </c>
      <c r="L12" s="3">
        <v>6</v>
      </c>
      <c r="M12" s="3" t="s">
        <v>107</v>
      </c>
      <c r="N12" s="3" t="s">
        <v>108</v>
      </c>
      <c r="O12" s="3" t="s">
        <v>120</v>
      </c>
      <c r="P12" s="3" t="s">
        <v>109</v>
      </c>
      <c r="Q12" s="3">
        <v>1442.76</v>
      </c>
      <c r="R12" s="3" t="s">
        <v>51</v>
      </c>
      <c r="S12" s="3">
        <f t="shared" si="1"/>
        <v>1368.5119999999999</v>
      </c>
      <c r="T12" s="3" t="str">
        <f>VLOOKUP(R12,Справочник!A:B,2,0)</f>
        <v>Oakland Athletics</v>
      </c>
      <c r="U12" s="3" t="str">
        <f>VLOOKUP(R12,Справочник!A:C,3,0)</f>
        <v>MLB</v>
      </c>
      <c r="V12" s="3">
        <f t="shared" si="4"/>
        <v>8656.56</v>
      </c>
      <c r="W12" s="3">
        <f t="shared" si="2"/>
        <v>8211.0720000000001</v>
      </c>
    </row>
    <row r="13" spans="1:24" x14ac:dyDescent="0.25">
      <c r="A13" s="3" t="str">
        <f t="shared" si="0"/>
        <v>10047540GRN</v>
      </c>
      <c r="B13" s="3">
        <v>10047540</v>
      </c>
      <c r="C13" s="3" t="s">
        <v>16</v>
      </c>
      <c r="D13" s="3">
        <v>3678</v>
      </c>
      <c r="E13" s="3" t="str">
        <f t="shared" si="3"/>
        <v>10047540GRNONE</v>
      </c>
      <c r="F13" s="3" t="str" cm="1">
        <f t="array" ref="F13">_xlfn.XLOOKUP(E13,[1]Лист1!$F:$F&amp;[1]Лист1!$E:$E,[1]Лист1!$B:$B,"",0)</f>
        <v>96-152-00-00</v>
      </c>
      <c r="G13" s="3" t="s">
        <v>119</v>
      </c>
      <c r="H13" s="3" t="s">
        <v>43</v>
      </c>
      <c r="I13" s="3" t="s">
        <v>105</v>
      </c>
      <c r="J13" s="3" t="s">
        <v>237</v>
      </c>
      <c r="K13" s="3" t="s">
        <v>106</v>
      </c>
      <c r="L13" s="3">
        <v>24</v>
      </c>
      <c r="M13" s="3" t="s">
        <v>107</v>
      </c>
      <c r="N13" s="3" t="s">
        <v>108</v>
      </c>
      <c r="O13" s="3" t="s">
        <v>120</v>
      </c>
      <c r="P13" s="3" t="s">
        <v>109</v>
      </c>
      <c r="Q13" s="3">
        <v>1349.95</v>
      </c>
      <c r="R13" s="3" t="s">
        <v>51</v>
      </c>
      <c r="S13" s="3">
        <f t="shared" si="1"/>
        <v>1368.5119999999999</v>
      </c>
      <c r="T13" s="3" t="str">
        <f>VLOOKUP(R13,Справочник!A:B,2,0)</f>
        <v>Oakland Athletics</v>
      </c>
      <c r="U13" s="3" t="str">
        <f>VLOOKUP(R13,Справочник!A:C,3,0)</f>
        <v>MLB</v>
      </c>
      <c r="V13" s="3">
        <f t="shared" si="4"/>
        <v>32398.800000000003</v>
      </c>
      <c r="W13" s="3">
        <f t="shared" si="2"/>
        <v>32844.288</v>
      </c>
    </row>
    <row r="14" spans="1:24" hidden="1" x14ac:dyDescent="0.25">
      <c r="A14" s="3" t="str">
        <f t="shared" si="0"/>
        <v>10047544OTC</v>
      </c>
      <c r="B14" s="3">
        <v>10047544</v>
      </c>
      <c r="C14" s="3" t="s">
        <v>11</v>
      </c>
      <c r="D14" s="3">
        <v>3677</v>
      </c>
      <c r="E14" s="3" t="str">
        <f t="shared" si="3"/>
        <v>10047544OTCONE</v>
      </c>
      <c r="F14" s="3" t="str" cm="1">
        <f t="array" ref="F14">_xlfn.XLOOKUP(E14,[1]Лист1!$F:$F&amp;[1]Лист1!$E:$E,[1]Лист1!$B:$B,"",0)</f>
        <v>96-153-09-00</v>
      </c>
      <c r="G14" s="3" t="s">
        <v>121</v>
      </c>
      <c r="H14" s="3" t="s">
        <v>43</v>
      </c>
      <c r="I14" s="3" t="s">
        <v>105</v>
      </c>
      <c r="J14" s="3" t="s">
        <v>237</v>
      </c>
      <c r="K14" s="3" t="s">
        <v>106</v>
      </c>
      <c r="L14" s="3">
        <v>3</v>
      </c>
      <c r="M14" s="3" t="s">
        <v>107</v>
      </c>
      <c r="N14" s="3" t="s">
        <v>108</v>
      </c>
      <c r="O14" s="3" t="s">
        <v>122</v>
      </c>
      <c r="P14" s="3" t="s">
        <v>109</v>
      </c>
      <c r="Q14" s="3">
        <v>1442.76</v>
      </c>
      <c r="R14" s="3" t="s">
        <v>89</v>
      </c>
      <c r="S14" s="3">
        <f t="shared" si="1"/>
        <v>1368.5119999999999</v>
      </c>
      <c r="T14" s="3" t="str">
        <f>VLOOKUP(R14,Справочник!A:B,2,0)</f>
        <v>Pittsburgh Pirates</v>
      </c>
      <c r="U14" s="3" t="str">
        <f>VLOOKUP(R14,Справочник!A:C,3,0)</f>
        <v>MLB</v>
      </c>
      <c r="V14" s="3">
        <f t="shared" si="4"/>
        <v>4328.28</v>
      </c>
      <c r="W14" s="3">
        <f t="shared" si="2"/>
        <v>4105.5360000000001</v>
      </c>
    </row>
    <row r="15" spans="1:24" x14ac:dyDescent="0.25">
      <c r="A15" s="3" t="str">
        <f t="shared" si="0"/>
        <v>10047544OTC</v>
      </c>
      <c r="B15" s="3">
        <v>10047544</v>
      </c>
      <c r="C15" s="3" t="s">
        <v>11</v>
      </c>
      <c r="D15" s="3">
        <v>3678</v>
      </c>
      <c r="E15" s="3" t="str">
        <f t="shared" si="3"/>
        <v>10047544OTCONE</v>
      </c>
      <c r="F15" s="3" t="str" cm="1">
        <f t="array" ref="F15">_xlfn.XLOOKUP(E15,[1]Лист1!$F:$F&amp;[1]Лист1!$E:$E,[1]Лист1!$B:$B,"",0)</f>
        <v>96-153-09-00</v>
      </c>
      <c r="G15" s="3" t="s">
        <v>121</v>
      </c>
      <c r="H15" s="3" t="s">
        <v>43</v>
      </c>
      <c r="I15" s="3" t="s">
        <v>105</v>
      </c>
      <c r="J15" s="3" t="s">
        <v>237</v>
      </c>
      <c r="K15" s="3" t="s">
        <v>106</v>
      </c>
      <c r="L15" s="3">
        <v>12</v>
      </c>
      <c r="M15" s="3" t="s">
        <v>107</v>
      </c>
      <c r="N15" s="3" t="s">
        <v>108</v>
      </c>
      <c r="O15" s="3" t="s">
        <v>122</v>
      </c>
      <c r="P15" s="3" t="s">
        <v>109</v>
      </c>
      <c r="Q15" s="3">
        <v>1349.95</v>
      </c>
      <c r="R15" s="3" t="s">
        <v>89</v>
      </c>
      <c r="S15" s="3">
        <f t="shared" si="1"/>
        <v>1368.5119999999999</v>
      </c>
      <c r="T15" s="3" t="str">
        <f>VLOOKUP(R15,Справочник!A:B,2,0)</f>
        <v>Pittsburgh Pirates</v>
      </c>
      <c r="U15" s="3" t="str">
        <f>VLOOKUP(R15,Справочник!A:C,3,0)</f>
        <v>MLB</v>
      </c>
      <c r="V15" s="3">
        <f t="shared" si="4"/>
        <v>16199.400000000001</v>
      </c>
      <c r="W15" s="3">
        <f t="shared" si="2"/>
        <v>16422.144</v>
      </c>
    </row>
    <row r="16" spans="1:24" x14ac:dyDescent="0.25">
      <c r="A16" s="3" t="str">
        <f t="shared" si="0"/>
        <v>10145636NVYWHT</v>
      </c>
      <c r="B16" s="3">
        <v>10145636</v>
      </c>
      <c r="C16" s="3" t="s">
        <v>17</v>
      </c>
      <c r="D16" s="3">
        <v>3678</v>
      </c>
      <c r="E16" s="3" t="str">
        <f t="shared" si="3"/>
        <v>10145636NVYWHT58</v>
      </c>
      <c r="F16" s="3" t="str" cm="1">
        <f t="array" ref="F16">_xlfn.XLOOKUP(E16,[1]Лист1!$F:$F&amp;[1]Лист1!$E:$E,[1]Лист1!$B:$B,"",0)</f>
        <v>96-154-09-58</v>
      </c>
      <c r="G16" s="3" t="s">
        <v>123</v>
      </c>
      <c r="H16" s="3" t="s">
        <v>47</v>
      </c>
      <c r="I16" s="3" t="s">
        <v>124</v>
      </c>
      <c r="J16" s="3">
        <v>58</v>
      </c>
      <c r="K16" s="3" t="s">
        <v>106</v>
      </c>
      <c r="L16" s="3">
        <v>15</v>
      </c>
      <c r="M16" s="3" t="s">
        <v>107</v>
      </c>
      <c r="N16" s="3" t="s">
        <v>125</v>
      </c>
      <c r="O16" s="3" t="s">
        <v>126</v>
      </c>
      <c r="P16" s="3" t="s">
        <v>109</v>
      </c>
      <c r="Q16" s="3">
        <v>1489.65</v>
      </c>
      <c r="R16" s="3" t="s">
        <v>37</v>
      </c>
      <c r="S16" s="3">
        <f t="shared" si="1"/>
        <v>1513.0580000000002</v>
      </c>
      <c r="T16" s="3" t="str">
        <f>VLOOKUP(R16,Справочник!A:B,2,0)</f>
        <v>New York Yankees</v>
      </c>
      <c r="U16" s="3" t="str">
        <f>VLOOKUP(R16,Справочник!A:C,3,0)</f>
        <v>MLB</v>
      </c>
      <c r="V16" s="3">
        <f t="shared" si="4"/>
        <v>22344.75</v>
      </c>
      <c r="W16" s="3">
        <f t="shared" si="2"/>
        <v>22695.870000000003</v>
      </c>
    </row>
    <row r="17" spans="1:23" hidden="1" x14ac:dyDescent="0.25">
      <c r="A17" s="3" t="str">
        <f t="shared" si="0"/>
        <v>10145636NVYWHT</v>
      </c>
      <c r="B17" s="3">
        <v>10145636</v>
      </c>
      <c r="C17" s="3" t="s">
        <v>17</v>
      </c>
      <c r="D17" s="3">
        <v>3677</v>
      </c>
      <c r="E17" s="3" t="str">
        <f t="shared" si="3"/>
        <v>10145636NVYWHT58</v>
      </c>
      <c r="F17" s="3" t="str" cm="1">
        <f t="array" ref="F17">_xlfn.XLOOKUP(E17,[1]Лист1!$F:$F&amp;[1]Лист1!$E:$E,[1]Лист1!$B:$B,"",0)</f>
        <v>96-154-09-58</v>
      </c>
      <c r="G17" s="3" t="s">
        <v>123</v>
      </c>
      <c r="H17" s="3" t="s">
        <v>47</v>
      </c>
      <c r="I17" s="3" t="s">
        <v>124</v>
      </c>
      <c r="J17" s="3">
        <v>58</v>
      </c>
      <c r="K17" s="3" t="s">
        <v>106</v>
      </c>
      <c r="L17" s="3">
        <v>5</v>
      </c>
      <c r="M17" s="3" t="s">
        <v>107</v>
      </c>
      <c r="N17" s="3" t="s">
        <v>125</v>
      </c>
      <c r="O17" s="3" t="s">
        <v>126</v>
      </c>
      <c r="P17" s="3" t="s">
        <v>109</v>
      </c>
      <c r="Q17" s="3">
        <v>1592.06</v>
      </c>
      <c r="R17" s="3" t="s">
        <v>37</v>
      </c>
      <c r="S17" s="3">
        <f t="shared" si="1"/>
        <v>1513.0580000000002</v>
      </c>
      <c r="T17" s="3" t="str">
        <f>VLOOKUP(R17,Справочник!A:B,2,0)</f>
        <v>New York Yankees</v>
      </c>
      <c r="U17" s="3" t="str">
        <f>VLOOKUP(R17,Справочник!A:C,3,0)</f>
        <v>MLB</v>
      </c>
      <c r="V17" s="3">
        <f t="shared" si="4"/>
        <v>7960.2999999999993</v>
      </c>
      <c r="W17" s="3">
        <f t="shared" si="2"/>
        <v>7565.2900000000009</v>
      </c>
    </row>
    <row r="18" spans="1:23" x14ac:dyDescent="0.25">
      <c r="A18" s="3" t="str">
        <f t="shared" si="0"/>
        <v>10145636NVYWHT</v>
      </c>
      <c r="B18" s="3">
        <v>10145636</v>
      </c>
      <c r="C18" s="3" t="s">
        <v>17</v>
      </c>
      <c r="D18" s="3">
        <v>3678</v>
      </c>
      <c r="E18" s="3" t="str">
        <f t="shared" si="3"/>
        <v>10145636NVYWHT56</v>
      </c>
      <c r="F18" s="3" t="str" cm="1">
        <f t="array" ref="F18">_xlfn.XLOOKUP(E18,[1]Лист1!$F:$F&amp;[1]Лист1!$E:$E,[1]Лист1!$B:$B,"",0)</f>
        <v>96-154-09-56</v>
      </c>
      <c r="G18" s="3" t="s">
        <v>127</v>
      </c>
      <c r="H18" s="3" t="s">
        <v>50</v>
      </c>
      <c r="I18" s="3" t="s">
        <v>128</v>
      </c>
      <c r="J18" s="3">
        <v>56</v>
      </c>
      <c r="K18" s="3" t="s">
        <v>106</v>
      </c>
      <c r="L18" s="3">
        <v>12</v>
      </c>
      <c r="M18" s="3" t="s">
        <v>107</v>
      </c>
      <c r="N18" s="3" t="s">
        <v>125</v>
      </c>
      <c r="O18" s="3" t="s">
        <v>126</v>
      </c>
      <c r="P18" s="3" t="s">
        <v>109</v>
      </c>
      <c r="Q18" s="3">
        <v>1489.65</v>
      </c>
      <c r="R18" s="3" t="s">
        <v>37</v>
      </c>
      <c r="S18" s="3">
        <f t="shared" si="1"/>
        <v>1513.0580000000002</v>
      </c>
      <c r="T18" s="3" t="str">
        <f>VLOOKUP(R18,Справочник!A:B,2,0)</f>
        <v>New York Yankees</v>
      </c>
      <c r="U18" s="3" t="str">
        <f>VLOOKUP(R18,Справочник!A:C,3,0)</f>
        <v>MLB</v>
      </c>
      <c r="V18" s="3">
        <f t="shared" si="4"/>
        <v>17875.800000000003</v>
      </c>
      <c r="W18" s="3">
        <f t="shared" si="2"/>
        <v>18156.696000000004</v>
      </c>
    </row>
    <row r="19" spans="1:23" hidden="1" x14ac:dyDescent="0.25">
      <c r="A19" s="3" t="str">
        <f t="shared" si="0"/>
        <v>10145636NVYWHT</v>
      </c>
      <c r="B19" s="3">
        <v>10145636</v>
      </c>
      <c r="C19" s="3" t="s">
        <v>17</v>
      </c>
      <c r="D19" s="3">
        <v>3677</v>
      </c>
      <c r="E19" s="3" t="str">
        <f t="shared" si="3"/>
        <v>10145636NVYWHT56</v>
      </c>
      <c r="F19" s="3" t="str" cm="1">
        <f t="array" ref="F19">_xlfn.XLOOKUP(E19,[1]Лист1!$F:$F&amp;[1]Лист1!$E:$E,[1]Лист1!$B:$B,"",0)</f>
        <v>96-154-09-56</v>
      </c>
      <c r="G19" s="3" t="s">
        <v>127</v>
      </c>
      <c r="H19" s="3" t="s">
        <v>50</v>
      </c>
      <c r="I19" s="3" t="s">
        <v>128</v>
      </c>
      <c r="J19" s="3">
        <v>56</v>
      </c>
      <c r="K19" s="3" t="s">
        <v>106</v>
      </c>
      <c r="L19" s="3">
        <v>3</v>
      </c>
      <c r="M19" s="3" t="s">
        <v>107</v>
      </c>
      <c r="N19" s="3" t="s">
        <v>125</v>
      </c>
      <c r="O19" s="3" t="s">
        <v>126</v>
      </c>
      <c r="P19" s="3" t="s">
        <v>109</v>
      </c>
      <c r="Q19" s="3">
        <v>1592.06</v>
      </c>
      <c r="R19" s="3" t="s">
        <v>37</v>
      </c>
      <c r="S19" s="3">
        <f t="shared" si="1"/>
        <v>1513.0580000000002</v>
      </c>
      <c r="T19" s="3" t="str">
        <f>VLOOKUP(R19,Справочник!A:B,2,0)</f>
        <v>New York Yankees</v>
      </c>
      <c r="U19" s="3" t="str">
        <f>VLOOKUP(R19,Справочник!A:C,3,0)</f>
        <v>MLB</v>
      </c>
      <c r="V19" s="3">
        <f t="shared" si="4"/>
        <v>4776.18</v>
      </c>
      <c r="W19" s="3">
        <f t="shared" si="2"/>
        <v>4539.1740000000009</v>
      </c>
    </row>
    <row r="20" spans="1:23" hidden="1" x14ac:dyDescent="0.25">
      <c r="A20" s="3" t="str">
        <f t="shared" si="0"/>
        <v>10145637BLKBLK</v>
      </c>
      <c r="B20" s="3">
        <v>10145637</v>
      </c>
      <c r="C20" s="3" t="s">
        <v>6</v>
      </c>
      <c r="D20" s="3">
        <v>3677</v>
      </c>
      <c r="E20" s="3" t="str">
        <f t="shared" si="3"/>
        <v>10145637BLKBLK58</v>
      </c>
      <c r="F20" s="3" t="str" cm="1">
        <f t="array" ref="F20">_xlfn.XLOOKUP(E20,[1]Лист1!$F:$F&amp;[1]Лист1!$E:$E,[1]Лист1!$B:$B,"",0)</f>
        <v>96-047-09-58</v>
      </c>
      <c r="G20" s="3" t="s">
        <v>129</v>
      </c>
      <c r="H20" s="3" t="s">
        <v>47</v>
      </c>
      <c r="I20" s="3" t="s">
        <v>124</v>
      </c>
      <c r="J20" s="3">
        <v>58</v>
      </c>
      <c r="K20" s="3" t="s">
        <v>106</v>
      </c>
      <c r="L20" s="3">
        <v>5</v>
      </c>
      <c r="M20" s="3" t="s">
        <v>130</v>
      </c>
      <c r="N20" s="3" t="s">
        <v>125</v>
      </c>
      <c r="O20" s="3" t="s">
        <v>126</v>
      </c>
      <c r="P20" s="3" t="s">
        <v>109</v>
      </c>
      <c r="Q20" s="3">
        <v>1592.06</v>
      </c>
      <c r="R20" s="3" t="s">
        <v>37</v>
      </c>
      <c r="S20" s="3">
        <f t="shared" si="1"/>
        <v>1513.0580000000002</v>
      </c>
      <c r="T20" s="3" t="str">
        <f>VLOOKUP(R20,Справочник!A:B,2,0)</f>
        <v>New York Yankees</v>
      </c>
      <c r="U20" s="3" t="str">
        <f>VLOOKUP(R20,Справочник!A:C,3,0)</f>
        <v>MLB</v>
      </c>
      <c r="V20" s="3">
        <f t="shared" si="4"/>
        <v>7960.2999999999993</v>
      </c>
      <c r="W20" s="3">
        <f t="shared" si="2"/>
        <v>7565.2900000000009</v>
      </c>
    </row>
    <row r="21" spans="1:23" x14ac:dyDescent="0.25">
      <c r="A21" s="3" t="str">
        <f t="shared" si="0"/>
        <v>10145637BLKBLK</v>
      </c>
      <c r="B21" s="3">
        <v>10145637</v>
      </c>
      <c r="C21" s="3" t="s">
        <v>6</v>
      </c>
      <c r="D21" s="3">
        <v>3678</v>
      </c>
      <c r="E21" s="3" t="str">
        <f t="shared" si="3"/>
        <v>10145637BLKBLK58</v>
      </c>
      <c r="F21" s="3" t="str" cm="1">
        <f t="array" ref="F21">_xlfn.XLOOKUP(E21,[1]Лист1!$F:$F&amp;[1]Лист1!$E:$E,[1]Лист1!$B:$B,"",0)</f>
        <v>96-047-09-58</v>
      </c>
      <c r="G21" s="3" t="s">
        <v>129</v>
      </c>
      <c r="H21" s="3" t="s">
        <v>47</v>
      </c>
      <c r="I21" s="3" t="s">
        <v>124</v>
      </c>
      <c r="J21" s="3">
        <v>58</v>
      </c>
      <c r="K21" s="3" t="s">
        <v>106</v>
      </c>
      <c r="L21" s="3">
        <v>15</v>
      </c>
      <c r="M21" s="3" t="s">
        <v>107</v>
      </c>
      <c r="N21" s="3" t="s">
        <v>125</v>
      </c>
      <c r="O21" s="3" t="s">
        <v>126</v>
      </c>
      <c r="P21" s="3" t="s">
        <v>109</v>
      </c>
      <c r="Q21" s="3">
        <v>1489.65</v>
      </c>
      <c r="R21" s="3" t="s">
        <v>37</v>
      </c>
      <c r="S21" s="3">
        <f t="shared" si="1"/>
        <v>1513.0580000000002</v>
      </c>
      <c r="T21" s="3" t="str">
        <f>VLOOKUP(R21,Справочник!A:B,2,0)</f>
        <v>New York Yankees</v>
      </c>
      <c r="U21" s="3" t="str">
        <f>VLOOKUP(R21,Справочник!A:C,3,0)</f>
        <v>MLB</v>
      </c>
      <c r="V21" s="3">
        <f t="shared" si="4"/>
        <v>22344.75</v>
      </c>
      <c r="W21" s="3">
        <f t="shared" si="2"/>
        <v>22695.870000000003</v>
      </c>
    </row>
    <row r="22" spans="1:23" x14ac:dyDescent="0.25">
      <c r="A22" s="3" t="str">
        <f t="shared" si="0"/>
        <v>10145637BLKBLK</v>
      </c>
      <c r="B22" s="3">
        <v>10145637</v>
      </c>
      <c r="C22" s="3" t="s">
        <v>6</v>
      </c>
      <c r="D22" s="3">
        <v>3678</v>
      </c>
      <c r="E22" s="3" t="str">
        <f t="shared" si="3"/>
        <v>10145637BLKBLK56</v>
      </c>
      <c r="F22" s="3" t="str" cm="1">
        <f t="array" ref="F22">_xlfn.XLOOKUP(E22,[1]Лист1!$F:$F&amp;[1]Лист1!$E:$E,[1]Лист1!$B:$B,"",0)</f>
        <v>96-047-09-56</v>
      </c>
      <c r="G22" s="3" t="s">
        <v>131</v>
      </c>
      <c r="H22" s="3" t="s">
        <v>50</v>
      </c>
      <c r="I22" s="3" t="s">
        <v>128</v>
      </c>
      <c r="J22" s="3">
        <v>56</v>
      </c>
      <c r="K22" s="3" t="s">
        <v>106</v>
      </c>
      <c r="L22" s="3">
        <v>12</v>
      </c>
      <c r="M22" s="3" t="s">
        <v>107</v>
      </c>
      <c r="N22" s="3" t="s">
        <v>125</v>
      </c>
      <c r="O22" s="3" t="s">
        <v>126</v>
      </c>
      <c r="P22" s="3" t="s">
        <v>109</v>
      </c>
      <c r="Q22" s="3">
        <v>1489.65</v>
      </c>
      <c r="R22" s="3" t="s">
        <v>37</v>
      </c>
      <c r="S22" s="3">
        <f t="shared" si="1"/>
        <v>1513.0580000000002</v>
      </c>
      <c r="T22" s="3" t="str">
        <f>VLOOKUP(R22,Справочник!A:B,2,0)</f>
        <v>New York Yankees</v>
      </c>
      <c r="U22" s="3" t="str">
        <f>VLOOKUP(R22,Справочник!A:C,3,0)</f>
        <v>MLB</v>
      </c>
      <c r="V22" s="3">
        <f t="shared" si="4"/>
        <v>17875.800000000003</v>
      </c>
      <c r="W22" s="3">
        <f t="shared" si="2"/>
        <v>18156.696000000004</v>
      </c>
    </row>
    <row r="23" spans="1:23" hidden="1" x14ac:dyDescent="0.25">
      <c r="A23" s="3" t="str">
        <f t="shared" si="0"/>
        <v>10145637BLKBLK</v>
      </c>
      <c r="B23" s="3">
        <v>10145637</v>
      </c>
      <c r="C23" s="3" t="s">
        <v>6</v>
      </c>
      <c r="D23" s="3">
        <v>3677</v>
      </c>
      <c r="E23" s="3" t="str">
        <f t="shared" si="3"/>
        <v>10145637BLKBLK56</v>
      </c>
      <c r="F23" s="3" t="str" cm="1">
        <f t="array" ref="F23">_xlfn.XLOOKUP(E23,[1]Лист1!$F:$F&amp;[1]Лист1!$E:$E,[1]Лист1!$B:$B,"",0)</f>
        <v>96-047-09-56</v>
      </c>
      <c r="G23" s="3" t="s">
        <v>131</v>
      </c>
      <c r="H23" s="3" t="s">
        <v>50</v>
      </c>
      <c r="I23" s="3" t="s">
        <v>128</v>
      </c>
      <c r="J23" s="3">
        <v>56</v>
      </c>
      <c r="K23" s="3" t="s">
        <v>106</v>
      </c>
      <c r="L23" s="3">
        <v>3</v>
      </c>
      <c r="M23" s="3" t="s">
        <v>107</v>
      </c>
      <c r="N23" s="3" t="s">
        <v>125</v>
      </c>
      <c r="O23" s="3" t="s">
        <v>126</v>
      </c>
      <c r="P23" s="3" t="s">
        <v>109</v>
      </c>
      <c r="Q23" s="3">
        <v>1592.06</v>
      </c>
      <c r="R23" s="3" t="s">
        <v>37</v>
      </c>
      <c r="S23" s="3">
        <f t="shared" si="1"/>
        <v>1513.0580000000002</v>
      </c>
      <c r="T23" s="3" t="str">
        <f>VLOOKUP(R23,Справочник!A:B,2,0)</f>
        <v>New York Yankees</v>
      </c>
      <c r="U23" s="3" t="str">
        <f>VLOOKUP(R23,Справочник!A:C,3,0)</f>
        <v>MLB</v>
      </c>
      <c r="V23" s="3">
        <f t="shared" si="4"/>
        <v>4776.18</v>
      </c>
      <c r="W23" s="3">
        <f t="shared" si="2"/>
        <v>4539.1740000000009</v>
      </c>
    </row>
    <row r="24" spans="1:23" x14ac:dyDescent="0.25">
      <c r="A24" s="3" t="str">
        <f t="shared" si="0"/>
        <v>10145638BLAWHT</v>
      </c>
      <c r="B24" s="3">
        <v>10145638</v>
      </c>
      <c r="C24" s="3" t="s">
        <v>18</v>
      </c>
      <c r="D24" s="3">
        <v>3678</v>
      </c>
      <c r="E24" s="3" t="str">
        <f t="shared" si="3"/>
        <v>10145638BLAWHT58</v>
      </c>
      <c r="F24" s="3" t="str" cm="1">
        <f t="array" ref="F24">_xlfn.XLOOKUP(E24,[1]Лист1!$F:$F&amp;[1]Лист1!$E:$E,[1]Лист1!$B:$B,"",0)</f>
        <v>96-155-06-58</v>
      </c>
      <c r="G24" s="3" t="s">
        <v>132</v>
      </c>
      <c r="H24" s="3" t="s">
        <v>47</v>
      </c>
      <c r="I24" s="3" t="s">
        <v>124</v>
      </c>
      <c r="J24" s="3">
        <v>58</v>
      </c>
      <c r="K24" s="3" t="s">
        <v>106</v>
      </c>
      <c r="L24" s="3">
        <v>6</v>
      </c>
      <c r="M24" s="3" t="s">
        <v>107</v>
      </c>
      <c r="N24" s="3" t="s">
        <v>125</v>
      </c>
      <c r="O24" s="3" t="s">
        <v>126</v>
      </c>
      <c r="P24" s="3" t="s">
        <v>109</v>
      </c>
      <c r="Q24" s="3">
        <v>1489.65</v>
      </c>
      <c r="R24" s="3" t="s">
        <v>37</v>
      </c>
      <c r="S24" s="3">
        <f t="shared" si="1"/>
        <v>1489.65</v>
      </c>
      <c r="T24" s="3" t="str">
        <f>VLOOKUP(R24,Справочник!A:B,2,0)</f>
        <v>New York Yankees</v>
      </c>
      <c r="U24" s="3" t="str">
        <f>VLOOKUP(R24,Справочник!A:C,3,0)</f>
        <v>MLB</v>
      </c>
      <c r="V24" s="3">
        <f t="shared" si="4"/>
        <v>8937.9000000000015</v>
      </c>
      <c r="W24" s="3">
        <f t="shared" si="2"/>
        <v>8937.9000000000015</v>
      </c>
    </row>
    <row r="25" spans="1:23" x14ac:dyDescent="0.25">
      <c r="A25" s="3" t="str">
        <f t="shared" si="0"/>
        <v>10145638BLAWHT</v>
      </c>
      <c r="B25" s="3">
        <v>10145638</v>
      </c>
      <c r="C25" s="3" t="s">
        <v>18</v>
      </c>
      <c r="D25" s="3">
        <v>3678</v>
      </c>
      <c r="E25" s="3" t="str">
        <f t="shared" si="3"/>
        <v>10145638BLAWHT56</v>
      </c>
      <c r="F25" s="3" t="str" cm="1">
        <f t="array" ref="F25">_xlfn.XLOOKUP(E25,[1]Лист1!$F:$F&amp;[1]Лист1!$E:$E,[1]Лист1!$B:$B,"",0)</f>
        <v>96-155-06-56</v>
      </c>
      <c r="G25" s="3" t="s">
        <v>133</v>
      </c>
      <c r="H25" s="3" t="s">
        <v>50</v>
      </c>
      <c r="I25" s="3" t="s">
        <v>128</v>
      </c>
      <c r="J25" s="3">
        <v>56</v>
      </c>
      <c r="K25" s="3" t="s">
        <v>106</v>
      </c>
      <c r="L25" s="3">
        <v>4</v>
      </c>
      <c r="M25" s="3" t="s">
        <v>107</v>
      </c>
      <c r="N25" s="3" t="s">
        <v>125</v>
      </c>
      <c r="O25" s="3" t="s">
        <v>126</v>
      </c>
      <c r="P25" s="3" t="s">
        <v>109</v>
      </c>
      <c r="Q25" s="3">
        <v>1489.65</v>
      </c>
      <c r="R25" s="3" t="s">
        <v>37</v>
      </c>
      <c r="S25" s="3">
        <f t="shared" si="1"/>
        <v>1489.65</v>
      </c>
      <c r="T25" s="3" t="str">
        <f>VLOOKUP(R25,Справочник!A:B,2,0)</f>
        <v>New York Yankees</v>
      </c>
      <c r="U25" s="3" t="str">
        <f>VLOOKUP(R25,Справочник!A:C,3,0)</f>
        <v>MLB</v>
      </c>
      <c r="V25" s="3">
        <f t="shared" si="4"/>
        <v>5958.6</v>
      </c>
      <c r="W25" s="3">
        <f t="shared" si="2"/>
        <v>5958.6</v>
      </c>
    </row>
    <row r="26" spans="1:23" x14ac:dyDescent="0.25">
      <c r="A26" s="3" t="str">
        <f t="shared" si="0"/>
        <v>10531939NVYWHI</v>
      </c>
      <c r="B26" s="3">
        <v>10531939</v>
      </c>
      <c r="C26" s="3" t="s">
        <v>19</v>
      </c>
      <c r="D26" s="3">
        <v>3678</v>
      </c>
      <c r="E26" s="3" t="str">
        <f t="shared" si="3"/>
        <v>10531939NVYWHIONE</v>
      </c>
      <c r="F26" s="3" t="str" cm="1">
        <f t="array" ref="F26">_xlfn.XLOOKUP(E26,[1]Лист1!$F:$F&amp;[1]Лист1!$E:$E,[1]Лист1!$B:$B,"",0)</f>
        <v>96-156-16-00</v>
      </c>
      <c r="G26" s="3" t="s">
        <v>134</v>
      </c>
      <c r="H26" s="3" t="s">
        <v>43</v>
      </c>
      <c r="I26" s="3" t="s">
        <v>105</v>
      </c>
      <c r="J26" s="3" t="s">
        <v>237</v>
      </c>
      <c r="K26" s="3" t="s">
        <v>106</v>
      </c>
      <c r="L26" s="3">
        <v>31</v>
      </c>
      <c r="M26" s="3" t="s">
        <v>107</v>
      </c>
      <c r="N26" s="3" t="s">
        <v>135</v>
      </c>
      <c r="O26" s="3" t="s">
        <v>136</v>
      </c>
      <c r="P26" s="3" t="s">
        <v>109</v>
      </c>
      <c r="Q26" s="3">
        <v>1210.25</v>
      </c>
      <c r="R26" s="3" t="s">
        <v>37</v>
      </c>
      <c r="S26" s="3">
        <f t="shared" si="1"/>
        <v>1242.8813725490195</v>
      </c>
      <c r="T26" s="3" t="str">
        <f>VLOOKUP(R26,Справочник!A:B,2,0)</f>
        <v>New York Yankees</v>
      </c>
      <c r="U26" s="3" t="str">
        <f>VLOOKUP(R26,Справочник!A:C,3,0)</f>
        <v>MLB</v>
      </c>
      <c r="V26" s="3">
        <f t="shared" si="4"/>
        <v>37517.75</v>
      </c>
      <c r="W26" s="3">
        <f t="shared" si="2"/>
        <v>38529.322549019606</v>
      </c>
    </row>
    <row r="27" spans="1:23" hidden="1" x14ac:dyDescent="0.25">
      <c r="A27" s="3" t="str">
        <f t="shared" si="0"/>
        <v>10531939NVYWHI</v>
      </c>
      <c r="B27" s="3">
        <v>10531939</v>
      </c>
      <c r="C27" s="3" t="s">
        <v>19</v>
      </c>
      <c r="D27" s="3">
        <v>3677</v>
      </c>
      <c r="E27" s="3" t="str">
        <f t="shared" si="3"/>
        <v>10531939NVYWHIONE</v>
      </c>
      <c r="F27" s="3" t="str" cm="1">
        <f t="array" ref="F27">_xlfn.XLOOKUP(E27,[1]Лист1!$F:$F&amp;[1]Лист1!$E:$E,[1]Лист1!$B:$B,"",0)</f>
        <v>96-156-16-00</v>
      </c>
      <c r="G27" s="3" t="s">
        <v>134</v>
      </c>
      <c r="H27" s="3" t="s">
        <v>43</v>
      </c>
      <c r="I27" s="3" t="s">
        <v>105</v>
      </c>
      <c r="J27" s="3" t="s">
        <v>237</v>
      </c>
      <c r="K27" s="3" t="s">
        <v>106</v>
      </c>
      <c r="L27" s="3">
        <v>20</v>
      </c>
      <c r="M27" s="3" t="s">
        <v>107</v>
      </c>
      <c r="N27" s="3" t="s">
        <v>135</v>
      </c>
      <c r="O27" s="3" t="s">
        <v>136</v>
      </c>
      <c r="P27" s="3" t="s">
        <v>109</v>
      </c>
      <c r="Q27" s="3">
        <v>1293.46</v>
      </c>
      <c r="R27" s="3" t="s">
        <v>37</v>
      </c>
      <c r="S27" s="3">
        <f t="shared" si="1"/>
        <v>1242.8813725490195</v>
      </c>
      <c r="T27" s="3" t="str">
        <f>VLOOKUP(R27,Справочник!A:B,2,0)</f>
        <v>New York Yankees</v>
      </c>
      <c r="U27" s="3" t="str">
        <f>VLOOKUP(R27,Справочник!A:C,3,0)</f>
        <v>MLB</v>
      </c>
      <c r="V27" s="3">
        <f t="shared" si="4"/>
        <v>25869.200000000001</v>
      </c>
      <c r="W27" s="3">
        <f t="shared" si="2"/>
        <v>24857.627450980392</v>
      </c>
    </row>
    <row r="28" spans="1:23" x14ac:dyDescent="0.25">
      <c r="A28" s="3" t="str">
        <f t="shared" si="0"/>
        <v>10531941BLKWHI</v>
      </c>
      <c r="B28" s="3">
        <v>10531941</v>
      </c>
      <c r="C28" s="3" t="s">
        <v>9</v>
      </c>
      <c r="D28" s="3">
        <v>3678</v>
      </c>
      <c r="E28" s="3" t="str">
        <f t="shared" si="3"/>
        <v>10531941BLKWHIONE</v>
      </c>
      <c r="F28" s="3" t="str" cm="1">
        <f t="array" ref="F28">_xlfn.XLOOKUP(E28,[1]Лист1!$F:$F&amp;[1]Лист1!$E:$E,[1]Лист1!$B:$B,"",0)</f>
        <v>96-157-09-00</v>
      </c>
      <c r="G28" s="3" t="s">
        <v>137</v>
      </c>
      <c r="H28" s="3" t="s">
        <v>43</v>
      </c>
      <c r="I28" s="3" t="s">
        <v>105</v>
      </c>
      <c r="J28" s="3" t="s">
        <v>237</v>
      </c>
      <c r="K28" s="3" t="s">
        <v>106</v>
      </c>
      <c r="L28" s="3">
        <v>60</v>
      </c>
      <c r="M28" s="3" t="s">
        <v>107</v>
      </c>
      <c r="N28" s="3" t="s">
        <v>135</v>
      </c>
      <c r="O28" s="3" t="s">
        <v>138</v>
      </c>
      <c r="P28" s="3" t="s">
        <v>109</v>
      </c>
      <c r="Q28" s="3">
        <v>1210.25</v>
      </c>
      <c r="R28" s="3" t="s">
        <v>37</v>
      </c>
      <c r="S28" s="3">
        <f t="shared" si="1"/>
        <v>1237.9866666666667</v>
      </c>
      <c r="T28" s="3" t="str">
        <f>VLOOKUP(R28,Справочник!A:B,2,0)</f>
        <v>New York Yankees</v>
      </c>
      <c r="U28" s="3" t="str">
        <f>VLOOKUP(R28,Справочник!A:C,3,0)</f>
        <v>MLB</v>
      </c>
      <c r="V28" s="3">
        <f t="shared" si="4"/>
        <v>72615</v>
      </c>
      <c r="W28" s="3">
        <f t="shared" si="2"/>
        <v>74279.199999999997</v>
      </c>
    </row>
    <row r="29" spans="1:23" hidden="1" x14ac:dyDescent="0.25">
      <c r="A29" s="3" t="str">
        <f t="shared" si="0"/>
        <v>10531941BLKWHI</v>
      </c>
      <c r="B29" s="3">
        <v>10531941</v>
      </c>
      <c r="C29" s="3" t="s">
        <v>9</v>
      </c>
      <c r="D29" s="3">
        <v>3677</v>
      </c>
      <c r="E29" s="3" t="str">
        <f t="shared" si="3"/>
        <v>10531941BLKWHIONE</v>
      </c>
      <c r="F29" s="3" t="str" cm="1">
        <f t="array" ref="F29">_xlfn.XLOOKUP(E29,[1]Лист1!$F:$F&amp;[1]Лист1!$E:$E,[1]Лист1!$B:$B,"",0)</f>
        <v>96-157-09-00</v>
      </c>
      <c r="G29" s="3" t="s">
        <v>137</v>
      </c>
      <c r="H29" s="3" t="s">
        <v>43</v>
      </c>
      <c r="I29" s="3" t="s">
        <v>105</v>
      </c>
      <c r="J29" s="3" t="s">
        <v>237</v>
      </c>
      <c r="K29" s="3" t="s">
        <v>106</v>
      </c>
      <c r="L29" s="3">
        <v>30</v>
      </c>
      <c r="M29" s="3" t="s">
        <v>107</v>
      </c>
      <c r="N29" s="3" t="s">
        <v>135</v>
      </c>
      <c r="O29" s="3" t="s">
        <v>138</v>
      </c>
      <c r="P29" s="3" t="s">
        <v>109</v>
      </c>
      <c r="Q29" s="3">
        <v>1293.46</v>
      </c>
      <c r="R29" s="3" t="s">
        <v>37</v>
      </c>
      <c r="S29" s="3">
        <f t="shared" si="1"/>
        <v>1237.9866666666667</v>
      </c>
      <c r="T29" s="3" t="str">
        <f>VLOOKUP(R29,Справочник!A:B,2,0)</f>
        <v>New York Yankees</v>
      </c>
      <c r="U29" s="3" t="str">
        <f>VLOOKUP(R29,Справочник!A:C,3,0)</f>
        <v>MLB</v>
      </c>
      <c r="V29" s="3">
        <f t="shared" si="4"/>
        <v>38803.800000000003</v>
      </c>
      <c r="W29" s="3">
        <f t="shared" si="2"/>
        <v>37139.599999999999</v>
      </c>
    </row>
    <row r="30" spans="1:23" x14ac:dyDescent="0.25">
      <c r="A30" s="3" t="str">
        <f t="shared" si="0"/>
        <v>10531953NVYWHI</v>
      </c>
      <c r="B30" s="3">
        <v>10531953</v>
      </c>
      <c r="C30" s="3" t="s">
        <v>19</v>
      </c>
      <c r="D30" s="3">
        <v>3678</v>
      </c>
      <c r="E30" s="3" t="str">
        <f t="shared" si="3"/>
        <v>10531953NVYWHI58</v>
      </c>
      <c r="F30" s="3" t="str" cm="1">
        <f t="array" ref="F30">_xlfn.XLOOKUP(E30,[1]Лист1!$F:$F&amp;[1]Лист1!$E:$E,[1]Лист1!$B:$B,"",0)</f>
        <v>96-158-16-58</v>
      </c>
      <c r="G30" s="3" t="s">
        <v>139</v>
      </c>
      <c r="H30" s="3" t="s">
        <v>47</v>
      </c>
      <c r="I30" s="3" t="s">
        <v>124</v>
      </c>
      <c r="J30" s="3">
        <v>58</v>
      </c>
      <c r="K30" s="3" t="s">
        <v>106</v>
      </c>
      <c r="L30" s="3">
        <v>5</v>
      </c>
      <c r="M30" s="3" t="s">
        <v>107</v>
      </c>
      <c r="N30" s="3" t="s">
        <v>135</v>
      </c>
      <c r="P30" s="3" t="s">
        <v>109</v>
      </c>
      <c r="Q30" s="3">
        <v>1769.05</v>
      </c>
      <c r="R30" s="3" t="s">
        <v>37</v>
      </c>
      <c r="S30" s="3">
        <f t="shared" si="1"/>
        <v>1823.779</v>
      </c>
      <c r="T30" s="3" t="str">
        <f>VLOOKUP(R30,Справочник!A:B,2,0)</f>
        <v>New York Yankees</v>
      </c>
      <c r="U30" s="3" t="str">
        <f>VLOOKUP(R30,Справочник!A:C,3,0)</f>
        <v>MLB</v>
      </c>
      <c r="V30" s="3">
        <f t="shared" si="4"/>
        <v>8845.25</v>
      </c>
      <c r="W30" s="3">
        <f t="shared" si="2"/>
        <v>9118.8950000000004</v>
      </c>
    </row>
    <row r="31" spans="1:23" hidden="1" x14ac:dyDescent="0.25">
      <c r="A31" s="3" t="str">
        <f t="shared" si="0"/>
        <v>10531953NVYWHI</v>
      </c>
      <c r="B31" s="3">
        <v>10531953</v>
      </c>
      <c r="C31" s="3" t="s">
        <v>19</v>
      </c>
      <c r="D31" s="3">
        <v>3677</v>
      </c>
      <c r="E31" s="3" t="str">
        <f t="shared" si="3"/>
        <v>10531953NVYWHI58</v>
      </c>
      <c r="F31" s="3" t="str" cm="1">
        <f t="array" ref="F31">_xlfn.XLOOKUP(E31,[1]Лист1!$F:$F&amp;[1]Лист1!$E:$E,[1]Лист1!$B:$B,"",0)</f>
        <v>96-158-16-58</v>
      </c>
      <c r="G31" s="3" t="s">
        <v>139</v>
      </c>
      <c r="H31" s="3" t="s">
        <v>47</v>
      </c>
      <c r="I31" s="3" t="s">
        <v>124</v>
      </c>
      <c r="J31" s="3">
        <v>58</v>
      </c>
      <c r="K31" s="3" t="s">
        <v>106</v>
      </c>
      <c r="L31" s="3">
        <v>5</v>
      </c>
      <c r="M31" s="3" t="s">
        <v>107</v>
      </c>
      <c r="N31" s="3" t="s">
        <v>135</v>
      </c>
      <c r="P31" s="3" t="s">
        <v>109</v>
      </c>
      <c r="Q31" s="3">
        <v>1890.67</v>
      </c>
      <c r="R31" s="3" t="s">
        <v>37</v>
      </c>
      <c r="S31" s="3">
        <f t="shared" si="1"/>
        <v>1823.779</v>
      </c>
      <c r="T31" s="3" t="str">
        <f>VLOOKUP(R31,Справочник!A:B,2,0)</f>
        <v>New York Yankees</v>
      </c>
      <c r="U31" s="3" t="str">
        <f>VLOOKUP(R31,Справочник!A:C,3,0)</f>
        <v>MLB</v>
      </c>
      <c r="V31" s="3">
        <f t="shared" si="4"/>
        <v>9453.35</v>
      </c>
      <c r="W31" s="3">
        <f t="shared" si="2"/>
        <v>9118.8950000000004</v>
      </c>
    </row>
    <row r="32" spans="1:23" hidden="1" x14ac:dyDescent="0.25">
      <c r="A32" s="3" t="str">
        <f t="shared" si="0"/>
        <v>10531953NVYWHI</v>
      </c>
      <c r="B32" s="3">
        <v>10531953</v>
      </c>
      <c r="C32" s="3" t="s">
        <v>19</v>
      </c>
      <c r="D32" s="3">
        <v>3677</v>
      </c>
      <c r="E32" s="3" t="str">
        <f t="shared" si="3"/>
        <v>10531953NVYWHI56</v>
      </c>
      <c r="F32" s="3" t="str" cm="1">
        <f t="array" ref="F32">_xlfn.XLOOKUP(E32,[1]Лист1!$F:$F&amp;[1]Лист1!$E:$E,[1]Лист1!$B:$B,"",0)</f>
        <v>96-158-16-56</v>
      </c>
      <c r="G32" s="3" t="s">
        <v>140</v>
      </c>
      <c r="H32" s="3" t="s">
        <v>50</v>
      </c>
      <c r="I32" s="3" t="s">
        <v>128</v>
      </c>
      <c r="J32" s="3">
        <v>56</v>
      </c>
      <c r="K32" s="3" t="s">
        <v>106</v>
      </c>
      <c r="L32" s="3">
        <v>4</v>
      </c>
      <c r="M32" s="3" t="s">
        <v>107</v>
      </c>
      <c r="N32" s="3" t="s">
        <v>135</v>
      </c>
      <c r="P32" s="3" t="s">
        <v>109</v>
      </c>
      <c r="Q32" s="3">
        <v>1890.67</v>
      </c>
      <c r="R32" s="3" t="s">
        <v>37</v>
      </c>
      <c r="S32" s="3">
        <f t="shared" si="1"/>
        <v>1823.779</v>
      </c>
      <c r="T32" s="3" t="str">
        <f>VLOOKUP(R32,Справочник!A:B,2,0)</f>
        <v>New York Yankees</v>
      </c>
      <c r="U32" s="3" t="str">
        <f>VLOOKUP(R32,Справочник!A:C,3,0)</f>
        <v>MLB</v>
      </c>
      <c r="V32" s="3">
        <f t="shared" si="4"/>
        <v>7562.68</v>
      </c>
      <c r="W32" s="3">
        <f t="shared" si="2"/>
        <v>7295.116</v>
      </c>
    </row>
    <row r="33" spans="1:23" x14ac:dyDescent="0.25">
      <c r="A33" s="3" t="str">
        <f t="shared" si="0"/>
        <v>10531953NVYWHI</v>
      </c>
      <c r="B33" s="3">
        <v>10531953</v>
      </c>
      <c r="C33" s="3" t="s">
        <v>19</v>
      </c>
      <c r="D33" s="3">
        <v>3678</v>
      </c>
      <c r="E33" s="3" t="str">
        <f t="shared" si="3"/>
        <v>10531953NVYWHI56</v>
      </c>
      <c r="F33" s="3" t="str" cm="1">
        <f t="array" ref="F33">_xlfn.XLOOKUP(E33,[1]Лист1!$F:$F&amp;[1]Лист1!$E:$E,[1]Лист1!$B:$B,"",0)</f>
        <v>96-158-16-56</v>
      </c>
      <c r="G33" s="3" t="s">
        <v>140</v>
      </c>
      <c r="H33" s="3" t="s">
        <v>50</v>
      </c>
      <c r="I33" s="3" t="s">
        <v>128</v>
      </c>
      <c r="J33" s="3">
        <v>56</v>
      </c>
      <c r="K33" s="3" t="s">
        <v>106</v>
      </c>
      <c r="L33" s="3">
        <v>6</v>
      </c>
      <c r="M33" s="3" t="s">
        <v>107</v>
      </c>
      <c r="N33" s="3" t="s">
        <v>135</v>
      </c>
      <c r="P33" s="3" t="s">
        <v>109</v>
      </c>
      <c r="Q33" s="3">
        <v>1769.05</v>
      </c>
      <c r="R33" s="3" t="s">
        <v>37</v>
      </c>
      <c r="S33" s="3">
        <f t="shared" si="1"/>
        <v>1823.779</v>
      </c>
      <c r="T33" s="3" t="str">
        <f>VLOOKUP(R33,Справочник!A:B,2,0)</f>
        <v>New York Yankees</v>
      </c>
      <c r="U33" s="3" t="str">
        <f>VLOOKUP(R33,Справочник!A:C,3,0)</f>
        <v>MLB</v>
      </c>
      <c r="V33" s="3">
        <f t="shared" si="4"/>
        <v>10614.3</v>
      </c>
      <c r="W33" s="3">
        <f t="shared" si="2"/>
        <v>10942.673999999999</v>
      </c>
    </row>
    <row r="34" spans="1:23" hidden="1" x14ac:dyDescent="0.25">
      <c r="A34" s="3" t="str">
        <f t="shared" si="0"/>
        <v>10531954TEAM</v>
      </c>
      <c r="B34" s="3">
        <v>10531954</v>
      </c>
      <c r="C34" s="3" t="s">
        <v>20</v>
      </c>
      <c r="D34" s="3">
        <v>3677</v>
      </c>
      <c r="E34" s="3" t="str">
        <f t="shared" si="3"/>
        <v>10531954TEAM58</v>
      </c>
      <c r="F34" s="3" t="str" cm="1">
        <f t="array" ref="F34">_xlfn.XLOOKUP(E34,[1]Лист1!$F:$F&amp;[1]Лист1!$E:$E,[1]Лист1!$B:$B,"",0)</f>
        <v>96-001-18-58</v>
      </c>
      <c r="G34" s="3" t="s">
        <v>141</v>
      </c>
      <c r="H34" s="3" t="s">
        <v>47</v>
      </c>
      <c r="I34" s="3" t="s">
        <v>124</v>
      </c>
      <c r="J34" s="3">
        <v>58</v>
      </c>
      <c r="K34" s="3" t="s">
        <v>106</v>
      </c>
      <c r="L34" s="3">
        <v>1</v>
      </c>
      <c r="M34" s="3" t="s">
        <v>107</v>
      </c>
      <c r="N34" s="3" t="s">
        <v>135</v>
      </c>
      <c r="P34" s="3" t="s">
        <v>109</v>
      </c>
      <c r="Q34" s="3">
        <v>1890.67</v>
      </c>
      <c r="R34" s="3" t="s">
        <v>42</v>
      </c>
      <c r="S34" s="3">
        <f t="shared" ref="S34:S65" si="5">SUMIF(A:A,A34,V:V)/SUMIF(A:A,A34,L:L)</f>
        <v>1780.1063636363635</v>
      </c>
      <c r="T34" s="3" t="str">
        <f>VLOOKUP(R34,Справочник!A:B,2,0)</f>
        <v>Los Angeles Dodgers</v>
      </c>
      <c r="U34" s="3" t="str">
        <f>VLOOKUP(R34,Справочник!A:C,3,0)</f>
        <v>MLB</v>
      </c>
      <c r="V34" s="3">
        <f t="shared" si="4"/>
        <v>1890.67</v>
      </c>
      <c r="W34" s="3">
        <f t="shared" ref="W34:W65" si="6">S34*L34</f>
        <v>1780.1063636363635</v>
      </c>
    </row>
    <row r="35" spans="1:23" x14ac:dyDescent="0.25">
      <c r="A35" s="3" t="str">
        <f t="shared" si="0"/>
        <v>10531954TEAM</v>
      </c>
      <c r="B35" s="3">
        <v>10531954</v>
      </c>
      <c r="C35" s="3" t="s">
        <v>20</v>
      </c>
      <c r="D35" s="3">
        <v>3678</v>
      </c>
      <c r="E35" s="3" t="str">
        <f t="shared" si="3"/>
        <v>10531954TEAM58</v>
      </c>
      <c r="F35" s="3" t="str" cm="1">
        <f t="array" ref="F35">_xlfn.XLOOKUP(E35,[1]Лист1!$F:$F&amp;[1]Лист1!$E:$E,[1]Лист1!$B:$B,"",0)</f>
        <v>96-001-18-58</v>
      </c>
      <c r="G35" s="3" t="s">
        <v>141</v>
      </c>
      <c r="H35" s="3" t="s">
        <v>47</v>
      </c>
      <c r="I35" s="3" t="s">
        <v>124</v>
      </c>
      <c r="J35" s="3">
        <v>58</v>
      </c>
      <c r="K35" s="3" t="s">
        <v>106</v>
      </c>
      <c r="L35" s="3">
        <v>5</v>
      </c>
      <c r="M35" s="3" t="s">
        <v>107</v>
      </c>
      <c r="N35" s="3" t="s">
        <v>135</v>
      </c>
      <c r="P35" s="3" t="s">
        <v>109</v>
      </c>
      <c r="Q35" s="3">
        <v>1769.05</v>
      </c>
      <c r="R35" s="3" t="s">
        <v>42</v>
      </c>
      <c r="S35" s="3">
        <f t="shared" si="5"/>
        <v>1780.1063636363635</v>
      </c>
      <c r="T35" s="3" t="str">
        <f>VLOOKUP(R35,Справочник!A:B,2,0)</f>
        <v>Los Angeles Dodgers</v>
      </c>
      <c r="U35" s="3" t="str">
        <f>VLOOKUP(R35,Справочник!A:C,3,0)</f>
        <v>MLB</v>
      </c>
      <c r="V35" s="3">
        <f t="shared" si="4"/>
        <v>8845.25</v>
      </c>
      <c r="W35" s="3">
        <f t="shared" si="6"/>
        <v>8900.5318181818184</v>
      </c>
    </row>
    <row r="36" spans="1:23" x14ac:dyDescent="0.25">
      <c r="A36" s="3" t="str">
        <f t="shared" si="0"/>
        <v>10531954TEAM</v>
      </c>
      <c r="B36" s="3">
        <v>10531954</v>
      </c>
      <c r="C36" s="3" t="s">
        <v>20</v>
      </c>
      <c r="D36" s="3">
        <v>3678</v>
      </c>
      <c r="E36" s="3" t="str">
        <f t="shared" si="3"/>
        <v>10531954TEAM56</v>
      </c>
      <c r="F36" s="3" t="str" cm="1">
        <f t="array" ref="F36">_xlfn.XLOOKUP(E36,[1]Лист1!$F:$F&amp;[1]Лист1!$E:$E,[1]Лист1!$B:$B,"",0)</f>
        <v>96-001-18-56</v>
      </c>
      <c r="G36" s="3" t="s">
        <v>142</v>
      </c>
      <c r="H36" s="3" t="s">
        <v>50</v>
      </c>
      <c r="I36" s="3" t="s">
        <v>128</v>
      </c>
      <c r="J36" s="3">
        <v>56</v>
      </c>
      <c r="K36" s="3" t="s">
        <v>106</v>
      </c>
      <c r="L36" s="3">
        <v>5</v>
      </c>
      <c r="M36" s="3" t="s">
        <v>107</v>
      </c>
      <c r="N36" s="3" t="s">
        <v>135</v>
      </c>
      <c r="P36" s="3" t="s">
        <v>109</v>
      </c>
      <c r="Q36" s="3">
        <v>1769.05</v>
      </c>
      <c r="R36" s="3" t="s">
        <v>42</v>
      </c>
      <c r="S36" s="3">
        <f t="shared" si="5"/>
        <v>1780.1063636363635</v>
      </c>
      <c r="T36" s="3" t="str">
        <f>VLOOKUP(R36,Справочник!A:B,2,0)</f>
        <v>Los Angeles Dodgers</v>
      </c>
      <c r="U36" s="3" t="str">
        <f>VLOOKUP(R36,Справочник!A:C,3,0)</f>
        <v>MLB</v>
      </c>
      <c r="V36" s="3">
        <f t="shared" si="4"/>
        <v>8845.25</v>
      </c>
      <c r="W36" s="3">
        <f t="shared" si="6"/>
        <v>8900.5318181818184</v>
      </c>
    </row>
    <row r="37" spans="1:23" hidden="1" x14ac:dyDescent="0.25">
      <c r="A37" s="3" t="str">
        <f t="shared" si="0"/>
        <v>10531956TEAM</v>
      </c>
      <c r="B37" s="3">
        <v>10531956</v>
      </c>
      <c r="C37" s="3" t="s">
        <v>20</v>
      </c>
      <c r="D37" s="3">
        <v>3677</v>
      </c>
      <c r="E37" s="3" t="str">
        <f t="shared" si="3"/>
        <v>10531956TEAM58</v>
      </c>
      <c r="F37" s="3" t="str" cm="1">
        <f t="array" ref="F37">_xlfn.XLOOKUP(E37,[1]Лист1!$F:$F&amp;[1]Лист1!$E:$E,[1]Лист1!$B:$B,"",0)</f>
        <v>96-159-09-58</v>
      </c>
      <c r="G37" s="3" t="s">
        <v>143</v>
      </c>
      <c r="H37" s="3" t="s">
        <v>47</v>
      </c>
      <c r="I37" s="3" t="s">
        <v>124</v>
      </c>
      <c r="J37" s="3">
        <v>58</v>
      </c>
      <c r="K37" s="3" t="s">
        <v>106</v>
      </c>
      <c r="L37" s="3">
        <v>4</v>
      </c>
      <c r="M37" s="3" t="s">
        <v>130</v>
      </c>
      <c r="N37" s="3" t="s">
        <v>135</v>
      </c>
      <c r="O37" s="3" t="s">
        <v>144</v>
      </c>
      <c r="P37" s="3" t="s">
        <v>109</v>
      </c>
      <c r="Q37" s="3">
        <v>1890.67</v>
      </c>
      <c r="R37" s="3" t="s">
        <v>55</v>
      </c>
      <c r="S37" s="3">
        <f t="shared" si="5"/>
        <v>1819.1288235294119</v>
      </c>
      <c r="T37" s="3" t="str">
        <f>VLOOKUP(R37,Справочник!A:B,2,0)</f>
        <v>Boston Red Sox</v>
      </c>
      <c r="U37" s="3" t="str">
        <f>VLOOKUP(R37,Справочник!A:C,3,0)</f>
        <v>MLB</v>
      </c>
      <c r="V37" s="3">
        <f t="shared" si="4"/>
        <v>7562.68</v>
      </c>
      <c r="W37" s="3">
        <f t="shared" si="6"/>
        <v>7276.5152941176475</v>
      </c>
    </row>
    <row r="38" spans="1:23" x14ac:dyDescent="0.25">
      <c r="A38" s="3" t="str">
        <f t="shared" si="0"/>
        <v>10531956TEAM</v>
      </c>
      <c r="B38" s="3">
        <v>10531956</v>
      </c>
      <c r="C38" s="3" t="s">
        <v>20</v>
      </c>
      <c r="D38" s="3">
        <v>3678</v>
      </c>
      <c r="E38" s="3" t="str">
        <f t="shared" si="3"/>
        <v>10531956TEAM58</v>
      </c>
      <c r="F38" s="3" t="str" cm="1">
        <f t="array" ref="F38">_xlfn.XLOOKUP(E38,[1]Лист1!$F:$F&amp;[1]Лист1!$E:$E,[1]Лист1!$B:$B,"",0)</f>
        <v>96-159-09-58</v>
      </c>
      <c r="G38" s="3" t="s">
        <v>143</v>
      </c>
      <c r="H38" s="3" t="s">
        <v>47</v>
      </c>
      <c r="I38" s="3" t="s">
        <v>124</v>
      </c>
      <c r="J38" s="3">
        <v>58</v>
      </c>
      <c r="K38" s="3" t="s">
        <v>106</v>
      </c>
      <c r="L38" s="3">
        <v>6</v>
      </c>
      <c r="M38" s="3" t="s">
        <v>107</v>
      </c>
      <c r="N38" s="3" t="s">
        <v>135</v>
      </c>
      <c r="O38" s="3" t="s">
        <v>144</v>
      </c>
      <c r="P38" s="3" t="s">
        <v>109</v>
      </c>
      <c r="Q38" s="3">
        <v>1769.05</v>
      </c>
      <c r="R38" s="3" t="s">
        <v>55</v>
      </c>
      <c r="S38" s="3">
        <f t="shared" si="5"/>
        <v>1819.1288235294119</v>
      </c>
      <c r="T38" s="3" t="str">
        <f>VLOOKUP(R38,Справочник!A:B,2,0)</f>
        <v>Boston Red Sox</v>
      </c>
      <c r="U38" s="3" t="str">
        <f>VLOOKUP(R38,Справочник!A:C,3,0)</f>
        <v>MLB</v>
      </c>
      <c r="V38" s="3">
        <f t="shared" si="4"/>
        <v>10614.3</v>
      </c>
      <c r="W38" s="3">
        <f t="shared" si="6"/>
        <v>10914.77294117647</v>
      </c>
    </row>
    <row r="39" spans="1:23" x14ac:dyDescent="0.25">
      <c r="A39" s="3" t="str">
        <f t="shared" si="0"/>
        <v>10531956TEAM</v>
      </c>
      <c r="B39" s="3">
        <v>10531956</v>
      </c>
      <c r="C39" s="3" t="s">
        <v>20</v>
      </c>
      <c r="D39" s="3">
        <v>3678</v>
      </c>
      <c r="E39" s="3" t="str">
        <f t="shared" si="3"/>
        <v>10531956TEAM56</v>
      </c>
      <c r="F39" s="3" t="str" cm="1">
        <f t="array" ref="F39">_xlfn.XLOOKUP(E39,[1]Лист1!$F:$F&amp;[1]Лист1!$E:$E,[1]Лист1!$B:$B,"",0)</f>
        <v>96-159-09-56</v>
      </c>
      <c r="G39" s="3" t="s">
        <v>145</v>
      </c>
      <c r="H39" s="3" t="s">
        <v>50</v>
      </c>
      <c r="I39" s="3" t="s">
        <v>128</v>
      </c>
      <c r="J39" s="3">
        <v>56</v>
      </c>
      <c r="K39" s="3" t="s">
        <v>106</v>
      </c>
      <c r="L39" s="3">
        <v>4</v>
      </c>
      <c r="M39" s="3" t="s">
        <v>107</v>
      </c>
      <c r="N39" s="3" t="s">
        <v>135</v>
      </c>
      <c r="O39" s="3" t="s">
        <v>144</v>
      </c>
      <c r="P39" s="3" t="s">
        <v>109</v>
      </c>
      <c r="Q39" s="3">
        <v>1769.05</v>
      </c>
      <c r="R39" s="3" t="s">
        <v>55</v>
      </c>
      <c r="S39" s="3">
        <f t="shared" si="5"/>
        <v>1819.1288235294119</v>
      </c>
      <c r="T39" s="3" t="str">
        <f>VLOOKUP(R39,Справочник!A:B,2,0)</f>
        <v>Boston Red Sox</v>
      </c>
      <c r="U39" s="3" t="str">
        <f>VLOOKUP(R39,Справочник!A:C,3,0)</f>
        <v>MLB</v>
      </c>
      <c r="V39" s="3">
        <f t="shared" si="4"/>
        <v>7076.2</v>
      </c>
      <c r="W39" s="3">
        <f t="shared" si="6"/>
        <v>7276.5152941176475</v>
      </c>
    </row>
    <row r="40" spans="1:23" hidden="1" x14ac:dyDescent="0.25">
      <c r="A40" s="3" t="str">
        <f t="shared" si="0"/>
        <v>10531956TEAM</v>
      </c>
      <c r="B40" s="3">
        <v>10531956</v>
      </c>
      <c r="C40" s="3" t="s">
        <v>20</v>
      </c>
      <c r="D40" s="3">
        <v>3677</v>
      </c>
      <c r="E40" s="3" t="str">
        <f t="shared" si="3"/>
        <v>10531956TEAM56</v>
      </c>
      <c r="F40" s="3" t="str" cm="1">
        <f t="array" ref="F40">_xlfn.XLOOKUP(E40,[1]Лист1!$F:$F&amp;[1]Лист1!$E:$E,[1]Лист1!$B:$B,"",0)</f>
        <v>96-159-09-56</v>
      </c>
      <c r="G40" s="3" t="s">
        <v>145</v>
      </c>
      <c r="H40" s="3" t="s">
        <v>50</v>
      </c>
      <c r="I40" s="3" t="s">
        <v>128</v>
      </c>
      <c r="J40" s="3">
        <v>56</v>
      </c>
      <c r="K40" s="3" t="s">
        <v>106</v>
      </c>
      <c r="L40" s="3">
        <v>3</v>
      </c>
      <c r="M40" s="3" t="s">
        <v>130</v>
      </c>
      <c r="N40" s="3" t="s">
        <v>135</v>
      </c>
      <c r="O40" s="3" t="s">
        <v>144</v>
      </c>
      <c r="P40" s="3" t="s">
        <v>109</v>
      </c>
      <c r="Q40" s="3">
        <v>1890.67</v>
      </c>
      <c r="R40" s="3" t="s">
        <v>55</v>
      </c>
      <c r="S40" s="3">
        <f t="shared" si="5"/>
        <v>1819.1288235294119</v>
      </c>
      <c r="T40" s="3" t="str">
        <f>VLOOKUP(R40,Справочник!A:B,2,0)</f>
        <v>Boston Red Sox</v>
      </c>
      <c r="U40" s="3" t="str">
        <f>VLOOKUP(R40,Справочник!A:C,3,0)</f>
        <v>MLB</v>
      </c>
      <c r="V40" s="3">
        <f t="shared" si="4"/>
        <v>5672.01</v>
      </c>
      <c r="W40" s="3">
        <f t="shared" si="6"/>
        <v>5457.3864705882352</v>
      </c>
    </row>
    <row r="41" spans="1:23" x14ac:dyDescent="0.25">
      <c r="A41" s="3" t="str">
        <f t="shared" si="0"/>
        <v>10879529BLK</v>
      </c>
      <c r="B41" s="3">
        <v>10879529</v>
      </c>
      <c r="C41" s="3" t="s">
        <v>12</v>
      </c>
      <c r="D41" s="3">
        <v>3678</v>
      </c>
      <c r="E41" s="3" t="str">
        <f t="shared" si="3"/>
        <v>10879529BLK58</v>
      </c>
      <c r="F41" s="3" t="str" cm="1">
        <f t="array" ref="F41">_xlfn.XLOOKUP(E41,[1]Лист1!$F:$F&amp;[1]Лист1!$E:$E,[1]Лист1!$B:$B,"",0)</f>
        <v>96-160-10-58</v>
      </c>
      <c r="G41" s="3" t="s">
        <v>146</v>
      </c>
      <c r="H41" s="3" t="s">
        <v>47</v>
      </c>
      <c r="I41" s="3" t="s">
        <v>124</v>
      </c>
      <c r="J41" s="3">
        <v>58</v>
      </c>
      <c r="K41" s="3" t="s">
        <v>106</v>
      </c>
      <c r="L41" s="3">
        <v>3</v>
      </c>
      <c r="M41" s="3" t="s">
        <v>107</v>
      </c>
      <c r="N41" s="3" t="s">
        <v>135</v>
      </c>
      <c r="P41" s="3" t="s">
        <v>109</v>
      </c>
      <c r="Q41" s="3">
        <v>1769.05</v>
      </c>
      <c r="R41" s="3" t="s">
        <v>67</v>
      </c>
      <c r="S41" s="3">
        <f t="shared" si="5"/>
        <v>1829.86</v>
      </c>
      <c r="T41" s="3" t="str">
        <f>VLOOKUP(R41,Справочник!A:B,2,0)</f>
        <v>Las Vegas Raiders</v>
      </c>
      <c r="U41" s="3" t="str">
        <f>VLOOKUP(R41,Справочник!A:C,3,0)</f>
        <v>NFL</v>
      </c>
      <c r="V41" s="3">
        <f t="shared" si="4"/>
        <v>5307.15</v>
      </c>
      <c r="W41" s="3">
        <f t="shared" si="6"/>
        <v>5489.58</v>
      </c>
    </row>
    <row r="42" spans="1:23" hidden="1" x14ac:dyDescent="0.25">
      <c r="A42" s="3" t="str">
        <f t="shared" si="0"/>
        <v>10879529BLK</v>
      </c>
      <c r="B42" s="3">
        <v>10879529</v>
      </c>
      <c r="C42" s="3" t="s">
        <v>12</v>
      </c>
      <c r="D42" s="3">
        <v>3677</v>
      </c>
      <c r="E42" s="3" t="str">
        <f t="shared" si="3"/>
        <v>10879529BLK58</v>
      </c>
      <c r="F42" s="3" t="str" cm="1">
        <f t="array" ref="F42">_xlfn.XLOOKUP(E42,[1]Лист1!$F:$F&amp;[1]Лист1!$E:$E,[1]Лист1!$B:$B,"",0)</f>
        <v>96-160-10-58</v>
      </c>
      <c r="G42" s="3" t="s">
        <v>146</v>
      </c>
      <c r="H42" s="3" t="s">
        <v>47</v>
      </c>
      <c r="I42" s="3" t="s">
        <v>124</v>
      </c>
      <c r="J42" s="3">
        <v>58</v>
      </c>
      <c r="K42" s="3" t="s">
        <v>106</v>
      </c>
      <c r="L42" s="3">
        <v>3</v>
      </c>
      <c r="M42" s="3" t="s">
        <v>107</v>
      </c>
      <c r="N42" s="3" t="s">
        <v>135</v>
      </c>
      <c r="P42" s="3" t="s">
        <v>109</v>
      </c>
      <c r="Q42" s="3">
        <v>1890.67</v>
      </c>
      <c r="R42" s="3" t="s">
        <v>67</v>
      </c>
      <c r="S42" s="3">
        <f t="shared" si="5"/>
        <v>1829.86</v>
      </c>
      <c r="T42" s="3" t="str">
        <f>VLOOKUP(R42,Справочник!A:B,2,0)</f>
        <v>Las Vegas Raiders</v>
      </c>
      <c r="U42" s="3" t="str">
        <f>VLOOKUP(R42,Справочник!A:C,3,0)</f>
        <v>NFL</v>
      </c>
      <c r="V42" s="3">
        <f t="shared" si="4"/>
        <v>5672.01</v>
      </c>
      <c r="W42" s="3">
        <f t="shared" si="6"/>
        <v>5489.58</v>
      </c>
    </row>
    <row r="43" spans="1:23" x14ac:dyDescent="0.25">
      <c r="A43" s="3" t="str">
        <f t="shared" si="0"/>
        <v>10879529BLK</v>
      </c>
      <c r="B43" s="3">
        <v>10879529</v>
      </c>
      <c r="C43" s="3" t="s">
        <v>12</v>
      </c>
      <c r="D43" s="3">
        <v>3678</v>
      </c>
      <c r="E43" s="3" t="str">
        <f t="shared" si="3"/>
        <v>10879529BLK56</v>
      </c>
      <c r="F43" s="3" t="str" cm="1">
        <f t="array" ref="F43">_xlfn.XLOOKUP(E43,[1]Лист1!$F:$F&amp;[1]Лист1!$E:$E,[1]Лист1!$B:$B,"",0)</f>
        <v>96-160-10-56</v>
      </c>
      <c r="G43" s="3" t="s">
        <v>147</v>
      </c>
      <c r="H43" s="3" t="s">
        <v>50</v>
      </c>
      <c r="I43" s="3" t="s">
        <v>128</v>
      </c>
      <c r="J43" s="3">
        <v>56</v>
      </c>
      <c r="K43" s="3" t="s">
        <v>106</v>
      </c>
      <c r="L43" s="3">
        <v>2</v>
      </c>
      <c r="M43" s="3" t="s">
        <v>107</v>
      </c>
      <c r="N43" s="3" t="s">
        <v>135</v>
      </c>
      <c r="P43" s="3" t="s">
        <v>109</v>
      </c>
      <c r="Q43" s="3">
        <v>1769.05</v>
      </c>
      <c r="R43" s="3" t="s">
        <v>67</v>
      </c>
      <c r="S43" s="3">
        <f t="shared" si="5"/>
        <v>1829.86</v>
      </c>
      <c r="T43" s="3" t="str">
        <f>VLOOKUP(R43,Справочник!A:B,2,0)</f>
        <v>Las Vegas Raiders</v>
      </c>
      <c r="U43" s="3" t="str">
        <f>VLOOKUP(R43,Справочник!A:C,3,0)</f>
        <v>NFL</v>
      </c>
      <c r="V43" s="3">
        <f t="shared" si="4"/>
        <v>3538.1</v>
      </c>
      <c r="W43" s="3">
        <f t="shared" si="6"/>
        <v>3659.72</v>
      </c>
    </row>
    <row r="44" spans="1:23" hidden="1" x14ac:dyDescent="0.25">
      <c r="A44" s="3" t="str">
        <f t="shared" si="0"/>
        <v>10879529BLK</v>
      </c>
      <c r="B44" s="3">
        <v>10879529</v>
      </c>
      <c r="C44" s="3" t="s">
        <v>12</v>
      </c>
      <c r="D44" s="3">
        <v>3677</v>
      </c>
      <c r="E44" s="3" t="str">
        <f t="shared" si="3"/>
        <v>10879529BLK56</v>
      </c>
      <c r="F44" s="3" t="str" cm="1">
        <f t="array" ref="F44">_xlfn.XLOOKUP(E44,[1]Лист1!$F:$F&amp;[1]Лист1!$E:$E,[1]Лист1!$B:$B,"",0)</f>
        <v>96-160-10-56</v>
      </c>
      <c r="G44" s="3" t="s">
        <v>147</v>
      </c>
      <c r="H44" s="3" t="s">
        <v>50</v>
      </c>
      <c r="I44" s="3" t="s">
        <v>128</v>
      </c>
      <c r="J44" s="3">
        <v>56</v>
      </c>
      <c r="K44" s="3" t="s">
        <v>106</v>
      </c>
      <c r="L44" s="3">
        <v>2</v>
      </c>
      <c r="M44" s="3" t="s">
        <v>107</v>
      </c>
      <c r="N44" s="3" t="s">
        <v>135</v>
      </c>
      <c r="P44" s="3" t="s">
        <v>109</v>
      </c>
      <c r="Q44" s="3">
        <v>1890.67</v>
      </c>
      <c r="R44" s="3" t="s">
        <v>67</v>
      </c>
      <c r="S44" s="3">
        <f t="shared" si="5"/>
        <v>1829.86</v>
      </c>
      <c r="T44" s="3" t="str">
        <f>VLOOKUP(R44,Справочник!A:B,2,0)</f>
        <v>Las Vegas Raiders</v>
      </c>
      <c r="U44" s="3" t="str">
        <f>VLOOKUP(R44,Справочник!A:C,3,0)</f>
        <v>NFL</v>
      </c>
      <c r="V44" s="3">
        <f t="shared" si="4"/>
        <v>3781.34</v>
      </c>
      <c r="W44" s="3">
        <f t="shared" si="6"/>
        <v>3659.72</v>
      </c>
    </row>
    <row r="45" spans="1:23" hidden="1" x14ac:dyDescent="0.25">
      <c r="A45" s="3" t="str">
        <f t="shared" si="0"/>
        <v>11157578WHI</v>
      </c>
      <c r="B45" s="3">
        <v>11157578</v>
      </c>
      <c r="C45" s="3" t="s">
        <v>7</v>
      </c>
      <c r="D45" s="3">
        <v>3677</v>
      </c>
      <c r="E45" s="3" t="str">
        <f t="shared" si="3"/>
        <v>11157578WHIONE</v>
      </c>
      <c r="F45" s="3" t="str" cm="1">
        <f t="array" ref="F45">_xlfn.XLOOKUP(E45,[1]Лист1!$F:$F&amp;[1]Лист1!$E:$E,[1]Лист1!$B:$B,"",0)</f>
        <v>96-161-34-00</v>
      </c>
      <c r="G45" s="3" t="s">
        <v>148</v>
      </c>
      <c r="H45" s="3" t="s">
        <v>43</v>
      </c>
      <c r="I45" s="3" t="s">
        <v>105</v>
      </c>
      <c r="J45" s="3" t="s">
        <v>237</v>
      </c>
      <c r="K45" s="3" t="s">
        <v>106</v>
      </c>
      <c r="L45" s="3">
        <v>5</v>
      </c>
      <c r="M45" s="3" t="s">
        <v>107</v>
      </c>
      <c r="N45" s="3" t="s">
        <v>135</v>
      </c>
      <c r="O45" s="3" t="s">
        <v>149</v>
      </c>
      <c r="P45" s="3" t="s">
        <v>150</v>
      </c>
      <c r="Q45" s="3">
        <v>1293.46</v>
      </c>
      <c r="R45" s="3" t="s">
        <v>37</v>
      </c>
      <c r="S45" s="3">
        <f t="shared" si="5"/>
        <v>1251.855</v>
      </c>
      <c r="T45" s="3" t="str">
        <f>VLOOKUP(R45,Справочник!A:B,2,0)</f>
        <v>New York Yankees</v>
      </c>
      <c r="U45" s="3" t="str">
        <f>VLOOKUP(R45,Справочник!A:C,3,0)</f>
        <v>MLB</v>
      </c>
      <c r="V45" s="3">
        <f t="shared" si="4"/>
        <v>6467.3</v>
      </c>
      <c r="W45" s="3">
        <f t="shared" si="6"/>
        <v>6259.2749999999996</v>
      </c>
    </row>
    <row r="46" spans="1:23" x14ac:dyDescent="0.25">
      <c r="A46" s="3" t="str">
        <f t="shared" si="0"/>
        <v>11157578WHI</v>
      </c>
      <c r="B46" s="3">
        <v>11157578</v>
      </c>
      <c r="C46" s="3" t="s">
        <v>7</v>
      </c>
      <c r="D46" s="3">
        <v>3678</v>
      </c>
      <c r="E46" s="3" t="str">
        <f t="shared" si="3"/>
        <v>11157578WHIONE</v>
      </c>
      <c r="F46" s="3" t="str" cm="1">
        <f t="array" ref="F46">_xlfn.XLOOKUP(E46,[1]Лист1!$F:$F&amp;[1]Лист1!$E:$E,[1]Лист1!$B:$B,"",0)</f>
        <v>96-161-34-00</v>
      </c>
      <c r="G46" s="3" t="s">
        <v>148</v>
      </c>
      <c r="H46" s="3" t="s">
        <v>43</v>
      </c>
      <c r="I46" s="3" t="s">
        <v>105</v>
      </c>
      <c r="J46" s="3" t="s">
        <v>237</v>
      </c>
      <c r="K46" s="3" t="s">
        <v>106</v>
      </c>
      <c r="L46" s="3">
        <v>5</v>
      </c>
      <c r="M46" s="3" t="s">
        <v>107</v>
      </c>
      <c r="N46" s="3" t="s">
        <v>135</v>
      </c>
      <c r="O46" s="3" t="s">
        <v>149</v>
      </c>
      <c r="P46" s="3" t="s">
        <v>150</v>
      </c>
      <c r="Q46" s="3">
        <v>1210.25</v>
      </c>
      <c r="R46" s="3" t="s">
        <v>37</v>
      </c>
      <c r="S46" s="3">
        <f t="shared" si="5"/>
        <v>1251.855</v>
      </c>
      <c r="T46" s="3" t="str">
        <f>VLOOKUP(R46,Справочник!A:B,2,0)</f>
        <v>New York Yankees</v>
      </c>
      <c r="U46" s="3" t="str">
        <f>VLOOKUP(R46,Справочник!A:C,3,0)</f>
        <v>MLB</v>
      </c>
      <c r="V46" s="3">
        <f t="shared" si="4"/>
        <v>6051.25</v>
      </c>
      <c r="W46" s="3">
        <f t="shared" si="6"/>
        <v>6259.2749999999996</v>
      </c>
    </row>
    <row r="47" spans="1:23" x14ac:dyDescent="0.25">
      <c r="A47" s="3" t="str">
        <f t="shared" si="0"/>
        <v>11157579LRYWHI</v>
      </c>
      <c r="B47" s="3">
        <v>11157579</v>
      </c>
      <c r="C47" s="3" t="s">
        <v>21</v>
      </c>
      <c r="D47" s="3">
        <v>3678</v>
      </c>
      <c r="E47" s="3" t="str">
        <f t="shared" si="3"/>
        <v>11157579LRYWHIONE</v>
      </c>
      <c r="F47" s="3" t="str" cm="1">
        <f t="array" ref="F47">_xlfn.XLOOKUP(E47,[1]Лист1!$F:$F&amp;[1]Лист1!$E:$E,[1]Лист1!$B:$B,"",0)</f>
        <v>96-162-06-00</v>
      </c>
      <c r="G47" s="3" t="s">
        <v>151</v>
      </c>
      <c r="H47" s="3" t="s">
        <v>43</v>
      </c>
      <c r="I47" s="3" t="s">
        <v>105</v>
      </c>
      <c r="J47" s="3" t="s">
        <v>237</v>
      </c>
      <c r="K47" s="3" t="s">
        <v>106</v>
      </c>
      <c r="L47" s="3">
        <v>40</v>
      </c>
      <c r="M47" s="3" t="s">
        <v>107</v>
      </c>
      <c r="N47" s="3" t="s">
        <v>135</v>
      </c>
      <c r="O47" s="3" t="s">
        <v>149</v>
      </c>
      <c r="P47" s="3" t="s">
        <v>109</v>
      </c>
      <c r="Q47" s="3">
        <v>1210.25</v>
      </c>
      <c r="R47" s="3" t="s">
        <v>37</v>
      </c>
      <c r="S47" s="3">
        <f t="shared" si="5"/>
        <v>1226.8920000000001</v>
      </c>
      <c r="T47" s="3" t="str">
        <f>VLOOKUP(R47,Справочник!A:B,2,0)</f>
        <v>New York Yankees</v>
      </c>
      <c r="U47" s="3" t="str">
        <f>VLOOKUP(R47,Справочник!A:C,3,0)</f>
        <v>MLB</v>
      </c>
      <c r="V47" s="3">
        <f t="shared" si="4"/>
        <v>48410</v>
      </c>
      <c r="W47" s="3">
        <f t="shared" si="6"/>
        <v>49075.68</v>
      </c>
    </row>
    <row r="48" spans="1:23" hidden="1" x14ac:dyDescent="0.25">
      <c r="A48" s="3" t="str">
        <f t="shared" si="0"/>
        <v>11157579LRYWHI</v>
      </c>
      <c r="B48" s="3">
        <v>11157579</v>
      </c>
      <c r="C48" s="3" t="s">
        <v>21</v>
      </c>
      <c r="D48" s="3">
        <v>3677</v>
      </c>
      <c r="E48" s="3" t="str">
        <f t="shared" si="3"/>
        <v>11157579LRYWHIONE</v>
      </c>
      <c r="F48" s="3" t="str" cm="1">
        <f t="array" ref="F48">_xlfn.XLOOKUP(E48,[1]Лист1!$F:$F&amp;[1]Лист1!$E:$E,[1]Лист1!$B:$B,"",0)</f>
        <v>96-162-06-00</v>
      </c>
      <c r="G48" s="3" t="s">
        <v>151</v>
      </c>
      <c r="H48" s="3" t="s">
        <v>43</v>
      </c>
      <c r="I48" s="3" t="s">
        <v>105</v>
      </c>
      <c r="J48" s="3" t="s">
        <v>237</v>
      </c>
      <c r="K48" s="3" t="s">
        <v>106</v>
      </c>
      <c r="L48" s="3">
        <v>10</v>
      </c>
      <c r="M48" s="3" t="s">
        <v>107</v>
      </c>
      <c r="N48" s="3" t="s">
        <v>135</v>
      </c>
      <c r="O48" s="3" t="s">
        <v>149</v>
      </c>
      <c r="P48" s="3" t="s">
        <v>109</v>
      </c>
      <c r="Q48" s="3">
        <v>1293.46</v>
      </c>
      <c r="R48" s="3" t="s">
        <v>37</v>
      </c>
      <c r="S48" s="3">
        <f t="shared" si="5"/>
        <v>1226.8920000000001</v>
      </c>
      <c r="T48" s="3" t="str">
        <f>VLOOKUP(R48,Справочник!A:B,2,0)</f>
        <v>New York Yankees</v>
      </c>
      <c r="U48" s="3" t="str">
        <f>VLOOKUP(R48,Справочник!A:C,3,0)</f>
        <v>MLB</v>
      </c>
      <c r="V48" s="3">
        <f t="shared" si="4"/>
        <v>12934.6</v>
      </c>
      <c r="W48" s="3">
        <f t="shared" si="6"/>
        <v>12268.92</v>
      </c>
    </row>
    <row r="49" spans="1:23" x14ac:dyDescent="0.25">
      <c r="A49" s="3" t="str">
        <f t="shared" si="0"/>
        <v>11180834BLKBLK</v>
      </c>
      <c r="B49" s="3">
        <v>11180834</v>
      </c>
      <c r="C49" s="3" t="s">
        <v>6</v>
      </c>
      <c r="D49" s="3">
        <v>3678</v>
      </c>
      <c r="E49" s="3" t="str">
        <f t="shared" si="3"/>
        <v>11180834BLKBLK58</v>
      </c>
      <c r="F49" s="3" t="str" cm="1">
        <f t="array" ref="F49">_xlfn.XLOOKUP(E49,[1]Лист1!$F:$F&amp;[1]Лист1!$E:$E,[1]Лист1!$B:$B,"",0)</f>
        <v>96-163-09-58</v>
      </c>
      <c r="G49" s="3" t="s">
        <v>152</v>
      </c>
      <c r="H49" s="3" t="s">
        <v>47</v>
      </c>
      <c r="I49" s="3" t="s">
        <v>124</v>
      </c>
      <c r="J49" s="3">
        <v>58</v>
      </c>
      <c r="K49" s="3" t="s">
        <v>106</v>
      </c>
      <c r="L49" s="3">
        <v>10</v>
      </c>
      <c r="M49" s="3" t="s">
        <v>107</v>
      </c>
      <c r="N49" s="3" t="s">
        <v>135</v>
      </c>
      <c r="O49" s="3" t="s">
        <v>153</v>
      </c>
      <c r="P49" s="3" t="s">
        <v>109</v>
      </c>
      <c r="Q49" s="3">
        <v>1769.05</v>
      </c>
      <c r="R49" s="3" t="s">
        <v>37</v>
      </c>
      <c r="S49" s="3">
        <f t="shared" si="5"/>
        <v>1826.2829411764706</v>
      </c>
      <c r="T49" s="3" t="str">
        <f>VLOOKUP(R49,Справочник!A:B,2,0)</f>
        <v>New York Yankees</v>
      </c>
      <c r="U49" s="3" t="str">
        <f>VLOOKUP(R49,Справочник!A:C,3,0)</f>
        <v>MLB</v>
      </c>
      <c r="V49" s="3">
        <f t="shared" si="4"/>
        <v>17690.5</v>
      </c>
      <c r="W49" s="3">
        <f t="shared" si="6"/>
        <v>18262.829411764706</v>
      </c>
    </row>
    <row r="50" spans="1:23" hidden="1" x14ac:dyDescent="0.25">
      <c r="A50" s="3" t="str">
        <f t="shared" si="0"/>
        <v>11180834BLKBLK</v>
      </c>
      <c r="B50" s="3">
        <v>11180834</v>
      </c>
      <c r="C50" s="3" t="s">
        <v>6</v>
      </c>
      <c r="D50" s="3">
        <v>3677</v>
      </c>
      <c r="E50" s="3" t="str">
        <f t="shared" si="3"/>
        <v>11180834BLKBLK58</v>
      </c>
      <c r="F50" s="3" t="str" cm="1">
        <f t="array" ref="F50">_xlfn.XLOOKUP(E50,[1]Лист1!$F:$F&amp;[1]Лист1!$E:$E,[1]Лист1!$B:$B,"",0)</f>
        <v>96-163-09-58</v>
      </c>
      <c r="G50" s="3" t="s">
        <v>152</v>
      </c>
      <c r="H50" s="3" t="s">
        <v>47</v>
      </c>
      <c r="I50" s="3" t="s">
        <v>124</v>
      </c>
      <c r="J50" s="3">
        <v>58</v>
      </c>
      <c r="K50" s="3" t="s">
        <v>106</v>
      </c>
      <c r="L50" s="3">
        <v>10</v>
      </c>
      <c r="M50" s="3" t="s">
        <v>107</v>
      </c>
      <c r="N50" s="3" t="s">
        <v>135</v>
      </c>
      <c r="O50" s="3" t="s">
        <v>153</v>
      </c>
      <c r="P50" s="3" t="s">
        <v>109</v>
      </c>
      <c r="Q50" s="3">
        <v>1890.67</v>
      </c>
      <c r="R50" s="3" t="s">
        <v>37</v>
      </c>
      <c r="S50" s="3">
        <f t="shared" si="5"/>
        <v>1826.2829411764706</v>
      </c>
      <c r="T50" s="3" t="str">
        <f>VLOOKUP(R50,Справочник!A:B,2,0)</f>
        <v>New York Yankees</v>
      </c>
      <c r="U50" s="3" t="str">
        <f>VLOOKUP(R50,Справочник!A:C,3,0)</f>
        <v>MLB</v>
      </c>
      <c r="V50" s="3">
        <f t="shared" si="4"/>
        <v>18906.7</v>
      </c>
      <c r="W50" s="3">
        <f t="shared" si="6"/>
        <v>18262.829411764706</v>
      </c>
    </row>
    <row r="51" spans="1:23" hidden="1" x14ac:dyDescent="0.25">
      <c r="A51" s="3" t="str">
        <f t="shared" si="0"/>
        <v>11180834BLKBLK</v>
      </c>
      <c r="B51" s="3">
        <v>11180834</v>
      </c>
      <c r="C51" s="3" t="s">
        <v>6</v>
      </c>
      <c r="D51" s="3">
        <v>3677</v>
      </c>
      <c r="E51" s="3" t="str">
        <f t="shared" si="3"/>
        <v>11180834BLKBLK56</v>
      </c>
      <c r="F51" s="3" t="str" cm="1">
        <f t="array" ref="F51">_xlfn.XLOOKUP(E51,[1]Лист1!$F:$F&amp;[1]Лист1!$E:$E,[1]Лист1!$B:$B,"",0)</f>
        <v>96-163-09-56</v>
      </c>
      <c r="G51" s="3" t="s">
        <v>154</v>
      </c>
      <c r="H51" s="3" t="s">
        <v>50</v>
      </c>
      <c r="I51" s="3" t="s">
        <v>128</v>
      </c>
      <c r="J51" s="3">
        <v>56</v>
      </c>
      <c r="K51" s="3" t="s">
        <v>106</v>
      </c>
      <c r="L51" s="3">
        <v>6</v>
      </c>
      <c r="M51" s="3" t="s">
        <v>107</v>
      </c>
      <c r="N51" s="3" t="s">
        <v>135</v>
      </c>
      <c r="O51" s="3" t="s">
        <v>153</v>
      </c>
      <c r="P51" s="3" t="s">
        <v>109</v>
      </c>
      <c r="Q51" s="3">
        <v>1890.67</v>
      </c>
      <c r="R51" s="3" t="s">
        <v>37</v>
      </c>
      <c r="S51" s="3">
        <f t="shared" si="5"/>
        <v>1826.2829411764706</v>
      </c>
      <c r="T51" s="3" t="str">
        <f>VLOOKUP(R51,Справочник!A:B,2,0)</f>
        <v>New York Yankees</v>
      </c>
      <c r="U51" s="3" t="str">
        <f>VLOOKUP(R51,Справочник!A:C,3,0)</f>
        <v>MLB</v>
      </c>
      <c r="V51" s="3">
        <f t="shared" si="4"/>
        <v>11344.02</v>
      </c>
      <c r="W51" s="3">
        <f t="shared" si="6"/>
        <v>10957.697647058823</v>
      </c>
    </row>
    <row r="52" spans="1:23" x14ac:dyDescent="0.25">
      <c r="A52" s="3" t="str">
        <f t="shared" si="0"/>
        <v>11180834BLKBLK</v>
      </c>
      <c r="B52" s="3">
        <v>11180834</v>
      </c>
      <c r="C52" s="3" t="s">
        <v>6</v>
      </c>
      <c r="D52" s="3">
        <v>3678</v>
      </c>
      <c r="E52" s="3" t="str">
        <f t="shared" si="3"/>
        <v>11180834BLKBLK56</v>
      </c>
      <c r="F52" s="3" t="str" cm="1">
        <f t="array" ref="F52">_xlfn.XLOOKUP(E52,[1]Лист1!$F:$F&amp;[1]Лист1!$E:$E,[1]Лист1!$B:$B,"",0)</f>
        <v>96-163-09-56</v>
      </c>
      <c r="G52" s="3" t="s">
        <v>154</v>
      </c>
      <c r="H52" s="3" t="s">
        <v>50</v>
      </c>
      <c r="I52" s="3" t="s">
        <v>128</v>
      </c>
      <c r="J52" s="3">
        <v>56</v>
      </c>
      <c r="K52" s="3" t="s">
        <v>106</v>
      </c>
      <c r="L52" s="3">
        <v>8</v>
      </c>
      <c r="M52" s="3" t="s">
        <v>107</v>
      </c>
      <c r="N52" s="3" t="s">
        <v>135</v>
      </c>
      <c r="O52" s="3" t="s">
        <v>153</v>
      </c>
      <c r="P52" s="3" t="s">
        <v>109</v>
      </c>
      <c r="Q52" s="3">
        <v>1769.05</v>
      </c>
      <c r="R52" s="3" t="s">
        <v>37</v>
      </c>
      <c r="S52" s="3">
        <f t="shared" si="5"/>
        <v>1826.2829411764706</v>
      </c>
      <c r="T52" s="3" t="str">
        <f>VLOOKUP(R52,Справочник!A:B,2,0)</f>
        <v>New York Yankees</v>
      </c>
      <c r="U52" s="3" t="str">
        <f>VLOOKUP(R52,Справочник!A:C,3,0)</f>
        <v>MLB</v>
      </c>
      <c r="V52" s="3">
        <f t="shared" si="4"/>
        <v>14152.4</v>
      </c>
      <c r="W52" s="3">
        <f t="shared" si="6"/>
        <v>14610.263529411764</v>
      </c>
    </row>
    <row r="53" spans="1:23" x14ac:dyDescent="0.25">
      <c r="A53" s="3" t="str">
        <f t="shared" si="0"/>
        <v>11405497LRYWHI</v>
      </c>
      <c r="B53" s="3">
        <v>11405497</v>
      </c>
      <c r="C53" s="3" t="s">
        <v>21</v>
      </c>
      <c r="D53" s="3">
        <v>3678</v>
      </c>
      <c r="E53" s="3" t="str">
        <f t="shared" si="3"/>
        <v>11405497LRYWHIONE</v>
      </c>
      <c r="F53" s="3" t="str" cm="1">
        <f t="array" ref="F53">_xlfn.XLOOKUP(E53,[1]Лист1!$F:$F&amp;[1]Лист1!$E:$E,[1]Лист1!$B:$B,"",0)</f>
        <v>96-164-95-00</v>
      </c>
      <c r="G53" s="3" t="s">
        <v>155</v>
      </c>
      <c r="H53" s="3" t="s">
        <v>43</v>
      </c>
      <c r="I53" s="3" t="s">
        <v>105</v>
      </c>
      <c r="J53" s="3" t="s">
        <v>237</v>
      </c>
      <c r="K53" s="3" t="s">
        <v>106</v>
      </c>
      <c r="L53" s="3">
        <v>8</v>
      </c>
      <c r="M53" s="3" t="s">
        <v>107</v>
      </c>
      <c r="N53" s="3" t="s">
        <v>135</v>
      </c>
      <c r="O53" s="3" t="s">
        <v>156</v>
      </c>
      <c r="P53" s="3" t="s">
        <v>109</v>
      </c>
      <c r="Q53" s="3">
        <v>1489.65</v>
      </c>
      <c r="R53" s="3" t="s">
        <v>42</v>
      </c>
      <c r="S53" s="3">
        <f t="shared" si="5"/>
        <v>1537.4413333333334</v>
      </c>
      <c r="T53" s="3" t="str">
        <f>VLOOKUP(R53,Справочник!A:B,2,0)</f>
        <v>Los Angeles Dodgers</v>
      </c>
      <c r="U53" s="3" t="str">
        <f>VLOOKUP(R53,Справочник!A:C,3,0)</f>
        <v>MLB</v>
      </c>
      <c r="V53" s="3">
        <f t="shared" si="4"/>
        <v>11917.2</v>
      </c>
      <c r="W53" s="3">
        <f t="shared" si="6"/>
        <v>12299.530666666667</v>
      </c>
    </row>
    <row r="54" spans="1:23" hidden="1" x14ac:dyDescent="0.25">
      <c r="A54" s="3" t="str">
        <f t="shared" si="0"/>
        <v>11405497LRYWHI</v>
      </c>
      <c r="B54" s="3">
        <v>11405497</v>
      </c>
      <c r="C54" s="3" t="s">
        <v>21</v>
      </c>
      <c r="D54" s="3">
        <v>3677</v>
      </c>
      <c r="E54" s="3" t="str">
        <f t="shared" si="3"/>
        <v>11405497LRYWHIONE</v>
      </c>
      <c r="F54" s="3" t="str" cm="1">
        <f t="array" ref="F54">_xlfn.XLOOKUP(E54,[1]Лист1!$F:$F&amp;[1]Лист1!$E:$E,[1]Лист1!$B:$B,"",0)</f>
        <v>96-164-95-00</v>
      </c>
      <c r="G54" s="3" t="s">
        <v>155</v>
      </c>
      <c r="H54" s="3" t="s">
        <v>43</v>
      </c>
      <c r="I54" s="3" t="s">
        <v>105</v>
      </c>
      <c r="J54" s="3" t="s">
        <v>237</v>
      </c>
      <c r="K54" s="3" t="s">
        <v>106</v>
      </c>
      <c r="L54" s="3">
        <v>7</v>
      </c>
      <c r="M54" s="3" t="s">
        <v>107</v>
      </c>
      <c r="N54" s="3" t="s">
        <v>135</v>
      </c>
      <c r="O54" s="3" t="s">
        <v>156</v>
      </c>
      <c r="P54" s="3" t="s">
        <v>109</v>
      </c>
      <c r="Q54" s="3">
        <v>1592.06</v>
      </c>
      <c r="R54" s="3" t="s">
        <v>42</v>
      </c>
      <c r="S54" s="3">
        <f t="shared" si="5"/>
        <v>1537.4413333333334</v>
      </c>
      <c r="T54" s="3" t="str">
        <f>VLOOKUP(R54,Справочник!A:B,2,0)</f>
        <v>Los Angeles Dodgers</v>
      </c>
      <c r="U54" s="3" t="str">
        <f>VLOOKUP(R54,Справочник!A:C,3,0)</f>
        <v>MLB</v>
      </c>
      <c r="V54" s="3">
        <f t="shared" si="4"/>
        <v>11144.42</v>
      </c>
      <c r="W54" s="3">
        <f t="shared" si="6"/>
        <v>10762.089333333333</v>
      </c>
    </row>
    <row r="55" spans="1:23" hidden="1" x14ac:dyDescent="0.25">
      <c r="A55" s="3" t="str">
        <f t="shared" si="0"/>
        <v>11405614OTC</v>
      </c>
      <c r="B55" s="3">
        <v>11405614</v>
      </c>
      <c r="C55" s="3" t="s">
        <v>11</v>
      </c>
      <c r="D55" s="3">
        <v>3677</v>
      </c>
      <c r="E55" s="3" t="str">
        <f t="shared" si="3"/>
        <v>11405614OTCONE</v>
      </c>
      <c r="F55" s="3" t="str" cm="1">
        <f t="array" ref="F55">_xlfn.XLOOKUP(E55,[1]Лист1!$F:$F&amp;[1]Лист1!$E:$E,[1]Лист1!$B:$B,"",0)</f>
        <v>96-165-09-00</v>
      </c>
      <c r="G55" s="3" t="s">
        <v>157</v>
      </c>
      <c r="H55" s="3" t="s">
        <v>43</v>
      </c>
      <c r="I55" s="3" t="s">
        <v>105</v>
      </c>
      <c r="J55" s="3" t="s">
        <v>237</v>
      </c>
      <c r="K55" s="3" t="s">
        <v>106</v>
      </c>
      <c r="L55" s="3">
        <v>8</v>
      </c>
      <c r="M55" s="3" t="s">
        <v>107</v>
      </c>
      <c r="N55" s="3" t="s">
        <v>108</v>
      </c>
      <c r="O55" s="3" t="s">
        <v>158</v>
      </c>
      <c r="P55" s="3" t="s">
        <v>109</v>
      </c>
      <c r="Q55" s="3">
        <v>1442.76</v>
      </c>
      <c r="R55" s="3" t="s">
        <v>44</v>
      </c>
      <c r="S55" s="3">
        <f t="shared" si="5"/>
        <v>1424.1979999999999</v>
      </c>
      <c r="T55" s="3" t="str">
        <f>VLOOKUP(R55,Справочник!A:B,2,0)</f>
        <v>Chicago Bulls</v>
      </c>
      <c r="U55" s="3" t="str">
        <f>VLOOKUP(R55,Справочник!A:C,3,0)</f>
        <v>NBA</v>
      </c>
      <c r="V55" s="3">
        <f t="shared" si="4"/>
        <v>11542.08</v>
      </c>
      <c r="W55" s="3">
        <f t="shared" si="6"/>
        <v>11393.583999999999</v>
      </c>
    </row>
    <row r="56" spans="1:23" x14ac:dyDescent="0.25">
      <c r="A56" s="3" t="str">
        <f t="shared" si="0"/>
        <v>11405614OTC</v>
      </c>
      <c r="B56" s="3">
        <v>11405614</v>
      </c>
      <c r="C56" s="3" t="s">
        <v>11</v>
      </c>
      <c r="D56" s="3">
        <v>3678</v>
      </c>
      <c r="E56" s="3" t="str">
        <f t="shared" si="3"/>
        <v>11405614OTCONE</v>
      </c>
      <c r="F56" s="3" t="str" cm="1">
        <f t="array" ref="F56">_xlfn.XLOOKUP(E56,[1]Лист1!$F:$F&amp;[1]Лист1!$E:$E,[1]Лист1!$B:$B,"",0)</f>
        <v>96-165-09-00</v>
      </c>
      <c r="G56" s="3" t="s">
        <v>157</v>
      </c>
      <c r="H56" s="3" t="s">
        <v>43</v>
      </c>
      <c r="I56" s="3" t="s">
        <v>105</v>
      </c>
      <c r="J56" s="3" t="s">
        <v>237</v>
      </c>
      <c r="K56" s="3" t="s">
        <v>106</v>
      </c>
      <c r="L56" s="3">
        <v>2</v>
      </c>
      <c r="M56" s="3" t="s">
        <v>107</v>
      </c>
      <c r="N56" s="3" t="s">
        <v>108</v>
      </c>
      <c r="O56" s="3" t="s">
        <v>158</v>
      </c>
      <c r="P56" s="3" t="s">
        <v>109</v>
      </c>
      <c r="Q56" s="3">
        <v>1349.95</v>
      </c>
      <c r="R56" s="3" t="s">
        <v>44</v>
      </c>
      <c r="S56" s="3">
        <f t="shared" si="5"/>
        <v>1424.1979999999999</v>
      </c>
      <c r="T56" s="3" t="str">
        <f>VLOOKUP(R56,Справочник!A:B,2,0)</f>
        <v>Chicago Bulls</v>
      </c>
      <c r="U56" s="3" t="str">
        <f>VLOOKUP(R56,Справочник!A:C,3,0)</f>
        <v>NBA</v>
      </c>
      <c r="V56" s="3">
        <f t="shared" si="4"/>
        <v>2699.9</v>
      </c>
      <c r="W56" s="3">
        <f t="shared" si="6"/>
        <v>2848.3959999999997</v>
      </c>
    </row>
    <row r="57" spans="1:23" hidden="1" x14ac:dyDescent="0.25">
      <c r="A57" s="3" t="str">
        <f t="shared" si="0"/>
        <v>11576724NAVY</v>
      </c>
      <c r="B57" s="3">
        <v>11576724</v>
      </c>
      <c r="C57" s="3" t="s">
        <v>14</v>
      </c>
      <c r="D57" s="3">
        <v>3677</v>
      </c>
      <c r="E57" s="3" t="str">
        <f t="shared" si="3"/>
        <v>11576724NAVYONE</v>
      </c>
      <c r="F57" s="3" t="str" cm="1">
        <f t="array" ref="F57">_xlfn.XLOOKUP(E57,[1]Лист1!$F:$F&amp;[1]Лист1!$E:$E,[1]Лист1!$B:$B,"",0)</f>
        <v>96-166-16-00</v>
      </c>
      <c r="G57" s="3" t="s">
        <v>159</v>
      </c>
      <c r="H57" s="3" t="s">
        <v>43</v>
      </c>
      <c r="I57" s="3" t="s">
        <v>105</v>
      </c>
      <c r="J57" s="3" t="s">
        <v>237</v>
      </c>
      <c r="K57" s="3" t="s">
        <v>106</v>
      </c>
      <c r="L57" s="3">
        <v>4</v>
      </c>
      <c r="M57" s="3" t="s">
        <v>107</v>
      </c>
      <c r="N57" s="3" t="s">
        <v>108</v>
      </c>
      <c r="P57" s="3" t="s">
        <v>109</v>
      </c>
      <c r="Q57" s="3">
        <v>1442.76</v>
      </c>
      <c r="S57" s="3">
        <f t="shared" si="5"/>
        <v>1380.8866666666665</v>
      </c>
      <c r="V57" s="3">
        <f t="shared" si="4"/>
        <v>5771.04</v>
      </c>
      <c r="W57" s="3">
        <f t="shared" si="6"/>
        <v>5523.5466666666662</v>
      </c>
    </row>
    <row r="58" spans="1:23" x14ac:dyDescent="0.25">
      <c r="A58" s="3" t="str">
        <f t="shared" si="0"/>
        <v>11576724NAVY</v>
      </c>
      <c r="B58" s="3">
        <v>11576724</v>
      </c>
      <c r="C58" s="3" t="s">
        <v>14</v>
      </c>
      <c r="D58" s="3">
        <v>3678</v>
      </c>
      <c r="E58" s="3" t="str">
        <f t="shared" si="3"/>
        <v>11576724NAVYONE</v>
      </c>
      <c r="F58" s="3" t="str" cm="1">
        <f t="array" ref="F58">_xlfn.XLOOKUP(E58,[1]Лист1!$F:$F&amp;[1]Лист1!$E:$E,[1]Лист1!$B:$B,"",0)</f>
        <v>96-166-16-00</v>
      </c>
      <c r="G58" s="3" t="s">
        <v>159</v>
      </c>
      <c r="H58" s="3" t="s">
        <v>43</v>
      </c>
      <c r="I58" s="3" t="s">
        <v>105</v>
      </c>
      <c r="J58" s="3" t="s">
        <v>237</v>
      </c>
      <c r="K58" s="3" t="s">
        <v>106</v>
      </c>
      <c r="L58" s="3">
        <v>8</v>
      </c>
      <c r="M58" s="3" t="s">
        <v>107</v>
      </c>
      <c r="N58" s="3" t="s">
        <v>108</v>
      </c>
      <c r="P58" s="3" t="s">
        <v>109</v>
      </c>
      <c r="Q58" s="3">
        <v>1349.95</v>
      </c>
      <c r="S58" s="3">
        <f t="shared" si="5"/>
        <v>1380.8866666666665</v>
      </c>
      <c r="V58" s="3">
        <f t="shared" si="4"/>
        <v>10799.6</v>
      </c>
      <c r="W58" s="3">
        <f t="shared" si="6"/>
        <v>11047.093333333332</v>
      </c>
    </row>
    <row r="59" spans="1:23" hidden="1" x14ac:dyDescent="0.25">
      <c r="A59" s="3" t="str">
        <f t="shared" si="0"/>
        <v>11579473BLK</v>
      </c>
      <c r="B59" s="3">
        <v>11579473</v>
      </c>
      <c r="C59" s="3" t="s">
        <v>12</v>
      </c>
      <c r="D59" s="3">
        <v>3677</v>
      </c>
      <c r="E59" s="3" t="str">
        <f t="shared" si="3"/>
        <v>11579473BLKONE</v>
      </c>
      <c r="F59" s="3" t="str" cm="1">
        <f t="array" ref="F59">_xlfn.XLOOKUP(E59,[1]Лист1!$F:$F&amp;[1]Лист1!$E:$E,[1]Лист1!$B:$B,"",0)</f>
        <v>96-167-00-00</v>
      </c>
      <c r="G59" s="3" t="s">
        <v>160</v>
      </c>
      <c r="H59" s="3" t="s">
        <v>43</v>
      </c>
      <c r="I59" s="3" t="s">
        <v>105</v>
      </c>
      <c r="J59" s="3" t="s">
        <v>237</v>
      </c>
      <c r="K59" s="3" t="s">
        <v>106</v>
      </c>
      <c r="L59" s="3">
        <v>4</v>
      </c>
      <c r="M59" s="3" t="s">
        <v>107</v>
      </c>
      <c r="N59" s="3" t="s">
        <v>135</v>
      </c>
      <c r="P59" s="3" t="s">
        <v>109</v>
      </c>
      <c r="Q59" s="3">
        <v>1691.6</v>
      </c>
      <c r="R59" s="3" t="s">
        <v>37</v>
      </c>
      <c r="S59" s="3">
        <f t="shared" si="5"/>
        <v>1594.8711111111111</v>
      </c>
      <c r="T59" s="3" t="str">
        <f>VLOOKUP(R59,Справочник!A:B,2,0)</f>
        <v>New York Yankees</v>
      </c>
      <c r="U59" s="3" t="str">
        <f>VLOOKUP(R59,Справочник!A:C,3,0)</f>
        <v>MLB</v>
      </c>
      <c r="V59" s="3">
        <f t="shared" si="4"/>
        <v>6766.4</v>
      </c>
      <c r="W59" s="3">
        <f t="shared" si="6"/>
        <v>6379.4844444444443</v>
      </c>
    </row>
    <row r="60" spans="1:23" x14ac:dyDescent="0.25">
      <c r="A60" s="3" t="str">
        <f t="shared" si="0"/>
        <v>11579473BLK</v>
      </c>
      <c r="B60" s="3">
        <v>11579473</v>
      </c>
      <c r="C60" s="3" t="s">
        <v>12</v>
      </c>
      <c r="D60" s="3">
        <v>3678</v>
      </c>
      <c r="E60" s="3" t="str">
        <f t="shared" si="3"/>
        <v>11579473BLKONE</v>
      </c>
      <c r="F60" s="3" t="str" cm="1">
        <f t="array" ref="F60">_xlfn.XLOOKUP(E60,[1]Лист1!$F:$F&amp;[1]Лист1!$E:$E,[1]Лист1!$B:$B,"",0)</f>
        <v>96-167-00-00</v>
      </c>
      <c r="G60" s="3" t="s">
        <v>160</v>
      </c>
      <c r="H60" s="3" t="s">
        <v>43</v>
      </c>
      <c r="I60" s="3" t="s">
        <v>105</v>
      </c>
      <c r="J60" s="3" t="s">
        <v>237</v>
      </c>
      <c r="K60" s="3" t="s">
        <v>106</v>
      </c>
      <c r="L60" s="3">
        <v>32</v>
      </c>
      <c r="M60" s="3" t="s">
        <v>107</v>
      </c>
      <c r="N60" s="3" t="s">
        <v>135</v>
      </c>
      <c r="P60" s="3" t="s">
        <v>109</v>
      </c>
      <c r="Q60" s="3">
        <v>1582.78</v>
      </c>
      <c r="R60" s="3" t="s">
        <v>37</v>
      </c>
      <c r="S60" s="3">
        <f t="shared" si="5"/>
        <v>1594.8711111111111</v>
      </c>
      <c r="T60" s="3" t="str">
        <f>VLOOKUP(R60,Справочник!A:B,2,0)</f>
        <v>New York Yankees</v>
      </c>
      <c r="U60" s="3" t="str">
        <f>VLOOKUP(R60,Справочник!A:C,3,0)</f>
        <v>MLB</v>
      </c>
      <c r="V60" s="3">
        <f t="shared" si="4"/>
        <v>50648.959999999999</v>
      </c>
      <c r="W60" s="3">
        <f t="shared" si="6"/>
        <v>51035.875555555554</v>
      </c>
    </row>
    <row r="61" spans="1:23" hidden="1" x14ac:dyDescent="0.25">
      <c r="A61" s="3" t="str">
        <f t="shared" si="0"/>
        <v>11588488SCAWHI</v>
      </c>
      <c r="B61" s="3">
        <v>11588488</v>
      </c>
      <c r="C61" s="3" t="s">
        <v>22</v>
      </c>
      <c r="D61" s="3">
        <v>3677</v>
      </c>
      <c r="E61" s="3" t="str">
        <f t="shared" si="3"/>
        <v>11588488SCAWHIONE</v>
      </c>
      <c r="F61" s="3" t="str" cm="1">
        <f t="array" ref="F61">_xlfn.XLOOKUP(E61,[1]Лист1!$F:$F&amp;[1]Лист1!$E:$E,[1]Лист1!$B:$B,"",0)</f>
        <v>96-168-18-00</v>
      </c>
      <c r="G61" s="3" t="s">
        <v>161</v>
      </c>
      <c r="H61" s="3" t="s">
        <v>43</v>
      </c>
      <c r="I61" s="3" t="s">
        <v>105</v>
      </c>
      <c r="J61" s="3" t="s">
        <v>237</v>
      </c>
      <c r="K61" s="3" t="s">
        <v>106</v>
      </c>
      <c r="L61" s="3">
        <v>2</v>
      </c>
      <c r="M61" s="3" t="s">
        <v>107</v>
      </c>
      <c r="N61" s="3" t="s">
        <v>135</v>
      </c>
      <c r="P61" s="3" t="s">
        <v>109</v>
      </c>
      <c r="Q61" s="3">
        <v>1592.06</v>
      </c>
      <c r="R61" s="3" t="s">
        <v>37</v>
      </c>
      <c r="S61" s="3">
        <f t="shared" si="5"/>
        <v>1523.7866666666669</v>
      </c>
      <c r="T61" s="3" t="str">
        <f>VLOOKUP(R61,Справочник!A:B,2,0)</f>
        <v>New York Yankees</v>
      </c>
      <c r="U61" s="3" t="str">
        <f>VLOOKUP(R61,Справочник!A:C,3,0)</f>
        <v>MLB</v>
      </c>
      <c r="V61" s="3">
        <f t="shared" si="4"/>
        <v>3184.12</v>
      </c>
      <c r="W61" s="3">
        <f t="shared" si="6"/>
        <v>3047.5733333333337</v>
      </c>
    </row>
    <row r="62" spans="1:23" x14ac:dyDescent="0.25">
      <c r="A62" s="3" t="str">
        <f t="shared" si="0"/>
        <v>11588488SCAWHI</v>
      </c>
      <c r="B62" s="3">
        <v>11588488</v>
      </c>
      <c r="C62" s="3" t="s">
        <v>22</v>
      </c>
      <c r="D62" s="3">
        <v>3678</v>
      </c>
      <c r="E62" s="3" t="str">
        <f t="shared" si="3"/>
        <v>11588488SCAWHIONE</v>
      </c>
      <c r="F62" s="3" t="str" cm="1">
        <f t="array" ref="F62">_xlfn.XLOOKUP(E62,[1]Лист1!$F:$F&amp;[1]Лист1!$E:$E,[1]Лист1!$B:$B,"",0)</f>
        <v>96-168-18-00</v>
      </c>
      <c r="G62" s="3" t="s">
        <v>161</v>
      </c>
      <c r="H62" s="3" t="s">
        <v>43</v>
      </c>
      <c r="I62" s="3" t="s">
        <v>105</v>
      </c>
      <c r="J62" s="3" t="s">
        <v>237</v>
      </c>
      <c r="K62" s="3" t="s">
        <v>106</v>
      </c>
      <c r="L62" s="3">
        <v>4</v>
      </c>
      <c r="M62" s="3" t="s">
        <v>107</v>
      </c>
      <c r="N62" s="3" t="s">
        <v>135</v>
      </c>
      <c r="P62" s="3" t="s">
        <v>109</v>
      </c>
      <c r="Q62" s="3">
        <v>1489.65</v>
      </c>
      <c r="R62" s="3" t="s">
        <v>37</v>
      </c>
      <c r="S62" s="3">
        <f t="shared" si="5"/>
        <v>1523.7866666666669</v>
      </c>
      <c r="T62" s="3" t="str">
        <f>VLOOKUP(R62,Справочник!A:B,2,0)</f>
        <v>New York Yankees</v>
      </c>
      <c r="U62" s="3" t="str">
        <f>VLOOKUP(R62,Справочник!A:C,3,0)</f>
        <v>MLB</v>
      </c>
      <c r="V62" s="3">
        <f t="shared" si="4"/>
        <v>5958.6</v>
      </c>
      <c r="W62" s="3">
        <f t="shared" si="6"/>
        <v>6095.1466666666674</v>
      </c>
    </row>
    <row r="63" spans="1:23" x14ac:dyDescent="0.25">
      <c r="A63" s="3" t="str">
        <f t="shared" si="0"/>
        <v>11588490GRAWHI</v>
      </c>
      <c r="B63" s="3">
        <v>11588490</v>
      </c>
      <c r="C63" s="3" t="s">
        <v>10</v>
      </c>
      <c r="D63" s="3">
        <v>3678</v>
      </c>
      <c r="E63" s="3" t="str">
        <f t="shared" si="3"/>
        <v>11588490GRAWHIONE</v>
      </c>
      <c r="F63" s="3" t="str" cm="1">
        <f t="array" ref="F63">_xlfn.XLOOKUP(E63,[1]Лист1!$F:$F&amp;[1]Лист1!$E:$E,[1]Лист1!$B:$B,"",0)</f>
        <v>96-169-50-00</v>
      </c>
      <c r="G63" s="3" t="s">
        <v>162</v>
      </c>
      <c r="H63" s="3" t="s">
        <v>43</v>
      </c>
      <c r="I63" s="3" t="s">
        <v>105</v>
      </c>
      <c r="J63" s="3" t="s">
        <v>237</v>
      </c>
      <c r="K63" s="3" t="s">
        <v>106</v>
      </c>
      <c r="L63" s="3">
        <v>10</v>
      </c>
      <c r="M63" s="3" t="s">
        <v>107</v>
      </c>
      <c r="N63" s="3" t="s">
        <v>135</v>
      </c>
      <c r="P63" s="3" t="s">
        <v>109</v>
      </c>
      <c r="Q63" s="3">
        <v>1489.65</v>
      </c>
      <c r="R63" s="3" t="s">
        <v>37</v>
      </c>
      <c r="S63" s="3">
        <f t="shared" si="5"/>
        <v>1531.8188235294117</v>
      </c>
      <c r="T63" s="3" t="str">
        <f>VLOOKUP(R63,Справочник!A:B,2,0)</f>
        <v>New York Yankees</v>
      </c>
      <c r="U63" s="3" t="str">
        <f>VLOOKUP(R63,Справочник!A:C,3,0)</f>
        <v>MLB</v>
      </c>
      <c r="V63" s="3">
        <f t="shared" si="4"/>
        <v>14896.5</v>
      </c>
      <c r="W63" s="3">
        <f t="shared" si="6"/>
        <v>15318.188235294117</v>
      </c>
    </row>
    <row r="64" spans="1:23" hidden="1" x14ac:dyDescent="0.25">
      <c r="A64" s="3" t="str">
        <f t="shared" si="0"/>
        <v>11588490GRAWHI</v>
      </c>
      <c r="B64" s="3">
        <v>11588490</v>
      </c>
      <c r="C64" s="3" t="s">
        <v>10</v>
      </c>
      <c r="D64" s="3">
        <v>3677</v>
      </c>
      <c r="E64" s="3" t="str">
        <f t="shared" si="3"/>
        <v>11588490GRAWHIONE</v>
      </c>
      <c r="F64" s="3" t="str" cm="1">
        <f t="array" ref="F64">_xlfn.XLOOKUP(E64,[1]Лист1!$F:$F&amp;[1]Лист1!$E:$E,[1]Лист1!$B:$B,"",0)</f>
        <v>96-169-50-00</v>
      </c>
      <c r="G64" s="3" t="s">
        <v>162</v>
      </c>
      <c r="H64" s="3" t="s">
        <v>43</v>
      </c>
      <c r="I64" s="3" t="s">
        <v>105</v>
      </c>
      <c r="J64" s="3" t="s">
        <v>237</v>
      </c>
      <c r="K64" s="3" t="s">
        <v>106</v>
      </c>
      <c r="L64" s="3">
        <v>7</v>
      </c>
      <c r="M64" s="3" t="s">
        <v>107</v>
      </c>
      <c r="N64" s="3" t="s">
        <v>135</v>
      </c>
      <c r="P64" s="3" t="s">
        <v>109</v>
      </c>
      <c r="Q64" s="3">
        <v>1592.06</v>
      </c>
      <c r="R64" s="3" t="s">
        <v>37</v>
      </c>
      <c r="S64" s="3">
        <f t="shared" si="5"/>
        <v>1531.8188235294117</v>
      </c>
      <c r="T64" s="3" t="str">
        <f>VLOOKUP(R64,Справочник!A:B,2,0)</f>
        <v>New York Yankees</v>
      </c>
      <c r="U64" s="3" t="str">
        <f>VLOOKUP(R64,Справочник!A:C,3,0)</f>
        <v>MLB</v>
      </c>
      <c r="V64" s="3">
        <f t="shared" si="4"/>
        <v>11144.42</v>
      </c>
      <c r="W64" s="3">
        <f t="shared" si="6"/>
        <v>10722.731764705883</v>
      </c>
    </row>
    <row r="65" spans="1:23" x14ac:dyDescent="0.25">
      <c r="A65" s="3" t="str">
        <f t="shared" si="0"/>
        <v>11871279BLKOTC</v>
      </c>
      <c r="B65" s="3">
        <v>11871279</v>
      </c>
      <c r="C65" s="3" t="s">
        <v>23</v>
      </c>
      <c r="D65" s="3">
        <v>3678</v>
      </c>
      <c r="E65" s="3" t="str">
        <f t="shared" si="3"/>
        <v>11871279BLKOTC58</v>
      </c>
      <c r="F65" s="3" t="str" cm="1">
        <f t="array" ref="F65">_xlfn.XLOOKUP(E65,[1]Лист1!$F:$F&amp;[1]Лист1!$E:$E,[1]Лист1!$B:$B,"",0)</f>
        <v>96-170-09-58</v>
      </c>
      <c r="G65" s="3" t="s">
        <v>163</v>
      </c>
      <c r="H65" s="3" t="s">
        <v>47</v>
      </c>
      <c r="I65" s="3" t="s">
        <v>124</v>
      </c>
      <c r="J65" s="3">
        <v>58</v>
      </c>
      <c r="K65" s="3" t="s">
        <v>106</v>
      </c>
      <c r="L65" s="3">
        <v>9</v>
      </c>
      <c r="M65" s="3" t="s">
        <v>107</v>
      </c>
      <c r="N65" s="3" t="s">
        <v>164</v>
      </c>
      <c r="P65" s="3" t="s">
        <v>109</v>
      </c>
      <c r="Q65" s="3">
        <v>1769.05</v>
      </c>
      <c r="R65" s="3" t="s">
        <v>37</v>
      </c>
      <c r="S65" s="3">
        <f t="shared" si="5"/>
        <v>1808.2822580645161</v>
      </c>
      <c r="T65" s="3" t="str">
        <f>VLOOKUP(R65,Справочник!A:B,2,0)</f>
        <v>New York Yankees</v>
      </c>
      <c r="U65" s="3" t="str">
        <f>VLOOKUP(R65,Справочник!A:C,3,0)</f>
        <v>MLB</v>
      </c>
      <c r="V65" s="3">
        <f t="shared" si="4"/>
        <v>15921.449999999999</v>
      </c>
      <c r="W65" s="3">
        <f t="shared" si="6"/>
        <v>16274.540322580644</v>
      </c>
    </row>
    <row r="66" spans="1:23" hidden="1" x14ac:dyDescent="0.25">
      <c r="A66" s="3" t="str">
        <f t="shared" ref="A66:A99" si="7">B66&amp;C66</f>
        <v>11871279BLKOTC</v>
      </c>
      <c r="B66" s="3">
        <v>11871279</v>
      </c>
      <c r="C66" s="3" t="s">
        <v>23</v>
      </c>
      <c r="D66" s="3">
        <v>3677</v>
      </c>
      <c r="E66" s="3" t="str">
        <f t="shared" si="3"/>
        <v>11871279BLKOTC58</v>
      </c>
      <c r="F66" s="3" t="str" cm="1">
        <f t="array" ref="F66">_xlfn.XLOOKUP(E66,[1]Лист1!$F:$F&amp;[1]Лист1!$E:$E,[1]Лист1!$B:$B,"",0)</f>
        <v>96-170-09-58</v>
      </c>
      <c r="G66" s="3" t="s">
        <v>163</v>
      </c>
      <c r="H66" s="3" t="s">
        <v>47</v>
      </c>
      <c r="I66" s="3" t="s">
        <v>124</v>
      </c>
      <c r="J66" s="3">
        <v>58</v>
      </c>
      <c r="K66" s="3" t="s">
        <v>106</v>
      </c>
      <c r="L66" s="3">
        <v>6</v>
      </c>
      <c r="M66" s="3" t="s">
        <v>107</v>
      </c>
      <c r="N66" s="3" t="s">
        <v>164</v>
      </c>
      <c r="P66" s="3" t="s">
        <v>109</v>
      </c>
      <c r="Q66" s="3">
        <v>1890.67</v>
      </c>
      <c r="R66" s="3" t="s">
        <v>37</v>
      </c>
      <c r="S66" s="3">
        <f t="shared" ref="S66:S99" si="8">SUMIF(A:A,A66,V:V)/SUMIF(A:A,A66,L:L)</f>
        <v>1808.2822580645161</v>
      </c>
      <c r="T66" s="3" t="str">
        <f>VLOOKUP(R66,Справочник!A:B,2,0)</f>
        <v>New York Yankees</v>
      </c>
      <c r="U66" s="3" t="str">
        <f>VLOOKUP(R66,Справочник!A:C,3,0)</f>
        <v>MLB</v>
      </c>
      <c r="V66" s="3">
        <f t="shared" si="4"/>
        <v>11344.02</v>
      </c>
      <c r="W66" s="3">
        <f t="shared" ref="W66:W99" si="9">S66*L66</f>
        <v>10849.693548387097</v>
      </c>
    </row>
    <row r="67" spans="1:23" hidden="1" x14ac:dyDescent="0.25">
      <c r="A67" s="3" t="str">
        <f t="shared" si="7"/>
        <v>11871279BLKOTC</v>
      </c>
      <c r="B67" s="3">
        <v>11871279</v>
      </c>
      <c r="C67" s="3" t="s">
        <v>23</v>
      </c>
      <c r="D67" s="3">
        <v>3677</v>
      </c>
      <c r="E67" s="3" t="str">
        <f t="shared" ref="E67:E99" si="10">B67&amp;C67&amp;J67</f>
        <v>11871279BLKOTC56</v>
      </c>
      <c r="F67" s="3" t="str" cm="1">
        <f t="array" ref="F67">_xlfn.XLOOKUP(E67,[1]Лист1!$F:$F&amp;[1]Лист1!$E:$E,[1]Лист1!$B:$B,"",0)</f>
        <v>96-170-09-56</v>
      </c>
      <c r="G67" s="3" t="s">
        <v>165</v>
      </c>
      <c r="H67" s="3" t="s">
        <v>50</v>
      </c>
      <c r="I67" s="3" t="s">
        <v>128</v>
      </c>
      <c r="J67" s="3">
        <v>56</v>
      </c>
      <c r="K67" s="3" t="s">
        <v>106</v>
      </c>
      <c r="L67" s="3">
        <v>4</v>
      </c>
      <c r="M67" s="3" t="s">
        <v>107</v>
      </c>
      <c r="N67" s="3" t="s">
        <v>164</v>
      </c>
      <c r="P67" s="3" t="s">
        <v>109</v>
      </c>
      <c r="Q67" s="3">
        <v>1890.67</v>
      </c>
      <c r="R67" s="3" t="s">
        <v>37</v>
      </c>
      <c r="S67" s="3">
        <f t="shared" si="8"/>
        <v>1808.2822580645161</v>
      </c>
      <c r="T67" s="3" t="str">
        <f>VLOOKUP(R67,Справочник!A:B,2,0)</f>
        <v>New York Yankees</v>
      </c>
      <c r="U67" s="3" t="str">
        <f>VLOOKUP(R67,Справочник!A:C,3,0)</f>
        <v>MLB</v>
      </c>
      <c r="V67" s="3">
        <f t="shared" ref="V67:V99" si="11">Q67*L67</f>
        <v>7562.68</v>
      </c>
      <c r="W67" s="3">
        <f t="shared" si="9"/>
        <v>7233.1290322580644</v>
      </c>
    </row>
    <row r="68" spans="1:23" x14ac:dyDescent="0.25">
      <c r="A68" s="3" t="str">
        <f t="shared" si="7"/>
        <v>11871279BLKOTC</v>
      </c>
      <c r="B68" s="3">
        <v>11871279</v>
      </c>
      <c r="C68" s="3" t="s">
        <v>23</v>
      </c>
      <c r="D68" s="3">
        <v>3678</v>
      </c>
      <c r="E68" s="3" t="str">
        <f t="shared" si="10"/>
        <v>11871279BLKOTC56</v>
      </c>
      <c r="F68" s="3" t="str" cm="1">
        <f t="array" ref="F68">_xlfn.XLOOKUP(E68,[1]Лист1!$F:$F&amp;[1]Лист1!$E:$E,[1]Лист1!$B:$B,"",0)</f>
        <v>96-170-09-56</v>
      </c>
      <c r="G68" s="3" t="s">
        <v>165</v>
      </c>
      <c r="H68" s="3" t="s">
        <v>50</v>
      </c>
      <c r="I68" s="3" t="s">
        <v>128</v>
      </c>
      <c r="J68" s="3">
        <v>56</v>
      </c>
      <c r="K68" s="3" t="s">
        <v>106</v>
      </c>
      <c r="L68" s="3">
        <v>12</v>
      </c>
      <c r="M68" s="3" t="s">
        <v>107</v>
      </c>
      <c r="N68" s="3" t="s">
        <v>164</v>
      </c>
      <c r="P68" s="3" t="s">
        <v>109</v>
      </c>
      <c r="Q68" s="3">
        <v>1769.05</v>
      </c>
      <c r="R68" s="3" t="s">
        <v>37</v>
      </c>
      <c r="S68" s="3">
        <f t="shared" si="8"/>
        <v>1808.2822580645161</v>
      </c>
      <c r="T68" s="3" t="str">
        <f>VLOOKUP(R68,Справочник!A:B,2,0)</f>
        <v>New York Yankees</v>
      </c>
      <c r="U68" s="3" t="str">
        <f>VLOOKUP(R68,Справочник!A:C,3,0)</f>
        <v>MLB</v>
      </c>
      <c r="V68" s="3">
        <f t="shared" si="11"/>
        <v>21228.6</v>
      </c>
      <c r="W68" s="3">
        <f t="shared" si="9"/>
        <v>21699.387096774193</v>
      </c>
    </row>
    <row r="69" spans="1:23" hidden="1" x14ac:dyDescent="0.25">
      <c r="A69" s="3" t="str">
        <f t="shared" si="7"/>
        <v>12051998MNCBLK</v>
      </c>
      <c r="B69" s="3">
        <v>12051998</v>
      </c>
      <c r="C69" s="3" t="s">
        <v>24</v>
      </c>
      <c r="D69" s="3">
        <v>3677</v>
      </c>
      <c r="E69" s="3" t="str">
        <f t="shared" si="10"/>
        <v>12051998MNCBLKONE</v>
      </c>
      <c r="F69" s="3" t="str" cm="1">
        <f t="array" ref="F69">_xlfn.XLOOKUP(E69,[1]Лист1!$F:$F&amp;[1]Лист1!$E:$E,[1]Лист1!$B:$B,"",0)</f>
        <v>96-171-00-00</v>
      </c>
      <c r="G69" s="3" t="s">
        <v>166</v>
      </c>
      <c r="H69" s="3" t="s">
        <v>43</v>
      </c>
      <c r="I69" s="3" t="s">
        <v>105</v>
      </c>
      <c r="J69" s="3" t="s">
        <v>237</v>
      </c>
      <c r="K69" s="3" t="s">
        <v>106</v>
      </c>
      <c r="L69" s="3">
        <v>8</v>
      </c>
      <c r="M69" s="3" t="s">
        <v>107</v>
      </c>
      <c r="N69" s="3" t="s">
        <v>135</v>
      </c>
      <c r="O69" s="3" t="s">
        <v>167</v>
      </c>
      <c r="P69" s="3" t="s">
        <v>109</v>
      </c>
      <c r="Q69" s="3">
        <v>1293.46</v>
      </c>
      <c r="R69" s="3" t="s">
        <v>37</v>
      </c>
      <c r="S69" s="3">
        <f t="shared" si="8"/>
        <v>1221.7272413793103</v>
      </c>
      <c r="T69" s="3" t="str">
        <f>VLOOKUP(R69,Справочник!A:B,2,0)</f>
        <v>New York Yankees</v>
      </c>
      <c r="U69" s="3" t="str">
        <f>VLOOKUP(R69,Справочник!A:C,3,0)</f>
        <v>MLB</v>
      </c>
      <c r="V69" s="3">
        <f t="shared" si="11"/>
        <v>10347.68</v>
      </c>
      <c r="W69" s="3">
        <f t="shared" si="9"/>
        <v>9773.8179310344822</v>
      </c>
    </row>
    <row r="70" spans="1:23" x14ac:dyDescent="0.25">
      <c r="A70" s="3" t="str">
        <f t="shared" si="7"/>
        <v>12051998MNCBLK</v>
      </c>
      <c r="B70" s="3">
        <v>12051998</v>
      </c>
      <c r="C70" s="3" t="s">
        <v>24</v>
      </c>
      <c r="D70" s="3">
        <v>3678</v>
      </c>
      <c r="E70" s="3" t="str">
        <f t="shared" si="10"/>
        <v>12051998MNCBLKONE</v>
      </c>
      <c r="F70" s="3" t="str" cm="1">
        <f t="array" ref="F70">_xlfn.XLOOKUP(E70,[1]Лист1!$F:$F&amp;[1]Лист1!$E:$E,[1]Лист1!$B:$B,"",0)</f>
        <v>96-171-00-00</v>
      </c>
      <c r="G70" s="3" t="s">
        <v>166</v>
      </c>
      <c r="H70" s="3" t="s">
        <v>43</v>
      </c>
      <c r="I70" s="3" t="s">
        <v>105</v>
      </c>
      <c r="J70" s="3" t="s">
        <v>237</v>
      </c>
      <c r="K70" s="3" t="s">
        <v>106</v>
      </c>
      <c r="L70" s="3">
        <v>50</v>
      </c>
      <c r="M70" s="3" t="s">
        <v>107</v>
      </c>
      <c r="N70" s="3" t="s">
        <v>135</v>
      </c>
      <c r="O70" s="3" t="s">
        <v>167</v>
      </c>
      <c r="P70" s="3" t="s">
        <v>109</v>
      </c>
      <c r="Q70" s="3">
        <v>1210.25</v>
      </c>
      <c r="R70" s="3" t="s">
        <v>37</v>
      </c>
      <c r="S70" s="3">
        <f t="shared" si="8"/>
        <v>1221.7272413793103</v>
      </c>
      <c r="T70" s="3" t="str">
        <f>VLOOKUP(R70,Справочник!A:B,2,0)</f>
        <v>New York Yankees</v>
      </c>
      <c r="U70" s="3" t="str">
        <f>VLOOKUP(R70,Справочник!A:C,3,0)</f>
        <v>MLB</v>
      </c>
      <c r="V70" s="3">
        <f t="shared" si="11"/>
        <v>60512.5</v>
      </c>
      <c r="W70" s="3">
        <f t="shared" si="9"/>
        <v>61086.362068965514</v>
      </c>
    </row>
    <row r="71" spans="1:23" hidden="1" x14ac:dyDescent="0.25">
      <c r="A71" s="3" t="str">
        <f t="shared" si="7"/>
        <v>12052000BLK</v>
      </c>
      <c r="B71" s="3">
        <v>12052000</v>
      </c>
      <c r="C71" s="3" t="s">
        <v>12</v>
      </c>
      <c r="D71" s="3">
        <v>3677</v>
      </c>
      <c r="E71" s="3" t="str">
        <f t="shared" si="10"/>
        <v>12052000BLKONE</v>
      </c>
      <c r="F71" s="3" t="str" cm="1">
        <f t="array" ref="F71">_xlfn.XLOOKUP(E71,[1]Лист1!$F:$F&amp;[1]Лист1!$E:$E,[1]Лист1!$B:$B,"",0)</f>
        <v>96-172-09-00</v>
      </c>
      <c r="G71" s="3" t="s">
        <v>168</v>
      </c>
      <c r="H71" s="3" t="s">
        <v>43</v>
      </c>
      <c r="I71" s="3" t="s">
        <v>105</v>
      </c>
      <c r="J71" s="3" t="s">
        <v>237</v>
      </c>
      <c r="K71" s="3" t="s">
        <v>106</v>
      </c>
      <c r="L71" s="3">
        <v>15</v>
      </c>
      <c r="M71" s="3" t="s">
        <v>107</v>
      </c>
      <c r="N71" s="3" t="s">
        <v>135</v>
      </c>
      <c r="O71" s="3" t="s">
        <v>169</v>
      </c>
      <c r="P71" s="3" t="s">
        <v>109</v>
      </c>
      <c r="Q71" s="3">
        <v>1293.46</v>
      </c>
      <c r="R71" s="3" t="s">
        <v>42</v>
      </c>
      <c r="S71" s="3">
        <f t="shared" si="8"/>
        <v>1235.213</v>
      </c>
      <c r="T71" s="3" t="str">
        <f>VLOOKUP(R71,Справочник!A:B,2,0)</f>
        <v>Los Angeles Dodgers</v>
      </c>
      <c r="U71" s="3" t="str">
        <f>VLOOKUP(R71,Справочник!A:C,3,0)</f>
        <v>MLB</v>
      </c>
      <c r="V71" s="3">
        <f t="shared" si="11"/>
        <v>19401.900000000001</v>
      </c>
      <c r="W71" s="3">
        <f t="shared" si="9"/>
        <v>18528.195</v>
      </c>
    </row>
    <row r="72" spans="1:23" x14ac:dyDescent="0.25">
      <c r="A72" s="3" t="str">
        <f t="shared" si="7"/>
        <v>12052000BLK</v>
      </c>
      <c r="B72" s="3">
        <v>12052000</v>
      </c>
      <c r="C72" s="3" t="s">
        <v>12</v>
      </c>
      <c r="D72" s="3">
        <v>3678</v>
      </c>
      <c r="E72" s="3" t="str">
        <f t="shared" si="10"/>
        <v>12052000BLKONE</v>
      </c>
      <c r="F72" s="3" t="str" cm="1">
        <f t="array" ref="F72">_xlfn.XLOOKUP(E72,[1]Лист1!$F:$F&amp;[1]Лист1!$E:$E,[1]Лист1!$B:$B,"",0)</f>
        <v>96-172-09-00</v>
      </c>
      <c r="G72" s="3" t="s">
        <v>168</v>
      </c>
      <c r="H72" s="3" t="s">
        <v>43</v>
      </c>
      <c r="I72" s="3" t="s">
        <v>105</v>
      </c>
      <c r="J72" s="3" t="s">
        <v>237</v>
      </c>
      <c r="K72" s="3" t="s">
        <v>106</v>
      </c>
      <c r="L72" s="3">
        <v>35</v>
      </c>
      <c r="M72" s="3" t="s">
        <v>107</v>
      </c>
      <c r="N72" s="3" t="s">
        <v>135</v>
      </c>
      <c r="O72" s="3" t="s">
        <v>169</v>
      </c>
      <c r="P72" s="3" t="s">
        <v>109</v>
      </c>
      <c r="Q72" s="3">
        <v>1210.25</v>
      </c>
      <c r="R72" s="3" t="s">
        <v>42</v>
      </c>
      <c r="S72" s="3">
        <f t="shared" si="8"/>
        <v>1235.213</v>
      </c>
      <c r="T72" s="3" t="str">
        <f>VLOOKUP(R72,Справочник!A:B,2,0)</f>
        <v>Los Angeles Dodgers</v>
      </c>
      <c r="U72" s="3" t="str">
        <f>VLOOKUP(R72,Справочник!A:C,3,0)</f>
        <v>MLB</v>
      </c>
      <c r="V72" s="3">
        <f t="shared" si="11"/>
        <v>42358.75</v>
      </c>
      <c r="W72" s="3">
        <f t="shared" si="9"/>
        <v>43232.455000000002</v>
      </c>
    </row>
    <row r="73" spans="1:23" hidden="1" x14ac:dyDescent="0.25">
      <c r="A73" s="3" t="str">
        <f t="shared" si="7"/>
        <v>12122741BLKWHI</v>
      </c>
      <c r="B73" s="3">
        <v>12122741</v>
      </c>
      <c r="C73" s="3" t="s">
        <v>9</v>
      </c>
      <c r="D73" s="3">
        <v>3677</v>
      </c>
      <c r="E73" s="3" t="str">
        <f t="shared" si="10"/>
        <v>12122741BLKWHIONE</v>
      </c>
      <c r="F73" s="3" t="str" cm="1">
        <f t="array" ref="F73">_xlfn.XLOOKUP(E73,[1]Лист1!$F:$F&amp;[1]Лист1!$E:$E,[1]Лист1!$B:$B,"",0)</f>
        <v>96-173-09-00</v>
      </c>
      <c r="G73" s="3" t="s">
        <v>170</v>
      </c>
      <c r="H73" s="3" t="s">
        <v>43</v>
      </c>
      <c r="I73" s="3" t="s">
        <v>105</v>
      </c>
      <c r="J73" s="3" t="s">
        <v>237</v>
      </c>
      <c r="K73" s="3" t="s">
        <v>106</v>
      </c>
      <c r="L73" s="3">
        <v>10</v>
      </c>
      <c r="M73" s="3" t="s">
        <v>107</v>
      </c>
      <c r="N73" s="3" t="s">
        <v>135</v>
      </c>
      <c r="P73" s="3" t="s">
        <v>150</v>
      </c>
      <c r="Q73" s="3">
        <v>1293.46</v>
      </c>
      <c r="R73" s="3" t="s">
        <v>37</v>
      </c>
      <c r="S73" s="3">
        <f t="shared" si="8"/>
        <v>1237.9866666666667</v>
      </c>
      <c r="T73" s="3" t="str">
        <f>VLOOKUP(R73,Справочник!A:B,2,0)</f>
        <v>New York Yankees</v>
      </c>
      <c r="U73" s="3" t="str">
        <f>VLOOKUP(R73,Справочник!A:C,3,0)</f>
        <v>MLB</v>
      </c>
      <c r="V73" s="3">
        <f t="shared" si="11"/>
        <v>12934.6</v>
      </c>
      <c r="W73" s="3">
        <f t="shared" si="9"/>
        <v>12379.866666666667</v>
      </c>
    </row>
    <row r="74" spans="1:23" x14ac:dyDescent="0.25">
      <c r="A74" s="3" t="str">
        <f t="shared" si="7"/>
        <v>12122741BLKWHI</v>
      </c>
      <c r="B74" s="3">
        <v>12122741</v>
      </c>
      <c r="C74" s="3" t="s">
        <v>9</v>
      </c>
      <c r="D74" s="3">
        <v>3678</v>
      </c>
      <c r="E74" s="3" t="str">
        <f t="shared" si="10"/>
        <v>12122741BLKWHIONE</v>
      </c>
      <c r="F74" s="3" t="str" cm="1">
        <f t="array" ref="F74">_xlfn.XLOOKUP(E74,[1]Лист1!$F:$F&amp;[1]Лист1!$E:$E,[1]Лист1!$B:$B,"",0)</f>
        <v>96-173-09-00</v>
      </c>
      <c r="G74" s="3" t="s">
        <v>170</v>
      </c>
      <c r="H74" s="3" t="s">
        <v>43</v>
      </c>
      <c r="I74" s="3" t="s">
        <v>105</v>
      </c>
      <c r="J74" s="3" t="s">
        <v>237</v>
      </c>
      <c r="K74" s="3" t="s">
        <v>106</v>
      </c>
      <c r="L74" s="3">
        <v>20</v>
      </c>
      <c r="M74" s="3" t="s">
        <v>107</v>
      </c>
      <c r="N74" s="3" t="s">
        <v>135</v>
      </c>
      <c r="P74" s="3" t="s">
        <v>150</v>
      </c>
      <c r="Q74" s="3">
        <v>1210.25</v>
      </c>
      <c r="R74" s="3" t="s">
        <v>37</v>
      </c>
      <c r="S74" s="3">
        <f t="shared" si="8"/>
        <v>1237.9866666666667</v>
      </c>
      <c r="T74" s="3" t="str">
        <f>VLOOKUP(R74,Справочник!A:B,2,0)</f>
        <v>New York Yankees</v>
      </c>
      <c r="U74" s="3" t="str">
        <f>VLOOKUP(R74,Справочник!A:C,3,0)</f>
        <v>MLB</v>
      </c>
      <c r="V74" s="3">
        <f t="shared" si="11"/>
        <v>24205</v>
      </c>
      <c r="W74" s="3">
        <f t="shared" si="9"/>
        <v>24759.733333333334</v>
      </c>
    </row>
    <row r="75" spans="1:23" hidden="1" x14ac:dyDescent="0.25">
      <c r="A75" s="3" t="str">
        <f t="shared" si="7"/>
        <v>12122742BLKBLK</v>
      </c>
      <c r="B75" s="3">
        <v>12122742</v>
      </c>
      <c r="C75" s="3" t="s">
        <v>6</v>
      </c>
      <c r="D75" s="3">
        <v>3677</v>
      </c>
      <c r="E75" s="3" t="str">
        <f t="shared" si="10"/>
        <v>12122742BLKBLKONE</v>
      </c>
      <c r="F75" s="3" t="str" cm="1">
        <f t="array" ref="F75">_xlfn.XLOOKUP(E75,[1]Лист1!$F:$F&amp;[1]Лист1!$E:$E,[1]Лист1!$B:$B,"",0)</f>
        <v>96-174-09-00</v>
      </c>
      <c r="G75" s="3" t="s">
        <v>171</v>
      </c>
      <c r="H75" s="3" t="s">
        <v>43</v>
      </c>
      <c r="I75" s="3" t="s">
        <v>105</v>
      </c>
      <c r="J75" s="3" t="s">
        <v>237</v>
      </c>
      <c r="K75" s="3" t="s">
        <v>106</v>
      </c>
      <c r="L75" s="3">
        <v>10</v>
      </c>
      <c r="M75" s="3" t="s">
        <v>107</v>
      </c>
      <c r="N75" s="3" t="s">
        <v>135</v>
      </c>
      <c r="P75" s="3" t="s">
        <v>150</v>
      </c>
      <c r="Q75" s="3">
        <v>1293.46</v>
      </c>
      <c r="R75" s="3" t="s">
        <v>37</v>
      </c>
      <c r="S75" s="3">
        <f t="shared" si="8"/>
        <v>1231.0525</v>
      </c>
      <c r="T75" s="3" t="str">
        <f>VLOOKUP(R75,Справочник!A:B,2,0)</f>
        <v>New York Yankees</v>
      </c>
      <c r="U75" s="3" t="str">
        <f>VLOOKUP(R75,Справочник!A:C,3,0)</f>
        <v>MLB</v>
      </c>
      <c r="V75" s="3">
        <f t="shared" si="11"/>
        <v>12934.6</v>
      </c>
      <c r="W75" s="3">
        <f t="shared" si="9"/>
        <v>12310.525</v>
      </c>
    </row>
    <row r="76" spans="1:23" x14ac:dyDescent="0.25">
      <c r="A76" s="3" t="str">
        <f t="shared" si="7"/>
        <v>12122742BLKBLK</v>
      </c>
      <c r="B76" s="3">
        <v>12122742</v>
      </c>
      <c r="C76" s="3" t="s">
        <v>6</v>
      </c>
      <c r="D76" s="3">
        <v>3678</v>
      </c>
      <c r="E76" s="3" t="str">
        <f t="shared" si="10"/>
        <v>12122742BLKBLKONE</v>
      </c>
      <c r="F76" s="3" t="str" cm="1">
        <f t="array" ref="F76">_xlfn.XLOOKUP(E76,[1]Лист1!$F:$F&amp;[1]Лист1!$E:$E,[1]Лист1!$B:$B,"",0)</f>
        <v>96-174-09-00</v>
      </c>
      <c r="G76" s="3" t="s">
        <v>171</v>
      </c>
      <c r="H76" s="3" t="s">
        <v>43</v>
      </c>
      <c r="I76" s="3" t="s">
        <v>105</v>
      </c>
      <c r="J76" s="3" t="s">
        <v>237</v>
      </c>
      <c r="K76" s="3" t="s">
        <v>106</v>
      </c>
      <c r="L76" s="3">
        <v>30</v>
      </c>
      <c r="M76" s="3" t="s">
        <v>107</v>
      </c>
      <c r="N76" s="3" t="s">
        <v>135</v>
      </c>
      <c r="P76" s="3" t="s">
        <v>150</v>
      </c>
      <c r="Q76" s="3">
        <v>1210.25</v>
      </c>
      <c r="R76" s="3" t="s">
        <v>37</v>
      </c>
      <c r="S76" s="3">
        <f t="shared" si="8"/>
        <v>1231.0525</v>
      </c>
      <c r="T76" s="3" t="str">
        <f>VLOOKUP(R76,Справочник!A:B,2,0)</f>
        <v>New York Yankees</v>
      </c>
      <c r="U76" s="3" t="str">
        <f>VLOOKUP(R76,Справочник!A:C,3,0)</f>
        <v>MLB</v>
      </c>
      <c r="V76" s="3">
        <f t="shared" si="11"/>
        <v>36307.5</v>
      </c>
      <c r="W76" s="3">
        <f t="shared" si="9"/>
        <v>36931.574999999997</v>
      </c>
    </row>
    <row r="77" spans="1:23" hidden="1" x14ac:dyDescent="0.25">
      <c r="A77" s="3" t="str">
        <f t="shared" si="7"/>
        <v>12285467WHI</v>
      </c>
      <c r="B77" s="3">
        <v>12285467</v>
      </c>
      <c r="C77" s="3" t="s">
        <v>7</v>
      </c>
      <c r="D77" s="3">
        <v>3677</v>
      </c>
      <c r="E77" s="3" t="str">
        <f t="shared" si="10"/>
        <v>12285467WHIONE</v>
      </c>
      <c r="F77" s="3" t="str" cm="1">
        <f t="array" ref="F77">_xlfn.XLOOKUP(E77,[1]Лист1!$F:$F&amp;[1]Лист1!$E:$E,[1]Лист1!$B:$B,"",0)</f>
        <v>96-175-17-00</v>
      </c>
      <c r="G77" s="3" t="s">
        <v>172</v>
      </c>
      <c r="H77" s="3" t="s">
        <v>43</v>
      </c>
      <c r="I77" s="3" t="s">
        <v>105</v>
      </c>
      <c r="J77" s="3" t="s">
        <v>237</v>
      </c>
      <c r="K77" s="3" t="s">
        <v>106</v>
      </c>
      <c r="L77" s="3">
        <v>10</v>
      </c>
      <c r="M77" s="3" t="s">
        <v>107</v>
      </c>
      <c r="N77" s="3" t="s">
        <v>173</v>
      </c>
      <c r="P77" s="3" t="s">
        <v>109</v>
      </c>
      <c r="Q77" s="3">
        <v>1592.06</v>
      </c>
      <c r="R77" s="3" t="s">
        <v>37</v>
      </c>
      <c r="S77" s="3">
        <f t="shared" si="8"/>
        <v>1592.06</v>
      </c>
      <c r="T77" s="3" t="str">
        <f>VLOOKUP(R77,Справочник!A:B,2,0)</f>
        <v>New York Yankees</v>
      </c>
      <c r="U77" s="3" t="str">
        <f>VLOOKUP(R77,Справочник!A:C,3,0)</f>
        <v>MLB</v>
      </c>
      <c r="V77" s="3">
        <f t="shared" si="11"/>
        <v>15920.599999999999</v>
      </c>
      <c r="W77" s="3">
        <f t="shared" si="9"/>
        <v>15920.599999999999</v>
      </c>
    </row>
    <row r="78" spans="1:23" x14ac:dyDescent="0.25">
      <c r="A78" s="3" t="str">
        <f t="shared" si="7"/>
        <v>12380590STN</v>
      </c>
      <c r="B78" s="3">
        <v>12380590</v>
      </c>
      <c r="C78" s="3" t="s">
        <v>13</v>
      </c>
      <c r="D78" s="3">
        <v>3678</v>
      </c>
      <c r="E78" s="3" t="str">
        <f t="shared" si="10"/>
        <v>12380590STNONE</v>
      </c>
      <c r="F78" s="3" t="str" cm="1">
        <f t="array" ref="F78">_xlfn.XLOOKUP(E78,[1]Лист1!$F:$F&amp;[1]Лист1!$E:$E,[1]Лист1!$B:$B,"",0)</f>
        <v>96-176-17-00</v>
      </c>
      <c r="G78" s="3" t="s">
        <v>174</v>
      </c>
      <c r="H78" s="3" t="s">
        <v>43</v>
      </c>
      <c r="I78" s="3" t="s">
        <v>105</v>
      </c>
      <c r="J78" s="3" t="s">
        <v>237</v>
      </c>
      <c r="K78" s="3" t="s">
        <v>106</v>
      </c>
      <c r="L78" s="3">
        <v>15</v>
      </c>
      <c r="M78" s="3" t="s">
        <v>107</v>
      </c>
      <c r="N78" s="3" t="s">
        <v>135</v>
      </c>
      <c r="P78" s="3" t="s">
        <v>109</v>
      </c>
      <c r="Q78" s="3">
        <v>1210.25</v>
      </c>
      <c r="R78" s="3" t="s">
        <v>37</v>
      </c>
      <c r="S78" s="3">
        <f t="shared" si="8"/>
        <v>1243.5339999999999</v>
      </c>
      <c r="T78" s="3" t="str">
        <f>VLOOKUP(R78,Справочник!A:B,2,0)</f>
        <v>New York Yankees</v>
      </c>
      <c r="U78" s="3" t="str">
        <f>VLOOKUP(R78,Справочник!A:C,3,0)</f>
        <v>MLB</v>
      </c>
      <c r="V78" s="3">
        <f t="shared" si="11"/>
        <v>18153.75</v>
      </c>
      <c r="W78" s="3">
        <f t="shared" si="9"/>
        <v>18653.009999999998</v>
      </c>
    </row>
    <row r="79" spans="1:23" hidden="1" x14ac:dyDescent="0.25">
      <c r="A79" s="3" t="str">
        <f t="shared" si="7"/>
        <v>12380590STN</v>
      </c>
      <c r="B79" s="3">
        <v>12380590</v>
      </c>
      <c r="C79" s="3" t="s">
        <v>13</v>
      </c>
      <c r="D79" s="3">
        <v>3677</v>
      </c>
      <c r="E79" s="3" t="str">
        <f t="shared" si="10"/>
        <v>12380590STNONE</v>
      </c>
      <c r="F79" s="3" t="str" cm="1">
        <f t="array" ref="F79">_xlfn.XLOOKUP(E79,[1]Лист1!$F:$F&amp;[1]Лист1!$E:$E,[1]Лист1!$B:$B,"",0)</f>
        <v>96-176-17-00</v>
      </c>
      <c r="G79" s="3" t="s">
        <v>174</v>
      </c>
      <c r="H79" s="3" t="s">
        <v>43</v>
      </c>
      <c r="I79" s="3" t="s">
        <v>105</v>
      </c>
      <c r="J79" s="3" t="s">
        <v>237</v>
      </c>
      <c r="K79" s="3" t="s">
        <v>106</v>
      </c>
      <c r="L79" s="3">
        <v>10</v>
      </c>
      <c r="M79" s="3" t="s">
        <v>107</v>
      </c>
      <c r="N79" s="3" t="s">
        <v>135</v>
      </c>
      <c r="P79" s="3" t="s">
        <v>109</v>
      </c>
      <c r="Q79" s="3">
        <v>1293.46</v>
      </c>
      <c r="R79" s="3" t="s">
        <v>37</v>
      </c>
      <c r="S79" s="3">
        <f t="shared" si="8"/>
        <v>1243.5339999999999</v>
      </c>
      <c r="T79" s="3" t="str">
        <f>VLOOKUP(R79,Справочник!A:B,2,0)</f>
        <v>New York Yankees</v>
      </c>
      <c r="U79" s="3" t="str">
        <f>VLOOKUP(R79,Справочник!A:C,3,0)</f>
        <v>MLB</v>
      </c>
      <c r="V79" s="3">
        <f t="shared" si="11"/>
        <v>12934.6</v>
      </c>
      <c r="W79" s="3">
        <f t="shared" si="9"/>
        <v>12435.339999999998</v>
      </c>
    </row>
    <row r="80" spans="1:23" x14ac:dyDescent="0.25">
      <c r="A80" s="3" t="str">
        <f t="shared" si="7"/>
        <v>12380594BLK</v>
      </c>
      <c r="B80" s="3">
        <v>12380594</v>
      </c>
      <c r="C80" s="3" t="s">
        <v>12</v>
      </c>
      <c r="D80" s="3">
        <v>3678</v>
      </c>
      <c r="E80" s="3" t="str">
        <f t="shared" si="10"/>
        <v>12380594BLKONE</v>
      </c>
      <c r="F80" s="3" t="str" cm="1">
        <f t="array" ref="F80">_xlfn.XLOOKUP(E80,[1]Лист1!$F:$F&amp;[1]Лист1!$E:$E,[1]Лист1!$B:$B,"",0)</f>
        <v>96-177-09-00</v>
      </c>
      <c r="G80" s="3" t="s">
        <v>175</v>
      </c>
      <c r="H80" s="3" t="s">
        <v>43</v>
      </c>
      <c r="I80" s="3" t="s">
        <v>105</v>
      </c>
      <c r="J80" s="3" t="s">
        <v>237</v>
      </c>
      <c r="K80" s="3" t="s">
        <v>106</v>
      </c>
      <c r="L80" s="3">
        <v>2</v>
      </c>
      <c r="M80" s="3" t="s">
        <v>107</v>
      </c>
      <c r="N80" s="3" t="s">
        <v>135</v>
      </c>
      <c r="P80" s="3" t="s">
        <v>109</v>
      </c>
      <c r="Q80" s="3">
        <v>1210.25</v>
      </c>
      <c r="R80" s="3" t="s">
        <v>37</v>
      </c>
      <c r="S80" s="3">
        <f t="shared" si="8"/>
        <v>1210.25</v>
      </c>
      <c r="T80" s="3" t="str">
        <f>VLOOKUP(R80,Справочник!A:B,2,0)</f>
        <v>New York Yankees</v>
      </c>
      <c r="U80" s="3" t="str">
        <f>VLOOKUP(R80,Справочник!A:C,3,0)</f>
        <v>MLB</v>
      </c>
      <c r="V80" s="3">
        <f t="shared" si="11"/>
        <v>2420.5</v>
      </c>
      <c r="W80" s="3">
        <f t="shared" si="9"/>
        <v>2420.5</v>
      </c>
    </row>
    <row r="81" spans="1:23" hidden="1" x14ac:dyDescent="0.25">
      <c r="A81" s="3" t="str">
        <f t="shared" si="7"/>
        <v>12380796OTC</v>
      </c>
      <c r="B81" s="3">
        <v>12380796</v>
      </c>
      <c r="C81" s="3" t="s">
        <v>11</v>
      </c>
      <c r="D81" s="3">
        <v>3677</v>
      </c>
      <c r="E81" s="3" t="str">
        <f t="shared" si="10"/>
        <v>12380796OTCONE</v>
      </c>
      <c r="F81" s="3" t="str" cm="1">
        <f t="array" ref="F81">_xlfn.XLOOKUP(E81,[1]Лист1!$F:$F&amp;[1]Лист1!$E:$E,[1]Лист1!$B:$B,"",0)</f>
        <v>96-178-48-00</v>
      </c>
      <c r="G81" s="3" t="s">
        <v>176</v>
      </c>
      <c r="H81" s="3" t="s">
        <v>43</v>
      </c>
      <c r="I81" s="3" t="s">
        <v>105</v>
      </c>
      <c r="J81" s="3" t="s">
        <v>237</v>
      </c>
      <c r="K81" s="3" t="s">
        <v>106</v>
      </c>
      <c r="L81" s="3">
        <v>7</v>
      </c>
      <c r="M81" s="3" t="s">
        <v>107</v>
      </c>
      <c r="N81" s="3" t="s">
        <v>173</v>
      </c>
      <c r="P81" s="3" t="s">
        <v>109</v>
      </c>
      <c r="Q81" s="3">
        <v>1592.06</v>
      </c>
      <c r="R81" s="3" t="s">
        <v>37</v>
      </c>
      <c r="S81" s="3">
        <f t="shared" si="8"/>
        <v>1757.0600000000002</v>
      </c>
      <c r="T81" s="3" t="str">
        <f>VLOOKUP(R81,Справочник!A:B,2,0)</f>
        <v>New York Yankees</v>
      </c>
      <c r="U81" s="3" t="str">
        <f>VLOOKUP(R81,Справочник!A:C,3,0)</f>
        <v>MLB</v>
      </c>
      <c r="V81" s="3">
        <f t="shared" si="11"/>
        <v>11144.42</v>
      </c>
      <c r="W81" s="3">
        <f t="shared" si="9"/>
        <v>12299.420000000002</v>
      </c>
    </row>
    <row r="82" spans="1:23" x14ac:dyDescent="0.25">
      <c r="A82" s="3" t="str">
        <f t="shared" si="7"/>
        <v>12380796OTC</v>
      </c>
      <c r="B82" s="3">
        <v>12380796</v>
      </c>
      <c r="C82" s="3" t="s">
        <v>11</v>
      </c>
      <c r="D82" s="3">
        <v>3678</v>
      </c>
      <c r="E82" s="3" t="str">
        <f t="shared" si="10"/>
        <v>12380796OTCONE</v>
      </c>
      <c r="F82" s="3" t="str" cm="1">
        <f t="array" ref="F82">_xlfn.XLOOKUP(E82,[1]Лист1!$F:$F&amp;[1]Лист1!$E:$E,[1]Лист1!$B:$B,"",0)</f>
        <v>96-178-48-00</v>
      </c>
      <c r="G82" s="3" t="s">
        <v>176</v>
      </c>
      <c r="H82" s="3" t="s">
        <v>43</v>
      </c>
      <c r="I82" s="3" t="s">
        <v>105</v>
      </c>
      <c r="J82" s="3" t="s">
        <v>237</v>
      </c>
      <c r="K82" s="3" t="s">
        <v>106</v>
      </c>
      <c r="L82" s="3">
        <v>11</v>
      </c>
      <c r="M82" s="3" t="s">
        <v>107</v>
      </c>
      <c r="N82" s="3" t="s">
        <v>173</v>
      </c>
      <c r="P82" s="3" t="s">
        <v>109</v>
      </c>
      <c r="Q82" s="3">
        <v>1862.06</v>
      </c>
      <c r="R82" s="3" t="s">
        <v>37</v>
      </c>
      <c r="S82" s="3">
        <f t="shared" si="8"/>
        <v>1757.0600000000002</v>
      </c>
      <c r="T82" s="3" t="str">
        <f>VLOOKUP(R82,Справочник!A:B,2,0)</f>
        <v>New York Yankees</v>
      </c>
      <c r="U82" s="3" t="str">
        <f>VLOOKUP(R82,Справочник!A:C,3,0)</f>
        <v>MLB</v>
      </c>
      <c r="V82" s="3">
        <f t="shared" si="11"/>
        <v>20482.66</v>
      </c>
      <c r="W82" s="3">
        <f t="shared" si="9"/>
        <v>19327.660000000003</v>
      </c>
    </row>
    <row r="83" spans="1:23" x14ac:dyDescent="0.25">
      <c r="A83" s="3" t="str">
        <f t="shared" si="7"/>
        <v>12523893STNWHI</v>
      </c>
      <c r="B83" s="3">
        <v>12523893</v>
      </c>
      <c r="C83" s="3" t="s">
        <v>25</v>
      </c>
      <c r="D83" s="3">
        <v>3678</v>
      </c>
      <c r="E83" s="3" t="str">
        <f t="shared" si="10"/>
        <v>12523893STNWHIONE</v>
      </c>
      <c r="F83" s="3" t="str" cm="1">
        <f t="array" ref="F83">_xlfn.XLOOKUP(E83,[1]Лист1!$F:$F&amp;[1]Лист1!$E:$E,[1]Лист1!$B:$B,"",0)</f>
        <v>96-179-17-00</v>
      </c>
      <c r="G83" s="3" t="s">
        <v>177</v>
      </c>
      <c r="H83" s="3" t="s">
        <v>43</v>
      </c>
      <c r="I83" s="3" t="s">
        <v>105</v>
      </c>
      <c r="J83" s="3" t="s">
        <v>237</v>
      </c>
      <c r="K83" s="3" t="s">
        <v>106</v>
      </c>
      <c r="L83" s="3">
        <v>12</v>
      </c>
      <c r="M83" s="3" t="s">
        <v>107</v>
      </c>
      <c r="N83" s="3" t="s">
        <v>173</v>
      </c>
      <c r="P83" s="3" t="s">
        <v>109</v>
      </c>
      <c r="Q83" s="3">
        <v>1489.65</v>
      </c>
      <c r="R83" s="3" t="s">
        <v>37</v>
      </c>
      <c r="S83" s="3">
        <f t="shared" si="8"/>
        <v>1527.38</v>
      </c>
      <c r="T83" s="3" t="str">
        <f>VLOOKUP(R83,Справочник!A:B,2,0)</f>
        <v>New York Yankees</v>
      </c>
      <c r="U83" s="3" t="str">
        <f>VLOOKUP(R83,Справочник!A:C,3,0)</f>
        <v>MLB</v>
      </c>
      <c r="V83" s="3">
        <f t="shared" si="11"/>
        <v>17875.800000000003</v>
      </c>
      <c r="W83" s="3">
        <f t="shared" si="9"/>
        <v>18328.560000000001</v>
      </c>
    </row>
    <row r="84" spans="1:23" hidden="1" x14ac:dyDescent="0.25">
      <c r="A84" s="3" t="str">
        <f t="shared" si="7"/>
        <v>12523893STNWHI</v>
      </c>
      <c r="B84" s="3">
        <v>12523893</v>
      </c>
      <c r="C84" s="3" t="s">
        <v>25</v>
      </c>
      <c r="D84" s="3">
        <v>3677</v>
      </c>
      <c r="E84" s="3" t="str">
        <f t="shared" si="10"/>
        <v>12523893STNWHIONE</v>
      </c>
      <c r="F84" s="3" t="str" cm="1">
        <f t="array" ref="F84">_xlfn.XLOOKUP(E84,[1]Лист1!$F:$F&amp;[1]Лист1!$E:$E,[1]Лист1!$B:$B,"",0)</f>
        <v>96-179-17-00</v>
      </c>
      <c r="G84" s="3" t="s">
        <v>177</v>
      </c>
      <c r="H84" s="3" t="s">
        <v>43</v>
      </c>
      <c r="I84" s="3" t="s">
        <v>105</v>
      </c>
      <c r="J84" s="3" t="s">
        <v>237</v>
      </c>
      <c r="K84" s="3" t="s">
        <v>106</v>
      </c>
      <c r="L84" s="3">
        <v>7</v>
      </c>
      <c r="M84" s="3" t="s">
        <v>107</v>
      </c>
      <c r="N84" s="3" t="s">
        <v>173</v>
      </c>
      <c r="P84" s="3" t="s">
        <v>109</v>
      </c>
      <c r="Q84" s="3">
        <v>1592.06</v>
      </c>
      <c r="R84" s="3" t="s">
        <v>37</v>
      </c>
      <c r="S84" s="3">
        <f t="shared" si="8"/>
        <v>1527.38</v>
      </c>
      <c r="T84" s="3" t="str">
        <f>VLOOKUP(R84,Справочник!A:B,2,0)</f>
        <v>New York Yankees</v>
      </c>
      <c r="U84" s="3" t="str">
        <f>VLOOKUP(R84,Справочник!A:C,3,0)</f>
        <v>MLB</v>
      </c>
      <c r="V84" s="3">
        <f t="shared" si="11"/>
        <v>11144.42</v>
      </c>
      <c r="W84" s="3">
        <f t="shared" si="9"/>
        <v>10691.66</v>
      </c>
    </row>
    <row r="85" spans="1:23" hidden="1" x14ac:dyDescent="0.25">
      <c r="A85" s="3" t="str">
        <f t="shared" si="7"/>
        <v>12523894NOVWHI</v>
      </c>
      <c r="B85" s="3">
        <v>12523894</v>
      </c>
      <c r="C85" s="3" t="s">
        <v>26</v>
      </c>
      <c r="D85" s="3">
        <v>3677</v>
      </c>
      <c r="E85" s="3" t="str">
        <f t="shared" si="10"/>
        <v>12523894NOVWHIONE</v>
      </c>
      <c r="F85" s="3" t="str" cm="1">
        <f t="array" ref="F85">_xlfn.XLOOKUP(E85,[1]Лист1!$F:$F&amp;[1]Лист1!$E:$E,[1]Лист1!$B:$B,"",0)</f>
        <v>96-180-11-00</v>
      </c>
      <c r="G85" s="3" t="s">
        <v>178</v>
      </c>
      <c r="H85" s="3" t="s">
        <v>43</v>
      </c>
      <c r="I85" s="3" t="s">
        <v>105</v>
      </c>
      <c r="J85" s="3" t="s">
        <v>237</v>
      </c>
      <c r="K85" s="3" t="s">
        <v>106</v>
      </c>
      <c r="L85" s="3">
        <v>7</v>
      </c>
      <c r="M85" s="3" t="s">
        <v>107</v>
      </c>
      <c r="N85" s="3" t="s">
        <v>173</v>
      </c>
      <c r="P85" s="3" t="s">
        <v>109</v>
      </c>
      <c r="Q85" s="3">
        <v>1592.06</v>
      </c>
      <c r="R85" s="3" t="s">
        <v>37</v>
      </c>
      <c r="S85" s="3">
        <f t="shared" si="8"/>
        <v>1519.5195833333335</v>
      </c>
      <c r="T85" s="3" t="str">
        <f>VLOOKUP(R85,Справочник!A:B,2,0)</f>
        <v>New York Yankees</v>
      </c>
      <c r="U85" s="3" t="str">
        <f>VLOOKUP(R85,Справочник!A:C,3,0)</f>
        <v>MLB</v>
      </c>
      <c r="V85" s="3">
        <f t="shared" si="11"/>
        <v>11144.42</v>
      </c>
      <c r="W85" s="3">
        <f t="shared" si="9"/>
        <v>10636.637083333335</v>
      </c>
    </row>
    <row r="86" spans="1:23" x14ac:dyDescent="0.25">
      <c r="A86" s="3" t="str">
        <f t="shared" si="7"/>
        <v>12523894NOVWHI</v>
      </c>
      <c r="B86" s="3">
        <v>12523894</v>
      </c>
      <c r="C86" s="3" t="s">
        <v>26</v>
      </c>
      <c r="D86" s="3">
        <v>3678</v>
      </c>
      <c r="E86" s="3" t="str">
        <f t="shared" si="10"/>
        <v>12523894NOVWHIONE</v>
      </c>
      <c r="F86" s="3" t="str" cm="1">
        <f t="array" ref="F86">_xlfn.XLOOKUP(E86,[1]Лист1!$F:$F&amp;[1]Лист1!$E:$E,[1]Лист1!$B:$B,"",0)</f>
        <v>96-180-11-00</v>
      </c>
      <c r="G86" s="3" t="s">
        <v>178</v>
      </c>
      <c r="H86" s="3" t="s">
        <v>43</v>
      </c>
      <c r="I86" s="3" t="s">
        <v>105</v>
      </c>
      <c r="J86" s="3" t="s">
        <v>237</v>
      </c>
      <c r="K86" s="3" t="s">
        <v>106</v>
      </c>
      <c r="L86" s="3">
        <v>17</v>
      </c>
      <c r="M86" s="3" t="s">
        <v>107</v>
      </c>
      <c r="N86" s="3" t="s">
        <v>173</v>
      </c>
      <c r="P86" s="3" t="s">
        <v>109</v>
      </c>
      <c r="Q86" s="3">
        <v>1489.65</v>
      </c>
      <c r="R86" s="3" t="s">
        <v>37</v>
      </c>
      <c r="S86" s="3">
        <f t="shared" si="8"/>
        <v>1519.5195833333335</v>
      </c>
      <c r="T86" s="3" t="str">
        <f>VLOOKUP(R86,Справочник!A:B,2,0)</f>
        <v>New York Yankees</v>
      </c>
      <c r="U86" s="3" t="str">
        <f>VLOOKUP(R86,Справочник!A:C,3,0)</f>
        <v>MLB</v>
      </c>
      <c r="V86" s="3">
        <f t="shared" si="11"/>
        <v>25324.050000000003</v>
      </c>
      <c r="W86" s="3">
        <f t="shared" si="9"/>
        <v>25831.83291666667</v>
      </c>
    </row>
    <row r="87" spans="1:23" x14ac:dyDescent="0.25">
      <c r="A87" s="3" t="str">
        <f t="shared" si="7"/>
        <v>12523903WHIWHI</v>
      </c>
      <c r="B87" s="3">
        <v>12523903</v>
      </c>
      <c r="C87" s="3" t="s">
        <v>27</v>
      </c>
      <c r="D87" s="3">
        <v>3678</v>
      </c>
      <c r="E87" s="3" t="str">
        <f t="shared" si="10"/>
        <v>12523903WHIWHIONE</v>
      </c>
      <c r="F87" s="3" t="str" cm="1">
        <f t="array" ref="F87">_xlfn.XLOOKUP(E87,[1]Лист1!$F:$F&amp;[1]Лист1!$E:$E,[1]Лист1!$B:$B,"",0)</f>
        <v>96-181-17-00</v>
      </c>
      <c r="G87" s="3" t="s">
        <v>179</v>
      </c>
      <c r="H87" s="3" t="s">
        <v>43</v>
      </c>
      <c r="I87" s="3" t="s">
        <v>105</v>
      </c>
      <c r="J87" s="3" t="s">
        <v>237</v>
      </c>
      <c r="K87" s="3" t="s">
        <v>106</v>
      </c>
      <c r="L87" s="3">
        <v>18</v>
      </c>
      <c r="M87" s="3" t="s">
        <v>107</v>
      </c>
      <c r="N87" s="3" t="s">
        <v>108</v>
      </c>
      <c r="P87" s="3" t="s">
        <v>109</v>
      </c>
      <c r="Q87" s="3">
        <v>1862.06</v>
      </c>
      <c r="R87" s="3" t="s">
        <v>37</v>
      </c>
      <c r="S87" s="3">
        <f t="shared" si="8"/>
        <v>1794.5600000000002</v>
      </c>
      <c r="T87" s="3" t="str">
        <f>VLOOKUP(R87,Справочник!A:B,2,0)</f>
        <v>New York Yankees</v>
      </c>
      <c r="U87" s="3" t="str">
        <f>VLOOKUP(R87,Справочник!A:C,3,0)</f>
        <v>MLB</v>
      </c>
      <c r="V87" s="3">
        <f t="shared" si="11"/>
        <v>33517.08</v>
      </c>
      <c r="W87" s="3">
        <f t="shared" si="9"/>
        <v>32302.080000000002</v>
      </c>
    </row>
    <row r="88" spans="1:23" hidden="1" x14ac:dyDescent="0.25">
      <c r="A88" s="3" t="str">
        <f t="shared" si="7"/>
        <v>12523903WHIWHI</v>
      </c>
      <c r="B88" s="3">
        <v>12523903</v>
      </c>
      <c r="C88" s="3" t="s">
        <v>27</v>
      </c>
      <c r="D88" s="3">
        <v>3677</v>
      </c>
      <c r="E88" s="3" t="str">
        <f t="shared" si="10"/>
        <v>12523903WHIWHIONE</v>
      </c>
      <c r="F88" s="3" t="str" cm="1">
        <f t="array" ref="F88">_xlfn.XLOOKUP(E88,[1]Лист1!$F:$F&amp;[1]Лист1!$E:$E,[1]Лист1!$B:$B,"",0)</f>
        <v>96-181-17-00</v>
      </c>
      <c r="G88" s="3" t="s">
        <v>179</v>
      </c>
      <c r="H88" s="3" t="s">
        <v>43</v>
      </c>
      <c r="I88" s="3" t="s">
        <v>105</v>
      </c>
      <c r="J88" s="3" t="s">
        <v>237</v>
      </c>
      <c r="K88" s="3" t="s">
        <v>106</v>
      </c>
      <c r="L88" s="3">
        <v>6</v>
      </c>
      <c r="M88" s="3" t="s">
        <v>107</v>
      </c>
      <c r="N88" s="3" t="s">
        <v>108</v>
      </c>
      <c r="P88" s="3" t="s">
        <v>109</v>
      </c>
      <c r="Q88" s="3">
        <v>1592.06</v>
      </c>
      <c r="R88" s="3" t="s">
        <v>37</v>
      </c>
      <c r="S88" s="3">
        <f t="shared" si="8"/>
        <v>1794.5600000000002</v>
      </c>
      <c r="T88" s="3" t="str">
        <f>VLOOKUP(R88,Справочник!A:B,2,0)</f>
        <v>New York Yankees</v>
      </c>
      <c r="U88" s="3" t="str">
        <f>VLOOKUP(R88,Справочник!A:C,3,0)</f>
        <v>MLB</v>
      </c>
      <c r="V88" s="3">
        <f t="shared" si="11"/>
        <v>9552.36</v>
      </c>
      <c r="W88" s="3">
        <f t="shared" si="9"/>
        <v>10767.36</v>
      </c>
    </row>
    <row r="89" spans="1:23" hidden="1" x14ac:dyDescent="0.25">
      <c r="A89" s="3" t="str">
        <f t="shared" si="7"/>
        <v>12523912BLKBLK</v>
      </c>
      <c r="B89" s="3">
        <v>12523912</v>
      </c>
      <c r="C89" s="3" t="s">
        <v>6</v>
      </c>
      <c r="D89" s="3">
        <v>3677</v>
      </c>
      <c r="E89" s="3" t="str">
        <f t="shared" si="10"/>
        <v>12523912BLKBLKONE</v>
      </c>
      <c r="F89" s="3" t="str" cm="1">
        <f t="array" ref="F89">_xlfn.XLOOKUP(E89,[1]Лист1!$F:$F&amp;[1]Лист1!$E:$E,[1]Лист1!$B:$B,"",0)</f>
        <v>96-182-09-00</v>
      </c>
      <c r="G89" s="3" t="s">
        <v>180</v>
      </c>
      <c r="H89" s="3" t="s">
        <v>43</v>
      </c>
      <c r="I89" s="3" t="s">
        <v>105</v>
      </c>
      <c r="J89" s="3" t="s">
        <v>237</v>
      </c>
      <c r="K89" s="3" t="s">
        <v>106</v>
      </c>
      <c r="L89" s="3">
        <v>10</v>
      </c>
      <c r="M89" s="3" t="s">
        <v>107</v>
      </c>
      <c r="N89" s="3" t="s">
        <v>173</v>
      </c>
      <c r="P89" s="3" t="s">
        <v>109</v>
      </c>
      <c r="Q89" s="3">
        <v>1592.06</v>
      </c>
      <c r="R89" s="3" t="s">
        <v>42</v>
      </c>
      <c r="S89" s="3">
        <f t="shared" si="8"/>
        <v>1518.9099999999999</v>
      </c>
      <c r="T89" s="3" t="str">
        <f>VLOOKUP(R89,Справочник!A:B,2,0)</f>
        <v>Los Angeles Dodgers</v>
      </c>
      <c r="U89" s="3" t="str">
        <f>VLOOKUP(R89,Справочник!A:C,3,0)</f>
        <v>MLB</v>
      </c>
      <c r="V89" s="3">
        <f t="shared" si="11"/>
        <v>15920.599999999999</v>
      </c>
      <c r="W89" s="3">
        <f t="shared" si="9"/>
        <v>15189.099999999999</v>
      </c>
    </row>
    <row r="90" spans="1:23" x14ac:dyDescent="0.25">
      <c r="A90" s="3" t="str">
        <f t="shared" si="7"/>
        <v>12523912BLKBLK</v>
      </c>
      <c r="B90" s="3">
        <v>12523912</v>
      </c>
      <c r="C90" s="3" t="s">
        <v>6</v>
      </c>
      <c r="D90" s="3">
        <v>3678</v>
      </c>
      <c r="E90" s="3" t="str">
        <f t="shared" si="10"/>
        <v>12523912BLKBLKONE</v>
      </c>
      <c r="F90" s="3" t="str" cm="1">
        <f t="array" ref="F90">_xlfn.XLOOKUP(E90,[1]Лист1!$F:$F&amp;[1]Лист1!$E:$E,[1]Лист1!$B:$B,"",0)</f>
        <v>96-182-09-00</v>
      </c>
      <c r="G90" s="3" t="s">
        <v>180</v>
      </c>
      <c r="H90" s="3" t="s">
        <v>43</v>
      </c>
      <c r="I90" s="3" t="s">
        <v>105</v>
      </c>
      <c r="J90" s="3" t="s">
        <v>237</v>
      </c>
      <c r="K90" s="3" t="s">
        <v>106</v>
      </c>
      <c r="L90" s="3">
        <v>25</v>
      </c>
      <c r="M90" s="3" t="s">
        <v>107</v>
      </c>
      <c r="N90" s="3" t="s">
        <v>173</v>
      </c>
      <c r="P90" s="3" t="s">
        <v>109</v>
      </c>
      <c r="Q90" s="3">
        <v>1489.65</v>
      </c>
      <c r="R90" s="3" t="s">
        <v>42</v>
      </c>
      <c r="S90" s="3">
        <f t="shared" si="8"/>
        <v>1518.9099999999999</v>
      </c>
      <c r="T90" s="3" t="str">
        <f>VLOOKUP(R90,Справочник!A:B,2,0)</f>
        <v>Los Angeles Dodgers</v>
      </c>
      <c r="U90" s="3" t="str">
        <f>VLOOKUP(R90,Справочник!A:C,3,0)</f>
        <v>MLB</v>
      </c>
      <c r="V90" s="3">
        <f t="shared" si="11"/>
        <v>37241.25</v>
      </c>
      <c r="W90" s="3">
        <f t="shared" si="9"/>
        <v>37972.75</v>
      </c>
    </row>
    <row r="91" spans="1:23" x14ac:dyDescent="0.25">
      <c r="A91" s="3" t="str">
        <f t="shared" si="7"/>
        <v>12572845OTC</v>
      </c>
      <c r="B91" s="3">
        <v>12572845</v>
      </c>
      <c r="C91" s="3" t="s">
        <v>11</v>
      </c>
      <c r="D91" s="3">
        <v>3678</v>
      </c>
      <c r="E91" s="3" t="str">
        <f t="shared" si="10"/>
        <v>12572845OTC57</v>
      </c>
      <c r="F91" s="3" t="str" cm="1">
        <f t="array" ref="F91">_xlfn.XLOOKUP(E91,[1]Лист1!$F:$F&amp;[1]Лист1!$E:$E,[1]Лист1!$B:$B,"",0)</f>
        <v>96-183-09-57</v>
      </c>
      <c r="G91" s="3" t="s">
        <v>181</v>
      </c>
      <c r="H91" s="3" t="s">
        <v>182</v>
      </c>
      <c r="I91" s="3">
        <v>57</v>
      </c>
      <c r="J91" s="3">
        <v>57</v>
      </c>
      <c r="K91" s="3" t="s">
        <v>106</v>
      </c>
      <c r="L91" s="3">
        <v>8</v>
      </c>
      <c r="M91" s="3" t="s">
        <v>107</v>
      </c>
      <c r="N91" s="3" t="s">
        <v>108</v>
      </c>
      <c r="P91" s="3" t="s">
        <v>109</v>
      </c>
      <c r="Q91" s="3">
        <v>1846.65</v>
      </c>
      <c r="R91" s="3" t="s">
        <v>87</v>
      </c>
      <c r="S91" s="3">
        <f t="shared" si="8"/>
        <v>1846.65</v>
      </c>
      <c r="T91" s="3" t="str">
        <f>VLOOKUP(R91,Справочник!A:B,2,0)</f>
        <v>Chicago White Socks</v>
      </c>
      <c r="U91" s="3" t="str">
        <f>VLOOKUP(R91,Справочник!A:C,3,0)</f>
        <v>MLB</v>
      </c>
      <c r="V91" s="3">
        <f t="shared" si="11"/>
        <v>14773.2</v>
      </c>
      <c r="W91" s="3">
        <f t="shared" si="9"/>
        <v>14773.2</v>
      </c>
    </row>
    <row r="92" spans="1:23" x14ac:dyDescent="0.25">
      <c r="A92" s="3" t="str">
        <f t="shared" si="7"/>
        <v>80468932BLK</v>
      </c>
      <c r="B92" s="3">
        <v>80468932</v>
      </c>
      <c r="C92" s="3" t="s">
        <v>12</v>
      </c>
      <c r="D92" s="3">
        <v>3678</v>
      </c>
      <c r="E92" s="3" t="str">
        <f t="shared" si="10"/>
        <v>80468932BLKONE</v>
      </c>
      <c r="F92" s="3" t="str" cm="1">
        <f t="array" ref="F92">_xlfn.XLOOKUP(E92,[1]Лист1!$F:$F&amp;[1]Лист1!$E:$E,[1]Лист1!$B:$B,"",0)</f>
        <v>96-184-09-00</v>
      </c>
      <c r="G92" s="3" t="s">
        <v>183</v>
      </c>
      <c r="H92" s="3" t="s">
        <v>43</v>
      </c>
      <c r="I92" s="3" t="s">
        <v>105</v>
      </c>
      <c r="J92" s="3" t="s">
        <v>237</v>
      </c>
      <c r="K92" s="3" t="s">
        <v>106</v>
      </c>
      <c r="L92" s="3">
        <v>30</v>
      </c>
      <c r="M92" s="3" t="s">
        <v>107</v>
      </c>
      <c r="N92" s="3" t="s">
        <v>135</v>
      </c>
      <c r="O92" s="3" t="s">
        <v>167</v>
      </c>
      <c r="P92" s="3" t="s">
        <v>109</v>
      </c>
      <c r="Q92" s="3">
        <v>1210.25</v>
      </c>
      <c r="R92" s="3" t="s">
        <v>37</v>
      </c>
      <c r="S92" s="3">
        <f t="shared" si="8"/>
        <v>1243.5339999999999</v>
      </c>
      <c r="T92" s="3" t="str">
        <f>VLOOKUP(R92,Справочник!A:B,2,0)</f>
        <v>New York Yankees</v>
      </c>
      <c r="U92" s="3" t="str">
        <f>VLOOKUP(R92,Справочник!A:C,3,0)</f>
        <v>MLB</v>
      </c>
      <c r="V92" s="3">
        <f t="shared" si="11"/>
        <v>36307.5</v>
      </c>
      <c r="W92" s="3">
        <f t="shared" si="9"/>
        <v>37306.019999999997</v>
      </c>
    </row>
    <row r="93" spans="1:23" hidden="1" x14ac:dyDescent="0.25">
      <c r="A93" s="3" t="str">
        <f t="shared" si="7"/>
        <v>80468932BLK</v>
      </c>
      <c r="B93" s="3">
        <v>80468932</v>
      </c>
      <c r="C93" s="3" t="s">
        <v>12</v>
      </c>
      <c r="D93" s="3">
        <v>3677</v>
      </c>
      <c r="E93" s="3" t="str">
        <f t="shared" si="10"/>
        <v>80468932BLKONE</v>
      </c>
      <c r="F93" s="3" t="str" cm="1">
        <f t="array" ref="F93">_xlfn.XLOOKUP(E93,[1]Лист1!$F:$F&amp;[1]Лист1!$E:$E,[1]Лист1!$B:$B,"",0)</f>
        <v>96-184-09-00</v>
      </c>
      <c r="G93" s="3" t="s">
        <v>183</v>
      </c>
      <c r="H93" s="3" t="s">
        <v>43</v>
      </c>
      <c r="I93" s="3" t="s">
        <v>105</v>
      </c>
      <c r="J93" s="3" t="s">
        <v>237</v>
      </c>
      <c r="K93" s="3" t="s">
        <v>106</v>
      </c>
      <c r="L93" s="3">
        <v>20</v>
      </c>
      <c r="M93" s="3" t="s">
        <v>107</v>
      </c>
      <c r="N93" s="3" t="s">
        <v>135</v>
      </c>
      <c r="O93" s="3" t="s">
        <v>167</v>
      </c>
      <c r="P93" s="3" t="s">
        <v>109</v>
      </c>
      <c r="Q93" s="3">
        <v>1293.46</v>
      </c>
      <c r="R93" s="3" t="s">
        <v>37</v>
      </c>
      <c r="S93" s="3">
        <f t="shared" si="8"/>
        <v>1243.5339999999999</v>
      </c>
      <c r="T93" s="3" t="str">
        <f>VLOOKUP(R93,Справочник!A:B,2,0)</f>
        <v>New York Yankees</v>
      </c>
      <c r="U93" s="3" t="str">
        <f>VLOOKUP(R93,Справочник!A:C,3,0)</f>
        <v>MLB</v>
      </c>
      <c r="V93" s="3">
        <f t="shared" si="11"/>
        <v>25869.200000000001</v>
      </c>
      <c r="W93" s="3">
        <f t="shared" si="9"/>
        <v>24870.679999999997</v>
      </c>
    </row>
    <row r="94" spans="1:23" hidden="1" x14ac:dyDescent="0.25">
      <c r="A94" s="3" t="str">
        <f t="shared" si="7"/>
        <v>80489231GRAPNK</v>
      </c>
      <c r="B94" s="3">
        <v>80489231</v>
      </c>
      <c r="C94" s="3" t="s">
        <v>28</v>
      </c>
      <c r="D94" s="3">
        <v>3677</v>
      </c>
      <c r="E94" s="3" t="str">
        <f t="shared" si="10"/>
        <v>80489231GRAPNKONE</v>
      </c>
      <c r="F94" s="3" t="str" cm="1">
        <f t="array" ref="F94">_xlfn.XLOOKUP(E94,[1]Лист1!$F:$F&amp;[1]Лист1!$E:$E,[1]Лист1!$B:$B,"",0)</f>
        <v>96-012-80-00</v>
      </c>
      <c r="G94" s="3" t="s">
        <v>184</v>
      </c>
      <c r="H94" s="3" t="s">
        <v>43</v>
      </c>
      <c r="I94" s="3" t="s">
        <v>105</v>
      </c>
      <c r="J94" s="3" t="s">
        <v>237</v>
      </c>
      <c r="K94" s="3" t="s">
        <v>106</v>
      </c>
      <c r="L94" s="3">
        <v>5</v>
      </c>
      <c r="M94" s="3" t="s">
        <v>107</v>
      </c>
      <c r="N94" s="3" t="s">
        <v>185</v>
      </c>
      <c r="O94" s="3" t="s">
        <v>186</v>
      </c>
      <c r="P94" s="3" t="s">
        <v>150</v>
      </c>
      <c r="Q94" s="3">
        <v>1442.76</v>
      </c>
      <c r="R94" s="3" t="s">
        <v>37</v>
      </c>
      <c r="S94" s="3">
        <f t="shared" si="8"/>
        <v>1392.1363636363637</v>
      </c>
      <c r="T94" s="3" t="str">
        <f>VLOOKUP(R94,Справочник!A:B,2,0)</f>
        <v>New York Yankees</v>
      </c>
      <c r="U94" s="3" t="str">
        <f>VLOOKUP(R94,Справочник!A:C,3,0)</f>
        <v>MLB</v>
      </c>
      <c r="V94" s="3">
        <f t="shared" si="11"/>
        <v>7213.8</v>
      </c>
      <c r="W94" s="3">
        <f t="shared" si="9"/>
        <v>6960.6818181818189</v>
      </c>
    </row>
    <row r="95" spans="1:23" x14ac:dyDescent="0.25">
      <c r="A95" s="3" t="str">
        <f t="shared" si="7"/>
        <v>80489231GRAPNK</v>
      </c>
      <c r="B95" s="3">
        <v>80489231</v>
      </c>
      <c r="C95" s="3" t="s">
        <v>28</v>
      </c>
      <c r="D95" s="3">
        <v>3678</v>
      </c>
      <c r="E95" s="3" t="str">
        <f t="shared" si="10"/>
        <v>80489231GRAPNKONE</v>
      </c>
      <c r="F95" s="3" t="str" cm="1">
        <f t="array" ref="F95">_xlfn.XLOOKUP(E95,[1]Лист1!$F:$F&amp;[1]Лист1!$E:$E,[1]Лист1!$B:$B,"",0)</f>
        <v>96-012-80-00</v>
      </c>
      <c r="G95" s="3" t="s">
        <v>184</v>
      </c>
      <c r="H95" s="3" t="s">
        <v>43</v>
      </c>
      <c r="I95" s="3" t="s">
        <v>105</v>
      </c>
      <c r="J95" s="3" t="s">
        <v>237</v>
      </c>
      <c r="K95" s="3" t="s">
        <v>106</v>
      </c>
      <c r="L95" s="3">
        <v>6</v>
      </c>
      <c r="M95" s="3" t="s">
        <v>107</v>
      </c>
      <c r="N95" s="3" t="s">
        <v>185</v>
      </c>
      <c r="O95" s="3" t="s">
        <v>186</v>
      </c>
      <c r="P95" s="3" t="s">
        <v>150</v>
      </c>
      <c r="Q95" s="3">
        <v>1349.95</v>
      </c>
      <c r="R95" s="3" t="s">
        <v>37</v>
      </c>
      <c r="S95" s="3">
        <f t="shared" si="8"/>
        <v>1392.1363636363637</v>
      </c>
      <c r="T95" s="3" t="str">
        <f>VLOOKUP(R95,Справочник!A:B,2,0)</f>
        <v>New York Yankees</v>
      </c>
      <c r="U95" s="3" t="str">
        <f>VLOOKUP(R95,Справочник!A:C,3,0)</f>
        <v>MLB</v>
      </c>
      <c r="V95" s="3">
        <f t="shared" si="11"/>
        <v>8099.7000000000007</v>
      </c>
      <c r="W95" s="3">
        <f t="shared" si="9"/>
        <v>8352.818181818182</v>
      </c>
    </row>
    <row r="96" spans="1:23" hidden="1" x14ac:dyDescent="0.25">
      <c r="A96" s="3" t="str">
        <f t="shared" si="7"/>
        <v>80524868WHI</v>
      </c>
      <c r="B96" s="3">
        <v>80524868</v>
      </c>
      <c r="C96" s="3" t="s">
        <v>7</v>
      </c>
      <c r="D96" s="3">
        <v>3677</v>
      </c>
      <c r="E96" s="3" t="str">
        <f t="shared" si="10"/>
        <v>80524868WHIONE</v>
      </c>
      <c r="F96" s="3" t="str" cm="1">
        <f t="array" ref="F96">_xlfn.XLOOKUP(E96,[1]Лист1!$F:$F&amp;[1]Лист1!$E:$E,[1]Лист1!$B:$B,"",0)</f>
        <v>96-185-17-00</v>
      </c>
      <c r="G96" s="3" t="s">
        <v>187</v>
      </c>
      <c r="H96" s="3" t="s">
        <v>43</v>
      </c>
      <c r="I96" s="3" t="s">
        <v>105</v>
      </c>
      <c r="J96" s="3" t="s">
        <v>237</v>
      </c>
      <c r="K96" s="3" t="s">
        <v>106</v>
      </c>
      <c r="L96" s="3">
        <v>6</v>
      </c>
      <c r="M96" s="3" t="s">
        <v>107</v>
      </c>
      <c r="N96" s="3" t="s">
        <v>135</v>
      </c>
      <c r="O96" s="3" t="s">
        <v>186</v>
      </c>
      <c r="P96" s="3" t="s">
        <v>150</v>
      </c>
      <c r="Q96" s="3">
        <v>1293.46</v>
      </c>
      <c r="R96" s="3" t="s">
        <v>37</v>
      </c>
      <c r="S96" s="3">
        <f t="shared" si="8"/>
        <v>1241.4537500000001</v>
      </c>
      <c r="T96" s="3" t="str">
        <f>VLOOKUP(R96,Справочник!A:B,2,0)</f>
        <v>New York Yankees</v>
      </c>
      <c r="U96" s="3" t="str">
        <f>VLOOKUP(R96,Справочник!A:C,3,0)</f>
        <v>MLB</v>
      </c>
      <c r="V96" s="3">
        <f t="shared" si="11"/>
        <v>7760.76</v>
      </c>
      <c r="W96" s="3">
        <f t="shared" si="9"/>
        <v>7448.7225000000008</v>
      </c>
    </row>
    <row r="97" spans="1:23" x14ac:dyDescent="0.25">
      <c r="A97" s="3" t="str">
        <f t="shared" si="7"/>
        <v>80524868WHI</v>
      </c>
      <c r="B97" s="3">
        <v>80524868</v>
      </c>
      <c r="C97" s="3" t="s">
        <v>7</v>
      </c>
      <c r="D97" s="3">
        <v>3678</v>
      </c>
      <c r="E97" s="3" t="str">
        <f t="shared" si="10"/>
        <v>80524868WHIONE</v>
      </c>
      <c r="F97" s="3" t="str" cm="1">
        <f t="array" ref="F97">_xlfn.XLOOKUP(E97,[1]Лист1!$F:$F&amp;[1]Лист1!$E:$E,[1]Лист1!$B:$B,"",0)</f>
        <v>96-185-17-00</v>
      </c>
      <c r="G97" s="3" t="s">
        <v>187</v>
      </c>
      <c r="H97" s="3" t="s">
        <v>43</v>
      </c>
      <c r="I97" s="3" t="s">
        <v>105</v>
      </c>
      <c r="J97" s="3" t="s">
        <v>237</v>
      </c>
      <c r="K97" s="3" t="s">
        <v>106</v>
      </c>
      <c r="L97" s="3">
        <v>10</v>
      </c>
      <c r="M97" s="3" t="s">
        <v>107</v>
      </c>
      <c r="N97" s="3" t="s">
        <v>135</v>
      </c>
      <c r="O97" s="3" t="s">
        <v>186</v>
      </c>
      <c r="P97" s="3" t="s">
        <v>150</v>
      </c>
      <c r="Q97" s="3">
        <v>1210.25</v>
      </c>
      <c r="R97" s="3" t="s">
        <v>37</v>
      </c>
      <c r="S97" s="3">
        <f t="shared" si="8"/>
        <v>1241.4537500000001</v>
      </c>
      <c r="T97" s="3" t="str">
        <f>VLOOKUP(R97,Справочник!A:B,2,0)</f>
        <v>New York Yankees</v>
      </c>
      <c r="U97" s="3" t="str">
        <f>VLOOKUP(R97,Справочник!A:C,3,0)</f>
        <v>MLB</v>
      </c>
      <c r="V97" s="3">
        <f t="shared" si="11"/>
        <v>12102.5</v>
      </c>
      <c r="W97" s="3">
        <f t="shared" si="9"/>
        <v>12414.537500000002</v>
      </c>
    </row>
    <row r="98" spans="1:23" hidden="1" x14ac:dyDescent="0.25">
      <c r="A98" s="3" t="str">
        <f t="shared" si="7"/>
        <v>80636012CARWHI</v>
      </c>
      <c r="B98" s="3">
        <v>80636012</v>
      </c>
      <c r="C98" s="3" t="s">
        <v>29</v>
      </c>
      <c r="D98" s="3">
        <v>3677</v>
      </c>
      <c r="E98" s="3" t="str">
        <f t="shared" si="10"/>
        <v>80636012CARWHIONE</v>
      </c>
      <c r="F98" s="3" t="str" cm="1">
        <f t="array" ref="F98">_xlfn.XLOOKUP(E98,[1]Лист1!$F:$F&amp;[1]Лист1!$E:$E,[1]Лист1!$B:$B,"",0)</f>
        <v>96-186-18-00</v>
      </c>
      <c r="G98" s="3" t="s">
        <v>188</v>
      </c>
      <c r="H98" s="3" t="s">
        <v>43</v>
      </c>
      <c r="I98" s="3" t="s">
        <v>105</v>
      </c>
      <c r="J98" s="3" t="s">
        <v>237</v>
      </c>
      <c r="K98" s="3" t="s">
        <v>106</v>
      </c>
      <c r="L98" s="3">
        <v>10</v>
      </c>
      <c r="M98" s="3" t="s">
        <v>107</v>
      </c>
      <c r="N98" s="3" t="s">
        <v>135</v>
      </c>
      <c r="O98" s="3" t="s">
        <v>167</v>
      </c>
      <c r="P98" s="3" t="s">
        <v>109</v>
      </c>
      <c r="Q98" s="3">
        <v>1293.46</v>
      </c>
      <c r="R98" s="3" t="s">
        <v>37</v>
      </c>
      <c r="S98" s="3">
        <f t="shared" si="8"/>
        <v>1265.7233333333331</v>
      </c>
      <c r="T98" s="3" t="str">
        <f>VLOOKUP(R98,Справочник!A:B,2,0)</f>
        <v>New York Yankees</v>
      </c>
      <c r="U98" s="3" t="str">
        <f>VLOOKUP(R98,Справочник!A:C,3,0)</f>
        <v>MLB</v>
      </c>
      <c r="V98" s="3">
        <f t="shared" si="11"/>
        <v>12934.6</v>
      </c>
      <c r="W98" s="3">
        <f t="shared" si="9"/>
        <v>12657.233333333332</v>
      </c>
    </row>
    <row r="99" spans="1:23" x14ac:dyDescent="0.25">
      <c r="A99" s="3" t="str">
        <f t="shared" si="7"/>
        <v>80636012CARWHI</v>
      </c>
      <c r="B99" s="3">
        <v>80636012</v>
      </c>
      <c r="C99" s="3" t="s">
        <v>29</v>
      </c>
      <c r="D99" s="3">
        <v>3678</v>
      </c>
      <c r="E99" s="3" t="str">
        <f t="shared" si="10"/>
        <v>80636012CARWHIONE</v>
      </c>
      <c r="F99" s="3" t="str" cm="1">
        <f t="array" ref="F99">_xlfn.XLOOKUP(E99,[1]Лист1!$F:$F&amp;[1]Лист1!$E:$E,[1]Лист1!$B:$B,"",0)</f>
        <v>96-186-18-00</v>
      </c>
      <c r="G99" s="3" t="s">
        <v>188</v>
      </c>
      <c r="H99" s="3" t="s">
        <v>43</v>
      </c>
      <c r="I99" s="3" t="s">
        <v>105</v>
      </c>
      <c r="J99" s="3" t="s">
        <v>237</v>
      </c>
      <c r="K99" s="3" t="s">
        <v>106</v>
      </c>
      <c r="L99" s="3">
        <v>5</v>
      </c>
      <c r="M99" s="3" t="s">
        <v>107</v>
      </c>
      <c r="N99" s="3" t="s">
        <v>135</v>
      </c>
      <c r="O99" s="3" t="s">
        <v>167</v>
      </c>
      <c r="P99" s="3" t="s">
        <v>109</v>
      </c>
      <c r="Q99" s="3">
        <v>1210.25</v>
      </c>
      <c r="R99" s="3" t="s">
        <v>37</v>
      </c>
      <c r="S99" s="3">
        <f t="shared" si="8"/>
        <v>1265.7233333333331</v>
      </c>
      <c r="T99" s="3" t="str">
        <f>VLOOKUP(R99,Справочник!A:B,2,0)</f>
        <v>New York Yankees</v>
      </c>
      <c r="U99" s="3" t="str">
        <f>VLOOKUP(R99,Справочник!A:C,3,0)</f>
        <v>MLB</v>
      </c>
      <c r="V99" s="3">
        <f t="shared" si="11"/>
        <v>6051.25</v>
      </c>
      <c r="W99" s="3">
        <f t="shared" si="9"/>
        <v>6328.6166666666659</v>
      </c>
    </row>
  </sheetData>
  <autoFilter ref="A1:Q99" xr:uid="{4F2EB173-0EDC-4F0F-9B37-5860C9D8972C}">
    <filterColumn colId="3">
      <filters>
        <filter val="3678"/>
      </filters>
    </filterColumn>
  </autoFilter>
  <conditionalFormatting sqref="A1:A1048576">
    <cfRule type="duplicateValues" dxfId="2" priority="3"/>
  </conditionalFormatting>
  <conditionalFormatting sqref="X1">
    <cfRule type="containsText" dxfId="1" priority="1" operator="containsText" text="ИСТИНА">
      <formula>NOT(ISERROR(SEARCH("ИСТИНА",X1)))</formula>
    </cfRule>
    <cfRule type="containsText" dxfId="0" priority="2" operator="containsText" text="ЛОЖЬ">
      <formula>NOT(ISERROR(SEARCH("ЛОЖЬ",X1)))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F24A-E13E-47B6-8553-86BABA76D193}">
  <sheetPr codeName="Лист4">
    <tabColor theme="7" tint="0.39997558519241921"/>
  </sheetPr>
  <dimension ref="A1:B99"/>
  <sheetViews>
    <sheetView workbookViewId="0">
      <selection sqref="A1:C1"/>
    </sheetView>
  </sheetViews>
  <sheetFormatPr defaultRowHeight="15" x14ac:dyDescent="0.25"/>
  <cols>
    <col min="1" max="1" width="96" bestFit="1" customWidth="1"/>
    <col min="2" max="2" width="19.7109375" customWidth="1"/>
  </cols>
  <sheetData>
    <row r="1" spans="1:2" x14ac:dyDescent="0.25">
      <c r="A1" t="s">
        <v>92</v>
      </c>
      <c r="B1" t="s">
        <v>30</v>
      </c>
    </row>
    <row r="2" spans="1:2" x14ac:dyDescent="0.25">
      <c r="A2" t="s">
        <v>104</v>
      </c>
      <c r="B2" t="s">
        <v>85</v>
      </c>
    </row>
    <row r="3" spans="1:2" x14ac:dyDescent="0.25">
      <c r="A3" t="s">
        <v>104</v>
      </c>
      <c r="B3" t="s">
        <v>85</v>
      </c>
    </row>
    <row r="4" spans="1:2" x14ac:dyDescent="0.25">
      <c r="A4" t="s">
        <v>110</v>
      </c>
      <c r="B4" t="s">
        <v>55</v>
      </c>
    </row>
    <row r="5" spans="1:2" x14ac:dyDescent="0.25">
      <c r="A5" t="s">
        <v>110</v>
      </c>
      <c r="B5" t="s">
        <v>55</v>
      </c>
    </row>
    <row r="6" spans="1:2" x14ac:dyDescent="0.25">
      <c r="A6" t="s">
        <v>111</v>
      </c>
      <c r="B6" t="s">
        <v>87</v>
      </c>
    </row>
    <row r="7" spans="1:2" x14ac:dyDescent="0.25">
      <c r="A7" t="s">
        <v>111</v>
      </c>
      <c r="B7" t="s">
        <v>87</v>
      </c>
    </row>
    <row r="8" spans="1:2" x14ac:dyDescent="0.25">
      <c r="A8" t="s">
        <v>113</v>
      </c>
      <c r="B8" t="s">
        <v>42</v>
      </c>
    </row>
    <row r="9" spans="1:2" x14ac:dyDescent="0.25">
      <c r="A9" t="s">
        <v>113</v>
      </c>
      <c r="B9" t="s">
        <v>42</v>
      </c>
    </row>
    <row r="10" spans="1:2" x14ac:dyDescent="0.25">
      <c r="A10" t="s">
        <v>117</v>
      </c>
      <c r="B10" t="s">
        <v>37</v>
      </c>
    </row>
    <row r="11" spans="1:2" x14ac:dyDescent="0.25">
      <c r="A11" t="s">
        <v>117</v>
      </c>
      <c r="B11" t="s">
        <v>37</v>
      </c>
    </row>
    <row r="12" spans="1:2" x14ac:dyDescent="0.25">
      <c r="A12" t="s">
        <v>119</v>
      </c>
      <c r="B12" t="s">
        <v>51</v>
      </c>
    </row>
    <row r="13" spans="1:2" x14ac:dyDescent="0.25">
      <c r="A13" t="s">
        <v>119</v>
      </c>
      <c r="B13" t="s">
        <v>51</v>
      </c>
    </row>
    <row r="14" spans="1:2" x14ac:dyDescent="0.25">
      <c r="A14" t="s">
        <v>121</v>
      </c>
      <c r="B14" t="s">
        <v>89</v>
      </c>
    </row>
    <row r="15" spans="1:2" x14ac:dyDescent="0.25">
      <c r="A15" t="s">
        <v>121</v>
      </c>
      <c r="B15" t="s">
        <v>89</v>
      </c>
    </row>
    <row r="16" spans="1:2" x14ac:dyDescent="0.25">
      <c r="A16" t="s">
        <v>123</v>
      </c>
      <c r="B16" t="s">
        <v>37</v>
      </c>
    </row>
    <row r="17" spans="1:2" x14ac:dyDescent="0.25">
      <c r="A17" t="s">
        <v>123</v>
      </c>
      <c r="B17" t="s">
        <v>37</v>
      </c>
    </row>
    <row r="18" spans="1:2" x14ac:dyDescent="0.25">
      <c r="A18" t="s">
        <v>127</v>
      </c>
      <c r="B18" t="s">
        <v>37</v>
      </c>
    </row>
    <row r="19" spans="1:2" x14ac:dyDescent="0.25">
      <c r="A19" t="s">
        <v>127</v>
      </c>
      <c r="B19" t="s">
        <v>37</v>
      </c>
    </row>
    <row r="20" spans="1:2" x14ac:dyDescent="0.25">
      <c r="A20" t="s">
        <v>129</v>
      </c>
      <c r="B20" t="s">
        <v>37</v>
      </c>
    </row>
    <row r="21" spans="1:2" x14ac:dyDescent="0.25">
      <c r="A21" t="s">
        <v>129</v>
      </c>
      <c r="B21" t="s">
        <v>37</v>
      </c>
    </row>
    <row r="22" spans="1:2" x14ac:dyDescent="0.25">
      <c r="A22" t="s">
        <v>131</v>
      </c>
      <c r="B22" t="s">
        <v>37</v>
      </c>
    </row>
    <row r="23" spans="1:2" x14ac:dyDescent="0.25">
      <c r="A23" t="s">
        <v>131</v>
      </c>
      <c r="B23" t="s">
        <v>37</v>
      </c>
    </row>
    <row r="24" spans="1:2" x14ac:dyDescent="0.25">
      <c r="A24" t="s">
        <v>132</v>
      </c>
      <c r="B24" t="s">
        <v>37</v>
      </c>
    </row>
    <row r="25" spans="1:2" x14ac:dyDescent="0.25">
      <c r="A25" t="s">
        <v>133</v>
      </c>
      <c r="B25" t="s">
        <v>37</v>
      </c>
    </row>
    <row r="26" spans="1:2" x14ac:dyDescent="0.25">
      <c r="A26" t="s">
        <v>134</v>
      </c>
      <c r="B26" t="s">
        <v>37</v>
      </c>
    </row>
    <row r="27" spans="1:2" x14ac:dyDescent="0.25">
      <c r="A27" t="s">
        <v>134</v>
      </c>
      <c r="B27" t="s">
        <v>37</v>
      </c>
    </row>
    <row r="28" spans="1:2" x14ac:dyDescent="0.25">
      <c r="A28" t="s">
        <v>137</v>
      </c>
      <c r="B28" t="s">
        <v>37</v>
      </c>
    </row>
    <row r="29" spans="1:2" x14ac:dyDescent="0.25">
      <c r="A29" t="s">
        <v>137</v>
      </c>
      <c r="B29" t="s">
        <v>37</v>
      </c>
    </row>
    <row r="30" spans="1:2" x14ac:dyDescent="0.25">
      <c r="A30" t="s">
        <v>139</v>
      </c>
      <c r="B30" t="s">
        <v>37</v>
      </c>
    </row>
    <row r="31" spans="1:2" x14ac:dyDescent="0.25">
      <c r="A31" t="s">
        <v>139</v>
      </c>
      <c r="B31" t="s">
        <v>37</v>
      </c>
    </row>
    <row r="32" spans="1:2" x14ac:dyDescent="0.25">
      <c r="A32" t="s">
        <v>140</v>
      </c>
      <c r="B32" t="s">
        <v>37</v>
      </c>
    </row>
    <row r="33" spans="1:2" x14ac:dyDescent="0.25">
      <c r="A33" t="s">
        <v>140</v>
      </c>
      <c r="B33" t="s">
        <v>37</v>
      </c>
    </row>
    <row r="34" spans="1:2" x14ac:dyDescent="0.25">
      <c r="A34" t="s">
        <v>141</v>
      </c>
      <c r="B34" t="s">
        <v>42</v>
      </c>
    </row>
    <row r="35" spans="1:2" x14ac:dyDescent="0.25">
      <c r="A35" t="s">
        <v>141</v>
      </c>
      <c r="B35" t="s">
        <v>42</v>
      </c>
    </row>
    <row r="36" spans="1:2" x14ac:dyDescent="0.25">
      <c r="A36" t="s">
        <v>142</v>
      </c>
      <c r="B36" t="s">
        <v>42</v>
      </c>
    </row>
    <row r="37" spans="1:2" x14ac:dyDescent="0.25">
      <c r="A37" t="s">
        <v>143</v>
      </c>
      <c r="B37" t="s">
        <v>55</v>
      </c>
    </row>
    <row r="38" spans="1:2" x14ac:dyDescent="0.25">
      <c r="A38" t="s">
        <v>143</v>
      </c>
      <c r="B38" t="s">
        <v>55</v>
      </c>
    </row>
    <row r="39" spans="1:2" x14ac:dyDescent="0.25">
      <c r="A39" t="s">
        <v>145</v>
      </c>
      <c r="B39" t="s">
        <v>55</v>
      </c>
    </row>
    <row r="40" spans="1:2" x14ac:dyDescent="0.25">
      <c r="A40" t="s">
        <v>145</v>
      </c>
      <c r="B40" t="s">
        <v>55</v>
      </c>
    </row>
    <row r="41" spans="1:2" x14ac:dyDescent="0.25">
      <c r="A41" t="s">
        <v>146</v>
      </c>
      <c r="B41" t="s">
        <v>67</v>
      </c>
    </row>
    <row r="42" spans="1:2" x14ac:dyDescent="0.25">
      <c r="A42" t="s">
        <v>146</v>
      </c>
      <c r="B42" t="s">
        <v>67</v>
      </c>
    </row>
    <row r="43" spans="1:2" x14ac:dyDescent="0.25">
      <c r="A43" t="s">
        <v>147</v>
      </c>
      <c r="B43" t="s">
        <v>67</v>
      </c>
    </row>
    <row r="44" spans="1:2" x14ac:dyDescent="0.25">
      <c r="A44" t="s">
        <v>147</v>
      </c>
      <c r="B44" t="s">
        <v>67</v>
      </c>
    </row>
    <row r="45" spans="1:2" x14ac:dyDescent="0.25">
      <c r="A45" t="s">
        <v>148</v>
      </c>
      <c r="B45" t="s">
        <v>37</v>
      </c>
    </row>
    <row r="46" spans="1:2" x14ac:dyDescent="0.25">
      <c r="A46" t="s">
        <v>148</v>
      </c>
      <c r="B46" t="s">
        <v>37</v>
      </c>
    </row>
    <row r="47" spans="1:2" x14ac:dyDescent="0.25">
      <c r="A47" t="s">
        <v>151</v>
      </c>
      <c r="B47" t="s">
        <v>37</v>
      </c>
    </row>
    <row r="48" spans="1:2" x14ac:dyDescent="0.25">
      <c r="A48" t="s">
        <v>151</v>
      </c>
      <c r="B48" t="s">
        <v>37</v>
      </c>
    </row>
    <row r="49" spans="1:2" x14ac:dyDescent="0.25">
      <c r="A49" t="s">
        <v>152</v>
      </c>
      <c r="B49" t="s">
        <v>37</v>
      </c>
    </row>
    <row r="50" spans="1:2" x14ac:dyDescent="0.25">
      <c r="A50" t="s">
        <v>152</v>
      </c>
      <c r="B50" t="s">
        <v>37</v>
      </c>
    </row>
    <row r="51" spans="1:2" x14ac:dyDescent="0.25">
      <c r="A51" t="s">
        <v>154</v>
      </c>
      <c r="B51" t="s">
        <v>37</v>
      </c>
    </row>
    <row r="52" spans="1:2" x14ac:dyDescent="0.25">
      <c r="A52" t="s">
        <v>154</v>
      </c>
      <c r="B52" t="s">
        <v>37</v>
      </c>
    </row>
    <row r="53" spans="1:2" x14ac:dyDescent="0.25">
      <c r="A53" t="s">
        <v>155</v>
      </c>
      <c r="B53" t="s">
        <v>42</v>
      </c>
    </row>
    <row r="54" spans="1:2" x14ac:dyDescent="0.25">
      <c r="A54" t="s">
        <v>155</v>
      </c>
      <c r="B54" t="s">
        <v>42</v>
      </c>
    </row>
    <row r="55" spans="1:2" x14ac:dyDescent="0.25">
      <c r="A55" t="s">
        <v>157</v>
      </c>
      <c r="B55" t="s">
        <v>44</v>
      </c>
    </row>
    <row r="56" spans="1:2" x14ac:dyDescent="0.25">
      <c r="A56" t="s">
        <v>157</v>
      </c>
      <c r="B56" t="s">
        <v>44</v>
      </c>
    </row>
    <row r="57" spans="1:2" x14ac:dyDescent="0.25">
      <c r="A57" t="s">
        <v>159</v>
      </c>
    </row>
    <row r="58" spans="1:2" x14ac:dyDescent="0.25">
      <c r="A58" t="s">
        <v>159</v>
      </c>
    </row>
    <row r="59" spans="1:2" x14ac:dyDescent="0.25">
      <c r="A59" t="s">
        <v>160</v>
      </c>
      <c r="B59" t="s">
        <v>37</v>
      </c>
    </row>
    <row r="60" spans="1:2" x14ac:dyDescent="0.25">
      <c r="A60" t="s">
        <v>160</v>
      </c>
      <c r="B60" t="s">
        <v>37</v>
      </c>
    </row>
    <row r="61" spans="1:2" x14ac:dyDescent="0.25">
      <c r="A61" t="s">
        <v>161</v>
      </c>
      <c r="B61" t="s">
        <v>37</v>
      </c>
    </row>
    <row r="62" spans="1:2" x14ac:dyDescent="0.25">
      <c r="A62" t="s">
        <v>161</v>
      </c>
      <c r="B62" t="s">
        <v>37</v>
      </c>
    </row>
    <row r="63" spans="1:2" x14ac:dyDescent="0.25">
      <c r="A63" t="s">
        <v>162</v>
      </c>
      <c r="B63" t="s">
        <v>37</v>
      </c>
    </row>
    <row r="64" spans="1:2" x14ac:dyDescent="0.25">
      <c r="A64" t="s">
        <v>162</v>
      </c>
      <c r="B64" t="s">
        <v>37</v>
      </c>
    </row>
    <row r="65" spans="1:2" x14ac:dyDescent="0.25">
      <c r="A65" t="s">
        <v>163</v>
      </c>
      <c r="B65" t="s">
        <v>37</v>
      </c>
    </row>
    <row r="66" spans="1:2" x14ac:dyDescent="0.25">
      <c r="A66" t="s">
        <v>163</v>
      </c>
      <c r="B66" t="s">
        <v>37</v>
      </c>
    </row>
    <row r="67" spans="1:2" x14ac:dyDescent="0.25">
      <c r="A67" t="s">
        <v>165</v>
      </c>
      <c r="B67" t="s">
        <v>37</v>
      </c>
    </row>
    <row r="68" spans="1:2" x14ac:dyDescent="0.25">
      <c r="A68" t="s">
        <v>165</v>
      </c>
      <c r="B68" t="s">
        <v>37</v>
      </c>
    </row>
    <row r="69" spans="1:2" x14ac:dyDescent="0.25">
      <c r="A69" t="s">
        <v>166</v>
      </c>
      <c r="B69" t="s">
        <v>37</v>
      </c>
    </row>
    <row r="70" spans="1:2" x14ac:dyDescent="0.25">
      <c r="A70" t="s">
        <v>166</v>
      </c>
      <c r="B70" t="s">
        <v>37</v>
      </c>
    </row>
    <row r="71" spans="1:2" x14ac:dyDescent="0.25">
      <c r="A71" t="s">
        <v>168</v>
      </c>
      <c r="B71" t="s">
        <v>42</v>
      </c>
    </row>
    <row r="72" spans="1:2" x14ac:dyDescent="0.25">
      <c r="A72" t="s">
        <v>168</v>
      </c>
      <c r="B72" t="s">
        <v>42</v>
      </c>
    </row>
    <row r="73" spans="1:2" x14ac:dyDescent="0.25">
      <c r="A73" t="s">
        <v>170</v>
      </c>
      <c r="B73" t="s">
        <v>37</v>
      </c>
    </row>
    <row r="74" spans="1:2" x14ac:dyDescent="0.25">
      <c r="A74" t="s">
        <v>170</v>
      </c>
      <c r="B74" t="s">
        <v>37</v>
      </c>
    </row>
    <row r="75" spans="1:2" x14ac:dyDescent="0.25">
      <c r="A75" t="s">
        <v>171</v>
      </c>
      <c r="B75" t="s">
        <v>37</v>
      </c>
    </row>
    <row r="76" spans="1:2" x14ac:dyDescent="0.25">
      <c r="A76" t="s">
        <v>171</v>
      </c>
      <c r="B76" t="s">
        <v>37</v>
      </c>
    </row>
    <row r="77" spans="1:2" x14ac:dyDescent="0.25">
      <c r="A77" t="s">
        <v>172</v>
      </c>
      <c r="B77" t="s">
        <v>37</v>
      </c>
    </row>
    <row r="78" spans="1:2" x14ac:dyDescent="0.25">
      <c r="A78" t="s">
        <v>174</v>
      </c>
      <c r="B78" t="s">
        <v>37</v>
      </c>
    </row>
    <row r="79" spans="1:2" x14ac:dyDescent="0.25">
      <c r="A79" t="s">
        <v>174</v>
      </c>
      <c r="B79" t="s">
        <v>37</v>
      </c>
    </row>
    <row r="80" spans="1:2" x14ac:dyDescent="0.25">
      <c r="A80" t="s">
        <v>175</v>
      </c>
      <c r="B80" t="s">
        <v>37</v>
      </c>
    </row>
    <row r="81" spans="1:2" x14ac:dyDescent="0.25">
      <c r="A81" t="s">
        <v>176</v>
      </c>
      <c r="B81" t="s">
        <v>37</v>
      </c>
    </row>
    <row r="82" spans="1:2" x14ac:dyDescent="0.25">
      <c r="A82" t="s">
        <v>176</v>
      </c>
      <c r="B82" t="s">
        <v>37</v>
      </c>
    </row>
    <row r="83" spans="1:2" x14ac:dyDescent="0.25">
      <c r="A83" t="s">
        <v>177</v>
      </c>
      <c r="B83" t="s">
        <v>37</v>
      </c>
    </row>
    <row r="84" spans="1:2" x14ac:dyDescent="0.25">
      <c r="A84" t="s">
        <v>177</v>
      </c>
      <c r="B84" t="s">
        <v>37</v>
      </c>
    </row>
    <row r="85" spans="1:2" x14ac:dyDescent="0.25">
      <c r="A85" t="s">
        <v>178</v>
      </c>
      <c r="B85" t="s">
        <v>37</v>
      </c>
    </row>
    <row r="86" spans="1:2" x14ac:dyDescent="0.25">
      <c r="A86" t="s">
        <v>178</v>
      </c>
      <c r="B86" t="s">
        <v>37</v>
      </c>
    </row>
    <row r="87" spans="1:2" x14ac:dyDescent="0.25">
      <c r="A87" t="s">
        <v>179</v>
      </c>
      <c r="B87" t="s">
        <v>37</v>
      </c>
    </row>
    <row r="88" spans="1:2" x14ac:dyDescent="0.25">
      <c r="A88" t="s">
        <v>179</v>
      </c>
      <c r="B88" t="s">
        <v>37</v>
      </c>
    </row>
    <row r="89" spans="1:2" x14ac:dyDescent="0.25">
      <c r="A89" t="s">
        <v>180</v>
      </c>
      <c r="B89" t="s">
        <v>42</v>
      </c>
    </row>
    <row r="90" spans="1:2" x14ac:dyDescent="0.25">
      <c r="A90" t="s">
        <v>180</v>
      </c>
      <c r="B90" t="s">
        <v>42</v>
      </c>
    </row>
    <row r="91" spans="1:2" x14ac:dyDescent="0.25">
      <c r="A91" t="s">
        <v>181</v>
      </c>
      <c r="B91" t="s">
        <v>87</v>
      </c>
    </row>
    <row r="92" spans="1:2" x14ac:dyDescent="0.25">
      <c r="A92" t="s">
        <v>183</v>
      </c>
      <c r="B92" t="s">
        <v>37</v>
      </c>
    </row>
    <row r="93" spans="1:2" x14ac:dyDescent="0.25">
      <c r="A93" t="s">
        <v>183</v>
      </c>
      <c r="B93" t="s">
        <v>37</v>
      </c>
    </row>
    <row r="94" spans="1:2" x14ac:dyDescent="0.25">
      <c r="A94" t="s">
        <v>184</v>
      </c>
      <c r="B94" t="s">
        <v>37</v>
      </c>
    </row>
    <row r="95" spans="1:2" x14ac:dyDescent="0.25">
      <c r="A95" t="s">
        <v>184</v>
      </c>
      <c r="B95" t="s">
        <v>37</v>
      </c>
    </row>
    <row r="96" spans="1:2" x14ac:dyDescent="0.25">
      <c r="A96" t="s">
        <v>187</v>
      </c>
      <c r="B96" t="s">
        <v>37</v>
      </c>
    </row>
    <row r="97" spans="1:2" x14ac:dyDescent="0.25">
      <c r="A97" t="s">
        <v>187</v>
      </c>
      <c r="B97" t="s">
        <v>37</v>
      </c>
    </row>
    <row r="98" spans="1:2" x14ac:dyDescent="0.25">
      <c r="A98" t="s">
        <v>188</v>
      </c>
      <c r="B98" t="s">
        <v>37</v>
      </c>
    </row>
    <row r="99" spans="1:2" x14ac:dyDescent="0.25">
      <c r="A99" t="s">
        <v>188</v>
      </c>
      <c r="B99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D9D7E-459B-4304-AFE6-BF8FDDBFC251}">
  <sheetPr codeName="Лист2"/>
  <dimension ref="A1:Z41"/>
  <sheetViews>
    <sheetView showGridLines="0" workbookViewId="0">
      <pane ySplit="1" topLeftCell="A2" activePane="bottomLeft" state="frozen"/>
      <selection pane="bottomLeft" activeCell="E26" sqref="E26"/>
    </sheetView>
  </sheetViews>
  <sheetFormatPr defaultRowHeight="15" x14ac:dyDescent="0.25"/>
  <cols>
    <col min="1" max="1" width="38.85546875" style="25" bestFit="1" customWidth="1"/>
    <col min="2" max="2" width="4.5703125" style="26" bestFit="1" customWidth="1"/>
    <col min="3" max="3" width="6.28515625" style="27" bestFit="1" customWidth="1"/>
    <col min="4" max="4" width="9.140625" style="22" customWidth="1"/>
    <col min="5" max="5" width="10.85546875" style="22" bestFit="1" customWidth="1"/>
    <col min="6" max="6" width="5" style="3" bestFit="1" customWidth="1"/>
    <col min="7" max="7" width="5" style="3" customWidth="1"/>
    <col min="8" max="8" width="26.140625" style="3" bestFit="1" customWidth="1"/>
    <col min="9" max="9" width="9.140625" style="21"/>
    <col min="10" max="13" width="9.140625" style="22"/>
    <col min="14" max="19" width="9.140625" style="23"/>
    <col min="20" max="20" width="9.140625" style="24"/>
    <col min="21" max="23" width="9.140625" style="23"/>
    <col min="24" max="24" width="9.5703125" style="23" bestFit="1" customWidth="1"/>
    <col min="25" max="25" width="34.28515625" style="23" customWidth="1"/>
    <col min="26" max="16384" width="9.140625" style="23"/>
  </cols>
  <sheetData>
    <row r="1" spans="1:26" s="30" customFormat="1" ht="15.75" thickBot="1" x14ac:dyDescent="0.3">
      <c r="A1" s="31" t="s">
        <v>0</v>
      </c>
      <c r="B1" s="32" t="s">
        <v>1</v>
      </c>
      <c r="C1" s="33" t="s">
        <v>2</v>
      </c>
      <c r="D1" s="29" t="s">
        <v>4</v>
      </c>
      <c r="E1" s="29" t="s">
        <v>3</v>
      </c>
      <c r="F1" s="28" t="s">
        <v>236</v>
      </c>
      <c r="G1" s="28" t="s">
        <v>5</v>
      </c>
      <c r="H1" s="28" t="s">
        <v>97</v>
      </c>
      <c r="I1" s="17">
        <v>56</v>
      </c>
      <c r="J1" s="18">
        <v>58</v>
      </c>
      <c r="K1" s="18" t="s">
        <v>237</v>
      </c>
      <c r="L1" s="18"/>
      <c r="M1" s="18"/>
      <c r="N1" s="19"/>
      <c r="O1" s="19"/>
      <c r="P1" s="19"/>
      <c r="Q1" s="19"/>
      <c r="R1" s="19"/>
      <c r="S1" s="19"/>
      <c r="T1" s="20"/>
      <c r="X1" s="30" t="s">
        <v>235</v>
      </c>
      <c r="Y1" s="34" cm="1">
        <f t="array" ref="Y1:Z1">_xlfn.LET(_xlpm.sizeCol,B2:B476,TRANSPOSE(_xlfn._xlws.SORT(_xlfn.UNIQUE(_xlfn._xlws.FILTER(_xlpm.sizeCol,_xlpm.sizeCol&lt;&gt;"","")))))</f>
        <v>58</v>
      </c>
      <c r="Z1" s="30" t="str">
        <v>ONE</v>
      </c>
    </row>
    <row r="2" spans="1:26" x14ac:dyDescent="0.25">
      <c r="A2" s="25" t="str">
        <f t="shared" ref="A2:A12" si="0">D2&amp;E2</f>
        <v>10047507NAVY</v>
      </c>
      <c r="B2" s="26" t="s">
        <v>237</v>
      </c>
      <c r="C2" s="27">
        <v>6</v>
      </c>
      <c r="D2" s="22">
        <v>10047507</v>
      </c>
      <c r="E2" s="22" t="s">
        <v>14</v>
      </c>
      <c r="F2" s="3">
        <v>3677</v>
      </c>
      <c r="G2" s="3">
        <v>1442.76</v>
      </c>
      <c r="H2" s="3" t="s">
        <v>107</v>
      </c>
      <c r="K2" s="22">
        <v>6</v>
      </c>
    </row>
    <row r="3" spans="1:26" x14ac:dyDescent="0.25">
      <c r="A3" s="25" t="str">
        <f t="shared" si="0"/>
        <v>10047511OTC</v>
      </c>
      <c r="B3" s="26" t="s">
        <v>237</v>
      </c>
      <c r="C3" s="27">
        <v>6</v>
      </c>
      <c r="D3" s="22">
        <v>10047511</v>
      </c>
      <c r="E3" s="22" t="s">
        <v>11</v>
      </c>
      <c r="F3" s="3">
        <v>3677</v>
      </c>
      <c r="G3" s="3">
        <v>1442.76</v>
      </c>
      <c r="H3" s="3" t="s">
        <v>107</v>
      </c>
      <c r="K3" s="22">
        <v>6</v>
      </c>
    </row>
    <row r="4" spans="1:26" x14ac:dyDescent="0.25">
      <c r="A4" s="25" t="str">
        <f t="shared" si="0"/>
        <v>10047515BLKWHI</v>
      </c>
      <c r="B4" s="26" t="s">
        <v>237</v>
      </c>
      <c r="C4" s="27">
        <v>6</v>
      </c>
      <c r="D4" s="22">
        <v>10047515</v>
      </c>
      <c r="E4" s="22" t="s">
        <v>9</v>
      </c>
      <c r="F4" s="3">
        <v>3677</v>
      </c>
      <c r="G4" s="3">
        <v>1442.76</v>
      </c>
      <c r="H4" s="3" t="s">
        <v>107</v>
      </c>
      <c r="K4" s="22">
        <v>6</v>
      </c>
    </row>
    <row r="5" spans="1:26" x14ac:dyDescent="0.25">
      <c r="A5" s="25" t="str">
        <f t="shared" si="0"/>
        <v>10047531GM</v>
      </c>
      <c r="B5" s="26" t="s">
        <v>237</v>
      </c>
      <c r="C5" s="27">
        <v>2</v>
      </c>
      <c r="D5" s="22">
        <v>10047531</v>
      </c>
      <c r="E5" s="22" t="s">
        <v>15</v>
      </c>
      <c r="F5" s="3">
        <v>3677</v>
      </c>
      <c r="G5" s="3">
        <v>1442.76</v>
      </c>
      <c r="H5" s="3" t="s">
        <v>116</v>
      </c>
      <c r="K5" s="22">
        <v>2</v>
      </c>
    </row>
    <row r="6" spans="1:26" s="22" customFormat="1" x14ac:dyDescent="0.25">
      <c r="A6" s="25" t="str">
        <f t="shared" si="0"/>
        <v>10047538NAVY</v>
      </c>
      <c r="B6" s="26" t="s">
        <v>237</v>
      </c>
      <c r="C6" s="27">
        <v>20</v>
      </c>
      <c r="D6" s="22">
        <v>10047538</v>
      </c>
      <c r="E6" s="22" t="s">
        <v>14</v>
      </c>
      <c r="F6" s="3">
        <v>3677</v>
      </c>
      <c r="G6" s="3">
        <v>1442.76</v>
      </c>
      <c r="H6" s="3" t="s">
        <v>107</v>
      </c>
      <c r="I6" s="21"/>
      <c r="K6" s="22">
        <v>20</v>
      </c>
      <c r="N6" s="23"/>
      <c r="O6" s="23"/>
      <c r="P6" s="23"/>
      <c r="Q6" s="23"/>
      <c r="R6" s="23"/>
      <c r="S6" s="23"/>
      <c r="T6" s="24"/>
    </row>
    <row r="7" spans="1:26" s="22" customFormat="1" x14ac:dyDescent="0.25">
      <c r="A7" s="25" t="str">
        <f t="shared" si="0"/>
        <v>10047540GRN</v>
      </c>
      <c r="B7" s="26" t="s">
        <v>237</v>
      </c>
      <c r="C7" s="27">
        <v>6</v>
      </c>
      <c r="D7" s="22">
        <v>10047540</v>
      </c>
      <c r="E7" s="22" t="s">
        <v>16</v>
      </c>
      <c r="F7" s="3">
        <v>3677</v>
      </c>
      <c r="G7" s="3">
        <v>1442.76</v>
      </c>
      <c r="H7" s="3" t="s">
        <v>107</v>
      </c>
      <c r="I7" s="21"/>
      <c r="K7" s="22">
        <v>6</v>
      </c>
      <c r="N7" s="23"/>
      <c r="O7" s="23"/>
      <c r="P7" s="23"/>
      <c r="Q7" s="23"/>
      <c r="R7" s="23"/>
      <c r="S7" s="23"/>
      <c r="T7" s="24"/>
    </row>
    <row r="8" spans="1:26" s="22" customFormat="1" x14ac:dyDescent="0.25">
      <c r="A8" s="25" t="str">
        <f t="shared" si="0"/>
        <v>10047544OTC</v>
      </c>
      <c r="B8" s="26" t="s">
        <v>237</v>
      </c>
      <c r="C8" s="27">
        <v>3</v>
      </c>
      <c r="D8" s="22">
        <v>10047544</v>
      </c>
      <c r="E8" s="22" t="s">
        <v>11</v>
      </c>
      <c r="F8" s="3">
        <v>3677</v>
      </c>
      <c r="G8" s="3">
        <v>1442.76</v>
      </c>
      <c r="H8" s="3" t="s">
        <v>107</v>
      </c>
      <c r="I8" s="21"/>
      <c r="K8" s="22">
        <v>3</v>
      </c>
      <c r="N8" s="23"/>
      <c r="O8" s="23"/>
      <c r="P8" s="23"/>
      <c r="Q8" s="23"/>
      <c r="R8" s="23"/>
      <c r="S8" s="23"/>
      <c r="T8" s="24"/>
    </row>
    <row r="9" spans="1:26" s="22" customFormat="1" x14ac:dyDescent="0.25">
      <c r="A9" s="25" t="str">
        <f t="shared" si="0"/>
        <v>10145636NVYWHT</v>
      </c>
      <c r="B9" s="26">
        <v>58</v>
      </c>
      <c r="C9" s="27">
        <v>5</v>
      </c>
      <c r="D9" s="22">
        <v>10145636</v>
      </c>
      <c r="E9" s="22" t="s">
        <v>17</v>
      </c>
      <c r="F9" s="3">
        <v>3677</v>
      </c>
      <c r="G9" s="3">
        <v>1592.06</v>
      </c>
      <c r="H9" s="3" t="s">
        <v>107</v>
      </c>
      <c r="I9" s="21">
        <v>3</v>
      </c>
      <c r="J9" s="22">
        <v>5</v>
      </c>
      <c r="N9" s="23"/>
      <c r="O9" s="23"/>
      <c r="P9" s="23"/>
      <c r="Q9" s="23"/>
      <c r="R9" s="23"/>
      <c r="S9" s="23"/>
      <c r="T9" s="24"/>
    </row>
    <row r="10" spans="1:26" s="22" customFormat="1" x14ac:dyDescent="0.25">
      <c r="A10" s="25" t="str">
        <f t="shared" si="0"/>
        <v>10145637BLKBLK</v>
      </c>
      <c r="B10" s="26">
        <v>58</v>
      </c>
      <c r="C10" s="27">
        <v>5</v>
      </c>
      <c r="D10" s="22">
        <v>10145637</v>
      </c>
      <c r="E10" s="22" t="s">
        <v>6</v>
      </c>
      <c r="F10" s="3">
        <v>3677</v>
      </c>
      <c r="G10" s="3">
        <v>1592.06</v>
      </c>
      <c r="H10" s="3" t="s">
        <v>130</v>
      </c>
      <c r="I10" s="21">
        <v>3</v>
      </c>
      <c r="J10" s="22">
        <v>5</v>
      </c>
      <c r="N10" s="23"/>
      <c r="O10" s="23"/>
      <c r="P10" s="23"/>
      <c r="Q10" s="23"/>
      <c r="R10" s="23"/>
      <c r="S10" s="23"/>
      <c r="T10" s="24"/>
    </row>
    <row r="11" spans="1:26" s="22" customFormat="1" x14ac:dyDescent="0.25">
      <c r="A11" s="25" t="str">
        <f t="shared" si="0"/>
        <v>10531939NVYWHI</v>
      </c>
      <c r="B11" s="26" t="s">
        <v>237</v>
      </c>
      <c r="C11" s="27">
        <v>20</v>
      </c>
      <c r="D11" s="22">
        <v>10531939</v>
      </c>
      <c r="E11" s="22" t="s">
        <v>19</v>
      </c>
      <c r="F11" s="3">
        <v>3677</v>
      </c>
      <c r="G11" s="3">
        <v>1293.46</v>
      </c>
      <c r="H11" s="3" t="s">
        <v>107</v>
      </c>
      <c r="I11" s="21"/>
      <c r="K11" s="22">
        <v>20</v>
      </c>
      <c r="N11" s="23"/>
      <c r="O11" s="23"/>
      <c r="P11" s="23"/>
      <c r="Q11" s="23"/>
      <c r="R11" s="23"/>
      <c r="S11" s="23"/>
      <c r="T11" s="24"/>
    </row>
    <row r="12" spans="1:26" s="22" customFormat="1" x14ac:dyDescent="0.25">
      <c r="A12" s="25" t="str">
        <f t="shared" si="0"/>
        <v>10531941BLKWHI</v>
      </c>
      <c r="B12" s="26" t="s">
        <v>237</v>
      </c>
      <c r="C12" s="27">
        <v>30</v>
      </c>
      <c r="D12" s="22">
        <v>10531941</v>
      </c>
      <c r="E12" s="22" t="s">
        <v>9</v>
      </c>
      <c r="F12" s="3">
        <v>3677</v>
      </c>
      <c r="G12" s="3">
        <v>1293.46</v>
      </c>
      <c r="H12" s="3" t="s">
        <v>107</v>
      </c>
      <c r="I12" s="21"/>
      <c r="K12" s="22">
        <v>30</v>
      </c>
      <c r="N12" s="23"/>
      <c r="O12" s="23"/>
      <c r="P12" s="23"/>
      <c r="Q12" s="23"/>
      <c r="R12" s="23"/>
      <c r="S12" s="23"/>
      <c r="T12" s="24"/>
    </row>
    <row r="13" spans="1:26" x14ac:dyDescent="0.25">
      <c r="A13" s="25" t="str">
        <f t="shared" ref="A13:A41" si="1">D13&amp;E13</f>
        <v>10531953NVYWHI</v>
      </c>
      <c r="B13" s="26">
        <v>58</v>
      </c>
      <c r="C13" s="27">
        <v>5</v>
      </c>
      <c r="D13" s="22">
        <v>10531953</v>
      </c>
      <c r="E13" s="22" t="s">
        <v>19</v>
      </c>
      <c r="F13" s="3">
        <v>3677</v>
      </c>
      <c r="G13" s="3">
        <v>1890.67</v>
      </c>
      <c r="H13" s="3" t="s">
        <v>107</v>
      </c>
      <c r="I13" s="21">
        <v>4</v>
      </c>
      <c r="J13" s="22">
        <v>5</v>
      </c>
    </row>
    <row r="14" spans="1:26" x14ac:dyDescent="0.25">
      <c r="A14" s="25" t="str">
        <f t="shared" si="1"/>
        <v>10531954TEAM</v>
      </c>
      <c r="B14" s="26">
        <v>58</v>
      </c>
      <c r="C14" s="27">
        <v>1</v>
      </c>
      <c r="D14" s="22">
        <v>10531954</v>
      </c>
      <c r="E14" s="22" t="s">
        <v>20</v>
      </c>
      <c r="F14" s="3">
        <v>3677</v>
      </c>
      <c r="G14" s="3">
        <v>1890.67</v>
      </c>
      <c r="H14" s="3" t="s">
        <v>107</v>
      </c>
      <c r="J14" s="22">
        <v>1</v>
      </c>
    </row>
    <row r="15" spans="1:26" x14ac:dyDescent="0.25">
      <c r="A15" s="25" t="str">
        <f t="shared" si="1"/>
        <v>10531956TEAM</v>
      </c>
      <c r="B15" s="26">
        <v>58</v>
      </c>
      <c r="C15" s="27">
        <v>4</v>
      </c>
      <c r="D15" s="22">
        <v>10531956</v>
      </c>
      <c r="E15" s="22" t="s">
        <v>20</v>
      </c>
      <c r="F15" s="3">
        <v>3677</v>
      </c>
      <c r="G15" s="3">
        <v>1890.67</v>
      </c>
      <c r="H15" s="3" t="s">
        <v>130</v>
      </c>
      <c r="I15" s="21">
        <v>3</v>
      </c>
      <c r="J15" s="22">
        <v>4</v>
      </c>
    </row>
    <row r="16" spans="1:26" x14ac:dyDescent="0.25">
      <c r="A16" s="25" t="str">
        <f t="shared" si="1"/>
        <v>10879529BLK</v>
      </c>
      <c r="B16" s="26">
        <v>58</v>
      </c>
      <c r="C16" s="27">
        <v>3</v>
      </c>
      <c r="D16" s="22">
        <v>10879529</v>
      </c>
      <c r="E16" s="22" t="s">
        <v>12</v>
      </c>
      <c r="F16" s="3">
        <v>3677</v>
      </c>
      <c r="G16" s="3">
        <v>1890.67</v>
      </c>
      <c r="H16" s="3" t="s">
        <v>107</v>
      </c>
      <c r="I16" s="21">
        <v>2</v>
      </c>
      <c r="J16" s="22">
        <v>3</v>
      </c>
    </row>
    <row r="17" spans="1:11" x14ac:dyDescent="0.25">
      <c r="A17" s="25" t="str">
        <f t="shared" si="1"/>
        <v>11157578WHI</v>
      </c>
      <c r="B17" s="26" t="s">
        <v>237</v>
      </c>
      <c r="C17" s="27">
        <v>5</v>
      </c>
      <c r="D17" s="22">
        <v>11157578</v>
      </c>
      <c r="E17" s="22" t="s">
        <v>7</v>
      </c>
      <c r="F17" s="3">
        <v>3677</v>
      </c>
      <c r="G17" s="3">
        <v>1293.46</v>
      </c>
      <c r="H17" s="3" t="s">
        <v>107</v>
      </c>
      <c r="K17" s="22">
        <v>5</v>
      </c>
    </row>
    <row r="18" spans="1:11" x14ac:dyDescent="0.25">
      <c r="A18" s="25" t="str">
        <f t="shared" si="1"/>
        <v>11157579LRYWHI</v>
      </c>
      <c r="B18" s="26" t="s">
        <v>237</v>
      </c>
      <c r="C18" s="27">
        <v>10</v>
      </c>
      <c r="D18" s="22">
        <v>11157579</v>
      </c>
      <c r="E18" s="22" t="s">
        <v>21</v>
      </c>
      <c r="F18" s="3">
        <v>3677</v>
      </c>
      <c r="G18" s="3">
        <v>1293.46</v>
      </c>
      <c r="H18" s="3" t="s">
        <v>107</v>
      </c>
      <c r="K18" s="22">
        <v>10</v>
      </c>
    </row>
    <row r="19" spans="1:11" x14ac:dyDescent="0.25">
      <c r="A19" s="25" t="str">
        <f t="shared" si="1"/>
        <v>11180834BLKBLK</v>
      </c>
      <c r="B19" s="26">
        <v>58</v>
      </c>
      <c r="C19" s="27">
        <v>10</v>
      </c>
      <c r="D19" s="22">
        <v>11180834</v>
      </c>
      <c r="E19" s="22" t="s">
        <v>6</v>
      </c>
      <c r="F19" s="3">
        <v>3677</v>
      </c>
      <c r="G19" s="3">
        <v>1890.67</v>
      </c>
      <c r="H19" s="3" t="s">
        <v>107</v>
      </c>
      <c r="I19" s="21">
        <v>6</v>
      </c>
      <c r="J19" s="22">
        <v>10</v>
      </c>
    </row>
    <row r="20" spans="1:11" x14ac:dyDescent="0.25">
      <c r="A20" s="25" t="str">
        <f t="shared" si="1"/>
        <v>11405497LRYWHI</v>
      </c>
      <c r="B20" s="26" t="s">
        <v>237</v>
      </c>
      <c r="C20" s="27">
        <v>7</v>
      </c>
      <c r="D20" s="22">
        <v>11405497</v>
      </c>
      <c r="E20" s="22" t="s">
        <v>21</v>
      </c>
      <c r="F20" s="3">
        <v>3677</v>
      </c>
      <c r="G20" s="3">
        <v>1592.06</v>
      </c>
      <c r="H20" s="3" t="s">
        <v>107</v>
      </c>
      <c r="K20" s="22">
        <v>7</v>
      </c>
    </row>
    <row r="21" spans="1:11" x14ac:dyDescent="0.25">
      <c r="A21" s="25" t="str">
        <f t="shared" si="1"/>
        <v>11405614OTC</v>
      </c>
      <c r="B21" s="26" t="s">
        <v>237</v>
      </c>
      <c r="C21" s="27">
        <v>8</v>
      </c>
      <c r="D21" s="22">
        <v>11405614</v>
      </c>
      <c r="E21" s="22" t="s">
        <v>11</v>
      </c>
      <c r="F21" s="3">
        <v>3677</v>
      </c>
      <c r="G21" s="3">
        <v>1442.76</v>
      </c>
      <c r="H21" s="3" t="s">
        <v>107</v>
      </c>
      <c r="K21" s="22">
        <v>8</v>
      </c>
    </row>
    <row r="22" spans="1:11" x14ac:dyDescent="0.25">
      <c r="A22" s="25" t="str">
        <f t="shared" si="1"/>
        <v>11576724NAVY</v>
      </c>
      <c r="B22" s="26" t="s">
        <v>237</v>
      </c>
      <c r="C22" s="27">
        <v>4</v>
      </c>
      <c r="D22" s="22">
        <v>11576724</v>
      </c>
      <c r="E22" s="22" t="s">
        <v>14</v>
      </c>
      <c r="F22" s="3">
        <v>3677</v>
      </c>
      <c r="G22" s="3">
        <v>1442.76</v>
      </c>
      <c r="H22" s="3" t="s">
        <v>107</v>
      </c>
      <c r="K22" s="22">
        <v>4</v>
      </c>
    </row>
    <row r="23" spans="1:11" x14ac:dyDescent="0.25">
      <c r="A23" s="25" t="str">
        <f t="shared" si="1"/>
        <v>11579473BLK</v>
      </c>
      <c r="B23" s="26" t="s">
        <v>237</v>
      </c>
      <c r="C23" s="27">
        <v>4</v>
      </c>
      <c r="D23" s="22">
        <v>11579473</v>
      </c>
      <c r="E23" s="22" t="s">
        <v>12</v>
      </c>
      <c r="F23" s="3">
        <v>3677</v>
      </c>
      <c r="G23" s="3">
        <v>1691.6</v>
      </c>
      <c r="H23" s="3" t="s">
        <v>107</v>
      </c>
      <c r="K23" s="22">
        <v>4</v>
      </c>
    </row>
    <row r="24" spans="1:11" x14ac:dyDescent="0.25">
      <c r="A24" s="25" t="str">
        <f t="shared" si="1"/>
        <v>11588488SCAWHI</v>
      </c>
      <c r="B24" s="26" t="s">
        <v>237</v>
      </c>
      <c r="C24" s="27">
        <v>2</v>
      </c>
      <c r="D24" s="22">
        <v>11588488</v>
      </c>
      <c r="E24" s="22" t="s">
        <v>22</v>
      </c>
      <c r="F24" s="3">
        <v>3677</v>
      </c>
      <c r="G24" s="3">
        <v>1592.06</v>
      </c>
      <c r="H24" s="3" t="s">
        <v>107</v>
      </c>
      <c r="K24" s="22">
        <v>2</v>
      </c>
    </row>
    <row r="25" spans="1:11" x14ac:dyDescent="0.25">
      <c r="A25" s="25" t="str">
        <f t="shared" si="1"/>
        <v>11588490GRAWHI</v>
      </c>
      <c r="B25" s="26" t="s">
        <v>237</v>
      </c>
      <c r="C25" s="27">
        <v>7</v>
      </c>
      <c r="D25" s="22">
        <v>11588490</v>
      </c>
      <c r="E25" s="22" t="s">
        <v>10</v>
      </c>
      <c r="F25" s="3">
        <v>3677</v>
      </c>
      <c r="G25" s="3">
        <v>1592.06</v>
      </c>
      <c r="H25" s="3" t="s">
        <v>107</v>
      </c>
      <c r="K25" s="22">
        <v>7</v>
      </c>
    </row>
    <row r="26" spans="1:11" x14ac:dyDescent="0.25">
      <c r="A26" s="25" t="str">
        <f t="shared" si="1"/>
        <v>11871279BLKOTC</v>
      </c>
      <c r="B26" s="26">
        <v>58</v>
      </c>
      <c r="C26" s="27">
        <v>6</v>
      </c>
      <c r="D26" s="22">
        <v>11871279</v>
      </c>
      <c r="E26" s="22" t="s">
        <v>23</v>
      </c>
      <c r="F26" s="3">
        <v>3677</v>
      </c>
      <c r="G26" s="3">
        <v>1890.67</v>
      </c>
      <c r="H26" s="3" t="s">
        <v>107</v>
      </c>
      <c r="I26" s="21">
        <v>4</v>
      </c>
      <c r="J26" s="22">
        <v>6</v>
      </c>
    </row>
    <row r="27" spans="1:11" x14ac:dyDescent="0.25">
      <c r="A27" s="25" t="str">
        <f t="shared" si="1"/>
        <v>12051998MNCBLK</v>
      </c>
      <c r="B27" s="26" t="s">
        <v>237</v>
      </c>
      <c r="C27" s="27">
        <v>8</v>
      </c>
      <c r="D27" s="22">
        <v>12051998</v>
      </c>
      <c r="E27" s="22" t="s">
        <v>24</v>
      </c>
      <c r="F27" s="3">
        <v>3677</v>
      </c>
      <c r="G27" s="3">
        <v>1293.46</v>
      </c>
      <c r="H27" s="3" t="s">
        <v>107</v>
      </c>
      <c r="K27" s="22">
        <v>8</v>
      </c>
    </row>
    <row r="28" spans="1:11" x14ac:dyDescent="0.25">
      <c r="A28" s="25" t="str">
        <f t="shared" si="1"/>
        <v>12052000BLK</v>
      </c>
      <c r="B28" s="26" t="s">
        <v>237</v>
      </c>
      <c r="C28" s="27">
        <v>15</v>
      </c>
      <c r="D28" s="22">
        <v>12052000</v>
      </c>
      <c r="E28" s="22" t="s">
        <v>12</v>
      </c>
      <c r="F28" s="3">
        <v>3677</v>
      </c>
      <c r="G28" s="3">
        <v>1293.46</v>
      </c>
      <c r="H28" s="3" t="s">
        <v>107</v>
      </c>
      <c r="K28" s="22">
        <v>15</v>
      </c>
    </row>
    <row r="29" spans="1:11" x14ac:dyDescent="0.25">
      <c r="A29" s="25" t="str">
        <f t="shared" si="1"/>
        <v>12122741BLKWHI</v>
      </c>
      <c r="B29" s="26" t="s">
        <v>237</v>
      </c>
      <c r="C29" s="27">
        <v>10</v>
      </c>
      <c r="D29" s="22">
        <v>12122741</v>
      </c>
      <c r="E29" s="22" t="s">
        <v>9</v>
      </c>
      <c r="F29" s="3">
        <v>3677</v>
      </c>
      <c r="G29" s="3">
        <v>1293.46</v>
      </c>
      <c r="H29" s="3" t="s">
        <v>107</v>
      </c>
      <c r="K29" s="22">
        <v>10</v>
      </c>
    </row>
    <row r="30" spans="1:11" x14ac:dyDescent="0.25">
      <c r="A30" s="25" t="str">
        <f t="shared" si="1"/>
        <v>12122742BLKBLK</v>
      </c>
      <c r="B30" s="26" t="s">
        <v>237</v>
      </c>
      <c r="C30" s="27">
        <v>10</v>
      </c>
      <c r="D30" s="22">
        <v>12122742</v>
      </c>
      <c r="E30" s="22" t="s">
        <v>6</v>
      </c>
      <c r="F30" s="3">
        <v>3677</v>
      </c>
      <c r="G30" s="3">
        <v>1293.46</v>
      </c>
      <c r="H30" s="3" t="s">
        <v>107</v>
      </c>
      <c r="K30" s="22">
        <v>10</v>
      </c>
    </row>
    <row r="31" spans="1:11" x14ac:dyDescent="0.25">
      <c r="A31" s="25" t="str">
        <f t="shared" si="1"/>
        <v>12285467WHI</v>
      </c>
      <c r="B31" s="26" t="s">
        <v>237</v>
      </c>
      <c r="C31" s="27">
        <v>10</v>
      </c>
      <c r="D31" s="22">
        <v>12285467</v>
      </c>
      <c r="E31" s="22" t="s">
        <v>7</v>
      </c>
      <c r="F31" s="3">
        <v>3677</v>
      </c>
      <c r="G31" s="3">
        <v>1592.06</v>
      </c>
      <c r="H31" s="3" t="s">
        <v>107</v>
      </c>
      <c r="K31" s="22">
        <v>10</v>
      </c>
    </row>
    <row r="32" spans="1:11" x14ac:dyDescent="0.25">
      <c r="A32" s="25" t="str">
        <f t="shared" si="1"/>
        <v>12380590STN</v>
      </c>
      <c r="B32" s="26" t="s">
        <v>237</v>
      </c>
      <c r="C32" s="27">
        <v>10</v>
      </c>
      <c r="D32" s="22">
        <v>12380590</v>
      </c>
      <c r="E32" s="22" t="s">
        <v>13</v>
      </c>
      <c r="F32" s="3">
        <v>3677</v>
      </c>
      <c r="G32" s="3">
        <v>1293.46</v>
      </c>
      <c r="H32" s="3" t="s">
        <v>107</v>
      </c>
      <c r="K32" s="22">
        <v>10</v>
      </c>
    </row>
    <row r="33" spans="1:11" x14ac:dyDescent="0.25">
      <c r="A33" s="25" t="str">
        <f t="shared" si="1"/>
        <v>12380796OTC</v>
      </c>
      <c r="B33" s="26" t="s">
        <v>237</v>
      </c>
      <c r="C33" s="27">
        <v>7</v>
      </c>
      <c r="D33" s="22">
        <v>12380796</v>
      </c>
      <c r="E33" s="22" t="s">
        <v>11</v>
      </c>
      <c r="F33" s="3">
        <v>3677</v>
      </c>
      <c r="G33" s="3">
        <v>1592.06</v>
      </c>
      <c r="H33" s="3" t="s">
        <v>107</v>
      </c>
      <c r="K33" s="22">
        <v>7</v>
      </c>
    </row>
    <row r="34" spans="1:11" x14ac:dyDescent="0.25">
      <c r="A34" s="25" t="str">
        <f t="shared" si="1"/>
        <v>12523893STNWHI</v>
      </c>
      <c r="B34" s="26" t="s">
        <v>237</v>
      </c>
      <c r="C34" s="27">
        <v>7</v>
      </c>
      <c r="D34" s="22">
        <v>12523893</v>
      </c>
      <c r="E34" s="22" t="s">
        <v>25</v>
      </c>
      <c r="F34" s="3">
        <v>3677</v>
      </c>
      <c r="G34" s="3">
        <v>1592.06</v>
      </c>
      <c r="H34" s="3" t="s">
        <v>107</v>
      </c>
      <c r="K34" s="22">
        <v>7</v>
      </c>
    </row>
    <row r="35" spans="1:11" x14ac:dyDescent="0.25">
      <c r="A35" s="25" t="str">
        <f t="shared" si="1"/>
        <v>12523894NOVWHI</v>
      </c>
      <c r="B35" s="26" t="s">
        <v>237</v>
      </c>
      <c r="C35" s="27">
        <v>7</v>
      </c>
      <c r="D35" s="22">
        <v>12523894</v>
      </c>
      <c r="E35" s="22" t="s">
        <v>26</v>
      </c>
      <c r="F35" s="3">
        <v>3677</v>
      </c>
      <c r="G35" s="3">
        <v>1592.06</v>
      </c>
      <c r="H35" s="3" t="s">
        <v>107</v>
      </c>
      <c r="K35" s="22">
        <v>7</v>
      </c>
    </row>
    <row r="36" spans="1:11" x14ac:dyDescent="0.25">
      <c r="A36" s="25" t="str">
        <f t="shared" si="1"/>
        <v>12523903WHIWHI</v>
      </c>
      <c r="B36" s="26" t="s">
        <v>237</v>
      </c>
      <c r="C36" s="27">
        <v>6</v>
      </c>
      <c r="D36" s="22">
        <v>12523903</v>
      </c>
      <c r="E36" s="22" t="s">
        <v>27</v>
      </c>
      <c r="F36" s="3">
        <v>3677</v>
      </c>
      <c r="G36" s="3">
        <v>1592.06</v>
      </c>
      <c r="H36" s="3" t="s">
        <v>107</v>
      </c>
      <c r="K36" s="22">
        <v>6</v>
      </c>
    </row>
    <row r="37" spans="1:11" x14ac:dyDescent="0.25">
      <c r="A37" s="25" t="str">
        <f t="shared" si="1"/>
        <v>12523912BLKBLK</v>
      </c>
      <c r="B37" s="26" t="s">
        <v>237</v>
      </c>
      <c r="C37" s="27">
        <v>10</v>
      </c>
      <c r="D37" s="22">
        <v>12523912</v>
      </c>
      <c r="E37" s="22" t="s">
        <v>6</v>
      </c>
      <c r="F37" s="3">
        <v>3677</v>
      </c>
      <c r="G37" s="3">
        <v>1592.06</v>
      </c>
      <c r="H37" s="3" t="s">
        <v>107</v>
      </c>
      <c r="K37" s="22">
        <v>10</v>
      </c>
    </row>
    <row r="38" spans="1:11" x14ac:dyDescent="0.25">
      <c r="A38" s="25" t="str">
        <f t="shared" si="1"/>
        <v>80468932BLK</v>
      </c>
      <c r="B38" s="26" t="s">
        <v>237</v>
      </c>
      <c r="C38" s="27">
        <v>20</v>
      </c>
      <c r="D38" s="22">
        <v>80468932</v>
      </c>
      <c r="E38" s="22" t="s">
        <v>12</v>
      </c>
      <c r="F38" s="3">
        <v>3677</v>
      </c>
      <c r="G38" s="3">
        <v>1293.46</v>
      </c>
      <c r="H38" s="3" t="s">
        <v>107</v>
      </c>
      <c r="K38" s="22">
        <v>20</v>
      </c>
    </row>
    <row r="39" spans="1:11" x14ac:dyDescent="0.25">
      <c r="A39" s="25" t="str">
        <f t="shared" si="1"/>
        <v>80489231GRAPNK</v>
      </c>
      <c r="B39" s="26" t="s">
        <v>237</v>
      </c>
      <c r="C39" s="27">
        <v>5</v>
      </c>
      <c r="D39" s="22">
        <v>80489231</v>
      </c>
      <c r="E39" s="22" t="s">
        <v>28</v>
      </c>
      <c r="F39" s="3">
        <v>3677</v>
      </c>
      <c r="G39" s="3">
        <v>1442.76</v>
      </c>
      <c r="H39" s="3" t="s">
        <v>107</v>
      </c>
      <c r="K39" s="22">
        <v>5</v>
      </c>
    </row>
    <row r="40" spans="1:11" x14ac:dyDescent="0.25">
      <c r="A40" s="25" t="str">
        <f t="shared" si="1"/>
        <v>80524868WHI</v>
      </c>
      <c r="B40" s="26" t="s">
        <v>237</v>
      </c>
      <c r="C40" s="27">
        <v>6</v>
      </c>
      <c r="D40" s="22">
        <v>80524868</v>
      </c>
      <c r="E40" s="22" t="s">
        <v>7</v>
      </c>
      <c r="F40" s="3">
        <v>3677</v>
      </c>
      <c r="G40" s="3">
        <v>1293.46</v>
      </c>
      <c r="H40" s="3" t="s">
        <v>107</v>
      </c>
      <c r="K40" s="22">
        <v>6</v>
      </c>
    </row>
    <row r="41" spans="1:11" x14ac:dyDescent="0.25">
      <c r="A41" s="25" t="str">
        <f t="shared" si="1"/>
        <v>80636012CARWHI</v>
      </c>
      <c r="B41" s="26" t="s">
        <v>237</v>
      </c>
      <c r="C41" s="27">
        <v>10</v>
      </c>
      <c r="D41" s="22">
        <v>80636012</v>
      </c>
      <c r="E41" s="22" t="s">
        <v>29</v>
      </c>
      <c r="F41" s="3">
        <v>3677</v>
      </c>
      <c r="G41" s="3">
        <v>1293.46</v>
      </c>
      <c r="H41" s="3" t="s">
        <v>107</v>
      </c>
      <c r="K41" s="22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20</xdr:col>
                    <xdr:colOff>333375</xdr:colOff>
                    <xdr:row>1</xdr:row>
                    <xdr:rowOff>57150</xdr:rowOff>
                  </from>
                  <to>
                    <xdr:col>24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7F943-F65F-48E3-BBCB-8ABA0FB183E4}">
  <sheetPr codeName="Лист6"/>
  <dimension ref="A1:AB43"/>
  <sheetViews>
    <sheetView showGridLines="0" workbookViewId="0">
      <pane ySplit="1" topLeftCell="A2" activePane="bottomLeft" state="frozen"/>
      <selection pane="bottomLeft" activeCell="I9" sqref="I9:I10"/>
    </sheetView>
  </sheetViews>
  <sheetFormatPr defaultRowHeight="15" x14ac:dyDescent="0.25"/>
  <cols>
    <col min="1" max="1" width="38.85546875" style="25" bestFit="1" customWidth="1"/>
    <col min="2" max="2" width="4.5703125" style="26" bestFit="1" customWidth="1"/>
    <col min="3" max="3" width="6.28515625" style="27" bestFit="1" customWidth="1"/>
    <col min="4" max="4" width="9.140625" style="22" customWidth="1"/>
    <col min="5" max="5" width="10.85546875" style="22" bestFit="1" customWidth="1"/>
    <col min="6" max="6" width="5" style="3" bestFit="1" customWidth="1"/>
    <col min="7" max="7" width="8" style="3" bestFit="1" customWidth="1"/>
    <col min="8" max="8" width="26.140625" style="3" customWidth="1"/>
    <col min="9" max="9" width="7.140625" style="21" customWidth="1"/>
    <col min="10" max="13" width="9.140625" style="22"/>
    <col min="14" max="19" width="9.140625" style="23"/>
    <col min="20" max="20" width="9.140625" style="24"/>
    <col min="21" max="23" width="9.140625" style="23"/>
    <col min="24" max="24" width="9.5703125" style="23" bestFit="1" customWidth="1"/>
    <col min="25" max="25" width="34.28515625" style="23" customWidth="1"/>
    <col min="26" max="16384" width="9.140625" style="23"/>
  </cols>
  <sheetData>
    <row r="1" spans="1:28" s="30" customFormat="1" ht="15.75" thickBot="1" x14ac:dyDescent="0.3">
      <c r="A1" s="31" t="s">
        <v>0</v>
      </c>
      <c r="B1" s="32" t="s">
        <v>1</v>
      </c>
      <c r="C1" s="33" t="s">
        <v>2</v>
      </c>
      <c r="D1" s="29" t="s">
        <v>4</v>
      </c>
      <c r="E1" s="29" t="s">
        <v>3</v>
      </c>
      <c r="F1" s="28" t="s">
        <v>236</v>
      </c>
      <c r="G1" s="28" t="s">
        <v>238</v>
      </c>
      <c r="H1" s="28" t="s">
        <v>97</v>
      </c>
      <c r="I1" s="17">
        <v>56</v>
      </c>
      <c r="J1" s="18">
        <v>57</v>
      </c>
      <c r="K1" s="18">
        <v>58</v>
      </c>
      <c r="L1" s="18" t="s">
        <v>237</v>
      </c>
      <c r="M1" s="18"/>
      <c r="N1" s="19"/>
      <c r="O1" s="19"/>
      <c r="P1" s="19"/>
      <c r="Q1" s="19"/>
      <c r="R1" s="19"/>
      <c r="S1" s="19"/>
      <c r="T1" s="20"/>
      <c r="X1" s="30" t="s">
        <v>235</v>
      </c>
      <c r="Y1" s="34" cm="1">
        <f t="array" ref="Y1:AA1">_xlfn.LET(_xlpm.sizeCol,B2:B465,TRANSPOSE(_xlfn._xlws.SORT(_xlfn.UNIQUE(_xlfn._xlws.FILTER(_xlpm.sizeCol,_xlpm.sizeCol&lt;&gt;"","")))))</f>
        <v>57</v>
      </c>
      <c r="Z1" s="30">
        <v>58</v>
      </c>
      <c r="AA1" s="30" t="str">
        <v>ONE</v>
      </c>
    </row>
    <row r="2" spans="1:28" x14ac:dyDescent="0.25">
      <c r="A2" s="25" t="str">
        <f t="shared" ref="A2:A24" si="0">D2&amp;E2</f>
        <v>10047507NAVY</v>
      </c>
      <c r="B2" s="26" t="s">
        <v>237</v>
      </c>
      <c r="C2" s="27">
        <v>18</v>
      </c>
      <c r="D2" s="22">
        <v>10047507</v>
      </c>
      <c r="E2" s="22" t="s">
        <v>14</v>
      </c>
      <c r="F2" s="3">
        <v>3678</v>
      </c>
      <c r="G2" s="3">
        <v>1687.44</v>
      </c>
      <c r="H2" s="3" t="s">
        <v>107</v>
      </c>
      <c r="L2" s="22">
        <v>18</v>
      </c>
    </row>
    <row r="3" spans="1:28" x14ac:dyDescent="0.25">
      <c r="A3" s="25" t="str">
        <f t="shared" si="0"/>
        <v>10047511OTC</v>
      </c>
      <c r="B3" s="26" t="s">
        <v>237</v>
      </c>
      <c r="C3" s="27">
        <v>12</v>
      </c>
      <c r="D3" s="22">
        <v>10047511</v>
      </c>
      <c r="E3" s="22" t="s">
        <v>11</v>
      </c>
      <c r="F3" s="3">
        <v>3678</v>
      </c>
      <c r="G3" s="3">
        <v>1349.95</v>
      </c>
      <c r="H3" s="3" t="s">
        <v>107</v>
      </c>
      <c r="L3" s="22">
        <v>12</v>
      </c>
    </row>
    <row r="4" spans="1:28" x14ac:dyDescent="0.25">
      <c r="A4" s="25" t="str">
        <f t="shared" si="0"/>
        <v>10047515BLKWHI</v>
      </c>
      <c r="B4" s="26" t="s">
        <v>237</v>
      </c>
      <c r="C4" s="27">
        <v>12</v>
      </c>
      <c r="D4" s="22">
        <v>10047515</v>
      </c>
      <c r="E4" s="22" t="s">
        <v>9</v>
      </c>
      <c r="F4" s="3">
        <v>3678</v>
      </c>
      <c r="G4" s="3">
        <v>1349.95</v>
      </c>
      <c r="H4" s="3" t="s">
        <v>107</v>
      </c>
      <c r="L4" s="22">
        <v>12</v>
      </c>
    </row>
    <row r="5" spans="1:28" x14ac:dyDescent="0.25">
      <c r="A5" s="25" t="str">
        <f t="shared" si="0"/>
        <v>10047531GM</v>
      </c>
      <c r="B5" s="26" t="s">
        <v>237</v>
      </c>
      <c r="C5" s="27">
        <v>24</v>
      </c>
      <c r="D5" s="22">
        <v>10047531</v>
      </c>
      <c r="E5" s="22" t="s">
        <v>15</v>
      </c>
      <c r="F5" s="3">
        <v>3678</v>
      </c>
      <c r="G5" s="3">
        <v>1687.44</v>
      </c>
      <c r="H5" s="3" t="s">
        <v>107</v>
      </c>
      <c r="L5" s="22">
        <v>24</v>
      </c>
    </row>
    <row r="6" spans="1:28" s="22" customFormat="1" x14ac:dyDescent="0.25">
      <c r="A6" s="25" t="str">
        <f t="shared" si="0"/>
        <v>10047538NAVY</v>
      </c>
      <c r="B6" s="26" t="s">
        <v>237</v>
      </c>
      <c r="C6" s="27">
        <v>42</v>
      </c>
      <c r="D6" s="22">
        <v>10047538</v>
      </c>
      <c r="E6" s="22" t="s">
        <v>14</v>
      </c>
      <c r="F6" s="3">
        <v>3678</v>
      </c>
      <c r="G6" s="3">
        <v>1349.95</v>
      </c>
      <c r="H6" s="3" t="s">
        <v>107</v>
      </c>
      <c r="I6" s="21"/>
      <c r="L6" s="22">
        <v>42</v>
      </c>
      <c r="N6" s="23"/>
      <c r="O6" s="23"/>
      <c r="P6" s="23"/>
      <c r="Q6" s="23"/>
      <c r="R6" s="23"/>
      <c r="S6" s="23"/>
      <c r="T6" s="24"/>
    </row>
    <row r="7" spans="1:28" s="22" customFormat="1" x14ac:dyDescent="0.25">
      <c r="A7" s="25" t="str">
        <f t="shared" si="0"/>
        <v>10047540GRN</v>
      </c>
      <c r="B7" s="26" t="s">
        <v>237</v>
      </c>
      <c r="C7" s="27">
        <v>24</v>
      </c>
      <c r="D7" s="22">
        <v>10047540</v>
      </c>
      <c r="E7" s="22" t="s">
        <v>16</v>
      </c>
      <c r="F7" s="3">
        <v>3678</v>
      </c>
      <c r="G7" s="3">
        <v>1349.95</v>
      </c>
      <c r="H7" s="3" t="s">
        <v>107</v>
      </c>
      <c r="I7" s="21"/>
      <c r="L7" s="22">
        <v>24</v>
      </c>
      <c r="N7" s="23"/>
      <c r="O7" s="23"/>
      <c r="P7" s="23"/>
      <c r="Q7" s="23"/>
      <c r="R7" s="23"/>
      <c r="S7" s="23"/>
      <c r="T7" s="24"/>
    </row>
    <row r="8" spans="1:28" s="22" customFormat="1" x14ac:dyDescent="0.25">
      <c r="A8" s="25" t="str">
        <f t="shared" si="0"/>
        <v>10047544OTC</v>
      </c>
      <c r="B8" s="26" t="s">
        <v>237</v>
      </c>
      <c r="C8" s="27">
        <v>12</v>
      </c>
      <c r="D8" s="22">
        <v>10047544</v>
      </c>
      <c r="E8" s="22" t="s">
        <v>11</v>
      </c>
      <c r="F8" s="3">
        <v>3678</v>
      </c>
      <c r="G8" s="3">
        <v>1349.95</v>
      </c>
      <c r="H8" s="3" t="s">
        <v>107</v>
      </c>
      <c r="I8" s="21"/>
      <c r="L8" s="22">
        <v>12</v>
      </c>
      <c r="N8" s="23"/>
      <c r="O8" s="23"/>
      <c r="P8" s="23"/>
      <c r="Q8" s="23"/>
      <c r="R8" s="23"/>
      <c r="S8" s="23"/>
      <c r="T8" s="24"/>
    </row>
    <row r="9" spans="1:28" s="22" customFormat="1" x14ac:dyDescent="0.25">
      <c r="A9" s="25" t="str">
        <f t="shared" si="0"/>
        <v>10145636NVYWHT</v>
      </c>
      <c r="B9" s="26">
        <v>58</v>
      </c>
      <c r="C9" s="27">
        <v>15</v>
      </c>
      <c r="D9" s="22">
        <v>10145636</v>
      </c>
      <c r="E9" s="22" t="s">
        <v>17</v>
      </c>
      <c r="F9" s="3">
        <v>3678</v>
      </c>
      <c r="G9" s="3">
        <v>1489.65</v>
      </c>
      <c r="H9" s="3" t="s">
        <v>107</v>
      </c>
      <c r="I9" s="21">
        <v>12</v>
      </c>
      <c r="K9" s="22">
        <v>15</v>
      </c>
      <c r="N9" s="23"/>
      <c r="O9" s="23"/>
      <c r="P9" s="23"/>
      <c r="Q9" s="23"/>
      <c r="R9" s="23"/>
      <c r="S9" s="23"/>
      <c r="T9" s="24"/>
    </row>
    <row r="10" spans="1:28" s="22" customFormat="1" x14ac:dyDescent="0.25">
      <c r="A10" s="25" t="str">
        <f t="shared" si="0"/>
        <v>10145637BLKBLK</v>
      </c>
      <c r="B10" s="26">
        <v>58</v>
      </c>
      <c r="C10" s="27">
        <v>15</v>
      </c>
      <c r="D10" s="22">
        <v>10145637</v>
      </c>
      <c r="E10" s="22" t="s">
        <v>6</v>
      </c>
      <c r="F10" s="3">
        <v>3678</v>
      </c>
      <c r="G10" s="3">
        <v>1489.65</v>
      </c>
      <c r="H10" s="3" t="s">
        <v>107</v>
      </c>
      <c r="I10" s="21">
        <v>12</v>
      </c>
      <c r="K10" s="22">
        <v>15</v>
      </c>
      <c r="N10" s="23"/>
      <c r="O10" s="23"/>
      <c r="P10" s="23"/>
      <c r="Q10" s="23"/>
      <c r="R10" s="23"/>
      <c r="S10" s="23"/>
      <c r="T10" s="24"/>
    </row>
    <row r="11" spans="1:28" x14ac:dyDescent="0.25">
      <c r="A11" s="25" t="str">
        <f t="shared" si="0"/>
        <v>10145638BLAWHT</v>
      </c>
      <c r="B11" s="26">
        <v>58</v>
      </c>
      <c r="C11" s="27">
        <v>6</v>
      </c>
      <c r="D11" s="22">
        <v>10145638</v>
      </c>
      <c r="E11" s="22" t="s">
        <v>18</v>
      </c>
      <c r="F11" s="3">
        <v>3678</v>
      </c>
      <c r="G11" s="3">
        <v>1489.65</v>
      </c>
      <c r="H11" s="3" t="s">
        <v>107</v>
      </c>
      <c r="I11" s="21">
        <v>4</v>
      </c>
      <c r="K11" s="22">
        <v>6</v>
      </c>
    </row>
    <row r="12" spans="1:28" s="22" customFormat="1" x14ac:dyDescent="0.25">
      <c r="A12" s="25" t="str">
        <f t="shared" si="0"/>
        <v>10531939NVYWHI</v>
      </c>
      <c r="B12" s="26" t="s">
        <v>237</v>
      </c>
      <c r="C12" s="27">
        <v>31</v>
      </c>
      <c r="D12" s="22">
        <v>10531939</v>
      </c>
      <c r="E12" s="22" t="s">
        <v>19</v>
      </c>
      <c r="F12" s="3">
        <v>3678</v>
      </c>
      <c r="G12" s="3">
        <v>1210.25</v>
      </c>
      <c r="H12" s="3" t="s">
        <v>107</v>
      </c>
      <c r="I12" s="21"/>
      <c r="L12" s="22">
        <v>31</v>
      </c>
      <c r="N12" s="23"/>
      <c r="O12" s="23"/>
      <c r="P12" s="23"/>
      <c r="Q12" s="23"/>
      <c r="R12" s="23"/>
      <c r="S12" s="23"/>
      <c r="T12" s="24"/>
      <c r="U12" s="23"/>
      <c r="V12" s="23"/>
      <c r="W12" s="23"/>
      <c r="X12" s="23"/>
      <c r="Y12" s="23"/>
      <c r="Z12" s="23"/>
      <c r="AA12" s="23"/>
      <c r="AB12" s="23"/>
    </row>
    <row r="13" spans="1:28" s="22" customFormat="1" x14ac:dyDescent="0.25">
      <c r="A13" s="25" t="str">
        <f t="shared" si="0"/>
        <v>10531941BLKWHI</v>
      </c>
      <c r="B13" s="26" t="s">
        <v>237</v>
      </c>
      <c r="C13" s="27">
        <v>60</v>
      </c>
      <c r="D13" s="22">
        <v>10531941</v>
      </c>
      <c r="E13" s="22" t="s">
        <v>9</v>
      </c>
      <c r="F13" s="3">
        <v>3678</v>
      </c>
      <c r="G13" s="3">
        <v>1210.25</v>
      </c>
      <c r="H13" s="3" t="s">
        <v>107</v>
      </c>
      <c r="I13" s="21"/>
      <c r="L13" s="22">
        <v>60</v>
      </c>
      <c r="N13" s="23"/>
      <c r="O13" s="23"/>
      <c r="P13" s="23"/>
      <c r="Q13" s="23"/>
      <c r="R13" s="23"/>
      <c r="S13" s="23"/>
      <c r="T13" s="24"/>
      <c r="U13" s="23"/>
      <c r="V13" s="23"/>
      <c r="W13" s="23"/>
      <c r="X13" s="23"/>
      <c r="Y13" s="23"/>
      <c r="Z13" s="23"/>
      <c r="AA13" s="23"/>
      <c r="AB13" s="23"/>
    </row>
    <row r="14" spans="1:28" s="22" customFormat="1" x14ac:dyDescent="0.25">
      <c r="A14" s="25" t="str">
        <f t="shared" si="0"/>
        <v>10531953NVYWHI</v>
      </c>
      <c r="B14" s="26">
        <v>58</v>
      </c>
      <c r="C14" s="27">
        <v>5</v>
      </c>
      <c r="D14" s="22">
        <v>10531953</v>
      </c>
      <c r="E14" s="22" t="s">
        <v>19</v>
      </c>
      <c r="F14" s="3">
        <v>3678</v>
      </c>
      <c r="G14" s="3">
        <v>1769.05</v>
      </c>
      <c r="H14" s="3" t="s">
        <v>107</v>
      </c>
      <c r="I14" s="21">
        <v>6</v>
      </c>
      <c r="K14" s="22">
        <v>5</v>
      </c>
      <c r="N14" s="23"/>
      <c r="O14" s="23"/>
      <c r="P14" s="23"/>
      <c r="Q14" s="23"/>
      <c r="R14" s="23"/>
      <c r="S14" s="23"/>
      <c r="T14" s="24"/>
      <c r="U14" s="23"/>
      <c r="V14" s="23"/>
      <c r="W14" s="23"/>
      <c r="X14" s="23"/>
      <c r="Y14" s="23"/>
      <c r="Z14" s="23"/>
      <c r="AA14" s="23"/>
      <c r="AB14" s="23"/>
    </row>
    <row r="15" spans="1:28" s="22" customFormat="1" x14ac:dyDescent="0.25">
      <c r="A15" s="25" t="str">
        <f t="shared" si="0"/>
        <v>10531954TEAM</v>
      </c>
      <c r="B15" s="26">
        <v>58</v>
      </c>
      <c r="C15" s="27">
        <v>5</v>
      </c>
      <c r="D15" s="22">
        <v>10531954</v>
      </c>
      <c r="E15" s="22" t="s">
        <v>20</v>
      </c>
      <c r="F15" s="3">
        <v>3678</v>
      </c>
      <c r="G15" s="3">
        <v>1769.05</v>
      </c>
      <c r="H15" s="3" t="s">
        <v>107</v>
      </c>
      <c r="I15" s="21">
        <v>5</v>
      </c>
      <c r="K15" s="22">
        <v>5</v>
      </c>
      <c r="N15" s="23"/>
      <c r="O15" s="23"/>
      <c r="P15" s="23"/>
      <c r="Q15" s="23"/>
      <c r="R15" s="23"/>
      <c r="S15" s="23"/>
      <c r="T15" s="24"/>
      <c r="U15" s="23"/>
      <c r="V15" s="23"/>
      <c r="W15" s="23"/>
      <c r="X15" s="23"/>
      <c r="Y15" s="23"/>
      <c r="Z15" s="23"/>
      <c r="AA15" s="23"/>
      <c r="AB15" s="23"/>
    </row>
    <row r="16" spans="1:28" s="22" customFormat="1" x14ac:dyDescent="0.25">
      <c r="A16" s="25" t="str">
        <f t="shared" si="0"/>
        <v>10531956TEAM</v>
      </c>
      <c r="B16" s="26">
        <v>58</v>
      </c>
      <c r="C16" s="27">
        <v>6</v>
      </c>
      <c r="D16" s="22">
        <v>10531956</v>
      </c>
      <c r="E16" s="22" t="s">
        <v>20</v>
      </c>
      <c r="F16" s="3">
        <v>3678</v>
      </c>
      <c r="G16" s="3">
        <v>1769.05</v>
      </c>
      <c r="H16" s="3" t="s">
        <v>107</v>
      </c>
      <c r="I16" s="21">
        <v>4</v>
      </c>
      <c r="K16" s="22">
        <v>6</v>
      </c>
      <c r="N16" s="23"/>
      <c r="O16" s="23"/>
      <c r="P16" s="23"/>
      <c r="Q16" s="23"/>
      <c r="R16" s="23"/>
      <c r="S16" s="23"/>
      <c r="T16" s="24"/>
      <c r="U16" s="23"/>
      <c r="V16" s="23"/>
      <c r="W16" s="23"/>
      <c r="X16" s="23"/>
      <c r="Y16" s="23"/>
      <c r="Z16" s="23"/>
      <c r="AA16" s="23"/>
      <c r="AB16" s="23"/>
    </row>
    <row r="17" spans="1:28" s="22" customFormat="1" x14ac:dyDescent="0.25">
      <c r="A17" s="25" t="str">
        <f t="shared" si="0"/>
        <v>10879529BLK</v>
      </c>
      <c r="B17" s="26">
        <v>58</v>
      </c>
      <c r="C17" s="27">
        <v>3</v>
      </c>
      <c r="D17" s="22">
        <v>10879529</v>
      </c>
      <c r="E17" s="22" t="s">
        <v>12</v>
      </c>
      <c r="F17" s="3">
        <v>3678</v>
      </c>
      <c r="G17" s="3">
        <v>1769.05</v>
      </c>
      <c r="H17" s="3" t="s">
        <v>107</v>
      </c>
      <c r="I17" s="21">
        <v>2</v>
      </c>
      <c r="K17" s="22">
        <v>3</v>
      </c>
      <c r="N17" s="23"/>
      <c r="O17" s="23"/>
      <c r="P17" s="23"/>
      <c r="Q17" s="23"/>
      <c r="R17" s="23"/>
      <c r="S17" s="23"/>
      <c r="T17" s="24"/>
      <c r="U17" s="23"/>
      <c r="V17" s="23"/>
      <c r="W17" s="23"/>
      <c r="X17" s="23"/>
      <c r="Y17" s="23"/>
      <c r="Z17" s="23"/>
      <c r="AA17" s="23"/>
      <c r="AB17" s="23"/>
    </row>
    <row r="18" spans="1:28" s="22" customFormat="1" x14ac:dyDescent="0.25">
      <c r="A18" s="25" t="str">
        <f t="shared" si="0"/>
        <v>11157578WHI</v>
      </c>
      <c r="B18" s="26" t="s">
        <v>237</v>
      </c>
      <c r="C18" s="27">
        <v>5</v>
      </c>
      <c r="D18" s="22">
        <v>11157578</v>
      </c>
      <c r="E18" s="22" t="s">
        <v>7</v>
      </c>
      <c r="F18" s="3">
        <v>3678</v>
      </c>
      <c r="G18" s="3">
        <v>1210.25</v>
      </c>
      <c r="H18" s="3" t="s">
        <v>107</v>
      </c>
      <c r="I18" s="21"/>
      <c r="L18" s="22">
        <v>5</v>
      </c>
      <c r="N18" s="23"/>
      <c r="O18" s="23"/>
      <c r="P18" s="23"/>
      <c r="Q18" s="23"/>
      <c r="R18" s="23"/>
      <c r="S18" s="23"/>
      <c r="T18" s="24"/>
      <c r="U18" s="23"/>
      <c r="V18" s="23"/>
      <c r="W18" s="23"/>
      <c r="X18" s="23"/>
      <c r="Y18" s="23"/>
      <c r="Z18" s="23"/>
      <c r="AA18" s="23"/>
      <c r="AB18" s="23"/>
    </row>
    <row r="19" spans="1:28" s="22" customFormat="1" x14ac:dyDescent="0.25">
      <c r="A19" s="25" t="str">
        <f t="shared" si="0"/>
        <v>11157579LRYWHI</v>
      </c>
      <c r="B19" s="26" t="s">
        <v>237</v>
      </c>
      <c r="C19" s="27">
        <v>40</v>
      </c>
      <c r="D19" s="22">
        <v>11157579</v>
      </c>
      <c r="E19" s="22" t="s">
        <v>21</v>
      </c>
      <c r="F19" s="3">
        <v>3678</v>
      </c>
      <c r="G19" s="3">
        <v>1210.25</v>
      </c>
      <c r="H19" s="3" t="s">
        <v>107</v>
      </c>
      <c r="I19" s="21"/>
      <c r="L19" s="22">
        <v>40</v>
      </c>
      <c r="N19" s="23"/>
      <c r="O19" s="23"/>
      <c r="P19" s="23"/>
      <c r="Q19" s="23"/>
      <c r="R19" s="23"/>
      <c r="S19" s="23"/>
      <c r="T19" s="24"/>
      <c r="U19" s="23"/>
      <c r="V19" s="23"/>
      <c r="W19" s="23"/>
      <c r="X19" s="23"/>
      <c r="Y19" s="23"/>
      <c r="Z19" s="23"/>
      <c r="AA19" s="23"/>
      <c r="AB19" s="23"/>
    </row>
    <row r="20" spans="1:28" s="22" customFormat="1" x14ac:dyDescent="0.25">
      <c r="A20" s="25" t="str">
        <f t="shared" si="0"/>
        <v>11180834BLKBLK</v>
      </c>
      <c r="B20" s="26">
        <v>58</v>
      </c>
      <c r="C20" s="27">
        <v>10</v>
      </c>
      <c r="D20" s="22">
        <v>11180834</v>
      </c>
      <c r="E20" s="22" t="s">
        <v>6</v>
      </c>
      <c r="F20" s="3">
        <v>3678</v>
      </c>
      <c r="G20" s="3">
        <v>1769.05</v>
      </c>
      <c r="H20" s="3" t="s">
        <v>107</v>
      </c>
      <c r="I20" s="21">
        <v>8</v>
      </c>
      <c r="K20" s="22">
        <v>10</v>
      </c>
      <c r="N20" s="23"/>
      <c r="O20" s="23"/>
      <c r="P20" s="23"/>
      <c r="Q20" s="23"/>
      <c r="R20" s="23"/>
      <c r="S20" s="23"/>
      <c r="T20" s="24"/>
      <c r="U20" s="23"/>
      <c r="V20" s="23"/>
      <c r="W20" s="23"/>
      <c r="X20" s="23"/>
      <c r="Y20" s="23"/>
      <c r="Z20" s="23"/>
      <c r="AA20" s="23"/>
      <c r="AB20" s="23"/>
    </row>
    <row r="21" spans="1:28" s="22" customFormat="1" x14ac:dyDescent="0.25">
      <c r="A21" s="25" t="str">
        <f t="shared" si="0"/>
        <v>11405497LRYWHI</v>
      </c>
      <c r="B21" s="26" t="s">
        <v>237</v>
      </c>
      <c r="C21" s="27">
        <v>8</v>
      </c>
      <c r="D21" s="22">
        <v>11405497</v>
      </c>
      <c r="E21" s="22" t="s">
        <v>21</v>
      </c>
      <c r="F21" s="3">
        <v>3678</v>
      </c>
      <c r="G21" s="3">
        <v>1489.65</v>
      </c>
      <c r="H21" s="3" t="s">
        <v>107</v>
      </c>
      <c r="I21" s="21"/>
      <c r="L21" s="22">
        <v>8</v>
      </c>
      <c r="N21" s="23"/>
      <c r="O21" s="23"/>
      <c r="P21" s="23"/>
      <c r="Q21" s="23"/>
      <c r="R21" s="23"/>
      <c r="S21" s="23"/>
      <c r="T21" s="24"/>
      <c r="U21" s="23"/>
      <c r="V21" s="23"/>
      <c r="W21" s="23"/>
      <c r="X21" s="23"/>
      <c r="Y21" s="23"/>
      <c r="Z21" s="23"/>
      <c r="AA21" s="23"/>
      <c r="AB21" s="23"/>
    </row>
    <row r="22" spans="1:28" s="22" customFormat="1" x14ac:dyDescent="0.25">
      <c r="A22" s="25" t="str">
        <f t="shared" si="0"/>
        <v>11405614OTC</v>
      </c>
      <c r="B22" s="26" t="s">
        <v>237</v>
      </c>
      <c r="C22" s="27">
        <v>2</v>
      </c>
      <c r="D22" s="22">
        <v>11405614</v>
      </c>
      <c r="E22" s="22" t="s">
        <v>11</v>
      </c>
      <c r="F22" s="3">
        <v>3678</v>
      </c>
      <c r="G22" s="3">
        <v>1349.95</v>
      </c>
      <c r="H22" s="3" t="s">
        <v>107</v>
      </c>
      <c r="I22" s="21"/>
      <c r="L22" s="22">
        <v>2</v>
      </c>
      <c r="N22" s="23"/>
      <c r="O22" s="23"/>
      <c r="P22" s="23"/>
      <c r="Q22" s="23"/>
      <c r="R22" s="23"/>
      <c r="S22" s="23"/>
      <c r="T22" s="24"/>
      <c r="U22" s="23"/>
      <c r="V22" s="23"/>
      <c r="W22" s="23"/>
      <c r="X22" s="23"/>
      <c r="Y22" s="23"/>
      <c r="Z22" s="23"/>
      <c r="AA22" s="23"/>
      <c r="AB22" s="23"/>
    </row>
    <row r="23" spans="1:28" s="22" customFormat="1" x14ac:dyDescent="0.25">
      <c r="A23" s="25" t="str">
        <f t="shared" si="0"/>
        <v>11576724NAVY</v>
      </c>
      <c r="B23" s="26" t="s">
        <v>237</v>
      </c>
      <c r="C23" s="27">
        <v>8</v>
      </c>
      <c r="D23" s="22">
        <v>11576724</v>
      </c>
      <c r="E23" s="22" t="s">
        <v>14</v>
      </c>
      <c r="F23" s="3">
        <v>3678</v>
      </c>
      <c r="G23" s="3">
        <v>1349.95</v>
      </c>
      <c r="H23" s="3" t="s">
        <v>107</v>
      </c>
      <c r="I23" s="21"/>
      <c r="L23" s="22">
        <v>8</v>
      </c>
      <c r="N23" s="23"/>
      <c r="O23" s="23"/>
      <c r="P23" s="23"/>
      <c r="Q23" s="23"/>
      <c r="R23" s="23"/>
      <c r="S23" s="23"/>
      <c r="T23" s="24"/>
      <c r="U23" s="23"/>
      <c r="V23" s="23"/>
      <c r="W23" s="23"/>
      <c r="X23" s="23"/>
      <c r="Y23" s="23"/>
      <c r="Z23" s="23"/>
      <c r="AA23" s="23"/>
      <c r="AB23" s="23"/>
    </row>
    <row r="24" spans="1:28" s="22" customFormat="1" x14ac:dyDescent="0.25">
      <c r="A24" s="25" t="str">
        <f t="shared" si="0"/>
        <v>11579473BLK</v>
      </c>
      <c r="B24" s="26" t="s">
        <v>237</v>
      </c>
      <c r="C24" s="27">
        <v>32</v>
      </c>
      <c r="D24" s="22">
        <v>11579473</v>
      </c>
      <c r="E24" s="22" t="s">
        <v>12</v>
      </c>
      <c r="F24" s="3">
        <v>3678</v>
      </c>
      <c r="G24" s="3">
        <v>1582.78</v>
      </c>
      <c r="H24" s="3" t="s">
        <v>107</v>
      </c>
      <c r="I24" s="21"/>
      <c r="L24" s="22">
        <v>32</v>
      </c>
      <c r="N24" s="23"/>
      <c r="O24" s="23"/>
      <c r="P24" s="23"/>
      <c r="Q24" s="23"/>
      <c r="R24" s="23"/>
      <c r="S24" s="23"/>
      <c r="T24" s="24"/>
      <c r="U24" s="23"/>
      <c r="V24" s="23"/>
      <c r="W24" s="23"/>
      <c r="X24" s="23"/>
      <c r="Y24" s="23"/>
      <c r="Z24" s="23"/>
      <c r="AA24" s="23"/>
      <c r="AB24" s="23"/>
    </row>
    <row r="25" spans="1:28" x14ac:dyDescent="0.25">
      <c r="A25" s="25" t="str">
        <f t="shared" ref="A25:A43" si="1">D25&amp;E25</f>
        <v>11588488SCAWHI</v>
      </c>
      <c r="B25" s="26" t="s">
        <v>237</v>
      </c>
      <c r="C25" s="27">
        <v>4</v>
      </c>
      <c r="D25" s="22">
        <v>11588488</v>
      </c>
      <c r="E25" s="22" t="s">
        <v>22</v>
      </c>
      <c r="F25" s="3">
        <v>3678</v>
      </c>
      <c r="G25" s="3">
        <v>1489.65</v>
      </c>
      <c r="H25" s="3" t="s">
        <v>107</v>
      </c>
      <c r="L25" s="22">
        <v>4</v>
      </c>
    </row>
    <row r="26" spans="1:28" x14ac:dyDescent="0.25">
      <c r="A26" s="25" t="str">
        <f t="shared" si="1"/>
        <v>11588490GRAWHI</v>
      </c>
      <c r="B26" s="26" t="s">
        <v>237</v>
      </c>
      <c r="C26" s="27">
        <v>10</v>
      </c>
      <c r="D26" s="22">
        <v>11588490</v>
      </c>
      <c r="E26" s="22" t="s">
        <v>10</v>
      </c>
      <c r="F26" s="3">
        <v>3678</v>
      </c>
      <c r="G26" s="3">
        <v>1489.65</v>
      </c>
      <c r="H26" s="3" t="s">
        <v>107</v>
      </c>
      <c r="L26" s="22">
        <v>10</v>
      </c>
    </row>
    <row r="27" spans="1:28" x14ac:dyDescent="0.25">
      <c r="A27" s="25" t="str">
        <f t="shared" si="1"/>
        <v>11871279BLKOTC</v>
      </c>
      <c r="B27" s="26">
        <v>58</v>
      </c>
      <c r="C27" s="27">
        <v>9</v>
      </c>
      <c r="D27" s="22">
        <v>11871279</v>
      </c>
      <c r="E27" s="22" t="s">
        <v>23</v>
      </c>
      <c r="F27" s="3">
        <v>3678</v>
      </c>
      <c r="G27" s="3">
        <v>1769.05</v>
      </c>
      <c r="H27" s="3" t="s">
        <v>107</v>
      </c>
      <c r="I27" s="21">
        <v>12</v>
      </c>
      <c r="K27" s="22">
        <v>9</v>
      </c>
    </row>
    <row r="28" spans="1:28" x14ac:dyDescent="0.25">
      <c r="A28" s="25" t="str">
        <f t="shared" si="1"/>
        <v>12051998MNCBLK</v>
      </c>
      <c r="B28" s="26" t="s">
        <v>237</v>
      </c>
      <c r="C28" s="27">
        <v>50</v>
      </c>
      <c r="D28" s="22">
        <v>12051998</v>
      </c>
      <c r="E28" s="22" t="s">
        <v>24</v>
      </c>
      <c r="F28" s="3">
        <v>3678</v>
      </c>
      <c r="G28" s="3">
        <v>1210.25</v>
      </c>
      <c r="H28" s="3" t="s">
        <v>107</v>
      </c>
      <c r="L28" s="22">
        <v>50</v>
      </c>
    </row>
    <row r="29" spans="1:28" x14ac:dyDescent="0.25">
      <c r="A29" s="25" t="str">
        <f t="shared" si="1"/>
        <v>12052000BLK</v>
      </c>
      <c r="B29" s="26" t="s">
        <v>237</v>
      </c>
      <c r="C29" s="27">
        <v>35</v>
      </c>
      <c r="D29" s="22">
        <v>12052000</v>
      </c>
      <c r="E29" s="22" t="s">
        <v>12</v>
      </c>
      <c r="F29" s="3">
        <v>3678</v>
      </c>
      <c r="G29" s="3">
        <v>1210.25</v>
      </c>
      <c r="H29" s="3" t="s">
        <v>107</v>
      </c>
      <c r="L29" s="22">
        <v>35</v>
      </c>
    </row>
    <row r="30" spans="1:28" x14ac:dyDescent="0.25">
      <c r="A30" s="25" t="str">
        <f t="shared" si="1"/>
        <v>12122741BLKWHI</v>
      </c>
      <c r="B30" s="26" t="s">
        <v>237</v>
      </c>
      <c r="C30" s="27">
        <v>20</v>
      </c>
      <c r="D30" s="22">
        <v>12122741</v>
      </c>
      <c r="E30" s="22" t="s">
        <v>9</v>
      </c>
      <c r="F30" s="3">
        <v>3678</v>
      </c>
      <c r="G30" s="3">
        <v>1210.25</v>
      </c>
      <c r="H30" s="3" t="s">
        <v>107</v>
      </c>
      <c r="L30" s="22">
        <v>20</v>
      </c>
    </row>
    <row r="31" spans="1:28" x14ac:dyDescent="0.25">
      <c r="A31" s="25" t="str">
        <f t="shared" si="1"/>
        <v>12122742BLKBLK</v>
      </c>
      <c r="B31" s="26" t="s">
        <v>237</v>
      </c>
      <c r="C31" s="27">
        <v>30</v>
      </c>
      <c r="D31" s="22">
        <v>12122742</v>
      </c>
      <c r="E31" s="22" t="s">
        <v>6</v>
      </c>
      <c r="F31" s="3">
        <v>3678</v>
      </c>
      <c r="G31" s="3">
        <v>1210.25</v>
      </c>
      <c r="H31" s="3" t="s">
        <v>107</v>
      </c>
      <c r="L31" s="22">
        <v>30</v>
      </c>
    </row>
    <row r="32" spans="1:28" x14ac:dyDescent="0.25">
      <c r="A32" s="25" t="str">
        <f t="shared" si="1"/>
        <v>12380590STN</v>
      </c>
      <c r="B32" s="26" t="s">
        <v>237</v>
      </c>
      <c r="C32" s="27">
        <v>15</v>
      </c>
      <c r="D32" s="22">
        <v>12380590</v>
      </c>
      <c r="E32" s="22" t="s">
        <v>13</v>
      </c>
      <c r="F32" s="3">
        <v>3678</v>
      </c>
      <c r="G32" s="3">
        <v>1210.25</v>
      </c>
      <c r="H32" s="3" t="s">
        <v>107</v>
      </c>
      <c r="L32" s="22">
        <v>15</v>
      </c>
    </row>
    <row r="33" spans="1:12" x14ac:dyDescent="0.25">
      <c r="A33" s="25" t="str">
        <f t="shared" si="1"/>
        <v>12380594BLK</v>
      </c>
      <c r="B33" s="26" t="s">
        <v>237</v>
      </c>
      <c r="C33" s="27">
        <v>2</v>
      </c>
      <c r="D33" s="22">
        <v>12380594</v>
      </c>
      <c r="E33" s="22" t="s">
        <v>12</v>
      </c>
      <c r="F33" s="3">
        <v>3678</v>
      </c>
      <c r="G33" s="3">
        <v>1210.25</v>
      </c>
      <c r="H33" s="3" t="s">
        <v>107</v>
      </c>
      <c r="L33" s="22">
        <v>2</v>
      </c>
    </row>
    <row r="34" spans="1:12" x14ac:dyDescent="0.25">
      <c r="A34" s="25" t="str">
        <f t="shared" si="1"/>
        <v>12380796OTC</v>
      </c>
      <c r="B34" s="26" t="s">
        <v>237</v>
      </c>
      <c r="C34" s="27">
        <v>11</v>
      </c>
      <c r="D34" s="22">
        <v>12380796</v>
      </c>
      <c r="E34" s="22" t="s">
        <v>11</v>
      </c>
      <c r="F34" s="3">
        <v>3678</v>
      </c>
      <c r="G34" s="3">
        <v>1862.06</v>
      </c>
      <c r="H34" s="3" t="s">
        <v>107</v>
      </c>
      <c r="L34" s="22">
        <v>11</v>
      </c>
    </row>
    <row r="35" spans="1:12" x14ac:dyDescent="0.25">
      <c r="A35" s="25" t="str">
        <f t="shared" si="1"/>
        <v>12523893STNWHI</v>
      </c>
      <c r="B35" s="26" t="s">
        <v>237</v>
      </c>
      <c r="C35" s="27">
        <v>12</v>
      </c>
      <c r="D35" s="22">
        <v>12523893</v>
      </c>
      <c r="E35" s="22" t="s">
        <v>25</v>
      </c>
      <c r="F35" s="3">
        <v>3678</v>
      </c>
      <c r="G35" s="3">
        <v>1489.65</v>
      </c>
      <c r="H35" s="3" t="s">
        <v>107</v>
      </c>
      <c r="L35" s="22">
        <v>12</v>
      </c>
    </row>
    <row r="36" spans="1:12" x14ac:dyDescent="0.25">
      <c r="A36" s="25" t="str">
        <f t="shared" si="1"/>
        <v>12523894NOVWHI</v>
      </c>
      <c r="B36" s="26" t="s">
        <v>237</v>
      </c>
      <c r="C36" s="27">
        <v>17</v>
      </c>
      <c r="D36" s="22">
        <v>12523894</v>
      </c>
      <c r="E36" s="22" t="s">
        <v>26</v>
      </c>
      <c r="F36" s="3">
        <v>3678</v>
      </c>
      <c r="G36" s="3">
        <v>1489.65</v>
      </c>
      <c r="H36" s="3" t="s">
        <v>107</v>
      </c>
      <c r="L36" s="22">
        <v>17</v>
      </c>
    </row>
    <row r="37" spans="1:12" x14ac:dyDescent="0.25">
      <c r="A37" s="25" t="str">
        <f t="shared" si="1"/>
        <v>12523903WHIWHI</v>
      </c>
      <c r="B37" s="26" t="s">
        <v>237</v>
      </c>
      <c r="C37" s="27">
        <v>18</v>
      </c>
      <c r="D37" s="22">
        <v>12523903</v>
      </c>
      <c r="E37" s="22" t="s">
        <v>27</v>
      </c>
      <c r="F37" s="3">
        <v>3678</v>
      </c>
      <c r="G37" s="3">
        <v>1862.06</v>
      </c>
      <c r="H37" s="3" t="s">
        <v>107</v>
      </c>
      <c r="L37" s="22">
        <v>18</v>
      </c>
    </row>
    <row r="38" spans="1:12" x14ac:dyDescent="0.25">
      <c r="A38" s="25" t="str">
        <f t="shared" si="1"/>
        <v>12523912BLKBLK</v>
      </c>
      <c r="B38" s="26" t="s">
        <v>237</v>
      </c>
      <c r="C38" s="27">
        <v>25</v>
      </c>
      <c r="D38" s="22">
        <v>12523912</v>
      </c>
      <c r="E38" s="22" t="s">
        <v>6</v>
      </c>
      <c r="F38" s="3">
        <v>3678</v>
      </c>
      <c r="G38" s="3">
        <v>1489.65</v>
      </c>
      <c r="H38" s="3" t="s">
        <v>107</v>
      </c>
      <c r="L38" s="22">
        <v>25</v>
      </c>
    </row>
    <row r="39" spans="1:12" x14ac:dyDescent="0.25">
      <c r="A39" s="25" t="str">
        <f t="shared" si="1"/>
        <v>12572845OTC</v>
      </c>
      <c r="B39" s="26">
        <v>57</v>
      </c>
      <c r="C39" s="27">
        <v>8</v>
      </c>
      <c r="D39" s="22">
        <v>12572845</v>
      </c>
      <c r="E39" s="22" t="s">
        <v>11</v>
      </c>
      <c r="F39" s="3">
        <v>3678</v>
      </c>
      <c r="G39" s="3">
        <v>1846.65</v>
      </c>
      <c r="H39" s="3" t="s">
        <v>107</v>
      </c>
      <c r="J39" s="22">
        <v>8</v>
      </c>
    </row>
    <row r="40" spans="1:12" x14ac:dyDescent="0.25">
      <c r="A40" s="25" t="str">
        <f t="shared" si="1"/>
        <v>80468932BLK</v>
      </c>
      <c r="B40" s="26" t="s">
        <v>237</v>
      </c>
      <c r="C40" s="27">
        <v>30</v>
      </c>
      <c r="D40" s="22">
        <v>80468932</v>
      </c>
      <c r="E40" s="22" t="s">
        <v>12</v>
      </c>
      <c r="F40" s="3">
        <v>3678</v>
      </c>
      <c r="G40" s="3">
        <v>1210.25</v>
      </c>
      <c r="H40" s="3" t="s">
        <v>107</v>
      </c>
      <c r="L40" s="22">
        <v>30</v>
      </c>
    </row>
    <row r="41" spans="1:12" x14ac:dyDescent="0.25">
      <c r="A41" s="25" t="str">
        <f t="shared" si="1"/>
        <v>80489231GRAPNK</v>
      </c>
      <c r="B41" s="26" t="s">
        <v>237</v>
      </c>
      <c r="C41" s="27">
        <v>6</v>
      </c>
      <c r="D41" s="22">
        <v>80489231</v>
      </c>
      <c r="E41" s="22" t="s">
        <v>28</v>
      </c>
      <c r="F41" s="3">
        <v>3678</v>
      </c>
      <c r="G41" s="3">
        <v>1349.95</v>
      </c>
      <c r="H41" s="3" t="s">
        <v>107</v>
      </c>
      <c r="L41" s="22">
        <v>6</v>
      </c>
    </row>
    <row r="42" spans="1:12" x14ac:dyDescent="0.25">
      <c r="A42" s="25" t="str">
        <f t="shared" si="1"/>
        <v>80524868WHI</v>
      </c>
      <c r="B42" s="26" t="s">
        <v>237</v>
      </c>
      <c r="C42" s="27">
        <v>10</v>
      </c>
      <c r="D42" s="22">
        <v>80524868</v>
      </c>
      <c r="E42" s="22" t="s">
        <v>7</v>
      </c>
      <c r="F42" s="3">
        <v>3678</v>
      </c>
      <c r="G42" s="3">
        <v>1210.25</v>
      </c>
      <c r="H42" s="3" t="s">
        <v>107</v>
      </c>
      <c r="L42" s="22">
        <v>10</v>
      </c>
    </row>
    <row r="43" spans="1:12" x14ac:dyDescent="0.25">
      <c r="A43" s="25" t="str">
        <f t="shared" si="1"/>
        <v>80636012CARWHI</v>
      </c>
      <c r="B43" s="26" t="s">
        <v>237</v>
      </c>
      <c r="C43" s="27">
        <v>5</v>
      </c>
      <c r="D43" s="22">
        <v>80636012</v>
      </c>
      <c r="E43" s="22" t="s">
        <v>29</v>
      </c>
      <c r="F43" s="3">
        <v>3678</v>
      </c>
      <c r="G43" s="3">
        <v>1210.25</v>
      </c>
      <c r="H43" s="3" t="s">
        <v>107</v>
      </c>
      <c r="L43" s="22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20</xdr:col>
                    <xdr:colOff>333375</xdr:colOff>
                    <xdr:row>1</xdr:row>
                    <xdr:rowOff>57150</xdr:rowOff>
                  </from>
                  <to>
                    <xdr:col>24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DB48-8FCF-40CB-8A9D-7117B5058BFD}">
  <sheetPr codeName="Лист5"/>
  <dimension ref="A1:R44"/>
  <sheetViews>
    <sheetView zoomScale="85" zoomScaleNormal="85" workbookViewId="0">
      <pane ySplit="1" topLeftCell="A2" activePane="bottomLeft" state="frozen"/>
      <selection sqref="A1:C1"/>
      <selection pane="bottomLeft" sqref="A1:C1"/>
    </sheetView>
  </sheetViews>
  <sheetFormatPr defaultRowHeight="15" x14ac:dyDescent="0.25"/>
  <cols>
    <col min="1" max="2" width="30.28515625" customWidth="1"/>
    <col min="3" max="3" width="17.85546875" bestFit="1" customWidth="1"/>
    <col min="4" max="4" width="9.5703125" bestFit="1" customWidth="1"/>
    <col min="5" max="5" width="8.85546875" bestFit="1" customWidth="1"/>
    <col min="6" max="6" width="13.85546875" bestFit="1" customWidth="1"/>
    <col min="7" max="7" width="27.140625" bestFit="1" customWidth="1"/>
    <col min="8" max="8" width="27" bestFit="1" customWidth="1"/>
    <col min="9" max="9" width="8.85546875" bestFit="1" customWidth="1"/>
    <col min="10" max="10" width="8" bestFit="1" customWidth="1"/>
    <col min="11" max="11" width="13.85546875" bestFit="1" customWidth="1"/>
    <col min="12" max="12" width="20.42578125" bestFit="1" customWidth="1"/>
    <col min="13" max="13" width="8" bestFit="1" customWidth="1"/>
    <col min="14" max="14" width="9.7109375" style="14" bestFit="1" customWidth="1"/>
    <col min="15" max="18" width="8.5703125" style="14" bestFit="1" customWidth="1"/>
  </cols>
  <sheetData>
    <row r="1" spans="1:18" s="1" customFormat="1" x14ac:dyDescent="0.25">
      <c r="A1" s="7"/>
      <c r="B1" s="7" t="s">
        <v>189</v>
      </c>
      <c r="C1" s="7" t="s">
        <v>0</v>
      </c>
      <c r="D1" s="7" t="s">
        <v>4</v>
      </c>
      <c r="E1" s="7" t="s">
        <v>3</v>
      </c>
      <c r="F1" s="7" t="s">
        <v>95</v>
      </c>
      <c r="G1" s="7" t="s">
        <v>97</v>
      </c>
      <c r="H1" s="7" t="s">
        <v>98</v>
      </c>
      <c r="I1" s="7" t="s">
        <v>100</v>
      </c>
      <c r="J1" s="7" t="s">
        <v>5</v>
      </c>
      <c r="K1" s="7" t="s">
        <v>30</v>
      </c>
      <c r="L1" s="7" t="s">
        <v>101</v>
      </c>
      <c r="M1" s="7" t="s">
        <v>32</v>
      </c>
      <c r="N1" s="8" t="s">
        <v>8</v>
      </c>
      <c r="O1" s="8">
        <v>56</v>
      </c>
      <c r="P1" s="8">
        <v>57</v>
      </c>
      <c r="Q1" s="8">
        <v>58</v>
      </c>
      <c r="R1" s="8" t="s">
        <v>190</v>
      </c>
    </row>
    <row r="2" spans="1:18" ht="180.75" customHeight="1" x14ac:dyDescent="0.25">
      <c r="A2" s="9"/>
      <c r="B2" s="9"/>
      <c r="C2" s="9" t="s">
        <v>191</v>
      </c>
      <c r="D2" s="9">
        <v>10047507</v>
      </c>
      <c r="E2" s="9" t="s">
        <v>14</v>
      </c>
      <c r="F2" s="9" t="s">
        <v>106</v>
      </c>
      <c r="G2" s="9" t="s">
        <v>107</v>
      </c>
      <c r="H2" s="9" t="s">
        <v>108</v>
      </c>
      <c r="I2" s="9" t="s">
        <v>109</v>
      </c>
      <c r="J2" s="9">
        <f>VLOOKUP(C2,Data!A:S,4,0)</f>
        <v>3678</v>
      </c>
      <c r="K2" s="9" t="s">
        <v>85</v>
      </c>
      <c r="L2" s="9" t="s">
        <v>86</v>
      </c>
      <c r="M2" s="9" t="s">
        <v>39</v>
      </c>
      <c r="N2" s="10">
        <v>24</v>
      </c>
      <c r="O2" s="10"/>
      <c r="P2" s="10"/>
      <c r="Q2" s="10"/>
      <c r="R2" s="10">
        <f>SUM(N2:Q2)*J2</f>
        <v>88272</v>
      </c>
    </row>
    <row r="3" spans="1:18" ht="180.75" customHeight="1" x14ac:dyDescent="0.25">
      <c r="A3" s="9"/>
      <c r="B3" s="9"/>
      <c r="C3" s="9" t="s">
        <v>192</v>
      </c>
      <c r="D3" s="9">
        <v>10047511</v>
      </c>
      <c r="E3" s="9" t="s">
        <v>11</v>
      </c>
      <c r="F3" s="9" t="s">
        <v>106</v>
      </c>
      <c r="G3" s="9" t="s">
        <v>107</v>
      </c>
      <c r="H3" s="9" t="s">
        <v>108</v>
      </c>
      <c r="I3" s="9" t="s">
        <v>109</v>
      </c>
      <c r="J3" s="9">
        <f>VLOOKUP(C3,Data!A:S,4,0)</f>
        <v>3677</v>
      </c>
      <c r="K3" s="9" t="s">
        <v>55</v>
      </c>
      <c r="L3" s="9" t="s">
        <v>53</v>
      </c>
      <c r="M3" s="9" t="s">
        <v>39</v>
      </c>
      <c r="N3" s="10">
        <v>18</v>
      </c>
      <c r="O3" s="10"/>
      <c r="P3" s="10"/>
      <c r="Q3" s="10"/>
      <c r="R3" s="10">
        <f t="shared" ref="R3:R43" si="0">SUM(N3:Q3)*J3</f>
        <v>66186</v>
      </c>
    </row>
    <row r="4" spans="1:18" ht="180.75" customHeight="1" x14ac:dyDescent="0.25">
      <c r="A4" s="9"/>
      <c r="B4" s="9"/>
      <c r="C4" s="9" t="s">
        <v>193</v>
      </c>
      <c r="D4" s="9">
        <v>10047515</v>
      </c>
      <c r="E4" s="9" t="s">
        <v>9</v>
      </c>
      <c r="F4" s="9" t="s">
        <v>106</v>
      </c>
      <c r="G4" s="9" t="s">
        <v>107</v>
      </c>
      <c r="H4" s="9" t="s">
        <v>108</v>
      </c>
      <c r="I4" s="9" t="s">
        <v>109</v>
      </c>
      <c r="J4" s="9">
        <f>VLOOKUP(C4,Data!A:S,4,0)</f>
        <v>3678</v>
      </c>
      <c r="K4" s="9" t="s">
        <v>87</v>
      </c>
      <c r="L4" s="9" t="s">
        <v>88</v>
      </c>
      <c r="M4" s="9" t="s">
        <v>39</v>
      </c>
      <c r="N4" s="10">
        <v>18</v>
      </c>
      <c r="O4" s="10"/>
      <c r="P4" s="10"/>
      <c r="Q4" s="10"/>
      <c r="R4" s="10">
        <f t="shared" si="0"/>
        <v>66204</v>
      </c>
    </row>
    <row r="5" spans="1:18" ht="180.75" customHeight="1" x14ac:dyDescent="0.25">
      <c r="A5" s="9"/>
      <c r="B5" s="9"/>
      <c r="C5" s="9" t="s">
        <v>194</v>
      </c>
      <c r="D5" s="9">
        <v>10047531</v>
      </c>
      <c r="E5" s="9" t="s">
        <v>15</v>
      </c>
      <c r="F5" s="9" t="s">
        <v>106</v>
      </c>
      <c r="G5" s="9" t="s">
        <v>107</v>
      </c>
      <c r="H5" s="9" t="s">
        <v>108</v>
      </c>
      <c r="I5" s="9" t="s">
        <v>109</v>
      </c>
      <c r="J5" s="9">
        <f>VLOOKUP(C5,Data!A:S,4,0)</f>
        <v>3678</v>
      </c>
      <c r="K5" s="9" t="s">
        <v>42</v>
      </c>
      <c r="L5" s="9" t="s">
        <v>40</v>
      </c>
      <c r="M5" s="9" t="s">
        <v>39</v>
      </c>
      <c r="N5" s="10">
        <v>26</v>
      </c>
      <c r="O5" s="10"/>
      <c r="P5" s="10"/>
      <c r="Q5" s="10"/>
      <c r="R5" s="10">
        <f t="shared" si="0"/>
        <v>95628</v>
      </c>
    </row>
    <row r="6" spans="1:18" ht="180.75" customHeight="1" x14ac:dyDescent="0.25">
      <c r="A6" s="9"/>
      <c r="B6" s="9"/>
      <c r="C6" s="9" t="s">
        <v>195</v>
      </c>
      <c r="D6" s="9">
        <v>10047538</v>
      </c>
      <c r="E6" s="9" t="s">
        <v>14</v>
      </c>
      <c r="F6" s="9" t="s">
        <v>106</v>
      </c>
      <c r="G6" s="9" t="s">
        <v>107</v>
      </c>
      <c r="H6" s="9" t="s">
        <v>108</v>
      </c>
      <c r="I6" s="9" t="s">
        <v>109</v>
      </c>
      <c r="J6" s="9">
        <f>VLOOKUP(C6,Data!A:S,4,0)</f>
        <v>3677</v>
      </c>
      <c r="K6" s="9" t="s">
        <v>37</v>
      </c>
      <c r="L6" s="9" t="s">
        <v>38</v>
      </c>
      <c r="M6" s="9" t="s">
        <v>39</v>
      </c>
      <c r="N6" s="10">
        <v>62</v>
      </c>
      <c r="O6" s="10"/>
      <c r="P6" s="10"/>
      <c r="Q6" s="10"/>
      <c r="R6" s="10">
        <f t="shared" si="0"/>
        <v>227974</v>
      </c>
    </row>
    <row r="7" spans="1:18" ht="180.75" customHeight="1" x14ac:dyDescent="0.25">
      <c r="A7" s="9"/>
      <c r="B7" s="9"/>
      <c r="C7" s="9" t="s">
        <v>196</v>
      </c>
      <c r="D7" s="9">
        <v>10047540</v>
      </c>
      <c r="E7" s="9" t="s">
        <v>16</v>
      </c>
      <c r="F7" s="9" t="s">
        <v>106</v>
      </c>
      <c r="G7" s="9" t="s">
        <v>107</v>
      </c>
      <c r="H7" s="9" t="s">
        <v>108</v>
      </c>
      <c r="I7" s="9" t="s">
        <v>109</v>
      </c>
      <c r="J7" s="9">
        <f>VLOOKUP(C7,Data!A:S,4,0)</f>
        <v>3677</v>
      </c>
      <c r="K7" s="9" t="s">
        <v>51</v>
      </c>
      <c r="L7" s="9" t="s">
        <v>52</v>
      </c>
      <c r="M7" s="9" t="s">
        <v>39</v>
      </c>
      <c r="N7" s="10">
        <v>30</v>
      </c>
      <c r="O7" s="10"/>
      <c r="P7" s="10"/>
      <c r="Q7" s="10"/>
      <c r="R7" s="10">
        <f t="shared" si="0"/>
        <v>110310</v>
      </c>
    </row>
    <row r="8" spans="1:18" ht="180.75" customHeight="1" x14ac:dyDescent="0.25">
      <c r="A8" s="9"/>
      <c r="B8" s="9"/>
      <c r="C8" s="9" t="s">
        <v>197</v>
      </c>
      <c r="D8" s="9">
        <v>10047544</v>
      </c>
      <c r="E8" s="9" t="s">
        <v>11</v>
      </c>
      <c r="F8" s="9" t="s">
        <v>106</v>
      </c>
      <c r="G8" s="9" t="s">
        <v>107</v>
      </c>
      <c r="H8" s="9" t="s">
        <v>108</v>
      </c>
      <c r="I8" s="9" t="s">
        <v>109</v>
      </c>
      <c r="J8" s="9">
        <f>VLOOKUP(C8,Data!A:S,4,0)</f>
        <v>3677</v>
      </c>
      <c r="K8" s="9" t="s">
        <v>89</v>
      </c>
      <c r="L8" s="9" t="s">
        <v>198</v>
      </c>
      <c r="M8" s="9" t="s">
        <v>39</v>
      </c>
      <c r="N8" s="10">
        <v>15</v>
      </c>
      <c r="O8" s="10"/>
      <c r="P8" s="10"/>
      <c r="Q8" s="10"/>
      <c r="R8" s="10">
        <f t="shared" si="0"/>
        <v>55155</v>
      </c>
    </row>
    <row r="9" spans="1:18" ht="180.75" customHeight="1" x14ac:dyDescent="0.25">
      <c r="A9" s="9"/>
      <c r="B9" s="9"/>
      <c r="C9" s="9" t="s">
        <v>199</v>
      </c>
      <c r="D9" s="9">
        <v>10145636</v>
      </c>
      <c r="E9" s="9" t="s">
        <v>17</v>
      </c>
      <c r="F9" s="9" t="s">
        <v>106</v>
      </c>
      <c r="G9" s="9" t="s">
        <v>107</v>
      </c>
      <c r="H9" s="9" t="s">
        <v>125</v>
      </c>
      <c r="I9" s="9" t="s">
        <v>109</v>
      </c>
      <c r="J9" s="9">
        <f>VLOOKUP(C9,Data!A:S,4,0)</f>
        <v>3678</v>
      </c>
      <c r="K9" s="9" t="s">
        <v>37</v>
      </c>
      <c r="L9" s="9" t="s">
        <v>38</v>
      </c>
      <c r="M9" s="9" t="s">
        <v>39</v>
      </c>
      <c r="N9" s="10"/>
      <c r="O9" s="10">
        <v>15</v>
      </c>
      <c r="P9" s="10"/>
      <c r="Q9" s="10">
        <v>20</v>
      </c>
      <c r="R9" s="10">
        <f t="shared" si="0"/>
        <v>128730</v>
      </c>
    </row>
    <row r="10" spans="1:18" ht="180.75" customHeight="1" x14ac:dyDescent="0.25">
      <c r="A10" s="9"/>
      <c r="B10" s="9"/>
      <c r="C10" s="9" t="s">
        <v>200</v>
      </c>
      <c r="D10" s="9">
        <v>10145637</v>
      </c>
      <c r="E10" s="9" t="s">
        <v>6</v>
      </c>
      <c r="F10" s="9" t="s">
        <v>106</v>
      </c>
      <c r="G10" s="9" t="s">
        <v>130</v>
      </c>
      <c r="H10" s="9" t="s">
        <v>125</v>
      </c>
      <c r="I10" s="9" t="s">
        <v>109</v>
      </c>
      <c r="J10" s="9">
        <f>VLOOKUP(C10,Data!A:S,4,0)</f>
        <v>3677</v>
      </c>
      <c r="K10" s="9" t="s">
        <v>37</v>
      </c>
      <c r="L10" s="9" t="s">
        <v>38</v>
      </c>
      <c r="M10" s="9" t="s">
        <v>39</v>
      </c>
      <c r="N10" s="10"/>
      <c r="O10" s="10">
        <v>15</v>
      </c>
      <c r="P10" s="10"/>
      <c r="Q10" s="10">
        <v>20</v>
      </c>
      <c r="R10" s="10">
        <f t="shared" si="0"/>
        <v>128695</v>
      </c>
    </row>
    <row r="11" spans="1:18" ht="171.75" customHeight="1" x14ac:dyDescent="0.25">
      <c r="A11" s="9"/>
      <c r="B11" s="9"/>
      <c r="C11" s="9" t="s">
        <v>201</v>
      </c>
      <c r="D11" s="9">
        <v>10145638</v>
      </c>
      <c r="E11" s="9" t="s">
        <v>18</v>
      </c>
      <c r="F11" s="9" t="s">
        <v>106</v>
      </c>
      <c r="G11" s="9" t="s">
        <v>107</v>
      </c>
      <c r="H11" s="9" t="s">
        <v>125</v>
      </c>
      <c r="I11" s="9" t="s">
        <v>109</v>
      </c>
      <c r="J11" s="9">
        <f>VLOOKUP(C11,Data!A:S,4,0)</f>
        <v>3678</v>
      </c>
      <c r="K11" s="9" t="s">
        <v>37</v>
      </c>
      <c r="L11" s="9" t="s">
        <v>38</v>
      </c>
      <c r="M11" s="9" t="s">
        <v>39</v>
      </c>
      <c r="N11" s="10"/>
      <c r="O11" s="10">
        <v>4</v>
      </c>
      <c r="P11" s="10"/>
      <c r="Q11" s="10">
        <v>6</v>
      </c>
      <c r="R11" s="10">
        <f t="shared" si="0"/>
        <v>36780</v>
      </c>
    </row>
    <row r="12" spans="1:18" ht="180.75" customHeight="1" x14ac:dyDescent="0.25">
      <c r="A12" s="9"/>
      <c r="B12" s="9"/>
      <c r="C12" s="9" t="s">
        <v>202</v>
      </c>
      <c r="D12" s="9">
        <v>10531939</v>
      </c>
      <c r="E12" s="9" t="s">
        <v>19</v>
      </c>
      <c r="F12" s="9" t="s">
        <v>106</v>
      </c>
      <c r="G12" s="9" t="s">
        <v>107</v>
      </c>
      <c r="H12" s="9" t="s">
        <v>135</v>
      </c>
      <c r="I12" s="9" t="s">
        <v>109</v>
      </c>
      <c r="J12" s="9">
        <f>VLOOKUP(C12,Data!A:S,4,0)</f>
        <v>3678</v>
      </c>
      <c r="K12" s="9" t="s">
        <v>37</v>
      </c>
      <c r="L12" s="9" t="s">
        <v>38</v>
      </c>
      <c r="M12" s="9" t="s">
        <v>39</v>
      </c>
      <c r="N12" s="10">
        <v>51</v>
      </c>
      <c r="O12" s="10"/>
      <c r="P12" s="10"/>
      <c r="Q12" s="10"/>
      <c r="R12" s="10">
        <f t="shared" si="0"/>
        <v>187578</v>
      </c>
    </row>
    <row r="13" spans="1:18" ht="180.75" customHeight="1" x14ac:dyDescent="0.25">
      <c r="A13" s="9"/>
      <c r="B13" s="9"/>
      <c r="C13" s="9" t="s">
        <v>203</v>
      </c>
      <c r="D13" s="9">
        <v>10531941</v>
      </c>
      <c r="E13" s="9" t="s">
        <v>9</v>
      </c>
      <c r="F13" s="9" t="s">
        <v>106</v>
      </c>
      <c r="G13" s="9" t="s">
        <v>107</v>
      </c>
      <c r="H13" s="9" t="s">
        <v>135</v>
      </c>
      <c r="I13" s="9" t="s">
        <v>109</v>
      </c>
      <c r="J13" s="9">
        <f>VLOOKUP(C13,Data!A:S,4,0)</f>
        <v>3678</v>
      </c>
      <c r="K13" s="9" t="s">
        <v>37</v>
      </c>
      <c r="L13" s="9" t="s">
        <v>38</v>
      </c>
      <c r="M13" s="9" t="s">
        <v>39</v>
      </c>
      <c r="N13" s="10">
        <v>90</v>
      </c>
      <c r="O13" s="10"/>
      <c r="P13" s="10"/>
      <c r="Q13" s="10"/>
      <c r="R13" s="10">
        <f t="shared" si="0"/>
        <v>331020</v>
      </c>
    </row>
    <row r="14" spans="1:18" ht="180.75" customHeight="1" x14ac:dyDescent="0.25">
      <c r="A14" s="9"/>
      <c r="B14" s="9"/>
      <c r="C14" s="9" t="s">
        <v>204</v>
      </c>
      <c r="D14" s="9">
        <v>10531953</v>
      </c>
      <c r="E14" s="9" t="s">
        <v>19</v>
      </c>
      <c r="F14" s="9" t="s">
        <v>106</v>
      </c>
      <c r="G14" s="9" t="s">
        <v>107</v>
      </c>
      <c r="H14" s="9" t="s">
        <v>135</v>
      </c>
      <c r="I14" s="9" t="s">
        <v>109</v>
      </c>
      <c r="J14" s="9">
        <f>VLOOKUP(C14,Data!A:S,4,0)</f>
        <v>3678</v>
      </c>
      <c r="K14" s="9" t="s">
        <v>37</v>
      </c>
      <c r="L14" s="9" t="s">
        <v>38</v>
      </c>
      <c r="M14" s="9" t="s">
        <v>39</v>
      </c>
      <c r="N14" s="10"/>
      <c r="O14" s="10">
        <v>10</v>
      </c>
      <c r="P14" s="10"/>
      <c r="Q14" s="10">
        <v>10</v>
      </c>
      <c r="R14" s="10">
        <f t="shared" si="0"/>
        <v>73560</v>
      </c>
    </row>
    <row r="15" spans="1:18" ht="180.75" customHeight="1" x14ac:dyDescent="0.25">
      <c r="A15" s="9"/>
      <c r="B15" s="9"/>
      <c r="C15" s="9" t="s">
        <v>205</v>
      </c>
      <c r="D15" s="9">
        <v>10531954</v>
      </c>
      <c r="E15" s="9" t="s">
        <v>20</v>
      </c>
      <c r="F15" s="9" t="s">
        <v>106</v>
      </c>
      <c r="G15" s="9" t="s">
        <v>107</v>
      </c>
      <c r="H15" s="9" t="s">
        <v>135</v>
      </c>
      <c r="I15" s="9" t="s">
        <v>109</v>
      </c>
      <c r="J15" s="9">
        <f>VLOOKUP(C15,Data!A:S,4,0)</f>
        <v>3677</v>
      </c>
      <c r="K15" s="9" t="s">
        <v>42</v>
      </c>
      <c r="L15" s="9" t="s">
        <v>40</v>
      </c>
      <c r="M15" s="9" t="s">
        <v>39</v>
      </c>
      <c r="N15" s="10"/>
      <c r="O15" s="10">
        <v>5</v>
      </c>
      <c r="P15" s="10"/>
      <c r="Q15" s="10">
        <v>6</v>
      </c>
      <c r="R15" s="10">
        <f t="shared" si="0"/>
        <v>40447</v>
      </c>
    </row>
    <row r="16" spans="1:18" ht="180.75" customHeight="1" x14ac:dyDescent="0.25">
      <c r="A16" s="9"/>
      <c r="B16" s="9"/>
      <c r="C16" s="9" t="s">
        <v>206</v>
      </c>
      <c r="D16" s="9">
        <v>10531956</v>
      </c>
      <c r="E16" s="9" t="s">
        <v>20</v>
      </c>
      <c r="F16" s="9" t="s">
        <v>106</v>
      </c>
      <c r="G16" s="9" t="s">
        <v>130</v>
      </c>
      <c r="H16" s="9" t="s">
        <v>135</v>
      </c>
      <c r="I16" s="9" t="s">
        <v>109</v>
      </c>
      <c r="J16" s="9">
        <f>VLOOKUP(C16,Data!A:S,4,0)</f>
        <v>3677</v>
      </c>
      <c r="K16" s="9" t="s">
        <v>55</v>
      </c>
      <c r="L16" s="9" t="s">
        <v>53</v>
      </c>
      <c r="M16" s="9" t="s">
        <v>39</v>
      </c>
      <c r="N16" s="10"/>
      <c r="O16" s="10">
        <v>7</v>
      </c>
      <c r="P16" s="10"/>
      <c r="Q16" s="10">
        <v>10</v>
      </c>
      <c r="R16" s="10">
        <f t="shared" si="0"/>
        <v>62509</v>
      </c>
    </row>
    <row r="17" spans="1:18" ht="180.75" customHeight="1" x14ac:dyDescent="0.25">
      <c r="A17" s="9"/>
      <c r="B17" s="9"/>
      <c r="C17" s="9" t="s">
        <v>207</v>
      </c>
      <c r="D17" s="9">
        <v>10879529</v>
      </c>
      <c r="E17" s="9" t="s">
        <v>12</v>
      </c>
      <c r="F17" s="9" t="s">
        <v>106</v>
      </c>
      <c r="G17" s="9" t="s">
        <v>107</v>
      </c>
      <c r="H17" s="9" t="s">
        <v>135</v>
      </c>
      <c r="I17" s="9" t="s">
        <v>109</v>
      </c>
      <c r="J17" s="9">
        <f>VLOOKUP(C17,Data!A:S,4,0)</f>
        <v>3678</v>
      </c>
      <c r="K17" s="9" t="s">
        <v>67</v>
      </c>
      <c r="L17" s="9" t="s">
        <v>56</v>
      </c>
      <c r="M17" s="9" t="s">
        <v>57</v>
      </c>
      <c r="N17" s="10"/>
      <c r="O17" s="10">
        <v>4</v>
      </c>
      <c r="P17" s="10"/>
      <c r="Q17" s="10">
        <v>6</v>
      </c>
      <c r="R17" s="10">
        <f t="shared" si="0"/>
        <v>36780</v>
      </c>
    </row>
    <row r="18" spans="1:18" ht="180.75" customHeight="1" x14ac:dyDescent="0.25">
      <c r="A18" s="9"/>
      <c r="B18" s="9"/>
      <c r="C18" s="9" t="s">
        <v>208</v>
      </c>
      <c r="D18" s="9">
        <v>11157578</v>
      </c>
      <c r="E18" s="9" t="s">
        <v>7</v>
      </c>
      <c r="F18" s="9" t="s">
        <v>106</v>
      </c>
      <c r="G18" s="9" t="s">
        <v>107</v>
      </c>
      <c r="H18" s="9" t="s">
        <v>135</v>
      </c>
      <c r="I18" s="9" t="s">
        <v>150</v>
      </c>
      <c r="J18" s="9">
        <f>VLOOKUP(C18,Data!A:S,4,0)</f>
        <v>3677</v>
      </c>
      <c r="K18" s="9" t="s">
        <v>37</v>
      </c>
      <c r="L18" s="9" t="s">
        <v>38</v>
      </c>
      <c r="M18" s="9" t="s">
        <v>39</v>
      </c>
      <c r="N18" s="10">
        <v>10</v>
      </c>
      <c r="O18" s="10"/>
      <c r="P18" s="10"/>
      <c r="Q18" s="10"/>
      <c r="R18" s="10">
        <f t="shared" si="0"/>
        <v>36770</v>
      </c>
    </row>
    <row r="19" spans="1:18" ht="180.75" customHeight="1" x14ac:dyDescent="0.25">
      <c r="A19" s="9"/>
      <c r="B19" s="9"/>
      <c r="C19" s="9" t="s">
        <v>209</v>
      </c>
      <c r="D19" s="9">
        <v>11157579</v>
      </c>
      <c r="E19" s="9" t="s">
        <v>21</v>
      </c>
      <c r="F19" s="9" t="s">
        <v>106</v>
      </c>
      <c r="G19" s="9" t="s">
        <v>107</v>
      </c>
      <c r="H19" s="9" t="s">
        <v>135</v>
      </c>
      <c r="I19" s="9" t="s">
        <v>109</v>
      </c>
      <c r="J19" s="9">
        <f>VLOOKUP(C19,Data!A:S,4,0)</f>
        <v>3678</v>
      </c>
      <c r="K19" s="9" t="s">
        <v>37</v>
      </c>
      <c r="L19" s="9" t="s">
        <v>38</v>
      </c>
      <c r="M19" s="9" t="s">
        <v>39</v>
      </c>
      <c r="N19" s="10">
        <v>50</v>
      </c>
      <c r="O19" s="10"/>
      <c r="P19" s="10"/>
      <c r="Q19" s="10"/>
      <c r="R19" s="10">
        <f t="shared" si="0"/>
        <v>183900</v>
      </c>
    </row>
    <row r="20" spans="1:18" ht="179.25" customHeight="1" x14ac:dyDescent="0.25">
      <c r="A20" s="9"/>
      <c r="B20" s="9"/>
      <c r="C20" s="9" t="s">
        <v>210</v>
      </c>
      <c r="D20" s="9">
        <v>11180834</v>
      </c>
      <c r="E20" s="9" t="s">
        <v>6</v>
      </c>
      <c r="F20" s="9" t="s">
        <v>106</v>
      </c>
      <c r="G20" s="9" t="s">
        <v>107</v>
      </c>
      <c r="H20" s="9" t="s">
        <v>135</v>
      </c>
      <c r="I20" s="9" t="s">
        <v>109</v>
      </c>
      <c r="J20" s="9">
        <f>VLOOKUP(C20,Data!A:S,4,0)</f>
        <v>3678</v>
      </c>
      <c r="K20" s="9" t="s">
        <v>37</v>
      </c>
      <c r="L20" s="9" t="s">
        <v>38</v>
      </c>
      <c r="M20" s="9" t="s">
        <v>39</v>
      </c>
      <c r="N20" s="10"/>
      <c r="O20" s="10">
        <v>14</v>
      </c>
      <c r="P20" s="10"/>
      <c r="Q20" s="10">
        <v>20</v>
      </c>
      <c r="R20" s="10">
        <f t="shared" si="0"/>
        <v>125052</v>
      </c>
    </row>
    <row r="21" spans="1:18" ht="180.75" customHeight="1" x14ac:dyDescent="0.25">
      <c r="A21" s="9"/>
      <c r="B21" s="9"/>
      <c r="C21" s="9" t="s">
        <v>211</v>
      </c>
      <c r="D21" s="9">
        <v>11405497</v>
      </c>
      <c r="E21" s="9" t="s">
        <v>21</v>
      </c>
      <c r="F21" s="9" t="s">
        <v>106</v>
      </c>
      <c r="G21" s="9" t="s">
        <v>107</v>
      </c>
      <c r="H21" s="9" t="s">
        <v>135</v>
      </c>
      <c r="I21" s="9" t="s">
        <v>109</v>
      </c>
      <c r="J21" s="9">
        <f>VLOOKUP(C21,Data!A:S,4,0)</f>
        <v>3678</v>
      </c>
      <c r="K21" s="9" t="s">
        <v>42</v>
      </c>
      <c r="L21" s="9" t="s">
        <v>40</v>
      </c>
      <c r="M21" s="9" t="s">
        <v>39</v>
      </c>
      <c r="N21" s="10">
        <v>15</v>
      </c>
      <c r="O21" s="10"/>
      <c r="P21" s="10"/>
      <c r="Q21" s="10"/>
      <c r="R21" s="10">
        <f t="shared" si="0"/>
        <v>55170</v>
      </c>
    </row>
    <row r="22" spans="1:18" ht="180.75" customHeight="1" x14ac:dyDescent="0.25">
      <c r="A22" s="9"/>
      <c r="B22" s="9"/>
      <c r="C22" s="9" t="s">
        <v>212</v>
      </c>
      <c r="D22" s="9">
        <v>11405614</v>
      </c>
      <c r="E22" s="9" t="s">
        <v>11</v>
      </c>
      <c r="F22" s="9" t="s">
        <v>106</v>
      </c>
      <c r="G22" s="9" t="s">
        <v>107</v>
      </c>
      <c r="H22" s="9" t="s">
        <v>108</v>
      </c>
      <c r="I22" s="9" t="s">
        <v>109</v>
      </c>
      <c r="J22" s="9">
        <f>VLOOKUP(C22,Data!A:S,4,0)</f>
        <v>3677</v>
      </c>
      <c r="K22" s="9" t="s">
        <v>44</v>
      </c>
      <c r="L22" s="9" t="s">
        <v>45</v>
      </c>
      <c r="M22" s="9" t="s">
        <v>46</v>
      </c>
      <c r="N22" s="10">
        <v>10</v>
      </c>
      <c r="O22" s="10"/>
      <c r="P22" s="10"/>
      <c r="Q22" s="10"/>
      <c r="R22" s="10">
        <f t="shared" si="0"/>
        <v>36770</v>
      </c>
    </row>
    <row r="23" spans="1:18" ht="180.75" customHeight="1" x14ac:dyDescent="0.25">
      <c r="A23" s="9"/>
      <c r="B23" s="9"/>
      <c r="C23" s="9" t="s">
        <v>213</v>
      </c>
      <c r="D23" s="9">
        <v>11576724</v>
      </c>
      <c r="E23" s="9" t="s">
        <v>14</v>
      </c>
      <c r="F23" s="9" t="s">
        <v>106</v>
      </c>
      <c r="G23" s="9" t="s">
        <v>107</v>
      </c>
      <c r="H23" s="9" t="s">
        <v>108</v>
      </c>
      <c r="I23" s="9" t="s">
        <v>109</v>
      </c>
      <c r="J23" s="9">
        <f>VLOOKUP(C23,Data!A:S,4,0)</f>
        <v>3677</v>
      </c>
      <c r="K23" s="9"/>
      <c r="L23" s="9"/>
      <c r="M23" s="9"/>
      <c r="N23" s="10">
        <v>12</v>
      </c>
      <c r="O23" s="10"/>
      <c r="P23" s="10"/>
      <c r="Q23" s="10"/>
      <c r="R23" s="10">
        <f t="shared" si="0"/>
        <v>44124</v>
      </c>
    </row>
    <row r="24" spans="1:18" ht="180.75" customHeight="1" x14ac:dyDescent="0.25">
      <c r="A24" s="9"/>
      <c r="B24" s="9"/>
      <c r="C24" s="9" t="s">
        <v>214</v>
      </c>
      <c r="D24" s="9">
        <v>11579473</v>
      </c>
      <c r="E24" s="9" t="s">
        <v>12</v>
      </c>
      <c r="F24" s="9" t="s">
        <v>106</v>
      </c>
      <c r="G24" s="9" t="s">
        <v>107</v>
      </c>
      <c r="H24" s="9" t="s">
        <v>135</v>
      </c>
      <c r="I24" s="9" t="s">
        <v>109</v>
      </c>
      <c r="J24" s="9">
        <f>VLOOKUP(C24,Data!A:S,4,0)</f>
        <v>3677</v>
      </c>
      <c r="K24" s="9" t="s">
        <v>37</v>
      </c>
      <c r="L24" s="9" t="s">
        <v>38</v>
      </c>
      <c r="M24" s="9" t="s">
        <v>39</v>
      </c>
      <c r="N24" s="10">
        <v>36</v>
      </c>
      <c r="O24" s="10"/>
      <c r="P24" s="10"/>
      <c r="Q24" s="10"/>
      <c r="R24" s="10">
        <f t="shared" si="0"/>
        <v>132372</v>
      </c>
    </row>
    <row r="25" spans="1:18" ht="180.75" customHeight="1" x14ac:dyDescent="0.25">
      <c r="A25" s="9"/>
      <c r="B25" s="9"/>
      <c r="C25" s="9" t="s">
        <v>215</v>
      </c>
      <c r="D25" s="9">
        <v>11588488</v>
      </c>
      <c r="E25" s="9" t="s">
        <v>22</v>
      </c>
      <c r="F25" s="9" t="s">
        <v>106</v>
      </c>
      <c r="G25" s="9" t="s">
        <v>107</v>
      </c>
      <c r="H25" s="9" t="s">
        <v>135</v>
      </c>
      <c r="I25" s="9" t="s">
        <v>109</v>
      </c>
      <c r="J25" s="9">
        <f>VLOOKUP(C25,Data!A:S,4,0)</f>
        <v>3677</v>
      </c>
      <c r="K25" s="9" t="s">
        <v>37</v>
      </c>
      <c r="L25" s="9" t="s">
        <v>38</v>
      </c>
      <c r="M25" s="9" t="s">
        <v>39</v>
      </c>
      <c r="N25" s="10">
        <v>6</v>
      </c>
      <c r="O25" s="10"/>
      <c r="P25" s="10"/>
      <c r="Q25" s="10"/>
      <c r="R25" s="10">
        <f t="shared" si="0"/>
        <v>22062</v>
      </c>
    </row>
    <row r="26" spans="1:18" ht="180.75" customHeight="1" x14ac:dyDescent="0.25">
      <c r="A26" s="9"/>
      <c r="B26" s="9"/>
      <c r="C26" s="9" t="s">
        <v>216</v>
      </c>
      <c r="D26" s="9">
        <v>11588490</v>
      </c>
      <c r="E26" s="9" t="s">
        <v>10</v>
      </c>
      <c r="F26" s="9" t="s">
        <v>106</v>
      </c>
      <c r="G26" s="9" t="s">
        <v>107</v>
      </c>
      <c r="H26" s="9" t="s">
        <v>135</v>
      </c>
      <c r="I26" s="9" t="s">
        <v>109</v>
      </c>
      <c r="J26" s="9">
        <f>VLOOKUP(C26,Data!A:S,4,0)</f>
        <v>3678</v>
      </c>
      <c r="K26" s="9" t="s">
        <v>37</v>
      </c>
      <c r="L26" s="9" t="s">
        <v>38</v>
      </c>
      <c r="M26" s="9" t="s">
        <v>39</v>
      </c>
      <c r="N26" s="10">
        <v>17</v>
      </c>
      <c r="O26" s="10"/>
      <c r="P26" s="10"/>
      <c r="Q26" s="10"/>
      <c r="R26" s="10">
        <f t="shared" si="0"/>
        <v>62526</v>
      </c>
    </row>
    <row r="27" spans="1:18" ht="175.5" customHeight="1" x14ac:dyDescent="0.25">
      <c r="A27" s="9"/>
      <c r="B27" s="9"/>
      <c r="C27" s="9" t="s">
        <v>217</v>
      </c>
      <c r="D27" s="9">
        <v>11871279</v>
      </c>
      <c r="E27" s="9" t="s">
        <v>23</v>
      </c>
      <c r="F27" s="9" t="s">
        <v>106</v>
      </c>
      <c r="G27" s="9" t="s">
        <v>107</v>
      </c>
      <c r="H27" s="9" t="s">
        <v>164</v>
      </c>
      <c r="I27" s="9" t="s">
        <v>109</v>
      </c>
      <c r="J27" s="9">
        <f>VLOOKUP(C27,Data!A:S,4,0)</f>
        <v>3678</v>
      </c>
      <c r="K27" s="9" t="s">
        <v>37</v>
      </c>
      <c r="L27" s="9" t="s">
        <v>38</v>
      </c>
      <c r="M27" s="9" t="s">
        <v>39</v>
      </c>
      <c r="N27" s="10"/>
      <c r="O27" s="10">
        <v>16</v>
      </c>
      <c r="P27" s="10"/>
      <c r="Q27" s="10">
        <v>15</v>
      </c>
      <c r="R27" s="10">
        <f t="shared" si="0"/>
        <v>114018</v>
      </c>
    </row>
    <row r="28" spans="1:18" ht="180.75" customHeight="1" x14ac:dyDescent="0.25">
      <c r="A28" s="9"/>
      <c r="B28" s="9"/>
      <c r="C28" s="9" t="s">
        <v>218</v>
      </c>
      <c r="D28" s="9">
        <v>12051998</v>
      </c>
      <c r="E28" s="9" t="s">
        <v>24</v>
      </c>
      <c r="F28" s="9" t="s">
        <v>106</v>
      </c>
      <c r="G28" s="9" t="s">
        <v>107</v>
      </c>
      <c r="H28" s="9" t="s">
        <v>135</v>
      </c>
      <c r="I28" s="9" t="s">
        <v>109</v>
      </c>
      <c r="J28" s="9">
        <f>VLOOKUP(C28,Data!A:S,4,0)</f>
        <v>3677</v>
      </c>
      <c r="K28" s="9" t="s">
        <v>37</v>
      </c>
      <c r="L28" s="9" t="s">
        <v>38</v>
      </c>
      <c r="M28" s="9" t="s">
        <v>39</v>
      </c>
      <c r="N28" s="10">
        <v>58</v>
      </c>
      <c r="O28" s="10"/>
      <c r="P28" s="10"/>
      <c r="Q28" s="10"/>
      <c r="R28" s="10">
        <f t="shared" si="0"/>
        <v>213266</v>
      </c>
    </row>
    <row r="29" spans="1:18" ht="180.75" customHeight="1" x14ac:dyDescent="0.25">
      <c r="A29" s="9"/>
      <c r="B29" s="9"/>
      <c r="C29" s="9" t="s">
        <v>219</v>
      </c>
      <c r="D29" s="9">
        <v>12052000</v>
      </c>
      <c r="E29" s="9" t="s">
        <v>12</v>
      </c>
      <c r="F29" s="9" t="s">
        <v>106</v>
      </c>
      <c r="G29" s="9" t="s">
        <v>107</v>
      </c>
      <c r="H29" s="9" t="s">
        <v>135</v>
      </c>
      <c r="I29" s="9" t="s">
        <v>109</v>
      </c>
      <c r="J29" s="9">
        <f>VLOOKUP(C29,Data!A:S,4,0)</f>
        <v>3677</v>
      </c>
      <c r="K29" s="9" t="s">
        <v>42</v>
      </c>
      <c r="L29" s="9" t="s">
        <v>40</v>
      </c>
      <c r="M29" s="9" t="s">
        <v>39</v>
      </c>
      <c r="N29" s="10">
        <v>50</v>
      </c>
      <c r="O29" s="10"/>
      <c r="P29" s="10"/>
      <c r="Q29" s="10"/>
      <c r="R29" s="10">
        <f t="shared" si="0"/>
        <v>183850</v>
      </c>
    </row>
    <row r="30" spans="1:18" ht="180.75" customHeight="1" x14ac:dyDescent="0.25">
      <c r="A30" s="9"/>
      <c r="B30" s="9"/>
      <c r="C30" s="9" t="s">
        <v>220</v>
      </c>
      <c r="D30" s="9">
        <v>12122741</v>
      </c>
      <c r="E30" s="9" t="s">
        <v>9</v>
      </c>
      <c r="F30" s="9" t="s">
        <v>106</v>
      </c>
      <c r="G30" s="9" t="s">
        <v>107</v>
      </c>
      <c r="H30" s="9" t="s">
        <v>135</v>
      </c>
      <c r="I30" s="9" t="s">
        <v>150</v>
      </c>
      <c r="J30" s="9">
        <f>VLOOKUP(C30,Data!A:S,4,0)</f>
        <v>3677</v>
      </c>
      <c r="K30" s="9" t="s">
        <v>37</v>
      </c>
      <c r="L30" s="9" t="s">
        <v>38</v>
      </c>
      <c r="M30" s="9" t="s">
        <v>39</v>
      </c>
      <c r="N30" s="10">
        <v>30</v>
      </c>
      <c r="O30" s="10"/>
      <c r="P30" s="10"/>
      <c r="Q30" s="10"/>
      <c r="R30" s="10">
        <f t="shared" si="0"/>
        <v>110310</v>
      </c>
    </row>
    <row r="31" spans="1:18" ht="180.75" customHeight="1" x14ac:dyDescent="0.25">
      <c r="A31" s="9"/>
      <c r="B31" s="9"/>
      <c r="C31" s="9" t="s">
        <v>221</v>
      </c>
      <c r="D31" s="9">
        <v>12122742</v>
      </c>
      <c r="E31" s="9" t="s">
        <v>6</v>
      </c>
      <c r="F31" s="9" t="s">
        <v>106</v>
      </c>
      <c r="G31" s="9" t="s">
        <v>107</v>
      </c>
      <c r="H31" s="9" t="s">
        <v>135</v>
      </c>
      <c r="I31" s="9" t="s">
        <v>150</v>
      </c>
      <c r="J31" s="9">
        <f>VLOOKUP(C31,Data!A:S,4,0)</f>
        <v>3677</v>
      </c>
      <c r="K31" s="9" t="s">
        <v>37</v>
      </c>
      <c r="L31" s="9" t="s">
        <v>38</v>
      </c>
      <c r="M31" s="9" t="s">
        <v>39</v>
      </c>
      <c r="N31" s="10">
        <v>40</v>
      </c>
      <c r="O31" s="10"/>
      <c r="P31" s="10"/>
      <c r="Q31" s="10"/>
      <c r="R31" s="10">
        <f t="shared" si="0"/>
        <v>147080</v>
      </c>
    </row>
    <row r="32" spans="1:18" s="13" customFormat="1" x14ac:dyDescent="0.25">
      <c r="A32" s="11"/>
      <c r="B32" s="11"/>
      <c r="C32" s="11" t="s">
        <v>222</v>
      </c>
      <c r="D32" s="11">
        <v>12285467</v>
      </c>
      <c r="E32" s="11" t="s">
        <v>7</v>
      </c>
      <c r="F32" s="11" t="s">
        <v>106</v>
      </c>
      <c r="G32" s="11" t="s">
        <v>107</v>
      </c>
      <c r="H32" s="11" t="s">
        <v>173</v>
      </c>
      <c r="I32" s="11" t="s">
        <v>109</v>
      </c>
      <c r="J32" s="9">
        <f>VLOOKUP(C32,Data!A:S,4,0)</f>
        <v>3677</v>
      </c>
      <c r="K32" s="11" t="s">
        <v>37</v>
      </c>
      <c r="L32" s="11" t="s">
        <v>38</v>
      </c>
      <c r="M32" s="11" t="s">
        <v>39</v>
      </c>
      <c r="N32" s="12">
        <v>10</v>
      </c>
      <c r="O32" s="12"/>
      <c r="P32" s="12"/>
      <c r="Q32" s="12"/>
      <c r="R32" s="12">
        <f t="shared" si="0"/>
        <v>36770</v>
      </c>
    </row>
    <row r="33" spans="1:18" ht="180.75" customHeight="1" x14ac:dyDescent="0.25">
      <c r="A33" s="9"/>
      <c r="B33" s="9"/>
      <c r="C33" s="9" t="s">
        <v>223</v>
      </c>
      <c r="D33" s="9">
        <v>12380590</v>
      </c>
      <c r="E33" s="9" t="s">
        <v>13</v>
      </c>
      <c r="F33" s="9" t="s">
        <v>106</v>
      </c>
      <c r="G33" s="9" t="s">
        <v>107</v>
      </c>
      <c r="H33" s="9" t="s">
        <v>135</v>
      </c>
      <c r="I33" s="9" t="s">
        <v>109</v>
      </c>
      <c r="J33" s="9">
        <f>VLOOKUP(C33,Data!A:S,4,0)</f>
        <v>3678</v>
      </c>
      <c r="K33" s="9" t="s">
        <v>37</v>
      </c>
      <c r="L33" s="9" t="s">
        <v>38</v>
      </c>
      <c r="M33" s="9" t="s">
        <v>39</v>
      </c>
      <c r="N33" s="10">
        <v>25</v>
      </c>
      <c r="O33" s="10"/>
      <c r="P33" s="10"/>
      <c r="Q33" s="10"/>
      <c r="R33" s="10">
        <f t="shared" si="0"/>
        <v>91950</v>
      </c>
    </row>
    <row r="34" spans="1:18" ht="180.75" customHeight="1" x14ac:dyDescent="0.25">
      <c r="A34" s="9"/>
      <c r="B34" s="9"/>
      <c r="C34" s="9" t="s">
        <v>224</v>
      </c>
      <c r="D34" s="9">
        <v>12380594</v>
      </c>
      <c r="E34" s="9" t="s">
        <v>12</v>
      </c>
      <c r="F34" s="9" t="s">
        <v>106</v>
      </c>
      <c r="G34" s="9" t="s">
        <v>107</v>
      </c>
      <c r="H34" s="9" t="s">
        <v>135</v>
      </c>
      <c r="I34" s="9" t="s">
        <v>109</v>
      </c>
      <c r="J34" s="9">
        <f>VLOOKUP(C34,Data!A:S,4,0)</f>
        <v>3678</v>
      </c>
      <c r="K34" s="9" t="s">
        <v>37</v>
      </c>
      <c r="L34" s="9" t="s">
        <v>38</v>
      </c>
      <c r="M34" s="9" t="s">
        <v>39</v>
      </c>
      <c r="N34" s="10">
        <v>2</v>
      </c>
      <c r="O34" s="10"/>
      <c r="P34" s="10"/>
      <c r="Q34" s="10"/>
      <c r="R34" s="10">
        <f t="shared" si="0"/>
        <v>7356</v>
      </c>
    </row>
    <row r="35" spans="1:18" ht="180.75" customHeight="1" x14ac:dyDescent="0.25">
      <c r="A35" s="9"/>
      <c r="B35" s="9"/>
      <c r="C35" s="9" t="s">
        <v>225</v>
      </c>
      <c r="D35" s="9">
        <v>12380796</v>
      </c>
      <c r="E35" s="9" t="s">
        <v>11</v>
      </c>
      <c r="F35" s="9" t="s">
        <v>106</v>
      </c>
      <c r="G35" s="9" t="s">
        <v>107</v>
      </c>
      <c r="H35" s="9" t="s">
        <v>173</v>
      </c>
      <c r="I35" s="9" t="s">
        <v>109</v>
      </c>
      <c r="J35" s="9">
        <f>VLOOKUP(C35,Data!A:S,4,0)</f>
        <v>3677</v>
      </c>
      <c r="K35" s="9" t="s">
        <v>37</v>
      </c>
      <c r="L35" s="9" t="s">
        <v>38</v>
      </c>
      <c r="M35" s="9" t="s">
        <v>39</v>
      </c>
      <c r="N35" s="10">
        <v>18</v>
      </c>
      <c r="O35" s="10"/>
      <c r="P35" s="10"/>
      <c r="Q35" s="10"/>
      <c r="R35" s="10">
        <f t="shared" si="0"/>
        <v>66186</v>
      </c>
    </row>
    <row r="36" spans="1:18" ht="180.75" customHeight="1" x14ac:dyDescent="0.25">
      <c r="A36" s="9"/>
      <c r="B36" s="9"/>
      <c r="C36" s="9" t="s">
        <v>226</v>
      </c>
      <c r="D36" s="9">
        <v>12523893</v>
      </c>
      <c r="E36" s="9" t="s">
        <v>25</v>
      </c>
      <c r="F36" s="9" t="s">
        <v>106</v>
      </c>
      <c r="G36" s="9" t="s">
        <v>107</v>
      </c>
      <c r="H36" s="9" t="s">
        <v>173</v>
      </c>
      <c r="I36" s="9" t="s">
        <v>109</v>
      </c>
      <c r="J36" s="9">
        <f>VLOOKUP(C36,Data!A:S,4,0)</f>
        <v>3678</v>
      </c>
      <c r="K36" s="9" t="s">
        <v>37</v>
      </c>
      <c r="L36" s="9" t="s">
        <v>38</v>
      </c>
      <c r="M36" s="9" t="s">
        <v>39</v>
      </c>
      <c r="N36" s="10">
        <v>19</v>
      </c>
      <c r="O36" s="10"/>
      <c r="P36" s="10"/>
      <c r="Q36" s="10"/>
      <c r="R36" s="10">
        <f t="shared" si="0"/>
        <v>69882</v>
      </c>
    </row>
    <row r="37" spans="1:18" ht="180.75" customHeight="1" x14ac:dyDescent="0.25">
      <c r="A37" s="9"/>
      <c r="B37" s="9"/>
      <c r="C37" s="9" t="s">
        <v>227</v>
      </c>
      <c r="D37" s="9">
        <v>12523894</v>
      </c>
      <c r="E37" s="9" t="s">
        <v>26</v>
      </c>
      <c r="F37" s="9" t="s">
        <v>106</v>
      </c>
      <c r="G37" s="9" t="s">
        <v>107</v>
      </c>
      <c r="H37" s="9" t="s">
        <v>173</v>
      </c>
      <c r="I37" s="9" t="s">
        <v>109</v>
      </c>
      <c r="J37" s="9">
        <f>VLOOKUP(C37,Data!A:S,4,0)</f>
        <v>3677</v>
      </c>
      <c r="K37" s="9" t="s">
        <v>37</v>
      </c>
      <c r="L37" s="9" t="s">
        <v>38</v>
      </c>
      <c r="M37" s="9" t="s">
        <v>39</v>
      </c>
      <c r="N37" s="10">
        <v>24</v>
      </c>
      <c r="O37" s="10"/>
      <c r="P37" s="10"/>
      <c r="Q37" s="10"/>
      <c r="R37" s="10">
        <f t="shared" si="0"/>
        <v>88248</v>
      </c>
    </row>
    <row r="38" spans="1:18" ht="180.75" customHeight="1" x14ac:dyDescent="0.25">
      <c r="A38" s="9"/>
      <c r="B38" s="9"/>
      <c r="C38" s="9" t="s">
        <v>228</v>
      </c>
      <c r="D38" s="9">
        <v>12523903</v>
      </c>
      <c r="E38" s="9" t="s">
        <v>27</v>
      </c>
      <c r="F38" s="9" t="s">
        <v>106</v>
      </c>
      <c r="G38" s="9" t="s">
        <v>107</v>
      </c>
      <c r="H38" s="9" t="s">
        <v>108</v>
      </c>
      <c r="I38" s="9" t="s">
        <v>109</v>
      </c>
      <c r="J38" s="9">
        <f>VLOOKUP(C38,Data!A:S,4,0)</f>
        <v>3678</v>
      </c>
      <c r="K38" s="9" t="s">
        <v>37</v>
      </c>
      <c r="L38" s="9" t="s">
        <v>38</v>
      </c>
      <c r="M38" s="9" t="s">
        <v>39</v>
      </c>
      <c r="N38" s="10">
        <v>24</v>
      </c>
      <c r="O38" s="10"/>
      <c r="P38" s="10"/>
      <c r="Q38" s="10"/>
      <c r="R38" s="10">
        <f t="shared" si="0"/>
        <v>88272</v>
      </c>
    </row>
    <row r="39" spans="1:18" ht="180.75" customHeight="1" x14ac:dyDescent="0.25">
      <c r="A39" s="9"/>
      <c r="B39" s="9"/>
      <c r="C39" s="9" t="s">
        <v>229</v>
      </c>
      <c r="D39" s="9">
        <v>12523912</v>
      </c>
      <c r="E39" s="9" t="s">
        <v>6</v>
      </c>
      <c r="F39" s="9" t="s">
        <v>106</v>
      </c>
      <c r="G39" s="9" t="s">
        <v>107</v>
      </c>
      <c r="H39" s="9" t="s">
        <v>173</v>
      </c>
      <c r="I39" s="9" t="s">
        <v>109</v>
      </c>
      <c r="J39" s="9">
        <f>VLOOKUP(C39,Data!A:S,4,0)</f>
        <v>3677</v>
      </c>
      <c r="K39" s="9" t="s">
        <v>42</v>
      </c>
      <c r="L39" s="9" t="s">
        <v>40</v>
      </c>
      <c r="M39" s="9" t="s">
        <v>39</v>
      </c>
      <c r="N39" s="10">
        <v>35</v>
      </c>
      <c r="O39" s="10"/>
      <c r="P39" s="10"/>
      <c r="Q39" s="10"/>
      <c r="R39" s="10">
        <f t="shared" si="0"/>
        <v>128695</v>
      </c>
    </row>
    <row r="40" spans="1:18" ht="180.75" customHeight="1" x14ac:dyDescent="0.25">
      <c r="A40" s="9"/>
      <c r="B40" s="9"/>
      <c r="C40" s="9" t="s">
        <v>230</v>
      </c>
      <c r="D40" s="9">
        <v>12572845</v>
      </c>
      <c r="E40" s="9" t="s">
        <v>11</v>
      </c>
      <c r="F40" s="9" t="s">
        <v>106</v>
      </c>
      <c r="G40" s="9" t="s">
        <v>107</v>
      </c>
      <c r="H40" s="9" t="s">
        <v>108</v>
      </c>
      <c r="I40" s="9" t="s">
        <v>109</v>
      </c>
      <c r="J40" s="9">
        <f>VLOOKUP(C40,Data!A:S,4,0)</f>
        <v>3678</v>
      </c>
      <c r="K40" s="9" t="s">
        <v>87</v>
      </c>
      <c r="L40" s="9" t="s">
        <v>88</v>
      </c>
      <c r="M40" s="9" t="s">
        <v>39</v>
      </c>
      <c r="N40" s="10"/>
      <c r="O40" s="10"/>
      <c r="P40" s="10">
        <v>8</v>
      </c>
      <c r="Q40" s="10"/>
      <c r="R40" s="10">
        <f t="shared" si="0"/>
        <v>29424</v>
      </c>
    </row>
    <row r="41" spans="1:18" ht="179.25" customHeight="1" x14ac:dyDescent="0.25">
      <c r="A41" s="9"/>
      <c r="B41" s="9"/>
      <c r="C41" s="9" t="s">
        <v>231</v>
      </c>
      <c r="D41" s="9">
        <v>80468932</v>
      </c>
      <c r="E41" s="9" t="s">
        <v>12</v>
      </c>
      <c r="F41" s="9" t="s">
        <v>106</v>
      </c>
      <c r="G41" s="9" t="s">
        <v>107</v>
      </c>
      <c r="H41" s="9" t="s">
        <v>135</v>
      </c>
      <c r="I41" s="9" t="s">
        <v>109</v>
      </c>
      <c r="J41" s="9">
        <f>VLOOKUP(C41,Data!A:S,4,0)</f>
        <v>3678</v>
      </c>
      <c r="K41" s="9" t="s">
        <v>37</v>
      </c>
      <c r="L41" s="9" t="s">
        <v>38</v>
      </c>
      <c r="M41" s="9" t="s">
        <v>39</v>
      </c>
      <c r="N41" s="10">
        <v>50</v>
      </c>
      <c r="O41" s="10"/>
      <c r="P41" s="10"/>
      <c r="Q41" s="10"/>
      <c r="R41" s="10">
        <f t="shared" si="0"/>
        <v>183900</v>
      </c>
    </row>
    <row r="42" spans="1:18" ht="180.75" customHeight="1" x14ac:dyDescent="0.25">
      <c r="A42" s="9"/>
      <c r="B42" s="9"/>
      <c r="C42" s="9" t="s">
        <v>232</v>
      </c>
      <c r="D42" s="9">
        <v>80489231</v>
      </c>
      <c r="E42" s="9" t="s">
        <v>28</v>
      </c>
      <c r="F42" s="9" t="s">
        <v>106</v>
      </c>
      <c r="G42" s="9" t="s">
        <v>107</v>
      </c>
      <c r="H42" s="9" t="s">
        <v>185</v>
      </c>
      <c r="I42" s="9" t="s">
        <v>150</v>
      </c>
      <c r="J42" s="9">
        <f>VLOOKUP(C42,Data!A:S,4,0)</f>
        <v>3677</v>
      </c>
      <c r="K42" s="9" t="s">
        <v>37</v>
      </c>
      <c r="L42" s="9" t="s">
        <v>38</v>
      </c>
      <c r="M42" s="9" t="s">
        <v>39</v>
      </c>
      <c r="N42" s="10">
        <v>11</v>
      </c>
      <c r="O42" s="10"/>
      <c r="P42" s="10"/>
      <c r="Q42" s="10"/>
      <c r="R42" s="10">
        <f t="shared" si="0"/>
        <v>40447</v>
      </c>
    </row>
    <row r="43" spans="1:18" ht="180.75" customHeight="1" x14ac:dyDescent="0.25">
      <c r="A43" s="9"/>
      <c r="B43" s="9"/>
      <c r="C43" s="9" t="s">
        <v>233</v>
      </c>
      <c r="D43" s="9">
        <v>80524868</v>
      </c>
      <c r="E43" s="9" t="s">
        <v>7</v>
      </c>
      <c r="F43" s="9" t="s">
        <v>106</v>
      </c>
      <c r="G43" s="9" t="s">
        <v>107</v>
      </c>
      <c r="H43" s="9" t="s">
        <v>135</v>
      </c>
      <c r="I43" s="9" t="s">
        <v>150</v>
      </c>
      <c r="J43" s="9">
        <f>VLOOKUP(C43,Data!A:S,4,0)</f>
        <v>3677</v>
      </c>
      <c r="K43" s="9" t="s">
        <v>37</v>
      </c>
      <c r="L43" s="9" t="s">
        <v>38</v>
      </c>
      <c r="M43" s="9" t="s">
        <v>39</v>
      </c>
      <c r="N43" s="10">
        <v>16</v>
      </c>
      <c r="O43" s="10"/>
      <c r="P43" s="10"/>
      <c r="Q43" s="10"/>
      <c r="R43" s="10">
        <f t="shared" si="0"/>
        <v>58832</v>
      </c>
    </row>
    <row r="44" spans="1:18" ht="180.75" customHeight="1" x14ac:dyDescent="0.25">
      <c r="A44" s="9"/>
      <c r="B44" s="9"/>
      <c r="C44" s="9" t="s">
        <v>234</v>
      </c>
      <c r="D44" s="9">
        <v>80636012</v>
      </c>
      <c r="E44" s="9" t="s">
        <v>29</v>
      </c>
      <c r="F44" s="9" t="s">
        <v>106</v>
      </c>
      <c r="G44" s="9" t="s">
        <v>107</v>
      </c>
      <c r="H44" s="9" t="s">
        <v>135</v>
      </c>
      <c r="I44" s="9" t="s">
        <v>109</v>
      </c>
      <c r="J44" s="9">
        <f>VLOOKUP(C44,Data!A:S,4,0)</f>
        <v>3677</v>
      </c>
      <c r="K44" s="9" t="s">
        <v>37</v>
      </c>
      <c r="L44" s="9" t="s">
        <v>38</v>
      </c>
      <c r="M44" s="9" t="s">
        <v>39</v>
      </c>
      <c r="N44" s="10">
        <v>15</v>
      </c>
      <c r="O44" s="10"/>
      <c r="P44" s="10"/>
      <c r="Q44" s="10"/>
      <c r="R44" s="10">
        <f>SUM(N44:Q44)*J44</f>
        <v>55155</v>
      </c>
    </row>
  </sheetData>
  <autoFilter ref="B1:Q44" xr:uid="{A67EDA83-0A66-4259-A28B-23FB20048171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Справочник</vt:lpstr>
      <vt:lpstr>Data</vt:lpstr>
      <vt:lpstr>КомандыИзНазвания</vt:lpstr>
      <vt:lpstr>3677</vt:lpstr>
      <vt:lpstr>3678</vt:lpstr>
      <vt:lpstr>Transposed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2022-07-06T10:58:06Z</dcterms:modified>
</cp:coreProperties>
</file>