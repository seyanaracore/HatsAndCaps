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9.06\"/>
    </mc:Choice>
  </mc:AlternateContent>
  <xr:revisionPtr revIDLastSave="0" documentId="13_ncr:1_{947262A3-30D7-40E4-A96F-7C1015DC5A08}" xr6:coauthVersionLast="47" xr6:coauthVersionMax="47" xr10:uidLastSave="{00000000-0000-0000-0000-000000000000}"/>
  <bookViews>
    <workbookView xWindow="-120" yWindow="-120" windowWidth="29040" windowHeight="15840" activeTab="1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11" r:id="rId4"/>
    <sheet name="Лист7" sheetId="13" r:id="rId5"/>
    <sheet name="Транспонирование (2)" sheetId="12" r:id="rId6"/>
  </sheets>
  <functionGroups builtInGroupCount="19"/>
  <definedNames>
    <definedName name="_xlpm.sizeCol" hidden="1" xlm="1">#NAME?</definedName>
    <definedName name="_xlnm._FilterDatabase" localSheetId="1" hidden="1">Data!$A$1:$M$61</definedName>
    <definedName name="_xlnm._FilterDatabase" localSheetId="4" hidden="1">Лист7!$A$1:$B$46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1" i="12" l="1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H1" i="12" a="1"/>
  <c r="AH1" i="12" s="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H1" i="11" a="1"/>
  <c r="AH1" i="11" s="1"/>
  <c r="Q3" i="3"/>
  <c r="Q4" i="3"/>
  <c r="Q5" i="3"/>
  <c r="Q6" i="3"/>
  <c r="Q7" i="3"/>
  <c r="Q8" i="3"/>
  <c r="Q9" i="3"/>
  <c r="Q10" i="3"/>
  <c r="Q13" i="3"/>
  <c r="Q14" i="3"/>
  <c r="Q15" i="3"/>
  <c r="Q16" i="3"/>
  <c r="Q17" i="3"/>
  <c r="Q18" i="3"/>
  <c r="Q19" i="3"/>
  <c r="Q20" i="3"/>
  <c r="Q23" i="3"/>
  <c r="Q24" i="3"/>
  <c r="Q25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P3" i="3"/>
  <c r="P4" i="3"/>
  <c r="P5" i="3"/>
  <c r="P6" i="3"/>
  <c r="P7" i="3"/>
  <c r="P8" i="3"/>
  <c r="P9" i="3"/>
  <c r="P10" i="3"/>
  <c r="P13" i="3"/>
  <c r="P14" i="3"/>
  <c r="P15" i="3"/>
  <c r="P16" i="3"/>
  <c r="P17" i="3"/>
  <c r="P18" i="3"/>
  <c r="P19" i="3"/>
  <c r="P20" i="3"/>
  <c r="P23" i="3"/>
  <c r="P24" i="3"/>
  <c r="P25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2" i="3"/>
  <c r="Q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2" i="3"/>
  <c r="R61" i="3" l="1"/>
  <c r="A61" i="3"/>
  <c r="R60" i="3"/>
  <c r="A60" i="3"/>
  <c r="R59" i="3"/>
  <c r="A59" i="3"/>
  <c r="R58" i="3"/>
  <c r="A58" i="3"/>
  <c r="R57" i="3"/>
  <c r="A57" i="3"/>
  <c r="R56" i="3"/>
  <c r="A56" i="3"/>
  <c r="R55" i="3"/>
  <c r="A55" i="3"/>
  <c r="R54" i="3"/>
  <c r="A54" i="3"/>
  <c r="R53" i="3"/>
  <c r="A53" i="3"/>
  <c r="R52" i="3"/>
  <c r="A52" i="3"/>
  <c r="R51" i="3"/>
  <c r="A51" i="3"/>
  <c r="R50" i="3"/>
  <c r="A50" i="3"/>
  <c r="R49" i="3"/>
  <c r="A49" i="3"/>
  <c r="R48" i="3"/>
  <c r="A48" i="3"/>
  <c r="R47" i="3"/>
  <c r="A47" i="3"/>
  <c r="R46" i="3"/>
  <c r="A46" i="3"/>
  <c r="R45" i="3"/>
  <c r="A45" i="3"/>
  <c r="R44" i="3"/>
  <c r="A44" i="3"/>
  <c r="R43" i="3"/>
  <c r="A43" i="3"/>
  <c r="R42" i="3"/>
  <c r="A42" i="3"/>
  <c r="R41" i="3"/>
  <c r="A41" i="3"/>
  <c r="R40" i="3"/>
  <c r="A40" i="3"/>
  <c r="R39" i="3"/>
  <c r="A39" i="3"/>
  <c r="R38" i="3"/>
  <c r="A38" i="3"/>
  <c r="R37" i="3"/>
  <c r="A37" i="3"/>
  <c r="R36" i="3"/>
  <c r="A36" i="3"/>
  <c r="R35" i="3"/>
  <c r="A35" i="3"/>
  <c r="R34" i="3"/>
  <c r="A34" i="3"/>
  <c r="R33" i="3"/>
  <c r="A33" i="3"/>
  <c r="R32" i="3"/>
  <c r="A32" i="3"/>
  <c r="R31" i="3"/>
  <c r="A31" i="3"/>
  <c r="R30" i="3"/>
  <c r="A30" i="3"/>
  <c r="R29" i="3"/>
  <c r="A29" i="3"/>
  <c r="R28" i="3"/>
  <c r="A28" i="3"/>
  <c r="R27" i="3"/>
  <c r="A27" i="3"/>
  <c r="R26" i="3"/>
  <c r="A26" i="3"/>
  <c r="R25" i="3"/>
  <c r="A25" i="3"/>
  <c r="R24" i="3"/>
  <c r="A24" i="3"/>
  <c r="R23" i="3"/>
  <c r="A23" i="3"/>
  <c r="R22" i="3"/>
  <c r="A22" i="3"/>
  <c r="R21" i="3"/>
  <c r="A21" i="3"/>
  <c r="R20" i="3"/>
  <c r="A20" i="3"/>
  <c r="R19" i="3"/>
  <c r="A19" i="3"/>
  <c r="R18" i="3"/>
  <c r="A18" i="3"/>
  <c r="R17" i="3"/>
  <c r="A17" i="3"/>
  <c r="R16" i="3"/>
  <c r="A16" i="3"/>
  <c r="R15" i="3"/>
  <c r="A15" i="3"/>
  <c r="R14" i="3"/>
  <c r="A14" i="3"/>
  <c r="R13" i="3"/>
  <c r="A13" i="3"/>
  <c r="R12" i="3"/>
  <c r="A12" i="3"/>
  <c r="R11" i="3"/>
  <c r="A11" i="3"/>
  <c r="R10" i="3"/>
  <c r="A10" i="3"/>
  <c r="R9" i="3"/>
  <c r="A9" i="3"/>
  <c r="R8" i="3"/>
  <c r="A8" i="3"/>
  <c r="R7" i="3"/>
  <c r="A7" i="3"/>
  <c r="R6" i="3"/>
  <c r="A6" i="3"/>
  <c r="R5" i="3"/>
  <c r="A5" i="3"/>
  <c r="R4" i="3"/>
  <c r="A4" i="3"/>
  <c r="R3" i="3"/>
  <c r="A3" i="3"/>
  <c r="R2" i="3"/>
  <c r="A2" i="3"/>
  <c r="O6" i="3" l="1"/>
  <c r="S6" i="3" s="1"/>
  <c r="O9" i="3"/>
  <c r="S9" i="3" s="1"/>
  <c r="O7" i="3"/>
  <c r="S7" i="3" s="1"/>
  <c r="O39" i="3"/>
  <c r="S39" i="3" s="1"/>
  <c r="O26" i="3"/>
  <c r="S26" i="3" s="1"/>
  <c r="O30" i="3"/>
  <c r="S30" i="3" s="1"/>
  <c r="O34" i="3"/>
  <c r="S34" i="3" s="1"/>
  <c r="O42" i="3"/>
  <c r="S42" i="3" s="1"/>
  <c r="O60" i="3"/>
  <c r="S60" i="3" s="1"/>
  <c r="O10" i="3"/>
  <c r="S10" i="3" s="1"/>
  <c r="O22" i="3"/>
  <c r="S22" i="3" s="1"/>
  <c r="O54" i="3"/>
  <c r="S54" i="3" s="1"/>
  <c r="O43" i="3"/>
  <c r="S43" i="3" s="1"/>
  <c r="O45" i="3"/>
  <c r="S45" i="3" s="1"/>
  <c r="O61" i="3"/>
  <c r="S61" i="3" s="1"/>
  <c r="O41" i="3"/>
  <c r="S41" i="3" s="1"/>
  <c r="O13" i="3"/>
  <c r="S13" i="3" s="1"/>
  <c r="O15" i="3"/>
  <c r="S15" i="3" s="1"/>
  <c r="O17" i="3"/>
  <c r="S17" i="3" s="1"/>
  <c r="O32" i="3"/>
  <c r="S32" i="3" s="1"/>
  <c r="O47" i="3"/>
  <c r="S47" i="3" s="1"/>
  <c r="O49" i="3"/>
  <c r="S49" i="3" s="1"/>
  <c r="O28" i="3"/>
  <c r="S28" i="3" s="1"/>
  <c r="O2" i="3"/>
  <c r="S2" i="3" s="1"/>
  <c r="O4" i="3"/>
  <c r="S4" i="3" s="1"/>
  <c r="O19" i="3"/>
  <c r="S19" i="3" s="1"/>
  <c r="O21" i="3"/>
  <c r="S21" i="3" s="1"/>
  <c r="O36" i="3"/>
  <c r="S36" i="3" s="1"/>
  <c r="O51" i="3"/>
  <c r="S51" i="3" s="1"/>
  <c r="O53" i="3"/>
  <c r="S53" i="3" s="1"/>
  <c r="O56" i="3"/>
  <c r="S56" i="3" s="1"/>
  <c r="O11" i="3"/>
  <c r="S11" i="3" s="1"/>
  <c r="O8" i="3"/>
  <c r="S8" i="3" s="1"/>
  <c r="O23" i="3"/>
  <c r="S23" i="3" s="1"/>
  <c r="O25" i="3"/>
  <c r="S25" i="3" s="1"/>
  <c r="O38" i="3"/>
  <c r="S38" i="3" s="1"/>
  <c r="O40" i="3"/>
  <c r="S40" i="3" s="1"/>
  <c r="O55" i="3"/>
  <c r="S55" i="3" s="1"/>
  <c r="O57" i="3"/>
  <c r="S57" i="3" s="1"/>
  <c r="O12" i="3"/>
  <c r="S12" i="3" s="1"/>
  <c r="O27" i="3"/>
  <c r="S27" i="3" s="1"/>
  <c r="O29" i="3"/>
  <c r="S29" i="3" s="1"/>
  <c r="O44" i="3"/>
  <c r="S44" i="3" s="1"/>
  <c r="O14" i="3"/>
  <c r="S14" i="3" s="1"/>
  <c r="O16" i="3"/>
  <c r="S16" i="3" s="1"/>
  <c r="O31" i="3"/>
  <c r="S31" i="3" s="1"/>
  <c r="O33" i="3"/>
  <c r="S33" i="3" s="1"/>
  <c r="O46" i="3"/>
  <c r="S46" i="3" s="1"/>
  <c r="O48" i="3"/>
  <c r="S48" i="3" s="1"/>
  <c r="O58" i="3"/>
  <c r="S58" i="3" s="1"/>
  <c r="O24" i="3"/>
  <c r="S24" i="3" s="1"/>
  <c r="O59" i="3"/>
  <c r="S59" i="3" s="1"/>
  <c r="O3" i="3"/>
  <c r="S3" i="3" s="1"/>
  <c r="O5" i="3"/>
  <c r="S5" i="3" s="1"/>
  <c r="O18" i="3"/>
  <c r="S18" i="3" s="1"/>
  <c r="O20" i="3"/>
  <c r="S20" i="3" s="1"/>
  <c r="O35" i="3"/>
  <c r="S35" i="3" s="1"/>
  <c r="O37" i="3"/>
  <c r="S37" i="3" s="1"/>
  <c r="O50" i="3"/>
  <c r="S50" i="3" s="1"/>
  <c r="O52" i="3"/>
  <c r="S5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<sst xmlns="http://schemas.openxmlformats.org/spreadsheetml/2006/main" count="1930" uniqueCount="275">
  <si>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</si>
  <si>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</si>
  <si>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</si>
  <si>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</si>
  <si>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</si>
  <si>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</si>
  <si>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</si>
  <si>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</si>
  <si>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</si>
  <si>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</si>
  <si>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</si>
  <si>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BLK</t>
  </si>
  <si>
    <t>NVYWHI</t>
  </si>
  <si>
    <t>TEAM</t>
  </si>
  <si>
    <t>SCAWHI</t>
  </si>
  <si>
    <t>BLKOTC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</si>
  <si>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</si>
  <si>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</si>
  <si>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</si>
  <si>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</si>
  <si>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</si>
  <si>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</si>
  <si>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</si>
  <si>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</si>
  <si>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</si>
  <si>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</si>
  <si>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</si>
  <si>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</si>
  <si>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</si>
  <si>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</si>
  <si>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</si>
  <si>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</si>
  <si>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</si>
  <si>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</si>
  <si>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</si>
  <si>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</si>
  <si>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</si>
  <si>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</si>
  <si>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</si>
  <si>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</si>
  <si>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</si>
  <si>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</si>
  <si>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</si>
  <si>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</si>
  <si>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</si>
  <si>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</si>
  <si>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</si>
  <si>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</si>
  <si>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</si>
  <si>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</si>
  <si>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</si>
  <si>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</si>
  <si>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</si>
  <si>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</si>
  <si>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</si>
  <si>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</si>
  <si>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</si>
  <si>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</si>
  <si>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</si>
  <si>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</si>
  <si>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</si>
  <si>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</si>
  <si>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</si>
  <si>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</si>
  <si>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</si>
  <si>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</si>
  <si>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</si>
  <si>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</si>
  <si>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</si>
  <si>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</si>
  <si>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</si>
  <si>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</si>
  <si>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</si>
  <si>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</si>
  <si>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</si>
  <si>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</si>
  <si>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</si>
  <si>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</si>
  <si>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</si>
  <si>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</si>
  <si>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</si>
  <si>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</si>
  <si>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</si>
  <si>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</si>
  <si>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</si>
  <si>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</si>
  <si>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</si>
  <si>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</si>
  <si>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</si>
  <si>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БАНГЛАДЕШ</t>
  </si>
  <si>
    <t>10013160/090622/3291500/1</t>
  </si>
  <si>
    <t>100% Полиэстер</t>
  </si>
  <si>
    <t>унисекс</t>
  </si>
  <si>
    <t>КИТАЙ</t>
  </si>
  <si>
    <t>97% Хлопок - 3% Эластан</t>
  </si>
  <si>
    <t>100% Хлопок</t>
  </si>
  <si>
    <t>женский</t>
  </si>
  <si>
    <t>Бейсболка модели 9Fifty с логотипом команды MLB New York Yankees и логотипом New Era. Бейсболка регулируется сзади.</t>
  </si>
  <si>
    <t>Модель 9FIFTY с логотипом команды NBA CHICAGO BULLS и логотипом New Era.</t>
  </si>
  <si>
    <t>95% Полиэстер - 5% Эластан</t>
  </si>
  <si>
    <t>100% хлопок</t>
  </si>
  <si>
    <t>7 1/8</t>
  </si>
  <si>
    <t>Формула</t>
  </si>
  <si>
    <t>TOTHOT</t>
  </si>
  <si>
    <t>PRP</t>
  </si>
  <si>
    <t>LPK</t>
  </si>
  <si>
    <t>GRH</t>
  </si>
  <si>
    <t>NVY</t>
  </si>
  <si>
    <t>NVYRE</t>
  </si>
  <si>
    <t>GRP</t>
  </si>
  <si>
    <t>GRA</t>
  </si>
  <si>
    <t>CAB</t>
  </si>
  <si>
    <t>RED</t>
  </si>
  <si>
    <t>GRBLK</t>
  </si>
  <si>
    <t>DKG</t>
  </si>
  <si>
    <t>GRE</t>
  </si>
  <si>
    <t>SCA</t>
  </si>
  <si>
    <t>BLACK</t>
  </si>
  <si>
    <t>GRAWHT</t>
  </si>
  <si>
    <t>7 1/4</t>
  </si>
  <si>
    <t>7 7/8</t>
  </si>
  <si>
    <t>7 3/4</t>
  </si>
  <si>
    <t>7 3/8</t>
  </si>
  <si>
    <t>LTCKGR</t>
  </si>
  <si>
    <t>10531938-SCAWHI o/s  Бейсболка 940 LEAG BASIC NEYYAN SCARLET/WHITE красный р. o/s</t>
  </si>
  <si>
    <t>10861624-TEAM 7 3/4  Бейсболка NBA BASIC CHIBUL RED/BLACK красный р. 7 3/4</t>
  </si>
  <si>
    <t>10861624-TEAM 7 3/8  Бейсболка NBA BASIC CHIBUL RED/BLACK красный р. 7 3/8</t>
  </si>
  <si>
    <t>10862335-TEAM 7 1/2  Бейсболка NBA BASIC BRONET BLACK/GREY черный р. 7 1/2</t>
  </si>
  <si>
    <t>10862335-TEAM 7 1/4  Бейсболка NBA BASIC BRONET BLACK/GREY черный р. 7 1/4</t>
  </si>
  <si>
    <t>10862336-GRBLK 7 7/8  Бейсболка NBA BASIC BOSCEL GREEN/BLACK зеленый р. 7 7/8</t>
  </si>
  <si>
    <t>10862336-GRBLK 8  Бейсболка NBA BASIC BOSCEL GREEN/BLACK зеленый р. 8</t>
  </si>
  <si>
    <t>10879530-RED M/L  Бейсболка MLB COTTON BLOCK NEYYAN SCA/BLACK/WHITE красный р. M/L</t>
  </si>
  <si>
    <t>10879530-RED S/M  Бейсболка MLB COTTON BLOCK NEYYAN SCA/BLACK/WHITE красный р. S/M</t>
  </si>
  <si>
    <t>11074364-GRA o/s Шапка SM JERSEY SLOUCH NEWERA GRA серый р. o/s</t>
  </si>
  <si>
    <t>11086491-BLK S/M  Бейсболка NE BASIC 39THIRTY BLACK черный р. S/M</t>
  </si>
  <si>
    <t>11180833-BLKWHI S/M  Бейсболка MLB 9FIFTY NEYYAN BLKWHI черный р. S/M</t>
  </si>
  <si>
    <t>11198849-GRA o/s  Бейсболка MLB FLAWLESS LOGO BASIC 940 NEYYAN GRA светло-серый р. o/s</t>
  </si>
  <si>
    <t>11213222-BLK o/s  Бейсболка TS MU25 BASIC 9FORTY MANU BLK чёрный р. o/s</t>
  </si>
  <si>
    <t>11405495-BLK M/L  Бейсболка LEAGUE ESSENTIAL 39THIRTY LOSDOD BLKWHI чёрный р. M/L</t>
  </si>
  <si>
    <t>11448335-BLK o/s Шапка CUFF KNIT OAKRAI BLACK чёрный р. o/s</t>
  </si>
  <si>
    <t>11588489-NVYWHI o/s  Бейсболка CLEAN TRUCKER 2 NEYYAN NVYWHI чёрный р. o/s</t>
  </si>
  <si>
    <t>11871284-. S/M  Бейсболка STRETCH SNAP 9FIFTY CHIBUL BLKOTC чёрный р. S/M</t>
  </si>
  <si>
    <t>11901827-BLK M/L  Бейсболка STRETCH SNAP 9FIFTY LOSLAK BLKOTC чёрный р. M/L</t>
  </si>
  <si>
    <t>12033100-GRE o/s Шапка CUFF KNIT NE DOLPHIN GRAY LIC 915 серый р. o/s</t>
  </si>
  <si>
    <t>12033103-BLK o/s Шапка CUFF KNIT NE BLACK LIC 915 черный р. o/s</t>
  </si>
  <si>
    <t>12033266-LOSDOD o/s Шапка CUFF KNIT LOSOD DARK ROYAL LIC 805 синий р. o/s</t>
  </si>
  <si>
    <t>12122725-BLK M/L  Бейсболка NBA 9FIFTY NOS 950 CHIBUL BLKOTC чёрный р. M/L</t>
  </si>
  <si>
    <t>12122725-BLK S/M  Бейсболка NBA 9FIFTY NOS 950 CHIBUL BLKOTC чёрный р. S/M</t>
  </si>
  <si>
    <t>12489434-GRAWHT o/s  Шапка Wide Cuff Patch Knit Hat серый р.o/s</t>
  </si>
  <si>
    <t>12503527-BLACK S/M  Бейсболка MANCHESTER UNITED FC BLK черный р. S/M</t>
  </si>
  <si>
    <t>12503535-SCA o/s  Бейсболка MANCHESTER UNITED FC SCA красный р. o/s</t>
  </si>
  <si>
    <t>12503546-BLK S/M  Бейсболка MANCHESTER UNITED FC BLK черный р. S/M</t>
  </si>
  <si>
    <t>12503924-GRA o/s  Бейсболка CHELSEA FC LION CREST GRA серый р. o/s</t>
  </si>
  <si>
    <t>12503934-CAB o/s  Бейсболка CHELSEA FC LION CREST CAB голубой р. o/s</t>
  </si>
  <si>
    <t>12523897-GRAWHI o/s  Бейсболка JERSEY 9FORTY NEYYAN GRAWHI серый р. o/s</t>
  </si>
  <si>
    <t>12523910-BLKBLK M/L  Бейсболка DIAMOND ERA 3930 NEYYAN BLACKBLACK черный р. M/L</t>
  </si>
  <si>
    <t>12523910-BLKBLK S/M  Бейсболка DIAMOND ERA 3930 NEYYAN BLACKBLACK черный р. S/M</t>
  </si>
  <si>
    <t>60142978-. o/s  Бейсболка POP VISOR 940 FAI  LTCKGR белый, зелёный р. o/s</t>
  </si>
  <si>
    <t>60143388-. o/s  Бейсболка DEVIL LINE PRINT 940 TRUCKER MANUTD BLK черный р. o/s</t>
  </si>
  <si>
    <t>60221494-GRH M/L  Бейсболка IRIDESCENT 9FIFTYSS CHELFC  GRH серый р. M/L</t>
  </si>
  <si>
    <t>60221494-GRH S/M  Бейсболка IRIDESCENT 9FIFTYSS CHELFC  GRH серый р. S/M</t>
  </si>
  <si>
    <t>60221531-BLK o/s  Бейсболка REAR ARCH 9FORTY FAI  BLK черный р. o/s</t>
  </si>
  <si>
    <t>60221568-NVY M/L  Бейсболка HEATHER 950SS RFU  NVY синий р. M/L</t>
  </si>
  <si>
    <t>60221568-NVY S/M  Бейсболка HEATHER 950SS RFU  NVY синий р. S/M</t>
  </si>
  <si>
    <t>60222237-GRH o/s  Бейсболка ALL OVER CAMO 9FORTY CHIBUL  GRH серый р. o/s</t>
  </si>
  <si>
    <t>60222257-NVY o/s  Бейсболка CAMO INFILL TRUCKER NEYYAN  NVY синий р. o/s</t>
  </si>
  <si>
    <t>60222275-NVYRE M/L  Бейсболка LEAGUE ESSENTIAL 39THIRTY BOSRED  NVYRE синий р. M/L</t>
  </si>
  <si>
    <t>60222277-NVY o/s  Бейсболка NE FISHING TRUCKER NEWERA  NVY синий р. o/s</t>
  </si>
  <si>
    <t>60222290-DKG M/L  Бейсболка DIAMOND ERA 39THIRTY OAKATH  DKG зеленый р. M/L</t>
  </si>
  <si>
    <t>60222290-DKG S/M  Бейсболка DIAMOND ERA 39THIRTY OAKATH  DKG зеленый р. S/M</t>
  </si>
  <si>
    <t>60222318-GRP o/s  Бейсболка SEASONAL CAMO TRUCKER NEYYAN  GRP серый р. o/s</t>
  </si>
  <si>
    <t>60222356-PRP o/s  Бейсболка WMNS TIE DYE 9FORTY LOSDOD  PRP лиловый р. o/s</t>
  </si>
  <si>
    <t>60222362-NVY M/L  Бейсболка TEAR LOGO 9FIFTY STSP NEYYAN  NVY синий р. M/L</t>
  </si>
  <si>
    <t>60222362-NVY S/M  Бейсболка TEAR LOGO 9FIFTY STSP NEYYAN  NVY синий р. S/M</t>
  </si>
  <si>
    <t>60222367-NVY 7 1/2  Бейсболка DIAMOND ERA 59FIFTY NEYYAN  NVY синий р. 7 1/2</t>
  </si>
  <si>
    <t>60222367-NVY 7 1/4  Бейсболка DIAMOND ERA 59FIFTY NEYYAN  NVY синий р. 7 1/4</t>
  </si>
  <si>
    <t>60222367-NVY 7 3/4  Бейсболка DIAMOND ERA 59FIFTY NEYYAN  NVY синий р. 7 3/4</t>
  </si>
  <si>
    <t>60222424-WHI o/s  Бейсболка TEAM ARCH 9FORTY NEYYAN  NVYWHI синий р. o/s</t>
  </si>
  <si>
    <t>60222529-BLK o/s  Бейсболка TEAM ARCH 9FORTY CHIBUL  BLK черный р. o/s</t>
  </si>
  <si>
    <t>60222530-GRH 7  Бейсболка DIAMOND ERA 59FIFTY LOSDOD  GRH серый р. 7</t>
  </si>
  <si>
    <t>60222530-GRH 7 1/4  Бейсболка DIAMOND ERA 59FIFTY LOSDOD  GRH серый р. 7 1/4</t>
  </si>
  <si>
    <t>60222530-GRH 7 1/8  Бейсболка DIAMOND ERA 59FIFTY LOSDOD  GRH серый р. 7 1/8</t>
  </si>
  <si>
    <t>60222530-GRH 7 3/8  Бейсболка DIAMOND ERA 59FIFTY LOSDOD  GRH серый р. 7 3/8</t>
  </si>
  <si>
    <t>60222561-LPK o/s  Бейсболка WMNS TIE DYE 9FORTY NEYYAN  LPK розовый р. o/s</t>
  </si>
  <si>
    <t>10702070/300322/3112884/1</t>
  </si>
  <si>
    <t>10702070/220720/0164196/3</t>
  </si>
  <si>
    <t>10013160/160622/3303126/1</t>
  </si>
  <si>
    <t>10013160/310821/0534183/1</t>
  </si>
  <si>
    <t>10216170/101020/0264588/1</t>
  </si>
  <si>
    <t>10013160/180820/0434821/1</t>
  </si>
  <si>
    <t>10216170/210820/0217228/1</t>
  </si>
  <si>
    <t>10013160/151121/0716257/16</t>
  </si>
  <si>
    <t>10013160/021221/3005264/1</t>
  </si>
  <si>
    <t>10216170/090222/3039468/1</t>
  </si>
  <si>
    <t>10216170/040322/3065204/1</t>
  </si>
  <si>
    <t>10013160/060522/3236120/1</t>
  </si>
  <si>
    <t>10216170/040522/3090058/1</t>
  </si>
  <si>
    <t>10216170/300122/3027341/1</t>
  </si>
  <si>
    <t>10216170/200622/3103843/1</t>
  </si>
  <si>
    <t>100% акрил</t>
  </si>
  <si>
    <t>53% Хлопок - 47% Полиэстер</t>
  </si>
  <si>
    <t>85% Акрил - 12% Шерсть - 3% Эластан</t>
  </si>
  <si>
    <t>94% полиэстер - 6% эластан</t>
  </si>
  <si>
    <t>95% хлопок - 5% эластан</t>
  </si>
  <si>
    <t>Регулируемая бейсболка модели 9FORTY c объемным вышитым логотипом команды MLB New York Yankees.</t>
  </si>
  <si>
    <t>Классическая бейсболка 59FIFTY с логотипом команды NBA CHICAGO BULLS.</t>
  </si>
  <si>
    <t>Регулируемая бейсболка модели 9Forty Trucker c логотипом New York и  New Era.</t>
  </si>
  <si>
    <t>Классическая бейсболка 59FIFTY с логотипом команды BOSTON CELTICS.</t>
  </si>
  <si>
    <t>Двойная шапка с логотипом New Era. Мягкая трикотажная ткань гарантирует максимальный комфорт во время долгих прогулок, а эластан в составе материала обеспечивает удобную плотную посадку.</t>
  </si>
  <si>
    <t>Модель 39THIRTY с логотипом New Era.</t>
  </si>
  <si>
    <t>Регулируемая бейсболка модели 9Forty c маленьким металлическим логотипом команды MLB New York YANKEES и логотипом New Era. Удобная посадка и отличное качество.</t>
  </si>
  <si>
    <t>Регулируемая бейсболка модели 9Forty c логотипом футбольной команды Manchester United и логотипом New Era.</t>
  </si>
  <si>
    <t>Модель 39THIRTY с логотипом команды MLB Los Angeles Dodgers и логотипом New Era.</t>
  </si>
  <si>
    <t>Шапка с отворотом с вышитым логотипом команды NFL Oakland Raiders. Тянущаяся ткань обеспечивает комфортную посадку.</t>
  </si>
  <si>
    <t>Шапка с отворотом с тканевым патчем New Era.</t>
  </si>
  <si>
    <t>Шапка с отворотом и логотипом команды MLB Los Angeles Dodgers.</t>
  </si>
  <si>
    <t>Шапка с отворотом и логотипом New Era.</t>
  </si>
  <si>
    <t>Классическая модель 9Forty c логотипом клуба MANCHESTER UNITED и логотипом New Era.</t>
  </si>
  <si>
    <t>Классическая модель 9Forty c логотипом клуба CHELSEA и логотипом New Era.</t>
  </si>
  <si>
    <t>BRONET</t>
  </si>
  <si>
    <t>BOSCEL</t>
  </si>
  <si>
    <t>OAKRAI</t>
  </si>
  <si>
    <t>RFU</t>
  </si>
  <si>
    <t>10531938SCAWHI</t>
  </si>
  <si>
    <t>10861624TEAM</t>
  </si>
  <si>
    <t>10862335TEAM</t>
  </si>
  <si>
    <t>10862336GRBLK</t>
  </si>
  <si>
    <t>10879530RED</t>
  </si>
  <si>
    <t>11074364GRA</t>
  </si>
  <si>
    <t>11086491BLK</t>
  </si>
  <si>
    <t>11180833BLKWHI</t>
  </si>
  <si>
    <t>11198849GRA</t>
  </si>
  <si>
    <t>11213222BLK</t>
  </si>
  <si>
    <t>11405495BLK</t>
  </si>
  <si>
    <t>11448335BLK</t>
  </si>
  <si>
    <t>11588489NVYWHI</t>
  </si>
  <si>
    <t>11871284BLKOTC</t>
  </si>
  <si>
    <t>11901827BLK</t>
  </si>
  <si>
    <t>12033100GRE</t>
  </si>
  <si>
    <t>12033103BLK</t>
  </si>
  <si>
    <t>12033266LOSDOD</t>
  </si>
  <si>
    <t>12122725BLK</t>
  </si>
  <si>
    <t>12489434GRAWHT</t>
  </si>
  <si>
    <t>12503527BLACK</t>
  </si>
  <si>
    <t>12503535SCA</t>
  </si>
  <si>
    <t>12503546BLK</t>
  </si>
  <si>
    <t>12503924GRA</t>
  </si>
  <si>
    <t>12503934CAB</t>
  </si>
  <si>
    <t>12523897GRAWHI</t>
  </si>
  <si>
    <t>12523910BLKBLK</t>
  </si>
  <si>
    <t>60142978LTCKGR</t>
  </si>
  <si>
    <t>60143388BLK</t>
  </si>
  <si>
    <t>60221494GRH</t>
  </si>
  <si>
    <t>60221531BLK</t>
  </si>
  <si>
    <t>60221568NVY</t>
  </si>
  <si>
    <t>60222237GRH</t>
  </si>
  <si>
    <t>60222257NVY</t>
  </si>
  <si>
    <t>60222275NVYRE</t>
  </si>
  <si>
    <t>60222277NVY</t>
  </si>
  <si>
    <t>60222290DKG</t>
  </si>
  <si>
    <t>60222318GRP</t>
  </si>
  <si>
    <t>60222356PRP</t>
  </si>
  <si>
    <t>60222362NVY</t>
  </si>
  <si>
    <t>60222367NVY</t>
  </si>
  <si>
    <t>60222424WHI</t>
  </si>
  <si>
    <t>60222529BLK</t>
  </si>
  <si>
    <t>60222530GRH</t>
  </si>
  <si>
    <t>60222561LPK</t>
  </si>
  <si>
    <t>Boston Selitics</t>
  </si>
  <si>
    <t>Oakland Raiders</t>
  </si>
  <si>
    <t>England Rugby</t>
  </si>
  <si>
    <t>RL</t>
  </si>
  <si>
    <t>CN</t>
  </si>
  <si>
    <t>BD</t>
  </si>
  <si>
    <t>Oakland Raiders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</si>
</sst>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  <xf numFmtId="12" fontId="0" fillId="0" borderId="1" xfId="0" applyNumberFormat="1" applyBorder="1"/>
    <xf numFmtId="12" fontId="0" fillId="0" borderId="0" xfId="0" applyNumberFormat="1" applyAlignment="1">
      <alignment horizontal="left" vertical="center"/>
    </xf>
    <xf numFmtId="0" fontId="0" fillId="0" borderId="8" xfId="0" applyBorder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1</xdr:row>
          <xdr:rowOff>57150</xdr:rowOff>
        </xdr:from>
        <xdr:to>
          <xdr:col>33</xdr:col>
          <xdr:colOff>114300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1</xdr:row>
          <xdr:rowOff>57150</xdr:rowOff>
        </xdr:from>
        <xdr:to>
          <xdr:col>33</xdr:col>
          <xdr:colOff>114300</xdr:colOff>
          <xdr:row>3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6"/>
  <sheetViews>
    <sheetView showGridLines="0" workbookViewId="0">
      <selection activeCell="E26" sqref="E26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3" t="s">
        <v>16</v>
      </c>
      <c r="B1" s="3" t="s">
        <v>17</v>
      </c>
      <c r="C1" s="3" t="s">
        <v>18</v>
      </c>
      <c r="E1" s="3" t="s">
        <v>19</v>
      </c>
      <c r="F1" s="3" t="s">
        <v>20</v>
      </c>
      <c r="H1" s="3" t="s">
        <v>21</v>
      </c>
      <c r="I1" s="3" t="s">
        <v>22</v>
      </c>
    </row>
    <row r="2" spans="1:9" x14ac:dyDescent="0.25">
      <c r="A2" s="4" t="s">
        <v>23</v>
      </c>
      <c r="B2" s="4" t="s">
        <v>24</v>
      </c>
      <c r="C2" s="4" t="s">
        <v>25</v>
      </c>
      <c r="E2" s="4" t="s">
        <v>26</v>
      </c>
      <c r="F2" s="4" t="s">
        <v>25</v>
      </c>
      <c r="H2" s="4" t="s">
        <v>27</v>
      </c>
      <c r="I2" s="4">
        <v>60</v>
      </c>
    </row>
    <row r="3" spans="1:9" x14ac:dyDescent="0.25">
      <c r="A3" s="4" t="s">
        <v>28</v>
      </c>
      <c r="B3" s="4" t="s">
        <v>26</v>
      </c>
      <c r="C3" s="4" t="s">
        <v>25</v>
      </c>
      <c r="E3" s="4" t="s">
        <v>24</v>
      </c>
      <c r="F3" s="4" t="s">
        <v>25</v>
      </c>
      <c r="H3" s="4" t="s">
        <v>29</v>
      </c>
      <c r="I3" s="4" t="s">
        <v>8</v>
      </c>
    </row>
    <row r="4" spans="1:9" x14ac:dyDescent="0.25">
      <c r="A4" s="4" t="s">
        <v>30</v>
      </c>
      <c r="B4" s="4" t="s">
        <v>31</v>
      </c>
      <c r="C4" s="4" t="s">
        <v>32</v>
      </c>
      <c r="E4" s="4" t="s">
        <v>31</v>
      </c>
      <c r="F4" s="4" t="s">
        <v>32</v>
      </c>
      <c r="H4" s="4" t="s">
        <v>33</v>
      </c>
      <c r="I4" s="4">
        <v>58</v>
      </c>
    </row>
    <row r="5" spans="1:9" x14ac:dyDescent="0.25">
      <c r="A5" s="4" t="s">
        <v>34</v>
      </c>
      <c r="B5" s="4" t="s">
        <v>35</v>
      </c>
      <c r="C5" s="4" t="s">
        <v>32</v>
      </c>
      <c r="E5" s="4" t="s">
        <v>35</v>
      </c>
      <c r="F5" s="4" t="s">
        <v>32</v>
      </c>
      <c r="H5" s="4" t="s">
        <v>36</v>
      </c>
      <c r="I5" s="4">
        <v>56</v>
      </c>
    </row>
    <row r="6" spans="1:9" x14ac:dyDescent="0.25">
      <c r="A6" s="4" t="s">
        <v>37</v>
      </c>
      <c r="B6" s="4" t="s">
        <v>38</v>
      </c>
      <c r="C6" s="4" t="s">
        <v>25</v>
      </c>
      <c r="E6" s="4" t="s">
        <v>39</v>
      </c>
      <c r="F6" s="4" t="s">
        <v>25</v>
      </c>
      <c r="H6" s="4" t="s">
        <v>122</v>
      </c>
      <c r="I6" s="4">
        <v>59</v>
      </c>
    </row>
    <row r="7" spans="1:9" x14ac:dyDescent="0.25">
      <c r="A7" s="4" t="s">
        <v>41</v>
      </c>
      <c r="B7" s="4" t="s">
        <v>39</v>
      </c>
      <c r="C7" s="4" t="s">
        <v>25</v>
      </c>
      <c r="E7" s="4" t="s">
        <v>42</v>
      </c>
      <c r="F7" s="4" t="s">
        <v>43</v>
      </c>
      <c r="H7" s="4" t="s">
        <v>119</v>
      </c>
      <c r="I7" s="4">
        <v>58</v>
      </c>
    </row>
    <row r="8" spans="1:9" x14ac:dyDescent="0.25">
      <c r="A8" s="4" t="s">
        <v>45</v>
      </c>
      <c r="B8" s="4" t="s">
        <v>46</v>
      </c>
      <c r="C8" s="4" t="s">
        <v>32</v>
      </c>
      <c r="H8" s="4" t="s">
        <v>120</v>
      </c>
      <c r="I8" s="4">
        <v>63</v>
      </c>
    </row>
    <row r="9" spans="1:9" x14ac:dyDescent="0.25">
      <c r="A9" s="4" t="s">
        <v>48</v>
      </c>
      <c r="B9" s="4" t="s">
        <v>49</v>
      </c>
      <c r="C9" s="4" t="s">
        <v>32</v>
      </c>
      <c r="H9" s="4">
        <v>8</v>
      </c>
      <c r="I9" s="4">
        <v>64</v>
      </c>
    </row>
    <row r="10" spans="1:9" x14ac:dyDescent="0.25">
      <c r="A10" s="4" t="s">
        <v>51</v>
      </c>
      <c r="B10" s="4" t="s">
        <v>52</v>
      </c>
      <c r="C10" s="4" t="s">
        <v>32</v>
      </c>
      <c r="H10" s="22" t="s">
        <v>121</v>
      </c>
      <c r="I10" s="4">
        <v>62</v>
      </c>
    </row>
    <row r="11" spans="1:9" x14ac:dyDescent="0.25">
      <c r="A11" s="4" t="s">
        <v>53</v>
      </c>
      <c r="B11" s="4" t="s">
        <v>42</v>
      </c>
      <c r="C11" s="4" t="s">
        <v>43</v>
      </c>
      <c r="H11" s="4" t="s">
        <v>40</v>
      </c>
      <c r="I11" s="4">
        <v>60</v>
      </c>
    </row>
    <row r="12" spans="1:9" x14ac:dyDescent="0.25">
      <c r="A12" s="4" t="s">
        <v>54</v>
      </c>
      <c r="B12" s="4" t="s">
        <v>55</v>
      </c>
      <c r="C12" s="4" t="s">
        <v>56</v>
      </c>
      <c r="H12" s="4" t="s">
        <v>44</v>
      </c>
      <c r="I12" s="4">
        <v>59</v>
      </c>
    </row>
    <row r="13" spans="1:9" x14ac:dyDescent="0.25">
      <c r="A13" s="4" t="s">
        <v>57</v>
      </c>
      <c r="B13" s="4" t="s">
        <v>58</v>
      </c>
      <c r="C13" s="4" t="s">
        <v>56</v>
      </c>
      <c r="H13" s="4" t="s">
        <v>47</v>
      </c>
      <c r="I13" s="4">
        <v>57</v>
      </c>
    </row>
    <row r="14" spans="1:9" x14ac:dyDescent="0.25">
      <c r="A14" s="4" t="s">
        <v>59</v>
      </c>
      <c r="B14" s="4" t="s">
        <v>60</v>
      </c>
      <c r="C14" s="4" t="s">
        <v>43</v>
      </c>
      <c r="H14" s="4" t="s">
        <v>50</v>
      </c>
      <c r="I14" s="4">
        <v>55</v>
      </c>
    </row>
    <row r="15" spans="1:9" x14ac:dyDescent="0.25">
      <c r="A15" s="4" t="s">
        <v>61</v>
      </c>
      <c r="B15" s="4" t="s">
        <v>62</v>
      </c>
      <c r="C15" s="4" t="s">
        <v>56</v>
      </c>
      <c r="H15" t="s">
        <v>101</v>
      </c>
      <c r="I15" s="24">
        <v>57</v>
      </c>
    </row>
    <row r="16" spans="1:9" x14ac:dyDescent="0.25">
      <c r="A16" s="4" t="s">
        <v>63</v>
      </c>
      <c r="B16" s="4" t="s">
        <v>64</v>
      </c>
      <c r="C16" s="4" t="s">
        <v>56</v>
      </c>
      <c r="H16">
        <v>7</v>
      </c>
      <c r="I16" s="24">
        <v>56</v>
      </c>
    </row>
    <row r="17" spans="1:3" x14ac:dyDescent="0.25">
      <c r="A17" s="4" t="s">
        <v>65</v>
      </c>
      <c r="B17" s="4" t="s">
        <v>66</v>
      </c>
      <c r="C17" s="5" t="s">
        <v>67</v>
      </c>
    </row>
    <row r="18" spans="1:3" x14ac:dyDescent="0.25">
      <c r="A18" s="4" t="s">
        <v>68</v>
      </c>
      <c r="B18" s="4" t="s">
        <v>69</v>
      </c>
      <c r="C18" s="5" t="s">
        <v>70</v>
      </c>
    </row>
    <row r="19" spans="1:3" x14ac:dyDescent="0.25">
      <c r="A19" s="4" t="s">
        <v>71</v>
      </c>
      <c r="B19" s="4" t="s">
        <v>72</v>
      </c>
      <c r="C19" s="4" t="s">
        <v>25</v>
      </c>
    </row>
    <row r="20" spans="1:3" x14ac:dyDescent="0.25">
      <c r="A20" s="4" t="s">
        <v>73</v>
      </c>
      <c r="B20" s="4" t="s">
        <v>74</v>
      </c>
      <c r="C20" s="4" t="s">
        <v>25</v>
      </c>
    </row>
    <row r="21" spans="1:3" x14ac:dyDescent="0.25">
      <c r="A21" s="4" t="s">
        <v>75</v>
      </c>
      <c r="B21" s="4" t="s">
        <v>76</v>
      </c>
      <c r="C21" s="4" t="s">
        <v>25</v>
      </c>
    </row>
    <row r="22" spans="1:3" x14ac:dyDescent="0.25">
      <c r="A22" s="4" t="s">
        <v>103</v>
      </c>
      <c r="B22" s="4" t="s">
        <v>62</v>
      </c>
      <c r="C22" s="4" t="s">
        <v>56</v>
      </c>
    </row>
    <row r="23" spans="1:3" x14ac:dyDescent="0.25">
      <c r="A23" s="4" t="s">
        <v>219</v>
      </c>
      <c r="B23" s="4" t="s">
        <v>49</v>
      </c>
      <c r="C23" s="4" t="s">
        <v>32</v>
      </c>
    </row>
    <row r="24" spans="1:3" x14ac:dyDescent="0.25">
      <c r="A24" s="4" t="s">
        <v>220</v>
      </c>
      <c r="B24" s="4" t="s">
        <v>268</v>
      </c>
      <c r="C24" s="4" t="s">
        <v>32</v>
      </c>
    </row>
    <row r="25" spans="1:3" x14ac:dyDescent="0.25">
      <c r="A25" s="4" t="s">
        <v>221</v>
      </c>
      <c r="B25" s="4" t="s">
        <v>274</v>
      </c>
      <c r="C25" s="4" t="s">
        <v>43</v>
      </c>
    </row>
    <row r="26" spans="1:3" x14ac:dyDescent="0.25">
      <c r="A26" s="4" t="s">
        <v>222</v>
      </c>
      <c r="B26" s="4" t="s">
        <v>270</v>
      </c>
      <c r="C26" s="4" t="s">
        <v>271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S61"/>
  <sheetViews>
    <sheetView showGridLines="0" tabSelected="1" workbookViewId="0">
      <selection activeCell="L6" sqref="I5:L6"/>
    </sheetView>
  </sheetViews>
  <sheetFormatPr defaultRowHeight="15" x14ac:dyDescent="0.25"/>
  <cols>
    <col min="1" max="1" width="17" style="2" bestFit="1" customWidth="1"/>
    <col min="2" max="2" width="9" style="2" bestFit="1" customWidth="1"/>
    <col min="3" max="3" width="8.85546875" style="2" bestFit="1" customWidth="1"/>
    <col min="4" max="4" width="91.5703125" style="2" bestFit="1" customWidth="1"/>
    <col min="5" max="5" width="6.85546875" style="2" bestFit="1" customWidth="1"/>
    <col min="6" max="6" width="14.42578125" style="2" bestFit="1" customWidth="1"/>
    <col min="7" max="7" width="16.140625" style="2" bestFit="1" customWidth="1"/>
    <col min="8" max="8" width="9.5703125" style="2" customWidth="1"/>
    <col min="9" max="9" width="26.140625" style="2" bestFit="1" customWidth="1"/>
    <col min="10" max="10" width="27" style="2" bestFit="1" customWidth="1"/>
    <col min="11" max="11" width="15.7109375" style="2" customWidth="1"/>
    <col min="12" max="12" width="8.85546875" style="2" bestFit="1" customWidth="1"/>
    <col min="13" max="13" width="8" style="2" bestFit="1" customWidth="1"/>
    <col min="14" max="14" width="13.85546875" style="2" bestFit="1" customWidth="1"/>
    <col min="15" max="15" width="16.140625" style="2" bestFit="1" customWidth="1"/>
    <col min="16" max="16" width="19.42578125" style="2" bestFit="1" customWidth="1"/>
    <col min="17" max="17" width="5.140625" style="2" bestFit="1" customWidth="1"/>
    <col min="18" max="18" width="9" style="2" bestFit="1" customWidth="1"/>
    <col min="19" max="19" width="18.5703125" style="2" bestFit="1" customWidth="1"/>
  </cols>
  <sheetData>
    <row r="1" spans="1:19" s="1" customFormat="1" x14ac:dyDescent="0.25">
      <c r="A1" s="7" t="s">
        <v>0</v>
      </c>
      <c r="B1" s="6" t="s">
        <v>4</v>
      </c>
      <c r="C1" s="6" t="s">
        <v>3</v>
      </c>
      <c r="D1" s="17" t="s">
        <v>78</v>
      </c>
      <c r="E1" s="17" t="s">
        <v>1</v>
      </c>
      <c r="F1" s="17" t="s">
        <v>79</v>
      </c>
      <c r="G1" s="17" t="s">
        <v>80</v>
      </c>
      <c r="H1" s="17" t="s">
        <v>81</v>
      </c>
      <c r="I1" s="17" t="s">
        <v>82</v>
      </c>
      <c r="J1" s="17" t="s">
        <v>83</v>
      </c>
      <c r="K1" s="17" t="s">
        <v>84</v>
      </c>
      <c r="L1" s="17" t="s">
        <v>85</v>
      </c>
      <c r="M1" s="17" t="s">
        <v>5</v>
      </c>
      <c r="N1" s="17" t="s">
        <v>16</v>
      </c>
      <c r="O1" s="7" t="s">
        <v>77</v>
      </c>
      <c r="P1" s="7" t="s">
        <v>86</v>
      </c>
      <c r="Q1" s="7" t="s">
        <v>18</v>
      </c>
      <c r="R1" s="7" t="s">
        <v>87</v>
      </c>
      <c r="S1" s="7" t="s">
        <v>88</v>
      </c>
    </row>
    <row r="2" spans="1:19" x14ac:dyDescent="0.25">
      <c r="A2" s="2" t="str">
        <f t="shared" ref="A2:A61" si="0">B2&amp;C2</f>
        <v>10531938SCAWHI</v>
      </c>
      <c r="B2" s="2">
        <v>10531938</v>
      </c>
      <c r="C2" s="2" t="s">
        <v>14</v>
      </c>
      <c r="D2" s="2" t="s">
        <v>124</v>
      </c>
      <c r="E2" s="2" t="s">
        <v>29</v>
      </c>
      <c r="F2" s="2" t="str">
        <f>VLOOKUP(E2,Справочник!H:I,2,0)</f>
        <v>O/S</v>
      </c>
      <c r="G2" s="2" t="s">
        <v>93</v>
      </c>
      <c r="H2" s="2">
        <v>1</v>
      </c>
      <c r="I2" s="2" t="s">
        <v>184</v>
      </c>
      <c r="J2" s="2" t="s">
        <v>95</v>
      </c>
      <c r="K2" s="2" t="s">
        <v>204</v>
      </c>
      <c r="L2" s="2" t="s">
        <v>92</v>
      </c>
      <c r="M2" s="2">
        <v>1210.25</v>
      </c>
      <c r="N2" s="2" t="s">
        <v>23</v>
      </c>
      <c r="O2" s="2">
        <f t="shared" ref="O2:O33" si="1">SUMIF(A:A,A2,R:R)/SUMIF(A:A,A2,H:H)</f>
        <v>1210.25</v>
      </c>
      <c r="P2" s="2" t="str">
        <f>VLOOKUP(N2,Справочник!A:B,2,0)</f>
        <v>New York Yankees</v>
      </c>
      <c r="Q2" s="2" t="str">
        <f>VLOOKUP(N2,Справочник!A:C,3,0)</f>
        <v>MLB</v>
      </c>
      <c r="R2" s="2">
        <f>M2*H2</f>
        <v>1210.25</v>
      </c>
      <c r="S2" s="2">
        <f t="shared" ref="S2:S33" si="2">O2*H2</f>
        <v>1210.25</v>
      </c>
    </row>
    <row r="3" spans="1:19" x14ac:dyDescent="0.25">
      <c r="A3" s="2" t="str">
        <f t="shared" si="0"/>
        <v>10861624TEAM</v>
      </c>
      <c r="B3" s="2">
        <v>10861624</v>
      </c>
      <c r="C3" s="2" t="s">
        <v>13</v>
      </c>
      <c r="D3" s="2" t="s">
        <v>125</v>
      </c>
      <c r="E3" s="23" t="s">
        <v>121</v>
      </c>
      <c r="F3" s="2">
        <f>VLOOKUP(E3,Справочник!H:I,2,0)</f>
        <v>62</v>
      </c>
      <c r="G3" s="2" t="s">
        <v>89</v>
      </c>
      <c r="H3" s="2">
        <v>4</v>
      </c>
      <c r="I3" s="2" t="s">
        <v>90</v>
      </c>
      <c r="J3" s="2" t="s">
        <v>91</v>
      </c>
      <c r="K3" s="2" t="s">
        <v>205</v>
      </c>
      <c r="L3" s="2" t="s">
        <v>92</v>
      </c>
      <c r="M3" s="2">
        <v>1815.61</v>
      </c>
      <c r="N3" s="2" t="s">
        <v>30</v>
      </c>
      <c r="O3" s="2">
        <f t="shared" si="1"/>
        <v>1815.61</v>
      </c>
      <c r="P3" s="2" t="str">
        <f>VLOOKUP(N3,Справочник!A:B,2,0)</f>
        <v>Chicago Bulls</v>
      </c>
      <c r="Q3" s="2" t="str">
        <f>VLOOKUP(N3,Справочник!A:C,3,0)</f>
        <v>NBA</v>
      </c>
      <c r="R3" s="2">
        <f t="shared" ref="R3:R61" si="3">M3*H3</f>
        <v>7262.44</v>
      </c>
      <c r="S3" s="2">
        <f t="shared" si="2"/>
        <v>7262.44</v>
      </c>
    </row>
    <row r="4" spans="1:19" x14ac:dyDescent="0.25">
      <c r="A4" s="2" t="str">
        <f t="shared" si="0"/>
        <v>10861624TEAM</v>
      </c>
      <c r="B4" s="2">
        <v>10861624</v>
      </c>
      <c r="C4" s="2" t="s">
        <v>13</v>
      </c>
      <c r="D4" s="2" t="s">
        <v>126</v>
      </c>
      <c r="E4" s="2" t="s">
        <v>122</v>
      </c>
      <c r="F4" s="2">
        <f>VLOOKUP(E4,Справочник!H:I,2,0)</f>
        <v>59</v>
      </c>
      <c r="G4" s="2" t="s">
        <v>89</v>
      </c>
      <c r="H4" s="2">
        <v>2</v>
      </c>
      <c r="I4" s="2" t="s">
        <v>90</v>
      </c>
      <c r="J4" s="2" t="s">
        <v>91</v>
      </c>
      <c r="K4" s="2" t="s">
        <v>205</v>
      </c>
      <c r="L4" s="2" t="s">
        <v>92</v>
      </c>
      <c r="M4" s="2">
        <v>1815.61</v>
      </c>
      <c r="N4" s="2" t="s">
        <v>30</v>
      </c>
      <c r="O4" s="2">
        <f t="shared" si="1"/>
        <v>1815.61</v>
      </c>
      <c r="P4" s="2" t="str">
        <f>VLOOKUP(N4,Справочник!A:B,2,0)</f>
        <v>Chicago Bulls</v>
      </c>
      <c r="Q4" s="2" t="str">
        <f>VLOOKUP(N4,Справочник!A:C,3,0)</f>
        <v>NBA</v>
      </c>
      <c r="R4" s="2">
        <f t="shared" si="3"/>
        <v>3631.22</v>
      </c>
      <c r="S4" s="2">
        <f t="shared" si="2"/>
        <v>3631.22</v>
      </c>
    </row>
    <row r="5" spans="1:19" x14ac:dyDescent="0.25">
      <c r="A5" s="2" t="str">
        <f t="shared" si="0"/>
        <v>10862335TEAM</v>
      </c>
      <c r="B5" s="2">
        <v>10862335</v>
      </c>
      <c r="C5" s="2" t="s">
        <v>13</v>
      </c>
      <c r="D5" s="2" t="s">
        <v>127</v>
      </c>
      <c r="E5" s="2" t="s">
        <v>40</v>
      </c>
      <c r="F5" s="2">
        <f>VLOOKUP(E5,Справочник!H:I,2,0)</f>
        <v>60</v>
      </c>
      <c r="G5" s="2" t="s">
        <v>89</v>
      </c>
      <c r="H5" s="2">
        <v>2</v>
      </c>
      <c r="I5" s="2" t="s">
        <v>90</v>
      </c>
      <c r="J5" s="2" t="s">
        <v>91</v>
      </c>
      <c r="K5" s="2" t="s">
        <v>206</v>
      </c>
      <c r="L5" s="2" t="s">
        <v>92</v>
      </c>
      <c r="M5" s="2">
        <v>1815.61</v>
      </c>
      <c r="N5" s="2" t="s">
        <v>219</v>
      </c>
      <c r="O5" s="2">
        <f t="shared" si="1"/>
        <v>1815.61</v>
      </c>
      <c r="P5" s="2" t="str">
        <f>VLOOKUP(N5,Справочник!A:B,2,0)</f>
        <v>Brooklyn Nets</v>
      </c>
      <c r="Q5" s="2" t="str">
        <f>VLOOKUP(N5,Справочник!A:C,3,0)</f>
        <v>NBA</v>
      </c>
      <c r="R5" s="2">
        <f t="shared" si="3"/>
        <v>3631.22</v>
      </c>
      <c r="S5" s="2">
        <f t="shared" si="2"/>
        <v>3631.22</v>
      </c>
    </row>
    <row r="6" spans="1:19" x14ac:dyDescent="0.25">
      <c r="A6" s="2" t="str">
        <f t="shared" si="0"/>
        <v>10862335TEAM</v>
      </c>
      <c r="B6" s="2">
        <v>10862335</v>
      </c>
      <c r="C6" s="2" t="s">
        <v>13</v>
      </c>
      <c r="D6" s="2" t="s">
        <v>128</v>
      </c>
      <c r="E6" s="2" t="s">
        <v>119</v>
      </c>
      <c r="F6" s="2">
        <f>VLOOKUP(E6,Справочник!H:I,2,0)</f>
        <v>58</v>
      </c>
      <c r="G6" s="2" t="s">
        <v>89</v>
      </c>
      <c r="H6" s="2">
        <v>2</v>
      </c>
      <c r="I6" s="2" t="s">
        <v>90</v>
      </c>
      <c r="J6" s="2" t="s">
        <v>91</v>
      </c>
      <c r="K6" s="2" t="s">
        <v>206</v>
      </c>
      <c r="L6" s="2" t="s">
        <v>92</v>
      </c>
      <c r="M6" s="2">
        <v>1815.61</v>
      </c>
      <c r="N6" s="2" t="s">
        <v>219</v>
      </c>
      <c r="O6" s="2">
        <f t="shared" si="1"/>
        <v>1815.61</v>
      </c>
      <c r="P6" s="2" t="str">
        <f>VLOOKUP(N6,Справочник!A:B,2,0)</f>
        <v>Brooklyn Nets</v>
      </c>
      <c r="Q6" s="2" t="str">
        <f>VLOOKUP(N6,Справочник!A:C,3,0)</f>
        <v>NBA</v>
      </c>
      <c r="R6" s="2">
        <f t="shared" si="3"/>
        <v>3631.22</v>
      </c>
      <c r="S6" s="2">
        <f t="shared" si="2"/>
        <v>3631.22</v>
      </c>
    </row>
    <row r="7" spans="1:19" x14ac:dyDescent="0.25">
      <c r="A7" s="2" t="str">
        <f t="shared" si="0"/>
        <v>10862336GRBLK</v>
      </c>
      <c r="B7" s="2">
        <v>10862336</v>
      </c>
      <c r="C7" s="2" t="s">
        <v>113</v>
      </c>
      <c r="D7" s="2" t="s">
        <v>129</v>
      </c>
      <c r="E7" s="2" t="s">
        <v>120</v>
      </c>
      <c r="F7" s="2">
        <f>VLOOKUP(E7,Справочник!H:I,2,0)</f>
        <v>63</v>
      </c>
      <c r="G7" s="2" t="s">
        <v>89</v>
      </c>
      <c r="H7" s="2">
        <v>1</v>
      </c>
      <c r="I7" s="2" t="s">
        <v>90</v>
      </c>
      <c r="J7" s="2" t="s">
        <v>91</v>
      </c>
      <c r="K7" s="2" t="s">
        <v>207</v>
      </c>
      <c r="L7" s="2" t="s">
        <v>92</v>
      </c>
      <c r="M7" s="2">
        <v>1815.61</v>
      </c>
      <c r="N7" s="2" t="s">
        <v>220</v>
      </c>
      <c r="O7" s="2">
        <f t="shared" si="1"/>
        <v>1815.61</v>
      </c>
      <c r="P7" s="2" t="str">
        <f>VLOOKUP(N7,Справочник!A:B,2,0)</f>
        <v>Boston Selitics</v>
      </c>
      <c r="Q7" s="2" t="str">
        <f>VLOOKUP(N7,Справочник!A:C,3,0)</f>
        <v>NBA</v>
      </c>
      <c r="R7" s="2">
        <f t="shared" si="3"/>
        <v>1815.61</v>
      </c>
      <c r="S7" s="2">
        <f t="shared" si="2"/>
        <v>1815.61</v>
      </c>
    </row>
    <row r="8" spans="1:19" x14ac:dyDescent="0.25">
      <c r="A8" s="2" t="str">
        <f t="shared" si="0"/>
        <v>10862336GRBLK</v>
      </c>
      <c r="B8" s="2">
        <v>10862336</v>
      </c>
      <c r="C8" s="2" t="s">
        <v>113</v>
      </c>
      <c r="D8" s="2" t="s">
        <v>130</v>
      </c>
      <c r="E8" s="2">
        <v>8</v>
      </c>
      <c r="F8" s="2">
        <f>VLOOKUP(E8,Справочник!H:I,2,0)</f>
        <v>64</v>
      </c>
      <c r="G8" s="2" t="s">
        <v>89</v>
      </c>
      <c r="H8" s="2">
        <v>2</v>
      </c>
      <c r="I8" s="2" t="s">
        <v>90</v>
      </c>
      <c r="J8" s="2" t="s">
        <v>91</v>
      </c>
      <c r="K8" s="2" t="s">
        <v>207</v>
      </c>
      <c r="L8" s="2" t="s">
        <v>92</v>
      </c>
      <c r="M8" s="2">
        <v>1815.61</v>
      </c>
      <c r="N8" s="2" t="s">
        <v>220</v>
      </c>
      <c r="O8" s="2">
        <f t="shared" si="1"/>
        <v>1815.61</v>
      </c>
      <c r="P8" s="2" t="str">
        <f>VLOOKUP(N8,Справочник!A:B,2,0)</f>
        <v>Boston Selitics</v>
      </c>
      <c r="Q8" s="2" t="str">
        <f>VLOOKUP(N8,Справочник!A:C,3,0)</f>
        <v>NBA</v>
      </c>
      <c r="R8" s="2">
        <f t="shared" si="3"/>
        <v>3631.22</v>
      </c>
      <c r="S8" s="2">
        <f t="shared" si="2"/>
        <v>3631.22</v>
      </c>
    </row>
    <row r="9" spans="1:19" x14ac:dyDescent="0.25">
      <c r="A9" s="2" t="str">
        <f t="shared" si="0"/>
        <v>10879530RED</v>
      </c>
      <c r="B9" s="2">
        <v>10879530</v>
      </c>
      <c r="C9" s="2" t="s">
        <v>112</v>
      </c>
      <c r="D9" s="2" t="s">
        <v>131</v>
      </c>
      <c r="E9" s="2" t="s">
        <v>33</v>
      </c>
      <c r="F9" s="2">
        <f>VLOOKUP(E9,Справочник!H:I,2,0)</f>
        <v>58</v>
      </c>
      <c r="G9" s="2" t="s">
        <v>89</v>
      </c>
      <c r="H9" s="2">
        <v>3</v>
      </c>
      <c r="I9" s="2" t="s">
        <v>90</v>
      </c>
      <c r="J9" s="2" t="s">
        <v>95</v>
      </c>
      <c r="K9" s="2" t="s">
        <v>97</v>
      </c>
      <c r="L9" s="2" t="s">
        <v>92</v>
      </c>
      <c r="M9" s="2">
        <v>2211.31</v>
      </c>
      <c r="N9" s="2" t="s">
        <v>23</v>
      </c>
      <c r="O9" s="2">
        <f t="shared" si="1"/>
        <v>2211.31</v>
      </c>
      <c r="P9" s="2" t="str">
        <f>VLOOKUP(N9,Справочник!A:B,2,0)</f>
        <v>New York Yankees</v>
      </c>
      <c r="Q9" s="2" t="str">
        <f>VLOOKUP(N9,Справочник!A:C,3,0)</f>
        <v>MLB</v>
      </c>
      <c r="R9" s="2">
        <f t="shared" si="3"/>
        <v>6633.93</v>
      </c>
      <c r="S9" s="2">
        <f t="shared" si="2"/>
        <v>6633.93</v>
      </c>
    </row>
    <row r="10" spans="1:19" x14ac:dyDescent="0.25">
      <c r="A10" s="2" t="str">
        <f t="shared" si="0"/>
        <v>10879530RED</v>
      </c>
      <c r="B10" s="2">
        <v>10879530</v>
      </c>
      <c r="C10" s="2" t="s">
        <v>112</v>
      </c>
      <c r="D10" s="2" t="s">
        <v>132</v>
      </c>
      <c r="E10" s="2" t="s">
        <v>36</v>
      </c>
      <c r="F10" s="2">
        <f>VLOOKUP(E10,Справочник!H:I,2,0)</f>
        <v>56</v>
      </c>
      <c r="G10" s="2" t="s">
        <v>89</v>
      </c>
      <c r="H10" s="2">
        <v>3</v>
      </c>
      <c r="I10" s="2" t="s">
        <v>90</v>
      </c>
      <c r="J10" s="2" t="s">
        <v>95</v>
      </c>
      <c r="K10" s="2" t="s">
        <v>97</v>
      </c>
      <c r="L10" s="2" t="s">
        <v>92</v>
      </c>
      <c r="M10" s="2">
        <v>2211.31</v>
      </c>
      <c r="N10" s="2" t="s">
        <v>23</v>
      </c>
      <c r="O10" s="2">
        <f t="shared" si="1"/>
        <v>2211.31</v>
      </c>
      <c r="P10" s="2" t="str">
        <f>VLOOKUP(N10,Справочник!A:B,2,0)</f>
        <v>New York Yankees</v>
      </c>
      <c r="Q10" s="2" t="str">
        <f>VLOOKUP(N10,Справочник!A:C,3,0)</f>
        <v>MLB</v>
      </c>
      <c r="R10" s="2">
        <f t="shared" si="3"/>
        <v>6633.93</v>
      </c>
      <c r="S10" s="2">
        <f t="shared" si="2"/>
        <v>6633.93</v>
      </c>
    </row>
    <row r="11" spans="1:19" x14ac:dyDescent="0.25">
      <c r="A11" s="2" t="str">
        <f t="shared" si="0"/>
        <v>11074364GRA</v>
      </c>
      <c r="B11" s="2">
        <v>11074364</v>
      </c>
      <c r="C11" s="2" t="s">
        <v>110</v>
      </c>
      <c r="D11" s="2" t="s">
        <v>133</v>
      </c>
      <c r="E11" s="2" t="s">
        <v>29</v>
      </c>
      <c r="F11" s="2" t="str">
        <f>VLOOKUP(E11,Справочник!H:I,2,0)</f>
        <v>O/S</v>
      </c>
      <c r="G11" s="2" t="s">
        <v>93</v>
      </c>
      <c r="H11" s="2">
        <v>3</v>
      </c>
      <c r="I11" s="2" t="s">
        <v>185</v>
      </c>
      <c r="J11" s="2" t="s">
        <v>203</v>
      </c>
      <c r="K11" s="2" t="s">
        <v>208</v>
      </c>
      <c r="L11" s="2" t="s">
        <v>92</v>
      </c>
      <c r="M11" s="2">
        <v>581.5</v>
      </c>
      <c r="O11" s="2">
        <f t="shared" si="1"/>
        <v>581.5</v>
      </c>
      <c r="R11" s="2">
        <f t="shared" si="3"/>
        <v>1744.5</v>
      </c>
      <c r="S11" s="2">
        <f t="shared" si="2"/>
        <v>1744.5</v>
      </c>
    </row>
    <row r="12" spans="1:19" x14ac:dyDescent="0.25">
      <c r="A12" s="2" t="str">
        <f t="shared" si="0"/>
        <v>11086491BLK</v>
      </c>
      <c r="B12" s="2">
        <v>11086491</v>
      </c>
      <c r="C12" s="2" t="s">
        <v>11</v>
      </c>
      <c r="D12" s="2" t="s">
        <v>134</v>
      </c>
      <c r="E12" s="2" t="s">
        <v>36</v>
      </c>
      <c r="F12" s="2">
        <f>VLOOKUP(E12,Справочник!H:I,2,0)</f>
        <v>56</v>
      </c>
      <c r="G12" s="2" t="s">
        <v>93</v>
      </c>
      <c r="H12" s="2">
        <v>4</v>
      </c>
      <c r="I12" s="2" t="s">
        <v>184</v>
      </c>
      <c r="J12" s="2" t="s">
        <v>99</v>
      </c>
      <c r="K12" s="2" t="s">
        <v>209</v>
      </c>
      <c r="L12" s="2" t="s">
        <v>92</v>
      </c>
      <c r="M12" s="2">
        <v>1117.1199999999999</v>
      </c>
      <c r="O12" s="2">
        <f t="shared" si="1"/>
        <v>1117.1199999999999</v>
      </c>
      <c r="R12" s="2">
        <f t="shared" si="3"/>
        <v>4468.4799999999996</v>
      </c>
      <c r="S12" s="2">
        <f t="shared" si="2"/>
        <v>4468.4799999999996</v>
      </c>
    </row>
    <row r="13" spans="1:19" x14ac:dyDescent="0.25">
      <c r="A13" s="2" t="str">
        <f t="shared" si="0"/>
        <v>11180833BLKWHI</v>
      </c>
      <c r="B13" s="2">
        <v>11180833</v>
      </c>
      <c r="C13" s="2" t="s">
        <v>9</v>
      </c>
      <c r="D13" s="2" t="s">
        <v>135</v>
      </c>
      <c r="E13" s="2" t="s">
        <v>36</v>
      </c>
      <c r="F13" s="2">
        <f>VLOOKUP(E13,Справочник!H:I,2,0)</f>
        <v>56</v>
      </c>
      <c r="G13" s="2" t="s">
        <v>89</v>
      </c>
      <c r="H13" s="2">
        <v>4</v>
      </c>
      <c r="I13" s="2" t="s">
        <v>90</v>
      </c>
      <c r="J13" s="2" t="s">
        <v>95</v>
      </c>
      <c r="L13" s="2" t="s">
        <v>92</v>
      </c>
      <c r="M13" s="2">
        <v>1769.05</v>
      </c>
      <c r="N13" s="2" t="s">
        <v>23</v>
      </c>
      <c r="O13" s="2">
        <f t="shared" si="1"/>
        <v>1769.05</v>
      </c>
      <c r="P13" s="2" t="str">
        <f>VLOOKUP(N13,Справочник!A:B,2,0)</f>
        <v>New York Yankees</v>
      </c>
      <c r="Q13" s="2" t="str">
        <f>VLOOKUP(N13,Справочник!A:C,3,0)</f>
        <v>MLB</v>
      </c>
      <c r="R13" s="2">
        <f t="shared" si="3"/>
        <v>7076.2</v>
      </c>
      <c r="S13" s="2">
        <f t="shared" si="2"/>
        <v>7076.2</v>
      </c>
    </row>
    <row r="14" spans="1:19" x14ac:dyDescent="0.25">
      <c r="A14" s="2" t="str">
        <f t="shared" si="0"/>
        <v>11198849GRA</v>
      </c>
      <c r="B14" s="2">
        <v>11198849</v>
      </c>
      <c r="C14" s="2" t="s">
        <v>110</v>
      </c>
      <c r="D14" s="2" t="s">
        <v>136</v>
      </c>
      <c r="E14" s="2" t="s">
        <v>29</v>
      </c>
      <c r="F14" s="2" t="str">
        <f>VLOOKUP(E14,Справочник!H:I,2,0)</f>
        <v>O/S</v>
      </c>
      <c r="G14" s="2" t="s">
        <v>93</v>
      </c>
      <c r="H14" s="2">
        <v>2</v>
      </c>
      <c r="I14" s="2" t="s">
        <v>186</v>
      </c>
      <c r="J14" s="2" t="s">
        <v>200</v>
      </c>
      <c r="K14" s="2" t="s">
        <v>210</v>
      </c>
      <c r="L14" s="2" t="s">
        <v>92</v>
      </c>
      <c r="M14" s="2">
        <v>1338.2</v>
      </c>
      <c r="N14" s="2" t="s">
        <v>23</v>
      </c>
      <c r="O14" s="2">
        <f t="shared" si="1"/>
        <v>1338.2</v>
      </c>
      <c r="P14" s="2" t="str">
        <f>VLOOKUP(N14,Справочник!A:B,2,0)</f>
        <v>New York Yankees</v>
      </c>
      <c r="Q14" s="2" t="str">
        <f>VLOOKUP(N14,Справочник!A:C,3,0)</f>
        <v>MLB</v>
      </c>
      <c r="R14" s="2">
        <f t="shared" si="3"/>
        <v>2676.4</v>
      </c>
      <c r="S14" s="2">
        <f t="shared" si="2"/>
        <v>2676.4</v>
      </c>
    </row>
    <row r="15" spans="1:19" x14ac:dyDescent="0.25">
      <c r="A15" s="2" t="str">
        <f t="shared" si="0"/>
        <v>11213222BLK</v>
      </c>
      <c r="B15" s="2">
        <v>11213222</v>
      </c>
      <c r="C15" s="2" t="s">
        <v>11</v>
      </c>
      <c r="D15" s="2" t="s">
        <v>137</v>
      </c>
      <c r="E15" s="2" t="s">
        <v>29</v>
      </c>
      <c r="F15" s="2" t="str">
        <f>VLOOKUP(E15,Справочник!H:I,2,0)</f>
        <v>O/S</v>
      </c>
      <c r="G15" s="2" t="s">
        <v>89</v>
      </c>
      <c r="H15" s="2">
        <v>3</v>
      </c>
      <c r="I15" s="2" t="s">
        <v>90</v>
      </c>
      <c r="J15" s="2" t="s">
        <v>95</v>
      </c>
      <c r="K15" s="2" t="s">
        <v>211</v>
      </c>
      <c r="L15" s="2" t="s">
        <v>92</v>
      </c>
      <c r="M15" s="2">
        <v>1210.25</v>
      </c>
      <c r="N15" s="2" t="s">
        <v>57</v>
      </c>
      <c r="O15" s="2">
        <f t="shared" si="1"/>
        <v>1210.25</v>
      </c>
      <c r="P15" s="2" t="str">
        <f>VLOOKUP(N15,Справочник!A:B,2,0)</f>
        <v>Manchester United</v>
      </c>
      <c r="Q15" s="2" t="str">
        <f>VLOOKUP(N15,Справочник!A:C,3,0)</f>
        <v>EPL</v>
      </c>
      <c r="R15" s="2">
        <f t="shared" si="3"/>
        <v>3630.75</v>
      </c>
      <c r="S15" s="2">
        <f t="shared" si="2"/>
        <v>3630.75</v>
      </c>
    </row>
    <row r="16" spans="1:19" x14ac:dyDescent="0.25">
      <c r="A16" s="2" t="str">
        <f t="shared" si="0"/>
        <v>11405495BLK</v>
      </c>
      <c r="B16" s="2">
        <v>11405495</v>
      </c>
      <c r="C16" s="2" t="s">
        <v>11</v>
      </c>
      <c r="D16" s="2" t="s">
        <v>138</v>
      </c>
      <c r="E16" s="2" t="s">
        <v>33</v>
      </c>
      <c r="F16" s="2">
        <f>VLOOKUP(E16,Справочник!H:I,2,0)</f>
        <v>58</v>
      </c>
      <c r="G16" s="2" t="s">
        <v>89</v>
      </c>
      <c r="H16" s="2">
        <v>14</v>
      </c>
      <c r="I16" s="2" t="s">
        <v>90</v>
      </c>
      <c r="J16" s="2" t="s">
        <v>94</v>
      </c>
      <c r="K16" s="2" t="s">
        <v>212</v>
      </c>
      <c r="L16" s="2" t="s">
        <v>92</v>
      </c>
      <c r="M16" s="2">
        <v>1489.65</v>
      </c>
      <c r="N16" s="2" t="s">
        <v>28</v>
      </c>
      <c r="O16" s="2">
        <f t="shared" si="1"/>
        <v>1489.65</v>
      </c>
      <c r="P16" s="2" t="str">
        <f>VLOOKUP(N16,Справочник!A:B,2,0)</f>
        <v>Los Angeles Dodgers</v>
      </c>
      <c r="Q16" s="2" t="str">
        <f>VLOOKUP(N16,Справочник!A:C,3,0)</f>
        <v>MLB</v>
      </c>
      <c r="R16" s="2">
        <f t="shared" si="3"/>
        <v>20855.100000000002</v>
      </c>
      <c r="S16" s="2">
        <f t="shared" si="2"/>
        <v>20855.100000000002</v>
      </c>
    </row>
    <row r="17" spans="1:19" x14ac:dyDescent="0.25">
      <c r="A17" s="2" t="str">
        <f t="shared" si="0"/>
        <v>11448335BLK</v>
      </c>
      <c r="B17" s="2">
        <v>11448335</v>
      </c>
      <c r="C17" s="2" t="s">
        <v>11</v>
      </c>
      <c r="D17" s="2" t="s">
        <v>139</v>
      </c>
      <c r="E17" s="2" t="s">
        <v>29</v>
      </c>
      <c r="F17" s="2" t="str">
        <f>VLOOKUP(E17,Справочник!H:I,2,0)</f>
        <v>O/S</v>
      </c>
      <c r="G17" s="2" t="s">
        <v>93</v>
      </c>
      <c r="H17" s="2">
        <v>2</v>
      </c>
      <c r="I17" s="2" t="s">
        <v>185</v>
      </c>
      <c r="J17" s="2" t="s">
        <v>199</v>
      </c>
      <c r="K17" s="2" t="s">
        <v>213</v>
      </c>
      <c r="L17" s="2" t="s">
        <v>92</v>
      </c>
      <c r="M17" s="2">
        <v>581.5</v>
      </c>
      <c r="N17" s="2" t="s">
        <v>221</v>
      </c>
      <c r="O17" s="2">
        <f t="shared" si="1"/>
        <v>581.5</v>
      </c>
      <c r="P17" s="2" t="str">
        <f>VLOOKUP(N17,Справочник!A:B,2,0)</f>
        <v>Oakland Raiders</v>
      </c>
      <c r="Q17" s="2" t="str">
        <f>VLOOKUP(N17,Справочник!A:C,3,0)</f>
        <v>NFL</v>
      </c>
      <c r="R17" s="2">
        <f t="shared" si="3"/>
        <v>1163</v>
      </c>
      <c r="S17" s="2">
        <f t="shared" si="2"/>
        <v>1163</v>
      </c>
    </row>
    <row r="18" spans="1:19" x14ac:dyDescent="0.25">
      <c r="A18" s="2" t="str">
        <f t="shared" si="0"/>
        <v>11588489NVYWHI</v>
      </c>
      <c r="B18" s="2">
        <v>11588489</v>
      </c>
      <c r="C18" s="2" t="s">
        <v>12</v>
      </c>
      <c r="D18" s="2" t="s">
        <v>140</v>
      </c>
      <c r="E18" s="2" t="s">
        <v>29</v>
      </c>
      <c r="F18" s="2" t="str">
        <f>VLOOKUP(E18,Справочник!H:I,2,0)</f>
        <v>O/S</v>
      </c>
      <c r="G18" s="2" t="s">
        <v>89</v>
      </c>
      <c r="H18" s="2">
        <v>32</v>
      </c>
      <c r="I18" s="2" t="s">
        <v>90</v>
      </c>
      <c r="J18" s="2" t="s">
        <v>95</v>
      </c>
      <c r="L18" s="2" t="s">
        <v>92</v>
      </c>
      <c r="M18" s="2">
        <v>1489.65</v>
      </c>
      <c r="N18" s="2" t="s">
        <v>23</v>
      </c>
      <c r="O18" s="2">
        <f t="shared" si="1"/>
        <v>1489.65</v>
      </c>
      <c r="P18" s="2" t="str">
        <f>VLOOKUP(N18,Справочник!A:B,2,0)</f>
        <v>New York Yankees</v>
      </c>
      <c r="Q18" s="2" t="str">
        <f>VLOOKUP(N18,Справочник!A:C,3,0)</f>
        <v>MLB</v>
      </c>
      <c r="R18" s="2">
        <f t="shared" si="3"/>
        <v>47668.800000000003</v>
      </c>
      <c r="S18" s="2">
        <f t="shared" si="2"/>
        <v>47668.800000000003</v>
      </c>
    </row>
    <row r="19" spans="1:19" x14ac:dyDescent="0.25">
      <c r="A19" s="2" t="str">
        <f t="shared" si="0"/>
        <v>11871284BLKOTC</v>
      </c>
      <c r="B19" s="2">
        <v>11871284</v>
      </c>
      <c r="C19" s="2" t="s">
        <v>15</v>
      </c>
      <c r="D19" s="2" t="s">
        <v>141</v>
      </c>
      <c r="E19" s="2" t="s">
        <v>36</v>
      </c>
      <c r="F19" s="2">
        <f>VLOOKUP(E19,Справочник!H:I,2,0)</f>
        <v>56</v>
      </c>
      <c r="G19" s="2" t="s">
        <v>89</v>
      </c>
      <c r="H19" s="2">
        <v>1</v>
      </c>
      <c r="I19" s="2" t="s">
        <v>90</v>
      </c>
      <c r="J19" s="2" t="s">
        <v>99</v>
      </c>
      <c r="L19" s="2" t="s">
        <v>92</v>
      </c>
      <c r="M19" s="2">
        <v>1769.05</v>
      </c>
      <c r="N19" s="2" t="s">
        <v>30</v>
      </c>
      <c r="O19" s="2">
        <f t="shared" si="1"/>
        <v>1769.05</v>
      </c>
      <c r="P19" s="2" t="str">
        <f>VLOOKUP(N19,Справочник!A:B,2,0)</f>
        <v>Chicago Bulls</v>
      </c>
      <c r="Q19" s="2" t="str">
        <f>VLOOKUP(N19,Справочник!A:C,3,0)</f>
        <v>NBA</v>
      </c>
      <c r="R19" s="2">
        <f t="shared" si="3"/>
        <v>1769.05</v>
      </c>
      <c r="S19" s="2">
        <f t="shared" si="2"/>
        <v>1769.05</v>
      </c>
    </row>
    <row r="20" spans="1:19" x14ac:dyDescent="0.25">
      <c r="A20" s="2" t="str">
        <f t="shared" si="0"/>
        <v>11901827BLK</v>
      </c>
      <c r="B20" s="2">
        <v>11901827</v>
      </c>
      <c r="C20" s="2" t="s">
        <v>11</v>
      </c>
      <c r="D20" s="2" t="s">
        <v>142</v>
      </c>
      <c r="E20" s="2" t="s">
        <v>33</v>
      </c>
      <c r="F20" s="2">
        <f>VLOOKUP(E20,Справочник!H:I,2,0)</f>
        <v>58</v>
      </c>
      <c r="G20" s="2" t="s">
        <v>89</v>
      </c>
      <c r="H20" s="2">
        <v>1</v>
      </c>
      <c r="I20" s="2" t="s">
        <v>90</v>
      </c>
      <c r="J20" s="2" t="s">
        <v>99</v>
      </c>
      <c r="L20" s="2" t="s">
        <v>92</v>
      </c>
      <c r="M20" s="2">
        <v>2211.31</v>
      </c>
      <c r="N20" s="2" t="s">
        <v>34</v>
      </c>
      <c r="O20" s="2">
        <f t="shared" si="1"/>
        <v>2211.31</v>
      </c>
      <c r="P20" s="2" t="str">
        <f>VLOOKUP(N20,Справочник!A:B,2,0)</f>
        <v>Los Angeles Lakers</v>
      </c>
      <c r="Q20" s="2" t="str">
        <f>VLOOKUP(N20,Справочник!A:C,3,0)</f>
        <v>NBA</v>
      </c>
      <c r="R20" s="2">
        <f t="shared" si="3"/>
        <v>2211.31</v>
      </c>
      <c r="S20" s="2">
        <f t="shared" si="2"/>
        <v>2211.31</v>
      </c>
    </row>
    <row r="21" spans="1:19" x14ac:dyDescent="0.25">
      <c r="A21" s="2" t="str">
        <f t="shared" si="0"/>
        <v>12033100GRE</v>
      </c>
      <c r="B21" s="2">
        <v>12033100</v>
      </c>
      <c r="C21" s="2" t="s">
        <v>115</v>
      </c>
      <c r="D21" s="2" t="s">
        <v>143</v>
      </c>
      <c r="E21" s="2" t="s">
        <v>29</v>
      </c>
      <c r="F21" s="2" t="str">
        <f>VLOOKUP(E21,Справочник!H:I,2,0)</f>
        <v>O/S</v>
      </c>
      <c r="G21" s="2" t="s">
        <v>93</v>
      </c>
      <c r="H21" s="2">
        <v>4</v>
      </c>
      <c r="I21" s="2" t="s">
        <v>185</v>
      </c>
      <c r="J21" s="2" t="s">
        <v>199</v>
      </c>
      <c r="K21" s="2" t="s">
        <v>214</v>
      </c>
      <c r="L21" s="2" t="s">
        <v>92</v>
      </c>
      <c r="M21" s="2">
        <v>465.2</v>
      </c>
      <c r="O21" s="2">
        <f t="shared" si="1"/>
        <v>465.2</v>
      </c>
      <c r="R21" s="2">
        <f t="shared" si="3"/>
        <v>1860.8</v>
      </c>
      <c r="S21" s="2">
        <f t="shared" si="2"/>
        <v>1860.8</v>
      </c>
    </row>
    <row r="22" spans="1:19" x14ac:dyDescent="0.25">
      <c r="A22" s="2" t="str">
        <f t="shared" si="0"/>
        <v>12033103BLK</v>
      </c>
      <c r="B22" s="2">
        <v>12033103</v>
      </c>
      <c r="C22" s="2" t="s">
        <v>11</v>
      </c>
      <c r="D22" s="2" t="s">
        <v>144</v>
      </c>
      <c r="E22" s="2" t="s">
        <v>29</v>
      </c>
      <c r="F22" s="2" t="str">
        <f>VLOOKUP(E22,Справочник!H:I,2,0)</f>
        <v>O/S</v>
      </c>
      <c r="G22" s="2" t="s">
        <v>93</v>
      </c>
      <c r="H22" s="2">
        <v>2</v>
      </c>
      <c r="I22" s="2" t="s">
        <v>185</v>
      </c>
      <c r="J22" s="2" t="s">
        <v>199</v>
      </c>
      <c r="K22" s="2" t="s">
        <v>214</v>
      </c>
      <c r="L22" s="2" t="s">
        <v>92</v>
      </c>
      <c r="M22" s="2">
        <v>581.5</v>
      </c>
      <c r="O22" s="2">
        <f t="shared" si="1"/>
        <v>581.5</v>
      </c>
      <c r="R22" s="2">
        <f t="shared" si="3"/>
        <v>1163</v>
      </c>
      <c r="S22" s="2">
        <f t="shared" si="2"/>
        <v>1163</v>
      </c>
    </row>
    <row r="23" spans="1:19" x14ac:dyDescent="0.25">
      <c r="A23" s="2" t="str">
        <f t="shared" si="0"/>
        <v>12033266LOSDOD</v>
      </c>
      <c r="B23" s="2">
        <v>12033266</v>
      </c>
      <c r="C23" s="2" t="s">
        <v>28</v>
      </c>
      <c r="D23" s="2" t="s">
        <v>145</v>
      </c>
      <c r="E23" s="2" t="s">
        <v>29</v>
      </c>
      <c r="F23" s="2" t="str">
        <f>VLOOKUP(E23,Справочник!H:I,2,0)</f>
        <v>O/S</v>
      </c>
      <c r="G23" s="2" t="s">
        <v>93</v>
      </c>
      <c r="H23" s="2">
        <v>1</v>
      </c>
      <c r="I23" s="2" t="s">
        <v>185</v>
      </c>
      <c r="J23" s="2" t="s">
        <v>199</v>
      </c>
      <c r="K23" s="2" t="s">
        <v>215</v>
      </c>
      <c r="L23" s="2" t="s">
        <v>92</v>
      </c>
      <c r="M23" s="2">
        <v>581.5</v>
      </c>
      <c r="N23" s="2" t="s">
        <v>28</v>
      </c>
      <c r="O23" s="2">
        <f t="shared" si="1"/>
        <v>581.5</v>
      </c>
      <c r="P23" s="2" t="str">
        <f>VLOOKUP(N23,Справочник!A:B,2,0)</f>
        <v>Los Angeles Dodgers</v>
      </c>
      <c r="Q23" s="2" t="str">
        <f>VLOOKUP(N23,Справочник!A:C,3,0)</f>
        <v>MLB</v>
      </c>
      <c r="R23" s="2">
        <f t="shared" si="3"/>
        <v>581.5</v>
      </c>
      <c r="S23" s="2">
        <f t="shared" si="2"/>
        <v>581.5</v>
      </c>
    </row>
    <row r="24" spans="1:19" x14ac:dyDescent="0.25">
      <c r="A24" s="2" t="str">
        <f t="shared" si="0"/>
        <v>12122725BLK</v>
      </c>
      <c r="B24" s="2">
        <v>12122725</v>
      </c>
      <c r="C24" s="2" t="s">
        <v>11</v>
      </c>
      <c r="D24" s="2" t="s">
        <v>146</v>
      </c>
      <c r="E24" s="2" t="s">
        <v>33</v>
      </c>
      <c r="F24" s="2">
        <f>VLOOKUP(E24,Справочник!H:I,2,0)</f>
        <v>58</v>
      </c>
      <c r="G24" s="2" t="s">
        <v>93</v>
      </c>
      <c r="H24" s="2">
        <v>2</v>
      </c>
      <c r="I24" s="2" t="s">
        <v>184</v>
      </c>
      <c r="J24" s="2" t="s">
        <v>95</v>
      </c>
      <c r="K24" s="2" t="s">
        <v>98</v>
      </c>
      <c r="L24" s="2" t="s">
        <v>92</v>
      </c>
      <c r="M24" s="2">
        <v>1769.05</v>
      </c>
      <c r="N24" s="2" t="s">
        <v>30</v>
      </c>
      <c r="O24" s="2">
        <f t="shared" si="1"/>
        <v>1769.05</v>
      </c>
      <c r="P24" s="2" t="str">
        <f>VLOOKUP(N24,Справочник!A:B,2,0)</f>
        <v>Chicago Bulls</v>
      </c>
      <c r="Q24" s="2" t="str">
        <f>VLOOKUP(N24,Справочник!A:C,3,0)</f>
        <v>NBA</v>
      </c>
      <c r="R24" s="2">
        <f t="shared" si="3"/>
        <v>3538.1</v>
      </c>
      <c r="S24" s="2">
        <f t="shared" si="2"/>
        <v>3538.1</v>
      </c>
    </row>
    <row r="25" spans="1:19" x14ac:dyDescent="0.25">
      <c r="A25" s="2" t="str">
        <f t="shared" si="0"/>
        <v>12122725BLK</v>
      </c>
      <c r="B25" s="2">
        <v>12122725</v>
      </c>
      <c r="C25" s="2" t="s">
        <v>11</v>
      </c>
      <c r="D25" s="2" t="s">
        <v>147</v>
      </c>
      <c r="E25" s="2" t="s">
        <v>36</v>
      </c>
      <c r="F25" s="2">
        <f>VLOOKUP(E25,Справочник!H:I,2,0)</f>
        <v>56</v>
      </c>
      <c r="G25" s="2" t="s">
        <v>93</v>
      </c>
      <c r="H25" s="2">
        <v>1</v>
      </c>
      <c r="I25" s="2" t="s">
        <v>184</v>
      </c>
      <c r="J25" s="2" t="s">
        <v>95</v>
      </c>
      <c r="K25" s="2" t="s">
        <v>98</v>
      </c>
      <c r="L25" s="2" t="s">
        <v>92</v>
      </c>
      <c r="M25" s="2">
        <v>1769.05</v>
      </c>
      <c r="N25" s="2" t="s">
        <v>30</v>
      </c>
      <c r="O25" s="2">
        <f t="shared" si="1"/>
        <v>1769.05</v>
      </c>
      <c r="P25" s="2" t="str">
        <f>VLOOKUP(N25,Справочник!A:B,2,0)</f>
        <v>Chicago Bulls</v>
      </c>
      <c r="Q25" s="2" t="str">
        <f>VLOOKUP(N25,Справочник!A:C,3,0)</f>
        <v>NBA</v>
      </c>
      <c r="R25" s="2">
        <f t="shared" si="3"/>
        <v>1769.05</v>
      </c>
      <c r="S25" s="2">
        <f t="shared" si="2"/>
        <v>1769.05</v>
      </c>
    </row>
    <row r="26" spans="1:19" x14ac:dyDescent="0.25">
      <c r="A26" s="2" t="str">
        <f t="shared" si="0"/>
        <v>12489434GRAWHT</v>
      </c>
      <c r="B26" s="2">
        <v>12489434</v>
      </c>
      <c r="C26" s="2" t="s">
        <v>118</v>
      </c>
      <c r="D26" s="2" t="s">
        <v>148</v>
      </c>
      <c r="E26" s="2" t="s">
        <v>29</v>
      </c>
      <c r="F26" s="2" t="str">
        <f>VLOOKUP(E26,Справочник!H:I,2,0)</f>
        <v>O/S</v>
      </c>
      <c r="G26" s="2" t="s">
        <v>93</v>
      </c>
      <c r="H26" s="2">
        <v>8</v>
      </c>
      <c r="I26" s="2" t="s">
        <v>187</v>
      </c>
      <c r="J26" s="2" t="s">
        <v>199</v>
      </c>
      <c r="K26" s="2" t="s">
        <v>216</v>
      </c>
      <c r="L26" s="2" t="s">
        <v>92</v>
      </c>
      <c r="M26" s="2">
        <v>744.59</v>
      </c>
      <c r="O26" s="2">
        <f t="shared" si="1"/>
        <v>744.59</v>
      </c>
      <c r="R26" s="2">
        <f t="shared" si="3"/>
        <v>5956.72</v>
      </c>
      <c r="S26" s="2">
        <f t="shared" si="2"/>
        <v>5956.72</v>
      </c>
    </row>
    <row r="27" spans="1:19" x14ac:dyDescent="0.25">
      <c r="A27" s="2" t="str">
        <f t="shared" si="0"/>
        <v>12503527BLACK</v>
      </c>
      <c r="B27" s="2">
        <v>12503527</v>
      </c>
      <c r="C27" s="2" t="s">
        <v>117</v>
      </c>
      <c r="D27" s="2" t="s">
        <v>149</v>
      </c>
      <c r="E27" s="2" t="s">
        <v>36</v>
      </c>
      <c r="F27" s="2">
        <f>VLOOKUP(E27,Справочник!H:I,2,0)</f>
        <v>56</v>
      </c>
      <c r="G27" s="2" t="s">
        <v>93</v>
      </c>
      <c r="H27" s="2">
        <v>6</v>
      </c>
      <c r="I27" s="2" t="s">
        <v>188</v>
      </c>
      <c r="J27" s="2" t="s">
        <v>91</v>
      </c>
      <c r="L27" s="2" t="s">
        <v>92</v>
      </c>
      <c r="M27" s="2">
        <v>1745.65</v>
      </c>
      <c r="N27" s="2" t="s">
        <v>57</v>
      </c>
      <c r="O27" s="2">
        <f t="shared" si="1"/>
        <v>1745.6500000000003</v>
      </c>
      <c r="P27" s="2" t="str">
        <f>VLOOKUP(N27,Справочник!A:B,2,0)</f>
        <v>Manchester United</v>
      </c>
      <c r="Q27" s="2" t="str">
        <f>VLOOKUP(N27,Справочник!A:C,3,0)</f>
        <v>EPL</v>
      </c>
      <c r="R27" s="2">
        <f t="shared" si="3"/>
        <v>10473.900000000001</v>
      </c>
      <c r="S27" s="2">
        <f t="shared" si="2"/>
        <v>10473.900000000001</v>
      </c>
    </row>
    <row r="28" spans="1:19" x14ac:dyDescent="0.25">
      <c r="A28" s="2" t="str">
        <f t="shared" si="0"/>
        <v>12503535SCA</v>
      </c>
      <c r="B28" s="2">
        <v>12503535</v>
      </c>
      <c r="C28" s="2" t="s">
        <v>116</v>
      </c>
      <c r="D28" s="2" t="s">
        <v>150</v>
      </c>
      <c r="E28" s="2" t="s">
        <v>29</v>
      </c>
      <c r="F28" s="2" t="str">
        <f>VLOOKUP(E28,Справочник!H:I,2,0)</f>
        <v>O/S</v>
      </c>
      <c r="G28" s="2" t="s">
        <v>93</v>
      </c>
      <c r="H28" s="2">
        <v>3</v>
      </c>
      <c r="I28" s="2" t="s">
        <v>189</v>
      </c>
      <c r="J28" s="2" t="s">
        <v>100</v>
      </c>
      <c r="K28" s="2" t="s">
        <v>217</v>
      </c>
      <c r="L28" s="2" t="s">
        <v>92</v>
      </c>
      <c r="M28" s="2">
        <v>1338.2</v>
      </c>
      <c r="N28" s="2" t="s">
        <v>57</v>
      </c>
      <c r="O28" s="2">
        <f t="shared" si="1"/>
        <v>1338.2</v>
      </c>
      <c r="P28" s="2" t="str">
        <f>VLOOKUP(N28,Справочник!A:B,2,0)</f>
        <v>Manchester United</v>
      </c>
      <c r="Q28" s="2" t="str">
        <f>VLOOKUP(N28,Справочник!A:C,3,0)</f>
        <v>EPL</v>
      </c>
      <c r="R28" s="2">
        <f t="shared" si="3"/>
        <v>4014.6000000000004</v>
      </c>
      <c r="S28" s="2">
        <f t="shared" si="2"/>
        <v>4014.6000000000004</v>
      </c>
    </row>
    <row r="29" spans="1:19" x14ac:dyDescent="0.25">
      <c r="A29" s="2" t="str">
        <f t="shared" si="0"/>
        <v>12503546BLK</v>
      </c>
      <c r="B29" s="2">
        <v>12503546</v>
      </c>
      <c r="C29" s="2" t="s">
        <v>11</v>
      </c>
      <c r="D29" s="2" t="s">
        <v>151</v>
      </c>
      <c r="E29" s="2" t="s">
        <v>36</v>
      </c>
      <c r="F29" s="2">
        <f>VLOOKUP(E29,Справочник!H:I,2,0)</f>
        <v>56</v>
      </c>
      <c r="G29" s="2" t="s">
        <v>93</v>
      </c>
      <c r="H29" s="2">
        <v>6</v>
      </c>
      <c r="I29" s="2" t="s">
        <v>190</v>
      </c>
      <c r="J29" s="2" t="s">
        <v>202</v>
      </c>
      <c r="L29" s="2" t="s">
        <v>92</v>
      </c>
      <c r="M29" s="2">
        <v>1396.4</v>
      </c>
      <c r="N29" s="2" t="s">
        <v>57</v>
      </c>
      <c r="O29" s="2">
        <f t="shared" si="1"/>
        <v>1396.4000000000003</v>
      </c>
      <c r="P29" s="2" t="str">
        <f>VLOOKUP(N29,Справочник!A:B,2,0)</f>
        <v>Manchester United</v>
      </c>
      <c r="Q29" s="2" t="str">
        <f>VLOOKUP(N29,Справочник!A:C,3,0)</f>
        <v>EPL</v>
      </c>
      <c r="R29" s="2">
        <f t="shared" si="3"/>
        <v>8378.4000000000015</v>
      </c>
      <c r="S29" s="2">
        <f t="shared" si="2"/>
        <v>8378.4000000000015</v>
      </c>
    </row>
    <row r="30" spans="1:19" x14ac:dyDescent="0.25">
      <c r="A30" s="2" t="str">
        <f t="shared" si="0"/>
        <v>12503924GRA</v>
      </c>
      <c r="B30" s="2">
        <v>12503924</v>
      </c>
      <c r="C30" s="2" t="s">
        <v>110</v>
      </c>
      <c r="D30" s="2" t="s">
        <v>152</v>
      </c>
      <c r="E30" s="2" t="s">
        <v>29</v>
      </c>
      <c r="F30" s="2" t="str">
        <f>VLOOKUP(E30,Справочник!H:I,2,0)</f>
        <v>O/S</v>
      </c>
      <c r="G30" s="2" t="s">
        <v>93</v>
      </c>
      <c r="H30" s="2">
        <v>6</v>
      </c>
      <c r="I30" s="2" t="s">
        <v>189</v>
      </c>
      <c r="J30" s="2" t="s">
        <v>95</v>
      </c>
      <c r="K30" s="2" t="s">
        <v>218</v>
      </c>
      <c r="L30" s="2" t="s">
        <v>92</v>
      </c>
      <c r="M30" s="2">
        <v>1105.3699999999999</v>
      </c>
      <c r="N30" s="2" t="s">
        <v>54</v>
      </c>
      <c r="O30" s="2">
        <f t="shared" si="1"/>
        <v>1105.3699999999999</v>
      </c>
      <c r="P30" s="2" t="str">
        <f>VLOOKUP(N30,Справочник!A:B,2,0)</f>
        <v>Chelsea</v>
      </c>
      <c r="Q30" s="2" t="str">
        <f>VLOOKUP(N30,Справочник!A:C,3,0)</f>
        <v>EPL</v>
      </c>
      <c r="R30" s="2">
        <f t="shared" si="3"/>
        <v>6632.2199999999993</v>
      </c>
      <c r="S30" s="2">
        <f t="shared" si="2"/>
        <v>6632.2199999999993</v>
      </c>
    </row>
    <row r="31" spans="1:19" x14ac:dyDescent="0.25">
      <c r="A31" s="2" t="str">
        <f t="shared" si="0"/>
        <v>12503934CAB</v>
      </c>
      <c r="B31" s="2">
        <v>12503934</v>
      </c>
      <c r="C31" s="2" t="s">
        <v>111</v>
      </c>
      <c r="D31" s="2" t="s">
        <v>153</v>
      </c>
      <c r="E31" s="2" t="s">
        <v>29</v>
      </c>
      <c r="F31" s="2" t="str">
        <f>VLOOKUP(E31,Справочник!H:I,2,0)</f>
        <v>O/S</v>
      </c>
      <c r="G31" s="2" t="s">
        <v>93</v>
      </c>
      <c r="H31" s="2">
        <v>5</v>
      </c>
      <c r="I31" s="2" t="s">
        <v>189</v>
      </c>
      <c r="J31" s="2" t="s">
        <v>95</v>
      </c>
      <c r="K31" s="2" t="s">
        <v>218</v>
      </c>
      <c r="L31" s="2" t="s">
        <v>92</v>
      </c>
      <c r="M31" s="2">
        <v>1105.3699999999999</v>
      </c>
      <c r="N31" s="2" t="s">
        <v>54</v>
      </c>
      <c r="O31" s="2">
        <f t="shared" si="1"/>
        <v>1105.3699999999999</v>
      </c>
      <c r="P31" s="2" t="str">
        <f>VLOOKUP(N31,Справочник!A:B,2,0)</f>
        <v>Chelsea</v>
      </c>
      <c r="Q31" s="2" t="str">
        <f>VLOOKUP(N31,Справочник!A:C,3,0)</f>
        <v>EPL</v>
      </c>
      <c r="R31" s="2">
        <f t="shared" si="3"/>
        <v>5526.8499999999995</v>
      </c>
      <c r="S31" s="2">
        <f t="shared" si="2"/>
        <v>5526.8499999999995</v>
      </c>
    </row>
    <row r="32" spans="1:19" x14ac:dyDescent="0.25">
      <c r="A32" s="2" t="str">
        <f t="shared" si="0"/>
        <v>12523897GRAWHI</v>
      </c>
      <c r="B32" s="2">
        <v>12523897</v>
      </c>
      <c r="C32" s="2" t="s">
        <v>10</v>
      </c>
      <c r="D32" s="2" t="s">
        <v>154</v>
      </c>
      <c r="E32" s="2" t="s">
        <v>29</v>
      </c>
      <c r="F32" s="2" t="str">
        <f>VLOOKUP(E32,Справочник!H:I,2,0)</f>
        <v>O/S</v>
      </c>
      <c r="G32" s="2" t="s">
        <v>89</v>
      </c>
      <c r="H32" s="2">
        <v>2</v>
      </c>
      <c r="I32" s="2" t="s">
        <v>90</v>
      </c>
      <c r="J32" s="2" t="s">
        <v>95</v>
      </c>
      <c r="L32" s="2" t="s">
        <v>92</v>
      </c>
      <c r="M32" s="2">
        <v>1687.44</v>
      </c>
      <c r="N32" s="2" t="s">
        <v>23</v>
      </c>
      <c r="O32" s="2">
        <f t="shared" si="1"/>
        <v>1687.44</v>
      </c>
      <c r="P32" s="2" t="str">
        <f>VLOOKUP(N32,Справочник!A:B,2,0)</f>
        <v>New York Yankees</v>
      </c>
      <c r="Q32" s="2" t="str">
        <f>VLOOKUP(N32,Справочник!A:C,3,0)</f>
        <v>MLB</v>
      </c>
      <c r="R32" s="2">
        <f t="shared" si="3"/>
        <v>3374.88</v>
      </c>
      <c r="S32" s="2">
        <f t="shared" si="2"/>
        <v>3374.88</v>
      </c>
    </row>
    <row r="33" spans="1:19" x14ac:dyDescent="0.25">
      <c r="A33" s="2" t="str">
        <f t="shared" si="0"/>
        <v>12523910BLKBLK</v>
      </c>
      <c r="B33" s="2">
        <v>12523910</v>
      </c>
      <c r="C33" s="2" t="s">
        <v>6</v>
      </c>
      <c r="D33" s="2" t="s">
        <v>155</v>
      </c>
      <c r="E33" s="2" t="s">
        <v>33</v>
      </c>
      <c r="F33" s="2">
        <f>VLOOKUP(E33,Справочник!H:I,2,0)</f>
        <v>58</v>
      </c>
      <c r="G33" s="2" t="s">
        <v>89</v>
      </c>
      <c r="H33" s="2">
        <v>1</v>
      </c>
      <c r="I33" s="2" t="s">
        <v>90</v>
      </c>
      <c r="J33" s="2" t="s">
        <v>91</v>
      </c>
      <c r="L33" s="2" t="s">
        <v>92</v>
      </c>
      <c r="M33" s="2">
        <v>2153.1</v>
      </c>
      <c r="N33" s="2" t="s">
        <v>23</v>
      </c>
      <c r="O33" s="2">
        <f t="shared" si="1"/>
        <v>2153.1</v>
      </c>
      <c r="P33" s="2" t="str">
        <f>VLOOKUP(N33,Справочник!A:B,2,0)</f>
        <v>New York Yankees</v>
      </c>
      <c r="Q33" s="2" t="str">
        <f>VLOOKUP(N33,Справочник!A:C,3,0)</f>
        <v>MLB</v>
      </c>
      <c r="R33" s="2">
        <f t="shared" si="3"/>
        <v>2153.1</v>
      </c>
      <c r="S33" s="2">
        <f t="shared" si="2"/>
        <v>2153.1</v>
      </c>
    </row>
    <row r="34" spans="1:19" x14ac:dyDescent="0.25">
      <c r="A34" s="2" t="str">
        <f t="shared" si="0"/>
        <v>12523910BLKBLK</v>
      </c>
      <c r="B34" s="2">
        <v>12523910</v>
      </c>
      <c r="C34" s="2" t="s">
        <v>6</v>
      </c>
      <c r="D34" s="2" t="s">
        <v>156</v>
      </c>
      <c r="E34" s="2" t="s">
        <v>36</v>
      </c>
      <c r="F34" s="2">
        <f>VLOOKUP(E34,Справочник!H:I,2,0)</f>
        <v>56</v>
      </c>
      <c r="G34" s="2" t="s">
        <v>89</v>
      </c>
      <c r="H34" s="2">
        <v>1</v>
      </c>
      <c r="I34" s="2" t="s">
        <v>90</v>
      </c>
      <c r="J34" s="2" t="s">
        <v>91</v>
      </c>
      <c r="L34" s="2" t="s">
        <v>92</v>
      </c>
      <c r="M34" s="2">
        <v>2153.1</v>
      </c>
      <c r="N34" s="2" t="s">
        <v>23</v>
      </c>
      <c r="O34" s="2">
        <f t="shared" ref="O34:O61" si="4">SUMIF(A:A,A34,R:R)/SUMIF(A:A,A34,H:H)</f>
        <v>2153.1</v>
      </c>
      <c r="P34" s="2" t="str">
        <f>VLOOKUP(N34,Справочник!A:B,2,0)</f>
        <v>New York Yankees</v>
      </c>
      <c r="Q34" s="2" t="str">
        <f>VLOOKUP(N34,Справочник!A:C,3,0)</f>
        <v>MLB</v>
      </c>
      <c r="R34" s="2">
        <f t="shared" si="3"/>
        <v>2153.1</v>
      </c>
      <c r="S34" s="2">
        <f t="shared" ref="S34:S61" si="5">O34*H34</f>
        <v>2153.1</v>
      </c>
    </row>
    <row r="35" spans="1:19" x14ac:dyDescent="0.25">
      <c r="A35" s="2" t="str">
        <f t="shared" si="0"/>
        <v>60142978LTCKGR</v>
      </c>
      <c r="B35" s="2">
        <v>60142978</v>
      </c>
      <c r="C35" s="2" t="s">
        <v>123</v>
      </c>
      <c r="D35" s="2" t="s">
        <v>157</v>
      </c>
      <c r="E35" s="2" t="s">
        <v>29</v>
      </c>
      <c r="F35" s="2" t="str">
        <f>VLOOKUP(E35,Справочник!H:I,2,0)</f>
        <v>O/S</v>
      </c>
      <c r="G35" s="2" t="s">
        <v>93</v>
      </c>
      <c r="H35" s="2">
        <v>6</v>
      </c>
      <c r="I35" s="2" t="s">
        <v>191</v>
      </c>
      <c r="J35" s="2" t="s">
        <v>100</v>
      </c>
      <c r="L35" s="2" t="s">
        <v>92</v>
      </c>
      <c r="M35" s="2">
        <v>884.29</v>
      </c>
      <c r="N35" s="2" t="s">
        <v>68</v>
      </c>
      <c r="O35" s="2">
        <f t="shared" si="4"/>
        <v>884.29</v>
      </c>
      <c r="P35" s="2" t="str">
        <f>VLOOKUP(N35,Справочник!A:B,2,0)</f>
        <v>FA Ireland</v>
      </c>
      <c r="Q35" s="2" t="str">
        <f>VLOOKUP(N35,Справочник!A:C,3,0)</f>
        <v>UEFA</v>
      </c>
      <c r="R35" s="2">
        <f t="shared" si="3"/>
        <v>5305.74</v>
      </c>
      <c r="S35" s="2">
        <f t="shared" si="5"/>
        <v>5305.74</v>
      </c>
    </row>
    <row r="36" spans="1:19" x14ac:dyDescent="0.25">
      <c r="A36" s="2" t="str">
        <f t="shared" si="0"/>
        <v>60143388BLK</v>
      </c>
      <c r="B36" s="2">
        <v>60143388</v>
      </c>
      <c r="C36" s="2" t="s">
        <v>11</v>
      </c>
      <c r="D36" s="2" t="s">
        <v>158</v>
      </c>
      <c r="E36" s="2" t="s">
        <v>29</v>
      </c>
      <c r="F36" s="2" t="str">
        <f>VLOOKUP(E36,Справочник!H:I,2,0)</f>
        <v>O/S</v>
      </c>
      <c r="G36" s="2" t="s">
        <v>93</v>
      </c>
      <c r="H36" s="2">
        <v>10</v>
      </c>
      <c r="I36" s="2" t="s">
        <v>192</v>
      </c>
      <c r="J36" s="2" t="s">
        <v>100</v>
      </c>
      <c r="L36" s="2" t="s">
        <v>92</v>
      </c>
      <c r="M36" s="2">
        <v>1210.25</v>
      </c>
      <c r="N36" s="2" t="s">
        <v>57</v>
      </c>
      <c r="O36" s="2">
        <f t="shared" si="4"/>
        <v>1210.25</v>
      </c>
      <c r="P36" s="2" t="str">
        <f>VLOOKUP(N36,Справочник!A:B,2,0)</f>
        <v>Manchester United</v>
      </c>
      <c r="Q36" s="2" t="str">
        <f>VLOOKUP(N36,Справочник!A:C,3,0)</f>
        <v>EPL</v>
      </c>
      <c r="R36" s="2">
        <f t="shared" si="3"/>
        <v>12102.5</v>
      </c>
      <c r="S36" s="2">
        <f t="shared" si="5"/>
        <v>12102.5</v>
      </c>
    </row>
    <row r="37" spans="1:19" x14ac:dyDescent="0.25">
      <c r="A37" s="2" t="str">
        <f t="shared" si="0"/>
        <v>60221494GRH</v>
      </c>
      <c r="B37" s="2">
        <v>60221494</v>
      </c>
      <c r="C37" s="2" t="s">
        <v>106</v>
      </c>
      <c r="D37" s="2" t="s">
        <v>159</v>
      </c>
      <c r="E37" s="2" t="s">
        <v>33</v>
      </c>
      <c r="F37" s="2">
        <f>VLOOKUP(E37,Справочник!H:I,2,0)</f>
        <v>58</v>
      </c>
      <c r="G37" s="2" t="s">
        <v>93</v>
      </c>
      <c r="H37" s="2">
        <v>1</v>
      </c>
      <c r="I37" s="2" t="s">
        <v>193</v>
      </c>
      <c r="J37" s="2" t="s">
        <v>99</v>
      </c>
      <c r="L37" s="2" t="s">
        <v>92</v>
      </c>
      <c r="M37" s="2">
        <v>2308.31</v>
      </c>
      <c r="N37" s="2" t="s">
        <v>54</v>
      </c>
      <c r="O37" s="2">
        <f t="shared" si="4"/>
        <v>2308.31</v>
      </c>
      <c r="P37" s="2" t="str">
        <f>VLOOKUP(N37,Справочник!A:B,2,0)</f>
        <v>Chelsea</v>
      </c>
      <c r="Q37" s="2" t="str">
        <f>VLOOKUP(N37,Справочник!A:C,3,0)</f>
        <v>EPL</v>
      </c>
      <c r="R37" s="2">
        <f t="shared" si="3"/>
        <v>2308.31</v>
      </c>
      <c r="S37" s="2">
        <f t="shared" si="5"/>
        <v>2308.31</v>
      </c>
    </row>
    <row r="38" spans="1:19" x14ac:dyDescent="0.25">
      <c r="A38" s="2" t="str">
        <f t="shared" si="0"/>
        <v>60221494GRH</v>
      </c>
      <c r="B38" s="2">
        <v>60221494</v>
      </c>
      <c r="C38" s="2" t="s">
        <v>106</v>
      </c>
      <c r="D38" s="2" t="s">
        <v>160</v>
      </c>
      <c r="E38" s="2" t="s">
        <v>36</v>
      </c>
      <c r="F38" s="2">
        <f>VLOOKUP(E38,Справочник!H:I,2,0)</f>
        <v>56</v>
      </c>
      <c r="G38" s="2" t="s">
        <v>93</v>
      </c>
      <c r="H38" s="2">
        <v>1</v>
      </c>
      <c r="I38" s="2" t="s">
        <v>193</v>
      </c>
      <c r="J38" s="2" t="s">
        <v>99</v>
      </c>
      <c r="L38" s="2" t="s">
        <v>92</v>
      </c>
      <c r="M38" s="2">
        <v>2308.31</v>
      </c>
      <c r="N38" s="2" t="s">
        <v>54</v>
      </c>
      <c r="O38" s="2">
        <f t="shared" si="4"/>
        <v>2308.31</v>
      </c>
      <c r="P38" s="2" t="str">
        <f>VLOOKUP(N38,Справочник!A:B,2,0)</f>
        <v>Chelsea</v>
      </c>
      <c r="Q38" s="2" t="str">
        <f>VLOOKUP(N38,Справочник!A:C,3,0)</f>
        <v>EPL</v>
      </c>
      <c r="R38" s="2">
        <f t="shared" si="3"/>
        <v>2308.31</v>
      </c>
      <c r="S38" s="2">
        <f t="shared" si="5"/>
        <v>2308.31</v>
      </c>
    </row>
    <row r="39" spans="1:19" x14ac:dyDescent="0.25">
      <c r="A39" s="2" t="str">
        <f t="shared" si="0"/>
        <v>60221531BLK</v>
      </c>
      <c r="B39" s="2">
        <v>60221531</v>
      </c>
      <c r="C39" s="2" t="s">
        <v>11</v>
      </c>
      <c r="D39" s="2" t="s">
        <v>161</v>
      </c>
      <c r="E39" s="2" t="s">
        <v>29</v>
      </c>
      <c r="F39" s="2" t="str">
        <f>VLOOKUP(E39,Справочник!H:I,2,0)</f>
        <v>O/S</v>
      </c>
      <c r="G39" s="2" t="s">
        <v>93</v>
      </c>
      <c r="H39" s="2">
        <v>2</v>
      </c>
      <c r="I39" s="2" t="s">
        <v>193</v>
      </c>
      <c r="J39" s="2" t="s">
        <v>91</v>
      </c>
      <c r="L39" s="2" t="s">
        <v>92</v>
      </c>
      <c r="M39" s="2">
        <v>1978.48</v>
      </c>
      <c r="N39" s="2" t="s">
        <v>68</v>
      </c>
      <c r="O39" s="2">
        <f t="shared" si="4"/>
        <v>1978.48</v>
      </c>
      <c r="P39" s="2" t="str">
        <f>VLOOKUP(N39,Справочник!A:B,2,0)</f>
        <v>FA Ireland</v>
      </c>
      <c r="Q39" s="2" t="str">
        <f>VLOOKUP(N39,Справочник!A:C,3,0)</f>
        <v>UEFA</v>
      </c>
      <c r="R39" s="2">
        <f t="shared" si="3"/>
        <v>3956.96</v>
      </c>
      <c r="S39" s="2">
        <f t="shared" si="5"/>
        <v>3956.96</v>
      </c>
    </row>
    <row r="40" spans="1:19" x14ac:dyDescent="0.25">
      <c r="A40" s="2" t="str">
        <f t="shared" si="0"/>
        <v>60221568NVY</v>
      </c>
      <c r="B40" s="2">
        <v>60221568</v>
      </c>
      <c r="C40" s="2" t="s">
        <v>107</v>
      </c>
      <c r="D40" s="2" t="s">
        <v>162</v>
      </c>
      <c r="E40" s="2" t="s">
        <v>33</v>
      </c>
      <c r="F40" s="2">
        <f>VLOOKUP(E40,Справочник!H:I,2,0)</f>
        <v>58</v>
      </c>
      <c r="G40" s="2" t="s">
        <v>89</v>
      </c>
      <c r="H40" s="2">
        <v>1</v>
      </c>
      <c r="I40" s="2" t="s">
        <v>194</v>
      </c>
      <c r="J40" s="2" t="s">
        <v>201</v>
      </c>
      <c r="L40" s="2" t="s">
        <v>92</v>
      </c>
      <c r="M40" s="2">
        <v>2502.35</v>
      </c>
      <c r="N40" s="2" t="s">
        <v>222</v>
      </c>
      <c r="O40" s="2">
        <f t="shared" si="4"/>
        <v>2502.35</v>
      </c>
      <c r="P40" s="2" t="str">
        <f>VLOOKUP(N40,Справочник!A:B,2,0)</f>
        <v>England Rugby</v>
      </c>
      <c r="Q40" s="2" t="str">
        <f>VLOOKUP(N40,Справочник!A:C,3,0)</f>
        <v>RL</v>
      </c>
      <c r="R40" s="2">
        <f t="shared" si="3"/>
        <v>2502.35</v>
      </c>
      <c r="S40" s="2">
        <f t="shared" si="5"/>
        <v>2502.35</v>
      </c>
    </row>
    <row r="41" spans="1:19" x14ac:dyDescent="0.25">
      <c r="A41" s="2" t="str">
        <f t="shared" si="0"/>
        <v>60221568NVY</v>
      </c>
      <c r="B41" s="2">
        <v>60221568</v>
      </c>
      <c r="C41" s="2" t="s">
        <v>107</v>
      </c>
      <c r="D41" s="2" t="s">
        <v>163</v>
      </c>
      <c r="E41" s="2" t="s">
        <v>36</v>
      </c>
      <c r="F41" s="2">
        <f>VLOOKUP(E41,Справочник!H:I,2,0)</f>
        <v>56</v>
      </c>
      <c r="G41" s="2" t="s">
        <v>89</v>
      </c>
      <c r="H41" s="2">
        <v>1</v>
      </c>
      <c r="I41" s="2" t="s">
        <v>194</v>
      </c>
      <c r="J41" s="2" t="s">
        <v>201</v>
      </c>
      <c r="L41" s="2" t="s">
        <v>92</v>
      </c>
      <c r="M41" s="2">
        <v>2502.35</v>
      </c>
      <c r="N41" s="2" t="s">
        <v>222</v>
      </c>
      <c r="O41" s="2">
        <f t="shared" si="4"/>
        <v>2502.35</v>
      </c>
      <c r="P41" s="2" t="str">
        <f>VLOOKUP(N41,Справочник!A:B,2,0)</f>
        <v>England Rugby</v>
      </c>
      <c r="Q41" s="2" t="str">
        <f>VLOOKUP(N41,Справочник!A:C,3,0)</f>
        <v>RL</v>
      </c>
      <c r="R41" s="2">
        <f t="shared" si="3"/>
        <v>2502.35</v>
      </c>
      <c r="S41" s="2">
        <f t="shared" si="5"/>
        <v>2502.35</v>
      </c>
    </row>
    <row r="42" spans="1:19" x14ac:dyDescent="0.25">
      <c r="A42" s="2" t="str">
        <f t="shared" si="0"/>
        <v>60222237GRH</v>
      </c>
      <c r="B42" s="2">
        <v>60222237</v>
      </c>
      <c r="C42" s="2" t="s">
        <v>106</v>
      </c>
      <c r="D42" s="2" t="s">
        <v>164</v>
      </c>
      <c r="E42" s="2" t="s">
        <v>29</v>
      </c>
      <c r="F42" s="2" t="str">
        <f>VLOOKUP(E42,Справочник!H:I,2,0)</f>
        <v>O/S</v>
      </c>
      <c r="G42" s="2" t="s">
        <v>93</v>
      </c>
      <c r="H42" s="2">
        <v>12</v>
      </c>
      <c r="I42" s="2" t="s">
        <v>195</v>
      </c>
      <c r="J42" s="2" t="s">
        <v>95</v>
      </c>
      <c r="L42" s="2" t="s">
        <v>92</v>
      </c>
      <c r="M42" s="2">
        <v>1687.44</v>
      </c>
      <c r="N42" s="2" t="s">
        <v>30</v>
      </c>
      <c r="O42" s="2">
        <f t="shared" si="4"/>
        <v>1687.4399999999998</v>
      </c>
      <c r="P42" s="2" t="str">
        <f>VLOOKUP(N42,Справочник!A:B,2,0)</f>
        <v>Chicago Bulls</v>
      </c>
      <c r="Q42" s="2" t="str">
        <f>VLOOKUP(N42,Справочник!A:C,3,0)</f>
        <v>NBA</v>
      </c>
      <c r="R42" s="2">
        <f t="shared" si="3"/>
        <v>20249.28</v>
      </c>
      <c r="S42" s="2">
        <f t="shared" si="5"/>
        <v>20249.28</v>
      </c>
    </row>
    <row r="43" spans="1:19" x14ac:dyDescent="0.25">
      <c r="A43" s="2" t="str">
        <f t="shared" si="0"/>
        <v>60222257NVY</v>
      </c>
      <c r="B43" s="2">
        <v>60222257</v>
      </c>
      <c r="C43" s="2" t="s">
        <v>107</v>
      </c>
      <c r="D43" s="2" t="s">
        <v>165</v>
      </c>
      <c r="E43" s="2" t="s">
        <v>29</v>
      </c>
      <c r="F43" s="2" t="str">
        <f>VLOOKUP(E43,Справочник!H:I,2,0)</f>
        <v>O/S</v>
      </c>
      <c r="G43" s="2" t="s">
        <v>93</v>
      </c>
      <c r="H43" s="2">
        <v>1</v>
      </c>
      <c r="I43" s="2" t="s">
        <v>195</v>
      </c>
      <c r="J43" s="2" t="s">
        <v>100</v>
      </c>
      <c r="L43" s="2" t="s">
        <v>92</v>
      </c>
      <c r="M43" s="2">
        <v>1978.48</v>
      </c>
      <c r="N43" s="2" t="s">
        <v>23</v>
      </c>
      <c r="O43" s="2">
        <f t="shared" si="4"/>
        <v>1978.48</v>
      </c>
      <c r="P43" s="2" t="str">
        <f>VLOOKUP(N43,Справочник!A:B,2,0)</f>
        <v>New York Yankees</v>
      </c>
      <c r="Q43" s="2" t="str">
        <f>VLOOKUP(N43,Справочник!A:C,3,0)</f>
        <v>MLB</v>
      </c>
      <c r="R43" s="2">
        <f t="shared" si="3"/>
        <v>1978.48</v>
      </c>
      <c r="S43" s="2">
        <f t="shared" si="5"/>
        <v>1978.48</v>
      </c>
    </row>
    <row r="44" spans="1:19" x14ac:dyDescent="0.25">
      <c r="A44" s="2" t="str">
        <f t="shared" si="0"/>
        <v>60222275NVYRE</v>
      </c>
      <c r="B44" s="2">
        <v>60222275</v>
      </c>
      <c r="C44" s="2" t="s">
        <v>108</v>
      </c>
      <c r="D44" s="2" t="s">
        <v>166</v>
      </c>
      <c r="E44" s="2" t="s">
        <v>33</v>
      </c>
      <c r="F44" s="2">
        <f>VLOOKUP(E44,Справочник!H:I,2,0)</f>
        <v>58</v>
      </c>
      <c r="G44" s="2" t="s">
        <v>89</v>
      </c>
      <c r="H44" s="2">
        <v>1</v>
      </c>
      <c r="I44" s="2" t="s">
        <v>196</v>
      </c>
      <c r="J44" s="2" t="s">
        <v>94</v>
      </c>
      <c r="L44" s="2" t="s">
        <v>92</v>
      </c>
      <c r="M44" s="2">
        <v>1862.06</v>
      </c>
      <c r="N44" s="2" t="s">
        <v>41</v>
      </c>
      <c r="O44" s="2">
        <f t="shared" si="4"/>
        <v>1862.06</v>
      </c>
      <c r="P44" s="2" t="str">
        <f>VLOOKUP(N44,Справочник!A:B,2,0)</f>
        <v>Boston Red Sox</v>
      </c>
      <c r="Q44" s="2" t="str">
        <f>VLOOKUP(N44,Справочник!A:C,3,0)</f>
        <v>MLB</v>
      </c>
      <c r="R44" s="2">
        <f t="shared" si="3"/>
        <v>1862.06</v>
      </c>
      <c r="S44" s="2">
        <f t="shared" si="5"/>
        <v>1862.06</v>
      </c>
    </row>
    <row r="45" spans="1:19" x14ac:dyDescent="0.25">
      <c r="A45" s="2" t="str">
        <f t="shared" si="0"/>
        <v>60222277NVY</v>
      </c>
      <c r="B45" s="2">
        <v>60222277</v>
      </c>
      <c r="C45" s="2" t="s">
        <v>107</v>
      </c>
      <c r="D45" s="2" t="s">
        <v>167</v>
      </c>
      <c r="E45" s="2" t="s">
        <v>29</v>
      </c>
      <c r="F45" s="2" t="str">
        <f>VLOOKUP(E45,Справочник!H:I,2,0)</f>
        <v>O/S</v>
      </c>
      <c r="G45" s="2" t="s">
        <v>93</v>
      </c>
      <c r="H45" s="2">
        <v>4</v>
      </c>
      <c r="I45" s="2" t="s">
        <v>197</v>
      </c>
      <c r="J45" s="2" t="s">
        <v>100</v>
      </c>
      <c r="L45" s="2" t="s">
        <v>92</v>
      </c>
      <c r="M45" s="2">
        <v>1862.06</v>
      </c>
      <c r="O45" s="2">
        <f t="shared" si="4"/>
        <v>1862.06</v>
      </c>
      <c r="R45" s="2">
        <f t="shared" si="3"/>
        <v>7448.24</v>
      </c>
      <c r="S45" s="2">
        <f t="shared" si="5"/>
        <v>7448.24</v>
      </c>
    </row>
    <row r="46" spans="1:19" x14ac:dyDescent="0.25">
      <c r="A46" s="2" t="str">
        <f t="shared" si="0"/>
        <v>60222290DKG</v>
      </c>
      <c r="B46" s="2">
        <v>60222290</v>
      </c>
      <c r="C46" s="2" t="s">
        <v>114</v>
      </c>
      <c r="D46" s="2" t="s">
        <v>168</v>
      </c>
      <c r="E46" s="2" t="s">
        <v>33</v>
      </c>
      <c r="F46" s="2">
        <f>VLOOKUP(E46,Справочник!H:I,2,0)</f>
        <v>58</v>
      </c>
      <c r="G46" s="2" t="s">
        <v>89</v>
      </c>
      <c r="H46" s="2">
        <v>1</v>
      </c>
      <c r="I46" s="2" t="s">
        <v>194</v>
      </c>
      <c r="J46" s="2" t="s">
        <v>91</v>
      </c>
      <c r="L46" s="2" t="s">
        <v>92</v>
      </c>
      <c r="M46" s="2">
        <v>2153.1</v>
      </c>
      <c r="N46" s="2" t="s">
        <v>37</v>
      </c>
      <c r="O46" s="2">
        <f t="shared" si="4"/>
        <v>2153.1</v>
      </c>
      <c r="P46" s="2" t="str">
        <f>VLOOKUP(N46,Справочник!A:B,2,0)</f>
        <v>Oakland Athletics</v>
      </c>
      <c r="Q46" s="2" t="str">
        <f>VLOOKUP(N46,Справочник!A:C,3,0)</f>
        <v>MLB</v>
      </c>
      <c r="R46" s="2">
        <f t="shared" si="3"/>
        <v>2153.1</v>
      </c>
      <c r="S46" s="2">
        <f t="shared" si="5"/>
        <v>2153.1</v>
      </c>
    </row>
    <row r="47" spans="1:19" x14ac:dyDescent="0.25">
      <c r="A47" s="2" t="str">
        <f t="shared" si="0"/>
        <v>60222290DKG</v>
      </c>
      <c r="B47" s="2">
        <v>60222290</v>
      </c>
      <c r="C47" s="2" t="s">
        <v>114</v>
      </c>
      <c r="D47" s="2" t="s">
        <v>169</v>
      </c>
      <c r="E47" s="2" t="s">
        <v>36</v>
      </c>
      <c r="F47" s="2">
        <f>VLOOKUP(E47,Справочник!H:I,2,0)</f>
        <v>56</v>
      </c>
      <c r="G47" s="2" t="s">
        <v>89</v>
      </c>
      <c r="H47" s="2">
        <v>1</v>
      </c>
      <c r="I47" s="2" t="s">
        <v>194</v>
      </c>
      <c r="J47" s="2" t="s">
        <v>91</v>
      </c>
      <c r="L47" s="2" t="s">
        <v>92</v>
      </c>
      <c r="M47" s="2">
        <v>2153.1</v>
      </c>
      <c r="N47" s="2" t="s">
        <v>37</v>
      </c>
      <c r="O47" s="2">
        <f t="shared" si="4"/>
        <v>2153.1</v>
      </c>
      <c r="P47" s="2" t="str">
        <f>VLOOKUP(N47,Справочник!A:B,2,0)</f>
        <v>Oakland Athletics</v>
      </c>
      <c r="Q47" s="2" t="str">
        <f>VLOOKUP(N47,Справочник!A:C,3,0)</f>
        <v>MLB</v>
      </c>
      <c r="R47" s="2">
        <f t="shared" si="3"/>
        <v>2153.1</v>
      </c>
      <c r="S47" s="2">
        <f t="shared" si="5"/>
        <v>2153.1</v>
      </c>
    </row>
    <row r="48" spans="1:19" x14ac:dyDescent="0.25">
      <c r="A48" s="2" t="str">
        <f t="shared" si="0"/>
        <v>60222318GRP</v>
      </c>
      <c r="B48" s="2">
        <v>60222318</v>
      </c>
      <c r="C48" s="2" t="s">
        <v>109</v>
      </c>
      <c r="D48" s="2" t="s">
        <v>170</v>
      </c>
      <c r="E48" s="2" t="s">
        <v>29</v>
      </c>
      <c r="F48" s="2" t="str">
        <f>VLOOKUP(E48,Справочник!H:I,2,0)</f>
        <v>O/S</v>
      </c>
      <c r="G48" s="2" t="s">
        <v>93</v>
      </c>
      <c r="H48" s="2">
        <v>6</v>
      </c>
      <c r="I48" s="2" t="s">
        <v>195</v>
      </c>
      <c r="J48" s="2" t="s">
        <v>100</v>
      </c>
      <c r="L48" s="2" t="s">
        <v>92</v>
      </c>
      <c r="M48" s="2">
        <v>2153.1</v>
      </c>
      <c r="N48" s="2" t="s">
        <v>23</v>
      </c>
      <c r="O48" s="2">
        <f t="shared" si="4"/>
        <v>2153.1</v>
      </c>
      <c r="P48" s="2" t="str">
        <f>VLOOKUP(N48,Справочник!A:B,2,0)</f>
        <v>New York Yankees</v>
      </c>
      <c r="Q48" s="2" t="str">
        <f>VLOOKUP(N48,Справочник!A:C,3,0)</f>
        <v>MLB</v>
      </c>
      <c r="R48" s="2">
        <f t="shared" si="3"/>
        <v>12918.599999999999</v>
      </c>
      <c r="S48" s="2">
        <f t="shared" si="5"/>
        <v>12918.599999999999</v>
      </c>
    </row>
    <row r="49" spans="1:19" x14ac:dyDescent="0.25">
      <c r="A49" s="2" t="str">
        <f t="shared" si="0"/>
        <v>60222356PRP</v>
      </c>
      <c r="B49" s="2">
        <v>60222356</v>
      </c>
      <c r="C49" s="2" t="s">
        <v>104</v>
      </c>
      <c r="D49" s="2" t="s">
        <v>171</v>
      </c>
      <c r="E49" s="2" t="s">
        <v>29</v>
      </c>
      <c r="F49" s="2" t="str">
        <f>VLOOKUP(E49,Справочник!H:I,2,0)</f>
        <v>O/S</v>
      </c>
      <c r="G49" s="2" t="s">
        <v>93</v>
      </c>
      <c r="H49" s="2">
        <v>4</v>
      </c>
      <c r="I49" s="2" t="s">
        <v>195</v>
      </c>
      <c r="J49" s="2" t="s">
        <v>95</v>
      </c>
      <c r="L49" s="2" t="s">
        <v>96</v>
      </c>
      <c r="M49" s="2">
        <v>1862.06</v>
      </c>
      <c r="N49" s="2" t="s">
        <v>28</v>
      </c>
      <c r="O49" s="2">
        <f t="shared" si="4"/>
        <v>1862.06</v>
      </c>
      <c r="P49" s="2" t="str">
        <f>VLOOKUP(N49,Справочник!A:B,2,0)</f>
        <v>Los Angeles Dodgers</v>
      </c>
      <c r="Q49" s="2" t="str">
        <f>VLOOKUP(N49,Справочник!A:C,3,0)</f>
        <v>MLB</v>
      </c>
      <c r="R49" s="2">
        <f t="shared" si="3"/>
        <v>7448.24</v>
      </c>
      <c r="S49" s="2">
        <f t="shared" si="5"/>
        <v>7448.24</v>
      </c>
    </row>
    <row r="50" spans="1:19" x14ac:dyDescent="0.25">
      <c r="A50" s="2" t="str">
        <f t="shared" si="0"/>
        <v>60222362NVY</v>
      </c>
      <c r="B50" s="2">
        <v>60222362</v>
      </c>
      <c r="C50" s="2" t="s">
        <v>107</v>
      </c>
      <c r="D50" s="2" t="s">
        <v>172</v>
      </c>
      <c r="E50" s="2" t="s">
        <v>33</v>
      </c>
      <c r="F50" s="2">
        <f>VLOOKUP(E50,Справочник!H:I,2,0)</f>
        <v>58</v>
      </c>
      <c r="G50" s="2" t="s">
        <v>93</v>
      </c>
      <c r="H50" s="2">
        <v>1</v>
      </c>
      <c r="I50" s="2" t="s">
        <v>195</v>
      </c>
      <c r="J50" s="2" t="s">
        <v>94</v>
      </c>
      <c r="L50" s="2" t="s">
        <v>92</v>
      </c>
      <c r="M50" s="2">
        <v>2308.31</v>
      </c>
      <c r="N50" s="2" t="s">
        <v>23</v>
      </c>
      <c r="O50" s="2">
        <f t="shared" si="4"/>
        <v>2308.31</v>
      </c>
      <c r="P50" s="2" t="str">
        <f>VLOOKUP(N50,Справочник!A:B,2,0)</f>
        <v>New York Yankees</v>
      </c>
      <c r="Q50" s="2" t="str">
        <f>VLOOKUP(N50,Справочник!A:C,3,0)</f>
        <v>MLB</v>
      </c>
      <c r="R50" s="2">
        <f t="shared" si="3"/>
        <v>2308.31</v>
      </c>
      <c r="S50" s="2">
        <f t="shared" si="5"/>
        <v>2308.31</v>
      </c>
    </row>
    <row r="51" spans="1:19" x14ac:dyDescent="0.25">
      <c r="A51" s="2" t="str">
        <f t="shared" si="0"/>
        <v>60222362NVY</v>
      </c>
      <c r="B51" s="2">
        <v>60222362</v>
      </c>
      <c r="C51" s="2" t="s">
        <v>107</v>
      </c>
      <c r="D51" s="2" t="s">
        <v>173</v>
      </c>
      <c r="E51" s="2" t="s">
        <v>36</v>
      </c>
      <c r="F51" s="2">
        <f>VLOOKUP(E51,Справочник!H:I,2,0)</f>
        <v>56</v>
      </c>
      <c r="G51" s="2" t="s">
        <v>93</v>
      </c>
      <c r="H51" s="2">
        <v>1</v>
      </c>
      <c r="I51" s="2" t="s">
        <v>195</v>
      </c>
      <c r="J51" s="2" t="s">
        <v>94</v>
      </c>
      <c r="L51" s="2" t="s">
        <v>92</v>
      </c>
      <c r="M51" s="2">
        <v>2308.31</v>
      </c>
      <c r="N51" s="2" t="s">
        <v>23</v>
      </c>
      <c r="O51" s="2">
        <f t="shared" si="4"/>
        <v>2308.31</v>
      </c>
      <c r="P51" s="2" t="str">
        <f>VLOOKUP(N51,Справочник!A:B,2,0)</f>
        <v>New York Yankees</v>
      </c>
      <c r="Q51" s="2" t="str">
        <f>VLOOKUP(N51,Справочник!A:C,3,0)</f>
        <v>MLB</v>
      </c>
      <c r="R51" s="2">
        <f t="shared" si="3"/>
        <v>2308.31</v>
      </c>
      <c r="S51" s="2">
        <f t="shared" si="5"/>
        <v>2308.31</v>
      </c>
    </row>
    <row r="52" spans="1:19" x14ac:dyDescent="0.25">
      <c r="A52" s="2" t="str">
        <f t="shared" si="0"/>
        <v>60222367NVY</v>
      </c>
      <c r="B52" s="2">
        <v>60222367</v>
      </c>
      <c r="C52" s="2" t="s">
        <v>107</v>
      </c>
      <c r="D52" s="2" t="s">
        <v>174</v>
      </c>
      <c r="E52" s="2" t="s">
        <v>40</v>
      </c>
      <c r="F52" s="2">
        <f>VLOOKUP(E52,Справочник!H:I,2,0)</f>
        <v>60</v>
      </c>
      <c r="G52" s="2" t="s">
        <v>89</v>
      </c>
      <c r="H52" s="2">
        <v>6</v>
      </c>
      <c r="I52" s="2" t="s">
        <v>198</v>
      </c>
      <c r="J52" s="2" t="s">
        <v>91</v>
      </c>
      <c r="L52" s="2" t="s">
        <v>92</v>
      </c>
      <c r="M52" s="2">
        <v>2502.35</v>
      </c>
      <c r="N52" s="2" t="s">
        <v>23</v>
      </c>
      <c r="O52" s="2">
        <f t="shared" si="4"/>
        <v>2502.35</v>
      </c>
      <c r="P52" s="2" t="str">
        <f>VLOOKUP(N52,Справочник!A:B,2,0)</f>
        <v>New York Yankees</v>
      </c>
      <c r="Q52" s="2" t="str">
        <f>VLOOKUP(N52,Справочник!A:C,3,0)</f>
        <v>MLB</v>
      </c>
      <c r="R52" s="2">
        <f t="shared" si="3"/>
        <v>15014.099999999999</v>
      </c>
      <c r="S52" s="2">
        <f t="shared" si="5"/>
        <v>15014.099999999999</v>
      </c>
    </row>
    <row r="53" spans="1:19" x14ac:dyDescent="0.25">
      <c r="A53" s="2" t="str">
        <f t="shared" si="0"/>
        <v>60222367NVY</v>
      </c>
      <c r="B53" s="2">
        <v>60222367</v>
      </c>
      <c r="C53" s="2" t="s">
        <v>107</v>
      </c>
      <c r="D53" s="2" t="s">
        <v>175</v>
      </c>
      <c r="E53" s="2" t="s">
        <v>119</v>
      </c>
      <c r="F53" s="2">
        <f>VLOOKUP(E53,Справочник!H:I,2,0)</f>
        <v>58</v>
      </c>
      <c r="G53" s="2" t="s">
        <v>89</v>
      </c>
      <c r="H53" s="2">
        <v>6</v>
      </c>
      <c r="I53" s="2" t="s">
        <v>198</v>
      </c>
      <c r="J53" s="2" t="s">
        <v>91</v>
      </c>
      <c r="L53" s="2" t="s">
        <v>92</v>
      </c>
      <c r="M53" s="2">
        <v>2502.35</v>
      </c>
      <c r="N53" s="2" t="s">
        <v>23</v>
      </c>
      <c r="O53" s="2">
        <f t="shared" si="4"/>
        <v>2502.35</v>
      </c>
      <c r="P53" s="2" t="str">
        <f>VLOOKUP(N53,Справочник!A:B,2,0)</f>
        <v>New York Yankees</v>
      </c>
      <c r="Q53" s="2" t="str">
        <f>VLOOKUP(N53,Справочник!A:C,3,0)</f>
        <v>MLB</v>
      </c>
      <c r="R53" s="2">
        <f t="shared" si="3"/>
        <v>15014.099999999999</v>
      </c>
      <c r="S53" s="2">
        <f t="shared" si="5"/>
        <v>15014.099999999999</v>
      </c>
    </row>
    <row r="54" spans="1:19" x14ac:dyDescent="0.25">
      <c r="A54" s="2" t="str">
        <f t="shared" si="0"/>
        <v>60222367NVY</v>
      </c>
      <c r="B54" s="2">
        <v>60222367</v>
      </c>
      <c r="C54" s="2" t="s">
        <v>107</v>
      </c>
      <c r="D54" s="2" t="s">
        <v>176</v>
      </c>
      <c r="E54" s="2" t="s">
        <v>121</v>
      </c>
      <c r="F54" s="2">
        <f>VLOOKUP(E54,Справочник!H:I,2,0)</f>
        <v>62</v>
      </c>
      <c r="G54" s="2" t="s">
        <v>89</v>
      </c>
      <c r="H54" s="2">
        <v>8</v>
      </c>
      <c r="I54" s="2" t="s">
        <v>198</v>
      </c>
      <c r="J54" s="2" t="s">
        <v>91</v>
      </c>
      <c r="L54" s="2" t="s">
        <v>92</v>
      </c>
      <c r="M54" s="2">
        <v>2502.35</v>
      </c>
      <c r="N54" s="2" t="s">
        <v>23</v>
      </c>
      <c r="O54" s="2">
        <f t="shared" si="4"/>
        <v>2502.35</v>
      </c>
      <c r="P54" s="2" t="str">
        <f>VLOOKUP(N54,Справочник!A:B,2,0)</f>
        <v>New York Yankees</v>
      </c>
      <c r="Q54" s="2" t="str">
        <f>VLOOKUP(N54,Справочник!A:C,3,0)</f>
        <v>MLB</v>
      </c>
      <c r="R54" s="2">
        <f t="shared" si="3"/>
        <v>20018.8</v>
      </c>
      <c r="S54" s="2">
        <f t="shared" si="5"/>
        <v>20018.8</v>
      </c>
    </row>
    <row r="55" spans="1:19" x14ac:dyDescent="0.25">
      <c r="A55" s="2" t="str">
        <f t="shared" si="0"/>
        <v>60222424WHI</v>
      </c>
      <c r="B55" s="2">
        <v>60222424</v>
      </c>
      <c r="C55" s="2" t="s">
        <v>7</v>
      </c>
      <c r="D55" s="2" t="s">
        <v>177</v>
      </c>
      <c r="E55" s="2" t="s">
        <v>29</v>
      </c>
      <c r="F55" s="2" t="str">
        <f>VLOOKUP(E55,Справочник!H:I,2,0)</f>
        <v>O/S</v>
      </c>
      <c r="G55" s="2" t="s">
        <v>93</v>
      </c>
      <c r="H55" s="2">
        <v>5</v>
      </c>
      <c r="I55" s="2" t="s">
        <v>195</v>
      </c>
      <c r="J55" s="2" t="s">
        <v>91</v>
      </c>
      <c r="L55" s="2" t="s">
        <v>92</v>
      </c>
      <c r="M55" s="2">
        <v>1978.48</v>
      </c>
      <c r="N55" s="2" t="s">
        <v>23</v>
      </c>
      <c r="O55" s="2">
        <f t="shared" si="4"/>
        <v>1978.48</v>
      </c>
      <c r="P55" s="2" t="str">
        <f>VLOOKUP(N55,Справочник!A:B,2,0)</f>
        <v>New York Yankees</v>
      </c>
      <c r="Q55" s="2" t="str">
        <f>VLOOKUP(N55,Справочник!A:C,3,0)</f>
        <v>MLB</v>
      </c>
      <c r="R55" s="2">
        <f t="shared" si="3"/>
        <v>9892.4</v>
      </c>
      <c r="S55" s="2">
        <f t="shared" si="5"/>
        <v>9892.4</v>
      </c>
    </row>
    <row r="56" spans="1:19" x14ac:dyDescent="0.25">
      <c r="A56" s="2" t="str">
        <f t="shared" si="0"/>
        <v>60222529BLK</v>
      </c>
      <c r="B56" s="2">
        <v>60222529</v>
      </c>
      <c r="C56" s="2" t="s">
        <v>11</v>
      </c>
      <c r="D56" s="2" t="s">
        <v>178</v>
      </c>
      <c r="E56" s="2" t="s">
        <v>29</v>
      </c>
      <c r="F56" s="2" t="str">
        <f>VLOOKUP(E56,Справочник!H:I,2,0)</f>
        <v>O/S</v>
      </c>
      <c r="G56" s="2" t="s">
        <v>93</v>
      </c>
      <c r="H56" s="2">
        <v>6</v>
      </c>
      <c r="I56" s="2" t="s">
        <v>195</v>
      </c>
      <c r="J56" s="2" t="s">
        <v>91</v>
      </c>
      <c r="L56" s="2" t="s">
        <v>92</v>
      </c>
      <c r="M56" s="2">
        <v>1978.48</v>
      </c>
      <c r="N56" s="2" t="s">
        <v>30</v>
      </c>
      <c r="O56" s="2">
        <f t="shared" si="4"/>
        <v>1978.4800000000002</v>
      </c>
      <c r="P56" s="2" t="str">
        <f>VLOOKUP(N56,Справочник!A:B,2,0)</f>
        <v>Chicago Bulls</v>
      </c>
      <c r="Q56" s="2" t="str">
        <f>VLOOKUP(N56,Справочник!A:C,3,0)</f>
        <v>NBA</v>
      </c>
      <c r="R56" s="2">
        <f t="shared" si="3"/>
        <v>11870.880000000001</v>
      </c>
      <c r="S56" s="2">
        <f t="shared" si="5"/>
        <v>11870.880000000001</v>
      </c>
    </row>
    <row r="57" spans="1:19" x14ac:dyDescent="0.25">
      <c r="A57" s="2" t="str">
        <f t="shared" si="0"/>
        <v>60222530GRH</v>
      </c>
      <c r="B57" s="2">
        <v>60222530</v>
      </c>
      <c r="C57" s="2" t="s">
        <v>106</v>
      </c>
      <c r="D57" s="2" t="s">
        <v>179</v>
      </c>
      <c r="E57" s="2">
        <v>7</v>
      </c>
      <c r="F57" s="2">
        <f>VLOOKUP(E57,Справочник!H:I,2,0)</f>
        <v>56</v>
      </c>
      <c r="G57" s="2" t="s">
        <v>89</v>
      </c>
      <c r="H57" s="2">
        <v>1</v>
      </c>
      <c r="I57" s="2" t="s">
        <v>198</v>
      </c>
      <c r="J57" s="2" t="s">
        <v>91</v>
      </c>
      <c r="L57" s="2" t="s">
        <v>92</v>
      </c>
      <c r="M57" s="2">
        <v>2502.35</v>
      </c>
      <c r="N57" s="2" t="s">
        <v>28</v>
      </c>
      <c r="O57" s="2">
        <f t="shared" si="4"/>
        <v>2502.35</v>
      </c>
      <c r="P57" s="2" t="str">
        <f>VLOOKUP(N57,Справочник!A:B,2,0)</f>
        <v>Los Angeles Dodgers</v>
      </c>
      <c r="Q57" s="2" t="str">
        <f>VLOOKUP(N57,Справочник!A:C,3,0)</f>
        <v>MLB</v>
      </c>
      <c r="R57" s="2">
        <f t="shared" si="3"/>
        <v>2502.35</v>
      </c>
      <c r="S57" s="2">
        <f t="shared" si="5"/>
        <v>2502.35</v>
      </c>
    </row>
    <row r="58" spans="1:19" x14ac:dyDescent="0.25">
      <c r="A58" s="2" t="str">
        <f t="shared" si="0"/>
        <v>60222530GRH</v>
      </c>
      <c r="B58" s="2">
        <v>60222530</v>
      </c>
      <c r="C58" s="2" t="s">
        <v>106</v>
      </c>
      <c r="D58" s="2" t="s">
        <v>180</v>
      </c>
      <c r="E58" s="2" t="s">
        <v>119</v>
      </c>
      <c r="F58" s="2">
        <f>VLOOKUP(E58,Справочник!H:I,2,0)</f>
        <v>58</v>
      </c>
      <c r="G58" s="2" t="s">
        <v>89</v>
      </c>
      <c r="H58" s="2">
        <v>2</v>
      </c>
      <c r="I58" s="2" t="s">
        <v>198</v>
      </c>
      <c r="J58" s="2" t="s">
        <v>91</v>
      </c>
      <c r="L58" s="2" t="s">
        <v>92</v>
      </c>
      <c r="M58" s="2">
        <v>2502.35</v>
      </c>
      <c r="N58" s="2" t="s">
        <v>28</v>
      </c>
      <c r="O58" s="2">
        <f t="shared" si="4"/>
        <v>2502.35</v>
      </c>
      <c r="P58" s="2" t="str">
        <f>VLOOKUP(N58,Справочник!A:B,2,0)</f>
        <v>Los Angeles Dodgers</v>
      </c>
      <c r="Q58" s="2" t="str">
        <f>VLOOKUP(N58,Справочник!A:C,3,0)</f>
        <v>MLB</v>
      </c>
      <c r="R58" s="2">
        <f t="shared" si="3"/>
        <v>5004.7</v>
      </c>
      <c r="S58" s="2">
        <f t="shared" si="5"/>
        <v>5004.7</v>
      </c>
    </row>
    <row r="59" spans="1:19" x14ac:dyDescent="0.25">
      <c r="A59" s="2" t="str">
        <f t="shared" si="0"/>
        <v>60222530GRH</v>
      </c>
      <c r="B59" s="2">
        <v>60222530</v>
      </c>
      <c r="C59" s="2" t="s">
        <v>106</v>
      </c>
      <c r="D59" s="2" t="s">
        <v>181</v>
      </c>
      <c r="E59" s="2" t="s">
        <v>101</v>
      </c>
      <c r="F59" s="2">
        <f>VLOOKUP(E59,Справочник!H:I,2,0)</f>
        <v>57</v>
      </c>
      <c r="G59" s="2" t="s">
        <v>89</v>
      </c>
      <c r="H59" s="2">
        <v>2</v>
      </c>
      <c r="I59" s="2" t="s">
        <v>198</v>
      </c>
      <c r="J59" s="2" t="s">
        <v>91</v>
      </c>
      <c r="L59" s="2" t="s">
        <v>92</v>
      </c>
      <c r="M59" s="2">
        <v>2502.35</v>
      </c>
      <c r="N59" s="2" t="s">
        <v>28</v>
      </c>
      <c r="O59" s="2">
        <f t="shared" si="4"/>
        <v>2502.35</v>
      </c>
      <c r="P59" s="2" t="str">
        <f>VLOOKUP(N59,Справочник!A:B,2,0)</f>
        <v>Los Angeles Dodgers</v>
      </c>
      <c r="Q59" s="2" t="str">
        <f>VLOOKUP(N59,Справочник!A:C,3,0)</f>
        <v>MLB</v>
      </c>
      <c r="R59" s="2">
        <f t="shared" si="3"/>
        <v>5004.7</v>
      </c>
      <c r="S59" s="2">
        <f t="shared" si="5"/>
        <v>5004.7</v>
      </c>
    </row>
    <row r="60" spans="1:19" x14ac:dyDescent="0.25">
      <c r="A60" s="2" t="str">
        <f t="shared" si="0"/>
        <v>60222530GRH</v>
      </c>
      <c r="B60" s="2">
        <v>60222530</v>
      </c>
      <c r="C60" s="2" t="s">
        <v>106</v>
      </c>
      <c r="D60" s="2" t="s">
        <v>182</v>
      </c>
      <c r="E60" s="2" t="s">
        <v>122</v>
      </c>
      <c r="F60" s="2">
        <f>VLOOKUP(E60,Справочник!H:I,2,0)</f>
        <v>59</v>
      </c>
      <c r="G60" s="2" t="s">
        <v>89</v>
      </c>
      <c r="H60" s="2">
        <v>1</v>
      </c>
      <c r="I60" s="2" t="s">
        <v>198</v>
      </c>
      <c r="J60" s="2" t="s">
        <v>91</v>
      </c>
      <c r="L60" s="2" t="s">
        <v>92</v>
      </c>
      <c r="M60" s="2">
        <v>2502.35</v>
      </c>
      <c r="N60" s="2" t="s">
        <v>28</v>
      </c>
      <c r="O60" s="2">
        <f t="shared" si="4"/>
        <v>2502.35</v>
      </c>
      <c r="P60" s="2" t="str">
        <f>VLOOKUP(N60,Справочник!A:B,2,0)</f>
        <v>Los Angeles Dodgers</v>
      </c>
      <c r="Q60" s="2" t="str">
        <f>VLOOKUP(N60,Справочник!A:C,3,0)</f>
        <v>MLB</v>
      </c>
      <c r="R60" s="2">
        <f t="shared" si="3"/>
        <v>2502.35</v>
      </c>
      <c r="S60" s="2">
        <f t="shared" si="5"/>
        <v>2502.35</v>
      </c>
    </row>
    <row r="61" spans="1:19" x14ac:dyDescent="0.25">
      <c r="A61" s="2" t="str">
        <f t="shared" si="0"/>
        <v>60222561LPK</v>
      </c>
      <c r="B61" s="2">
        <v>60222561</v>
      </c>
      <c r="C61" s="2" t="s">
        <v>105</v>
      </c>
      <c r="D61" s="2" t="s">
        <v>183</v>
      </c>
      <c r="E61" s="2" t="s">
        <v>29</v>
      </c>
      <c r="F61" s="2" t="str">
        <f>VLOOKUP(E61,Справочник!H:I,2,0)</f>
        <v>O/S</v>
      </c>
      <c r="G61" s="2" t="s">
        <v>93</v>
      </c>
      <c r="H61" s="2">
        <v>4</v>
      </c>
      <c r="I61" s="2" t="s">
        <v>195</v>
      </c>
      <c r="J61" s="2" t="s">
        <v>95</v>
      </c>
      <c r="L61" s="2" t="s">
        <v>96</v>
      </c>
      <c r="M61" s="2">
        <v>1862.06</v>
      </c>
      <c r="N61" s="2" t="s">
        <v>23</v>
      </c>
      <c r="O61" s="2">
        <f t="shared" si="4"/>
        <v>1862.06</v>
      </c>
      <c r="P61" s="2" t="str">
        <f>VLOOKUP(N61,Справочник!A:B,2,0)</f>
        <v>New York Yankees</v>
      </c>
      <c r="Q61" s="2" t="str">
        <f>VLOOKUP(N61,Справочник!A:C,3,0)</f>
        <v>MLB</v>
      </c>
      <c r="R61" s="2">
        <f t="shared" si="3"/>
        <v>7448.24</v>
      </c>
      <c r="S61" s="2">
        <f t="shared" si="5"/>
        <v>7448.24</v>
      </c>
    </row>
  </sheetData>
  <autoFilter ref="A1:M61" xr:uid="{4F2EB173-0EDC-4F0F-9B37-5860C9D8972C}"/>
  <conditionalFormatting sqref="A1:A1048576">
    <cfRule type="duplicateValues" dxfId="0" priority="3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61"/>
  <sheetViews>
    <sheetView topLeftCell="A34" workbookViewId="0">
      <selection activeCell="A40" sqref="A40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78</v>
      </c>
      <c r="B1" t="s">
        <v>16</v>
      </c>
    </row>
    <row r="2" spans="1:2" x14ac:dyDescent="0.25">
      <c r="A2" t="s">
        <v>124</v>
      </c>
      <c r="B2" t="s">
        <v>23</v>
      </c>
    </row>
    <row r="3" spans="1:2" x14ac:dyDescent="0.25">
      <c r="A3" t="s">
        <v>125</v>
      </c>
      <c r="B3" t="s">
        <v>30</v>
      </c>
    </row>
    <row r="4" spans="1:2" x14ac:dyDescent="0.25">
      <c r="A4" t="s">
        <v>126</v>
      </c>
      <c r="B4" t="s">
        <v>30</v>
      </c>
    </row>
    <row r="5" spans="1:2" x14ac:dyDescent="0.25">
      <c r="A5" t="s">
        <v>127</v>
      </c>
      <c r="B5" t="s">
        <v>219</v>
      </c>
    </row>
    <row r="6" spans="1:2" x14ac:dyDescent="0.25">
      <c r="A6" t="s">
        <v>128</v>
      </c>
      <c r="B6" t="s">
        <v>219</v>
      </c>
    </row>
    <row r="7" spans="1:2" x14ac:dyDescent="0.25">
      <c r="A7" t="s">
        <v>129</v>
      </c>
      <c r="B7" t="s">
        <v>220</v>
      </c>
    </row>
    <row r="8" spans="1:2" x14ac:dyDescent="0.25">
      <c r="A8" t="s">
        <v>130</v>
      </c>
      <c r="B8" t="s">
        <v>220</v>
      </c>
    </row>
    <row r="9" spans="1:2" x14ac:dyDescent="0.25">
      <c r="A9" t="s">
        <v>131</v>
      </c>
      <c r="B9" t="s">
        <v>23</v>
      </c>
    </row>
    <row r="10" spans="1:2" x14ac:dyDescent="0.25">
      <c r="A10" t="s">
        <v>132</v>
      </c>
      <c r="B10" t="s">
        <v>23</v>
      </c>
    </row>
    <row r="11" spans="1:2" x14ac:dyDescent="0.25">
      <c r="A11" t="s">
        <v>133</v>
      </c>
    </row>
    <row r="12" spans="1:2" x14ac:dyDescent="0.25">
      <c r="A12" t="s">
        <v>134</v>
      </c>
    </row>
    <row r="13" spans="1:2" x14ac:dyDescent="0.25">
      <c r="A13" t="s">
        <v>135</v>
      </c>
      <c r="B13" t="s">
        <v>23</v>
      </c>
    </row>
    <row r="14" spans="1:2" x14ac:dyDescent="0.25">
      <c r="A14" t="s">
        <v>136</v>
      </c>
      <c r="B14" t="s">
        <v>23</v>
      </c>
    </row>
    <row r="15" spans="1:2" x14ac:dyDescent="0.25">
      <c r="A15" t="s">
        <v>137</v>
      </c>
      <c r="B15" t="s">
        <v>57</v>
      </c>
    </row>
    <row r="16" spans="1:2" x14ac:dyDescent="0.25">
      <c r="A16" t="s">
        <v>138</v>
      </c>
      <c r="B16" t="s">
        <v>28</v>
      </c>
    </row>
    <row r="17" spans="1:2" x14ac:dyDescent="0.25">
      <c r="A17" t="s">
        <v>139</v>
      </c>
      <c r="B17" t="s">
        <v>221</v>
      </c>
    </row>
    <row r="18" spans="1:2" x14ac:dyDescent="0.25">
      <c r="A18" t="s">
        <v>140</v>
      </c>
      <c r="B18" t="s">
        <v>23</v>
      </c>
    </row>
    <row r="19" spans="1:2" x14ac:dyDescent="0.25">
      <c r="A19" t="s">
        <v>141</v>
      </c>
      <c r="B19" t="s">
        <v>30</v>
      </c>
    </row>
    <row r="20" spans="1:2" x14ac:dyDescent="0.25">
      <c r="A20" t="s">
        <v>142</v>
      </c>
      <c r="B20" t="s">
        <v>34</v>
      </c>
    </row>
    <row r="21" spans="1:2" x14ac:dyDescent="0.25">
      <c r="A21" t="s">
        <v>143</v>
      </c>
    </row>
    <row r="22" spans="1:2" x14ac:dyDescent="0.25">
      <c r="A22" t="s">
        <v>144</v>
      </c>
    </row>
    <row r="23" spans="1:2" x14ac:dyDescent="0.25">
      <c r="A23" t="s">
        <v>145</v>
      </c>
      <c r="B23" t="s">
        <v>28</v>
      </c>
    </row>
    <row r="24" spans="1:2" x14ac:dyDescent="0.25">
      <c r="A24" t="s">
        <v>146</v>
      </c>
      <c r="B24" t="s">
        <v>30</v>
      </c>
    </row>
    <row r="25" spans="1:2" x14ac:dyDescent="0.25">
      <c r="A25" t="s">
        <v>147</v>
      </c>
      <c r="B25" t="s">
        <v>30</v>
      </c>
    </row>
    <row r="26" spans="1:2" x14ac:dyDescent="0.25">
      <c r="A26" t="s">
        <v>148</v>
      </c>
    </row>
    <row r="27" spans="1:2" x14ac:dyDescent="0.25">
      <c r="A27" t="s">
        <v>149</v>
      </c>
      <c r="B27" t="s">
        <v>57</v>
      </c>
    </row>
    <row r="28" spans="1:2" x14ac:dyDescent="0.25">
      <c r="A28" t="s">
        <v>150</v>
      </c>
      <c r="B28" t="s">
        <v>57</v>
      </c>
    </row>
    <row r="29" spans="1:2" x14ac:dyDescent="0.25">
      <c r="A29" t="s">
        <v>151</v>
      </c>
      <c r="B29" t="s">
        <v>57</v>
      </c>
    </row>
    <row r="30" spans="1:2" x14ac:dyDescent="0.25">
      <c r="A30" t="s">
        <v>152</v>
      </c>
      <c r="B30" t="s">
        <v>54</v>
      </c>
    </row>
    <row r="31" spans="1:2" x14ac:dyDescent="0.25">
      <c r="A31" t="s">
        <v>153</v>
      </c>
      <c r="B31" t="s">
        <v>54</v>
      </c>
    </row>
    <row r="32" spans="1:2" x14ac:dyDescent="0.25">
      <c r="A32" t="s">
        <v>154</v>
      </c>
      <c r="B32" t="s">
        <v>23</v>
      </c>
    </row>
    <row r="33" spans="1:2" x14ac:dyDescent="0.25">
      <c r="A33" t="s">
        <v>155</v>
      </c>
      <c r="B33" t="s">
        <v>23</v>
      </c>
    </row>
    <row r="34" spans="1:2" x14ac:dyDescent="0.25">
      <c r="A34" t="s">
        <v>156</v>
      </c>
      <c r="B34" t="s">
        <v>23</v>
      </c>
    </row>
    <row r="35" spans="1:2" x14ac:dyDescent="0.25">
      <c r="A35" t="s">
        <v>157</v>
      </c>
      <c r="B35" t="s">
        <v>68</v>
      </c>
    </row>
    <row r="36" spans="1:2" x14ac:dyDescent="0.25">
      <c r="A36" t="s">
        <v>158</v>
      </c>
      <c r="B36" t="s">
        <v>57</v>
      </c>
    </row>
    <row r="37" spans="1:2" x14ac:dyDescent="0.25">
      <c r="A37" t="s">
        <v>159</v>
      </c>
      <c r="B37" t="s">
        <v>54</v>
      </c>
    </row>
    <row r="38" spans="1:2" x14ac:dyDescent="0.25">
      <c r="A38" t="s">
        <v>160</v>
      </c>
      <c r="B38" t="s">
        <v>54</v>
      </c>
    </row>
    <row r="39" spans="1:2" x14ac:dyDescent="0.25">
      <c r="A39" t="s">
        <v>161</v>
      </c>
      <c r="B39" t="s">
        <v>68</v>
      </c>
    </row>
    <row r="40" spans="1:2" x14ac:dyDescent="0.25">
      <c r="A40" t="s">
        <v>162</v>
      </c>
      <c r="B40" t="s">
        <v>222</v>
      </c>
    </row>
    <row r="41" spans="1:2" x14ac:dyDescent="0.25">
      <c r="A41" t="s">
        <v>163</v>
      </c>
      <c r="B41" t="s">
        <v>222</v>
      </c>
    </row>
    <row r="42" spans="1:2" x14ac:dyDescent="0.25">
      <c r="A42" t="s">
        <v>164</v>
      </c>
      <c r="B42" t="s">
        <v>30</v>
      </c>
    </row>
    <row r="43" spans="1:2" x14ac:dyDescent="0.25">
      <c r="A43" t="s">
        <v>165</v>
      </c>
      <c r="B43" t="s">
        <v>23</v>
      </c>
    </row>
    <row r="44" spans="1:2" x14ac:dyDescent="0.25">
      <c r="A44" t="s">
        <v>166</v>
      </c>
      <c r="B44" t="s">
        <v>41</v>
      </c>
    </row>
    <row r="45" spans="1:2" x14ac:dyDescent="0.25">
      <c r="A45" t="s">
        <v>167</v>
      </c>
    </row>
    <row r="46" spans="1:2" x14ac:dyDescent="0.25">
      <c r="A46" t="s">
        <v>168</v>
      </c>
      <c r="B46" t="s">
        <v>37</v>
      </c>
    </row>
    <row r="47" spans="1:2" x14ac:dyDescent="0.25">
      <c r="A47" t="s">
        <v>169</v>
      </c>
      <c r="B47" t="s">
        <v>37</v>
      </c>
    </row>
    <row r="48" spans="1:2" x14ac:dyDescent="0.25">
      <c r="A48" t="s">
        <v>170</v>
      </c>
      <c r="B48" t="s">
        <v>23</v>
      </c>
    </row>
    <row r="49" spans="1:2" x14ac:dyDescent="0.25">
      <c r="A49" t="s">
        <v>171</v>
      </c>
      <c r="B49" t="s">
        <v>28</v>
      </c>
    </row>
    <row r="50" spans="1:2" x14ac:dyDescent="0.25">
      <c r="A50" t="s">
        <v>172</v>
      </c>
      <c r="B50" t="s">
        <v>23</v>
      </c>
    </row>
    <row r="51" spans="1:2" x14ac:dyDescent="0.25">
      <c r="A51" t="s">
        <v>173</v>
      </c>
      <c r="B51" t="s">
        <v>23</v>
      </c>
    </row>
    <row r="52" spans="1:2" x14ac:dyDescent="0.25">
      <c r="A52" t="s">
        <v>174</v>
      </c>
      <c r="B52" t="s">
        <v>23</v>
      </c>
    </row>
    <row r="53" spans="1:2" x14ac:dyDescent="0.25">
      <c r="A53" t="s">
        <v>175</v>
      </c>
      <c r="B53" t="s">
        <v>23</v>
      </c>
    </row>
    <row r="54" spans="1:2" x14ac:dyDescent="0.25">
      <c r="A54" t="s">
        <v>176</v>
      </c>
      <c r="B54" t="s">
        <v>23</v>
      </c>
    </row>
    <row r="55" spans="1:2" x14ac:dyDescent="0.25">
      <c r="A55" t="s">
        <v>177</v>
      </c>
      <c r="B55" t="s">
        <v>23</v>
      </c>
    </row>
    <row r="56" spans="1:2" x14ac:dyDescent="0.25">
      <c r="A56" t="s">
        <v>178</v>
      </c>
      <c r="B56" t="s">
        <v>30</v>
      </c>
    </row>
    <row r="57" spans="1:2" x14ac:dyDescent="0.25">
      <c r="A57" t="s">
        <v>179</v>
      </c>
      <c r="B57" t="s">
        <v>28</v>
      </c>
    </row>
    <row r="58" spans="1:2" x14ac:dyDescent="0.25">
      <c r="A58" t="s">
        <v>180</v>
      </c>
      <c r="B58" t="s">
        <v>28</v>
      </c>
    </row>
    <row r="59" spans="1:2" x14ac:dyDescent="0.25">
      <c r="A59" t="s">
        <v>181</v>
      </c>
      <c r="B59" t="s">
        <v>28</v>
      </c>
    </row>
    <row r="60" spans="1:2" x14ac:dyDescent="0.25">
      <c r="A60" t="s">
        <v>182</v>
      </c>
      <c r="B60" t="s">
        <v>28</v>
      </c>
    </row>
    <row r="61" spans="1:2" x14ac:dyDescent="0.25">
      <c r="A61" t="s">
        <v>183</v>
      </c>
      <c r="B6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8E80-D605-4237-8A5E-2CC94B2511FC}">
  <sheetPr codeName="Лист9"/>
  <dimension ref="A1:AP46"/>
  <sheetViews>
    <sheetView showGridLines="0" workbookViewId="0">
      <pane ySplit="1" topLeftCell="A2" activePane="bottomLeft" state="frozen"/>
      <selection pane="bottomLeft" activeCellId="1" sqref="I1:I1048576 A1:A1048576"/>
    </sheetView>
  </sheetViews>
  <sheetFormatPr defaultRowHeight="15" x14ac:dyDescent="0.25"/>
  <cols>
    <col min="1" max="1" width="38.85546875" style="14" bestFit="1" customWidth="1"/>
    <col min="2" max="2" width="4.5703125" style="15" bestFit="1" customWidth="1"/>
    <col min="3" max="3" width="6.28515625" style="16" bestFit="1" customWidth="1"/>
    <col min="4" max="4" width="9.140625" style="2" customWidth="1"/>
    <col min="5" max="5" width="10.85546875" style="2" bestFit="1" customWidth="1"/>
    <col min="6" max="6" width="91.5703125" style="2" bestFit="1" customWidth="1"/>
    <col min="7" max="7" width="6.85546875" style="2" bestFit="1" customWidth="1"/>
    <col min="8" max="8" width="14.42578125" style="2" bestFit="1" customWidth="1"/>
    <col min="9" max="9" width="16.140625" style="2" bestFit="1" customWidth="1"/>
    <col min="10" max="10" width="9.5703125" style="2" customWidth="1"/>
    <col min="11" max="11" width="26.140625" style="2" bestFit="1" customWidth="1"/>
    <col min="12" max="12" width="27" style="2" bestFit="1" customWidth="1"/>
    <col min="13" max="13" width="15.7109375" style="2" customWidth="1"/>
    <col min="14" max="14" width="8.85546875" style="2" bestFit="1" customWidth="1"/>
    <col min="15" max="15" width="8" style="2" bestFit="1" customWidth="1"/>
    <col min="16" max="17" width="8.85546875" style="2" customWidth="1"/>
    <col min="18" max="18" width="3" style="12" bestFit="1" customWidth="1"/>
    <col min="19" max="22" width="3" style="2" bestFit="1" customWidth="1"/>
    <col min="23" max="25" width="3" bestFit="1" customWidth="1"/>
    <col min="26" max="26" width="4.28515625" bestFit="1" customWidth="1"/>
    <col min="29" max="29" width="9.140625" style="13"/>
    <col min="33" max="33" width="9.5703125" bestFit="1" customWidth="1"/>
    <col min="34" max="34" width="34.28515625" customWidth="1"/>
  </cols>
  <sheetData>
    <row r="1" spans="1:39" s="1" customFormat="1" ht="15.75" thickBot="1" x14ac:dyDescent="0.3">
      <c r="A1" s="18" t="s">
        <v>0</v>
      </c>
      <c r="B1" s="19" t="s">
        <v>1</v>
      </c>
      <c r="C1" s="20" t="s">
        <v>2</v>
      </c>
      <c r="D1" s="6" t="s">
        <v>4</v>
      </c>
      <c r="E1" s="6" t="s">
        <v>3</v>
      </c>
      <c r="F1" s="17" t="s">
        <v>78</v>
      </c>
      <c r="G1" s="17" t="s">
        <v>1</v>
      </c>
      <c r="H1" s="17" t="s">
        <v>79</v>
      </c>
      <c r="I1" s="17" t="s">
        <v>80</v>
      </c>
      <c r="J1" s="17" t="s">
        <v>81</v>
      </c>
      <c r="K1" s="17" t="s">
        <v>82</v>
      </c>
      <c r="L1" s="17" t="s">
        <v>83</v>
      </c>
      <c r="M1" s="17" t="s">
        <v>84</v>
      </c>
      <c r="N1" s="17" t="s">
        <v>85</v>
      </c>
      <c r="O1" s="17" t="s">
        <v>5</v>
      </c>
      <c r="P1" s="17" t="s">
        <v>86</v>
      </c>
      <c r="Q1" s="17" t="s">
        <v>18</v>
      </c>
      <c r="R1" s="8">
        <v>56</v>
      </c>
      <c r="S1" s="9">
        <v>57</v>
      </c>
      <c r="T1" s="9">
        <v>58</v>
      </c>
      <c r="U1" s="9">
        <v>59</v>
      </c>
      <c r="V1" s="9">
        <v>60</v>
      </c>
      <c r="W1" s="10">
        <v>62</v>
      </c>
      <c r="X1" s="10">
        <v>63</v>
      </c>
      <c r="Y1" s="10">
        <v>64</v>
      </c>
      <c r="Z1" s="10" t="s">
        <v>8</v>
      </c>
      <c r="AA1" s="10"/>
      <c r="AB1" s="10"/>
      <c r="AC1" s="11"/>
      <c r="AG1" s="1" t="s">
        <v>102</v>
      </c>
      <c r="AH1" s="21" cm="1">
        <f t="array" ref="AH1:AM1">_xlfn.LET(_xlpm.sizeCol,B2:B475,TRANSPOSE(_xlfn._xlws.SORT(_xlfn.UNIQUE(_xlfn._xlws.FILTER(_xlpm.sizeCol,_xlpm.sizeCol&lt;&gt;"","")))))</f>
        <v>56</v>
      </c>
      <c r="AI1" s="1">
        <v>58</v>
      </c>
      <c r="AJ1" s="1">
        <v>60</v>
      </c>
      <c r="AK1" s="1">
        <v>62</v>
      </c>
      <c r="AL1" s="1">
        <v>63</v>
      </c>
      <c r="AM1" s="1" t="str">
        <v>O/S</v>
      </c>
    </row>
    <row r="2" spans="1:39" x14ac:dyDescent="0.25">
      <c r="A2" s="14" t="str">
        <f t="shared" ref="A2:A46" si="0">D2&amp;E2</f>
        <v>10531938SCAWHI</v>
      </c>
      <c r="B2" s="15" t="s">
        <v>8</v>
      </c>
      <c r="C2" s="16">
        <v>1</v>
      </c>
      <c r="D2" s="2">
        <v>10531938</v>
      </c>
      <c r="E2" s="2" t="s">
        <v>14</v>
      </c>
      <c r="F2" s="2" t="s">
        <v>124</v>
      </c>
      <c r="G2" s="2" t="s">
        <v>29</v>
      </c>
      <c r="H2" s="2" t="s">
        <v>8</v>
      </c>
      <c r="I2" s="2" t="s">
        <v>93</v>
      </c>
      <c r="J2" s="2">
        <v>1</v>
      </c>
      <c r="K2" s="2" t="s">
        <v>184</v>
      </c>
      <c r="L2" s="2" t="s">
        <v>95</v>
      </c>
      <c r="M2" s="2" t="s">
        <v>204</v>
      </c>
      <c r="N2" s="2" t="s">
        <v>92</v>
      </c>
      <c r="O2" s="2">
        <v>1210.25</v>
      </c>
      <c r="P2" s="2" t="s">
        <v>24</v>
      </c>
      <c r="Q2" s="2" t="s">
        <v>25</v>
      </c>
      <c r="Z2">
        <v>1</v>
      </c>
    </row>
    <row r="3" spans="1:39" x14ac:dyDescent="0.25">
      <c r="A3" s="14" t="str">
        <f t="shared" si="0"/>
        <v>10861624TEAM</v>
      </c>
      <c r="B3" s="15">
        <v>62</v>
      </c>
      <c r="C3" s="16">
        <v>4</v>
      </c>
      <c r="D3" s="2">
        <v>10861624</v>
      </c>
      <c r="E3" s="2" t="s">
        <v>13</v>
      </c>
      <c r="F3" s="2" t="s">
        <v>125</v>
      </c>
      <c r="G3" s="2" t="s">
        <v>121</v>
      </c>
      <c r="H3" s="2">
        <v>62</v>
      </c>
      <c r="I3" s="2" t="s">
        <v>89</v>
      </c>
      <c r="J3" s="2">
        <v>4</v>
      </c>
      <c r="K3" s="2" t="s">
        <v>90</v>
      </c>
      <c r="L3" s="2" t="s">
        <v>91</v>
      </c>
      <c r="M3" s="2" t="s">
        <v>205</v>
      </c>
      <c r="N3" s="2" t="s">
        <v>92</v>
      </c>
      <c r="O3" s="2">
        <v>1815.61</v>
      </c>
      <c r="P3" s="2" t="s">
        <v>31</v>
      </c>
      <c r="Q3" s="2" t="s">
        <v>32</v>
      </c>
      <c r="U3" s="2">
        <v>2</v>
      </c>
      <c r="W3">
        <v>4</v>
      </c>
    </row>
    <row r="4" spans="1:39" x14ac:dyDescent="0.25">
      <c r="A4" s="14" t="str">
        <f t="shared" si="0"/>
        <v>10862335TEAM</v>
      </c>
      <c r="B4" s="15">
        <v>60</v>
      </c>
      <c r="C4" s="16">
        <v>2</v>
      </c>
      <c r="D4" s="2">
        <v>10862335</v>
      </c>
      <c r="E4" s="2" t="s">
        <v>13</v>
      </c>
      <c r="F4" s="2" t="s">
        <v>127</v>
      </c>
      <c r="G4" s="2" t="s">
        <v>40</v>
      </c>
      <c r="H4" s="2">
        <v>60</v>
      </c>
      <c r="I4" s="2" t="s">
        <v>89</v>
      </c>
      <c r="J4" s="2">
        <v>2</v>
      </c>
      <c r="K4" s="2" t="s">
        <v>90</v>
      </c>
      <c r="L4" s="2" t="s">
        <v>91</v>
      </c>
      <c r="M4" s="2" t="s">
        <v>206</v>
      </c>
      <c r="N4" s="2" t="s">
        <v>92</v>
      </c>
      <c r="O4" s="2">
        <v>1815.61</v>
      </c>
      <c r="P4" s="2" t="s">
        <v>49</v>
      </c>
      <c r="Q4" s="2" t="s">
        <v>32</v>
      </c>
      <c r="T4" s="2">
        <v>2</v>
      </c>
      <c r="V4" s="2">
        <v>2</v>
      </c>
    </row>
    <row r="5" spans="1:39" s="2" customFormat="1" x14ac:dyDescent="0.25">
      <c r="A5" s="14" t="str">
        <f t="shared" si="0"/>
        <v>10862336GRBLK</v>
      </c>
      <c r="B5" s="15">
        <v>63</v>
      </c>
      <c r="C5" s="16">
        <v>1</v>
      </c>
      <c r="D5" s="2">
        <v>10862336</v>
      </c>
      <c r="E5" s="2" t="s">
        <v>113</v>
      </c>
      <c r="F5" s="2" t="s">
        <v>129</v>
      </c>
      <c r="G5" s="2" t="s">
        <v>120</v>
      </c>
      <c r="H5" s="2">
        <v>63</v>
      </c>
      <c r="I5" s="2" t="s">
        <v>89</v>
      </c>
      <c r="J5" s="2">
        <v>1</v>
      </c>
      <c r="K5" s="2" t="s">
        <v>90</v>
      </c>
      <c r="L5" s="2" t="s">
        <v>91</v>
      </c>
      <c r="M5" s="2" t="s">
        <v>207</v>
      </c>
      <c r="N5" s="2" t="s">
        <v>92</v>
      </c>
      <c r="O5" s="2">
        <v>1815.61</v>
      </c>
      <c r="P5" s="2" t="s">
        <v>268</v>
      </c>
      <c r="Q5" s="2" t="s">
        <v>32</v>
      </c>
      <c r="R5" s="12"/>
      <c r="W5"/>
      <c r="X5">
        <v>1</v>
      </c>
      <c r="Y5">
        <v>2</v>
      </c>
      <c r="Z5"/>
      <c r="AA5"/>
      <c r="AB5"/>
      <c r="AC5" s="13"/>
    </row>
    <row r="6" spans="1:39" s="2" customFormat="1" x14ac:dyDescent="0.25">
      <c r="A6" s="14" t="str">
        <f t="shared" si="0"/>
        <v>10879530RED</v>
      </c>
      <c r="B6" s="15">
        <v>58</v>
      </c>
      <c r="C6" s="16">
        <v>3</v>
      </c>
      <c r="D6" s="2">
        <v>10879530</v>
      </c>
      <c r="E6" s="2" t="s">
        <v>112</v>
      </c>
      <c r="F6" s="2" t="s">
        <v>131</v>
      </c>
      <c r="G6" s="2" t="s">
        <v>33</v>
      </c>
      <c r="H6" s="2">
        <v>58</v>
      </c>
      <c r="I6" s="2" t="s">
        <v>89</v>
      </c>
      <c r="J6" s="2">
        <v>3</v>
      </c>
      <c r="K6" s="2" t="s">
        <v>90</v>
      </c>
      <c r="L6" s="2" t="s">
        <v>95</v>
      </c>
      <c r="M6" s="2" t="s">
        <v>97</v>
      </c>
      <c r="N6" s="2" t="s">
        <v>92</v>
      </c>
      <c r="O6" s="2">
        <v>2211.31</v>
      </c>
      <c r="P6" s="2" t="s">
        <v>24</v>
      </c>
      <c r="Q6" s="2" t="s">
        <v>25</v>
      </c>
      <c r="R6" s="12">
        <v>3</v>
      </c>
      <c r="T6" s="2">
        <v>3</v>
      </c>
      <c r="W6"/>
      <c r="X6"/>
      <c r="Y6"/>
      <c r="Z6"/>
      <c r="AA6"/>
      <c r="AB6"/>
      <c r="AC6" s="13"/>
    </row>
    <row r="7" spans="1:39" s="2" customFormat="1" x14ac:dyDescent="0.25">
      <c r="A7" s="14" t="str">
        <f t="shared" si="0"/>
        <v>11074364GRA</v>
      </c>
      <c r="B7" s="15" t="s">
        <v>8</v>
      </c>
      <c r="C7" s="16">
        <v>3</v>
      </c>
      <c r="D7" s="2">
        <v>11074364</v>
      </c>
      <c r="E7" s="2" t="s">
        <v>110</v>
      </c>
      <c r="F7" s="2" t="s">
        <v>133</v>
      </c>
      <c r="G7" s="2" t="s">
        <v>29</v>
      </c>
      <c r="H7" s="2" t="s">
        <v>8</v>
      </c>
      <c r="I7" s="2" t="s">
        <v>93</v>
      </c>
      <c r="J7" s="2">
        <v>3</v>
      </c>
      <c r="K7" s="2" t="s">
        <v>185</v>
      </c>
      <c r="L7" s="2" t="s">
        <v>203</v>
      </c>
      <c r="M7" s="2" t="s">
        <v>208</v>
      </c>
      <c r="N7" s="2" t="s">
        <v>92</v>
      </c>
      <c r="O7" s="2">
        <v>581.5</v>
      </c>
      <c r="R7" s="12"/>
      <c r="W7"/>
      <c r="X7"/>
      <c r="Y7"/>
      <c r="Z7">
        <v>3</v>
      </c>
      <c r="AA7"/>
      <c r="AB7"/>
      <c r="AC7" s="13"/>
    </row>
    <row r="8" spans="1:39" s="2" customFormat="1" x14ac:dyDescent="0.25">
      <c r="A8" s="14" t="str">
        <f t="shared" si="0"/>
        <v>11086491BLK</v>
      </c>
      <c r="B8" s="15">
        <v>56</v>
      </c>
      <c r="C8" s="16">
        <v>4</v>
      </c>
      <c r="D8" s="2">
        <v>11086491</v>
      </c>
      <c r="E8" s="2" t="s">
        <v>11</v>
      </c>
      <c r="F8" s="2" t="s">
        <v>134</v>
      </c>
      <c r="G8" s="2" t="s">
        <v>36</v>
      </c>
      <c r="H8" s="2">
        <v>56</v>
      </c>
      <c r="I8" s="2" t="s">
        <v>93</v>
      </c>
      <c r="J8" s="2">
        <v>4</v>
      </c>
      <c r="K8" s="2" t="s">
        <v>184</v>
      </c>
      <c r="L8" s="2" t="s">
        <v>99</v>
      </c>
      <c r="M8" s="2" t="s">
        <v>209</v>
      </c>
      <c r="N8" s="2" t="s">
        <v>92</v>
      </c>
      <c r="O8" s="2">
        <v>1117.1199999999999</v>
      </c>
      <c r="R8" s="12">
        <v>4</v>
      </c>
      <c r="W8"/>
      <c r="X8"/>
      <c r="Y8"/>
      <c r="Z8"/>
      <c r="AA8"/>
      <c r="AB8"/>
      <c r="AC8" s="13"/>
    </row>
    <row r="9" spans="1:39" s="2" customFormat="1" x14ac:dyDescent="0.25">
      <c r="A9" s="14" t="str">
        <f t="shared" si="0"/>
        <v>11180833BLKWHI</v>
      </c>
      <c r="B9" s="15">
        <v>56</v>
      </c>
      <c r="C9" s="16">
        <v>4</v>
      </c>
      <c r="D9" s="2">
        <v>11180833</v>
      </c>
      <c r="E9" s="2" t="s">
        <v>9</v>
      </c>
      <c r="F9" s="2" t="s">
        <v>135</v>
      </c>
      <c r="G9" s="2" t="s">
        <v>36</v>
      </c>
      <c r="H9" s="2">
        <v>56</v>
      </c>
      <c r="I9" s="2" t="s">
        <v>89</v>
      </c>
      <c r="J9" s="2">
        <v>4</v>
      </c>
      <c r="K9" s="2" t="s">
        <v>90</v>
      </c>
      <c r="L9" s="2" t="s">
        <v>95</v>
      </c>
      <c r="N9" s="2" t="s">
        <v>92</v>
      </c>
      <c r="O9" s="2">
        <v>1769.05</v>
      </c>
      <c r="P9" s="2" t="s">
        <v>24</v>
      </c>
      <c r="Q9" s="2" t="s">
        <v>25</v>
      </c>
      <c r="R9" s="12">
        <v>4</v>
      </c>
      <c r="W9"/>
      <c r="X9"/>
      <c r="Y9"/>
      <c r="Z9"/>
      <c r="AA9"/>
      <c r="AB9"/>
      <c r="AC9" s="13"/>
    </row>
    <row r="10" spans="1:39" s="2" customFormat="1" x14ac:dyDescent="0.25">
      <c r="A10" s="14" t="str">
        <f t="shared" si="0"/>
        <v>11198849GRA</v>
      </c>
      <c r="B10" s="15" t="s">
        <v>8</v>
      </c>
      <c r="C10" s="16">
        <v>2</v>
      </c>
      <c r="D10" s="2">
        <v>11198849</v>
      </c>
      <c r="E10" s="2" t="s">
        <v>110</v>
      </c>
      <c r="F10" s="2" t="s">
        <v>136</v>
      </c>
      <c r="G10" s="2" t="s">
        <v>29</v>
      </c>
      <c r="H10" s="2" t="s">
        <v>8</v>
      </c>
      <c r="I10" s="2" t="s">
        <v>93</v>
      </c>
      <c r="J10" s="2">
        <v>2</v>
      </c>
      <c r="K10" s="2" t="s">
        <v>186</v>
      </c>
      <c r="L10" s="2" t="s">
        <v>200</v>
      </c>
      <c r="M10" s="2" t="s">
        <v>210</v>
      </c>
      <c r="N10" s="2" t="s">
        <v>92</v>
      </c>
      <c r="O10" s="2">
        <v>1338.2</v>
      </c>
      <c r="P10" s="2" t="s">
        <v>24</v>
      </c>
      <c r="Q10" s="2" t="s">
        <v>25</v>
      </c>
      <c r="R10" s="12"/>
      <c r="W10"/>
      <c r="X10"/>
      <c r="Y10"/>
      <c r="Z10">
        <v>2</v>
      </c>
      <c r="AA10"/>
      <c r="AB10"/>
      <c r="AC10" s="13"/>
    </row>
    <row r="11" spans="1:39" s="2" customFormat="1" x14ac:dyDescent="0.25">
      <c r="A11" s="14" t="str">
        <f t="shared" si="0"/>
        <v>11213222BLK</v>
      </c>
      <c r="B11" s="15" t="s">
        <v>8</v>
      </c>
      <c r="C11" s="16">
        <v>3</v>
      </c>
      <c r="D11" s="2">
        <v>11213222</v>
      </c>
      <c r="E11" s="2" t="s">
        <v>11</v>
      </c>
      <c r="F11" s="2" t="s">
        <v>137</v>
      </c>
      <c r="G11" s="2" t="s">
        <v>29</v>
      </c>
      <c r="H11" s="2" t="s">
        <v>8</v>
      </c>
      <c r="I11" s="2" t="s">
        <v>89</v>
      </c>
      <c r="J11" s="2">
        <v>3</v>
      </c>
      <c r="K11" s="2" t="s">
        <v>90</v>
      </c>
      <c r="L11" s="2" t="s">
        <v>95</v>
      </c>
      <c r="M11" s="2" t="s">
        <v>211</v>
      </c>
      <c r="N11" s="2" t="s">
        <v>92</v>
      </c>
      <c r="O11" s="2">
        <v>1210.25</v>
      </c>
      <c r="P11" s="2" t="s">
        <v>58</v>
      </c>
      <c r="Q11" s="2" t="s">
        <v>56</v>
      </c>
      <c r="R11" s="12"/>
      <c r="W11"/>
      <c r="X11"/>
      <c r="Y11"/>
      <c r="Z11">
        <v>3</v>
      </c>
      <c r="AA11"/>
      <c r="AB11"/>
      <c r="AC11" s="13"/>
    </row>
    <row r="12" spans="1:39" s="2" customFormat="1" x14ac:dyDescent="0.25">
      <c r="A12" s="14" t="str">
        <f t="shared" si="0"/>
        <v>11405495BLK</v>
      </c>
      <c r="B12" s="15">
        <v>58</v>
      </c>
      <c r="C12" s="16">
        <v>14</v>
      </c>
      <c r="D12" s="2">
        <v>11405495</v>
      </c>
      <c r="E12" s="2" t="s">
        <v>11</v>
      </c>
      <c r="F12" s="2" t="s">
        <v>138</v>
      </c>
      <c r="G12" s="2" t="s">
        <v>33</v>
      </c>
      <c r="H12" s="2">
        <v>58</v>
      </c>
      <c r="I12" s="2" t="s">
        <v>89</v>
      </c>
      <c r="J12" s="2">
        <v>14</v>
      </c>
      <c r="K12" s="2" t="s">
        <v>90</v>
      </c>
      <c r="L12" s="2" t="s">
        <v>94</v>
      </c>
      <c r="M12" s="2" t="s">
        <v>212</v>
      </c>
      <c r="N12" s="2" t="s">
        <v>92</v>
      </c>
      <c r="O12" s="2">
        <v>1489.65</v>
      </c>
      <c r="P12" s="2" t="s">
        <v>26</v>
      </c>
      <c r="Q12" s="2" t="s">
        <v>25</v>
      </c>
      <c r="R12" s="12"/>
      <c r="T12" s="2">
        <v>14</v>
      </c>
      <c r="W12"/>
      <c r="X12"/>
      <c r="Y12"/>
      <c r="Z12"/>
      <c r="AA12"/>
      <c r="AB12"/>
      <c r="AC12" s="13"/>
    </row>
    <row r="13" spans="1:39" s="2" customFormat="1" x14ac:dyDescent="0.25">
      <c r="A13" s="14" t="str">
        <f t="shared" si="0"/>
        <v>11448335BLK</v>
      </c>
      <c r="B13" s="15" t="s">
        <v>8</v>
      </c>
      <c r="C13" s="16">
        <v>2</v>
      </c>
      <c r="D13" s="2">
        <v>11448335</v>
      </c>
      <c r="E13" s="2" t="s">
        <v>11</v>
      </c>
      <c r="F13" s="2" t="s">
        <v>139</v>
      </c>
      <c r="G13" s="2" t="s">
        <v>29</v>
      </c>
      <c r="H13" s="2" t="s">
        <v>8</v>
      </c>
      <c r="I13" s="2" t="s">
        <v>93</v>
      </c>
      <c r="J13" s="2">
        <v>2</v>
      </c>
      <c r="K13" s="2" t="s">
        <v>185</v>
      </c>
      <c r="L13" s="2" t="s">
        <v>199</v>
      </c>
      <c r="M13" s="2" t="s">
        <v>213</v>
      </c>
      <c r="N13" s="2" t="s">
        <v>92</v>
      </c>
      <c r="O13" s="2">
        <v>581.5</v>
      </c>
      <c r="P13" s="2" t="s">
        <v>269</v>
      </c>
      <c r="Q13" s="2" t="s">
        <v>43</v>
      </c>
      <c r="R13" s="12"/>
      <c r="W13"/>
      <c r="X13"/>
      <c r="Y13"/>
      <c r="Z13">
        <v>2</v>
      </c>
      <c r="AA13"/>
      <c r="AB13"/>
      <c r="AC13" s="13"/>
    </row>
    <row r="14" spans="1:39" x14ac:dyDescent="0.25">
      <c r="A14" s="14" t="str">
        <f t="shared" si="0"/>
        <v>11588489NVYWHI</v>
      </c>
      <c r="B14" s="15" t="s">
        <v>8</v>
      </c>
      <c r="C14" s="16">
        <v>32</v>
      </c>
      <c r="D14" s="2">
        <v>11588489</v>
      </c>
      <c r="E14" s="2" t="s">
        <v>12</v>
      </c>
      <c r="F14" s="2" t="s">
        <v>140</v>
      </c>
      <c r="G14" s="2" t="s">
        <v>29</v>
      </c>
      <c r="H14" s="2" t="s">
        <v>8</v>
      </c>
      <c r="I14" s="2" t="s">
        <v>89</v>
      </c>
      <c r="J14" s="2">
        <v>32</v>
      </c>
      <c r="K14" s="2" t="s">
        <v>90</v>
      </c>
      <c r="L14" s="2" t="s">
        <v>95</v>
      </c>
      <c r="N14" s="2" t="s">
        <v>92</v>
      </c>
      <c r="O14" s="2">
        <v>1489.65</v>
      </c>
      <c r="P14" s="2" t="s">
        <v>24</v>
      </c>
      <c r="Q14" s="2" t="s">
        <v>25</v>
      </c>
      <c r="Z14">
        <v>32</v>
      </c>
    </row>
    <row r="15" spans="1:39" x14ac:dyDescent="0.25">
      <c r="A15" s="14" t="str">
        <f t="shared" si="0"/>
        <v>11871284BLKOTC</v>
      </c>
      <c r="B15" s="15">
        <v>56</v>
      </c>
      <c r="C15" s="16">
        <v>1</v>
      </c>
      <c r="D15" s="2">
        <v>11871284</v>
      </c>
      <c r="E15" s="2" t="s">
        <v>15</v>
      </c>
      <c r="F15" s="2" t="s">
        <v>141</v>
      </c>
      <c r="G15" s="2" t="s">
        <v>36</v>
      </c>
      <c r="H15" s="2">
        <v>56</v>
      </c>
      <c r="I15" s="2" t="s">
        <v>89</v>
      </c>
      <c r="J15" s="2">
        <v>1</v>
      </c>
      <c r="K15" s="2" t="s">
        <v>90</v>
      </c>
      <c r="L15" s="2" t="s">
        <v>99</v>
      </c>
      <c r="N15" s="2" t="s">
        <v>92</v>
      </c>
      <c r="O15" s="2">
        <v>1769.05</v>
      </c>
      <c r="P15" s="2" t="s">
        <v>31</v>
      </c>
      <c r="Q15" s="2" t="s">
        <v>32</v>
      </c>
      <c r="R15" s="12">
        <v>1</v>
      </c>
    </row>
    <row r="16" spans="1:39" x14ac:dyDescent="0.25">
      <c r="A16" s="14" t="str">
        <f t="shared" si="0"/>
        <v>11901827BLK</v>
      </c>
      <c r="B16" s="15">
        <v>58</v>
      </c>
      <c r="C16" s="16">
        <v>1</v>
      </c>
      <c r="D16" s="2">
        <v>11901827</v>
      </c>
      <c r="E16" s="2" t="s">
        <v>11</v>
      </c>
      <c r="F16" s="2" t="s">
        <v>142</v>
      </c>
      <c r="G16" s="2" t="s">
        <v>33</v>
      </c>
      <c r="H16" s="2">
        <v>58</v>
      </c>
      <c r="I16" s="2" t="s">
        <v>89</v>
      </c>
      <c r="J16" s="2">
        <v>1</v>
      </c>
      <c r="K16" s="2" t="s">
        <v>90</v>
      </c>
      <c r="L16" s="2" t="s">
        <v>99</v>
      </c>
      <c r="N16" s="2" t="s">
        <v>92</v>
      </c>
      <c r="O16" s="2">
        <v>2211.31</v>
      </c>
      <c r="P16" s="2" t="s">
        <v>35</v>
      </c>
      <c r="Q16" s="2" t="s">
        <v>32</v>
      </c>
      <c r="T16" s="2">
        <v>1</v>
      </c>
    </row>
    <row r="17" spans="1:42" x14ac:dyDescent="0.25">
      <c r="A17" s="14" t="str">
        <f t="shared" si="0"/>
        <v>12033100GRE</v>
      </c>
      <c r="B17" s="15" t="s">
        <v>8</v>
      </c>
      <c r="C17" s="16">
        <v>4</v>
      </c>
      <c r="D17" s="2">
        <v>12033100</v>
      </c>
      <c r="E17" s="2" t="s">
        <v>115</v>
      </c>
      <c r="F17" s="2" t="s">
        <v>143</v>
      </c>
      <c r="G17" s="2" t="s">
        <v>29</v>
      </c>
      <c r="H17" s="2" t="s">
        <v>8</v>
      </c>
      <c r="I17" s="2" t="s">
        <v>93</v>
      </c>
      <c r="J17" s="2">
        <v>4</v>
      </c>
      <c r="K17" s="2" t="s">
        <v>185</v>
      </c>
      <c r="L17" s="2" t="s">
        <v>199</v>
      </c>
      <c r="M17" s="2" t="s">
        <v>214</v>
      </c>
      <c r="N17" s="2" t="s">
        <v>92</v>
      </c>
      <c r="O17" s="2">
        <v>465.2</v>
      </c>
      <c r="Z17">
        <v>4</v>
      </c>
    </row>
    <row r="18" spans="1:42" x14ac:dyDescent="0.25">
      <c r="A18" s="14" t="str">
        <f t="shared" si="0"/>
        <v>12033103BLK</v>
      </c>
      <c r="B18" s="15" t="s">
        <v>8</v>
      </c>
      <c r="C18" s="16">
        <v>2</v>
      </c>
      <c r="D18" s="2">
        <v>12033103</v>
      </c>
      <c r="E18" s="2" t="s">
        <v>11</v>
      </c>
      <c r="F18" s="2" t="s">
        <v>144</v>
      </c>
      <c r="G18" s="2" t="s">
        <v>29</v>
      </c>
      <c r="H18" s="2" t="s">
        <v>8</v>
      </c>
      <c r="I18" s="2" t="s">
        <v>93</v>
      </c>
      <c r="J18" s="2">
        <v>2</v>
      </c>
      <c r="K18" s="2" t="s">
        <v>185</v>
      </c>
      <c r="L18" s="2" t="s">
        <v>199</v>
      </c>
      <c r="M18" s="2" t="s">
        <v>214</v>
      </c>
      <c r="N18" s="2" t="s">
        <v>92</v>
      </c>
      <c r="O18" s="2">
        <v>581.5</v>
      </c>
      <c r="Z18">
        <v>2</v>
      </c>
    </row>
    <row r="19" spans="1:42" x14ac:dyDescent="0.25">
      <c r="A19" s="14" t="str">
        <f t="shared" si="0"/>
        <v>12033266LOSDOD</v>
      </c>
      <c r="B19" s="15" t="s">
        <v>8</v>
      </c>
      <c r="C19" s="16">
        <v>1</v>
      </c>
      <c r="D19" s="2">
        <v>12033266</v>
      </c>
      <c r="E19" s="2" t="s">
        <v>28</v>
      </c>
      <c r="F19" s="2" t="s">
        <v>145</v>
      </c>
      <c r="G19" s="2" t="s">
        <v>29</v>
      </c>
      <c r="H19" s="2" t="s">
        <v>8</v>
      </c>
      <c r="I19" s="2" t="s">
        <v>93</v>
      </c>
      <c r="J19" s="2">
        <v>1</v>
      </c>
      <c r="K19" s="2" t="s">
        <v>185</v>
      </c>
      <c r="L19" s="2" t="s">
        <v>199</v>
      </c>
      <c r="M19" s="2" t="s">
        <v>215</v>
      </c>
      <c r="N19" s="2" t="s">
        <v>92</v>
      </c>
      <c r="O19" s="2">
        <v>581.5</v>
      </c>
      <c r="P19" s="2" t="s">
        <v>26</v>
      </c>
      <c r="Q19" s="2" t="s">
        <v>25</v>
      </c>
      <c r="Z19">
        <v>1</v>
      </c>
    </row>
    <row r="20" spans="1:42" x14ac:dyDescent="0.25">
      <c r="A20" s="14" t="str">
        <f t="shared" si="0"/>
        <v>12122725BLK</v>
      </c>
      <c r="B20" s="15">
        <v>58</v>
      </c>
      <c r="C20" s="16">
        <v>2</v>
      </c>
      <c r="D20" s="2">
        <v>12122725</v>
      </c>
      <c r="E20" s="2" t="s">
        <v>11</v>
      </c>
      <c r="F20" s="2" t="s">
        <v>146</v>
      </c>
      <c r="G20" s="2" t="s">
        <v>33</v>
      </c>
      <c r="H20" s="2">
        <v>58</v>
      </c>
      <c r="I20" s="2" t="s">
        <v>93</v>
      </c>
      <c r="J20" s="2">
        <v>2</v>
      </c>
      <c r="K20" s="2" t="s">
        <v>184</v>
      </c>
      <c r="L20" s="2" t="s">
        <v>95</v>
      </c>
      <c r="M20" s="2" t="s">
        <v>98</v>
      </c>
      <c r="N20" s="2" t="s">
        <v>92</v>
      </c>
      <c r="O20" s="2">
        <v>1769.05</v>
      </c>
      <c r="P20" s="2" t="s">
        <v>31</v>
      </c>
      <c r="Q20" s="2" t="s">
        <v>32</v>
      </c>
      <c r="R20" s="12">
        <v>1</v>
      </c>
      <c r="T20" s="2">
        <v>2</v>
      </c>
    </row>
    <row r="21" spans="1:42" x14ac:dyDescent="0.25">
      <c r="A21" s="14" t="str">
        <f t="shared" si="0"/>
        <v>12489434GRAWHT</v>
      </c>
      <c r="B21" s="15" t="s">
        <v>8</v>
      </c>
      <c r="C21" s="16">
        <v>8</v>
      </c>
      <c r="D21" s="2">
        <v>12489434</v>
      </c>
      <c r="E21" s="2" t="s">
        <v>118</v>
      </c>
      <c r="F21" s="2" t="s">
        <v>148</v>
      </c>
      <c r="G21" s="2" t="s">
        <v>29</v>
      </c>
      <c r="H21" s="2" t="s">
        <v>8</v>
      </c>
      <c r="I21" s="2" t="s">
        <v>93</v>
      </c>
      <c r="J21" s="2">
        <v>8</v>
      </c>
      <c r="K21" s="2" t="s">
        <v>187</v>
      </c>
      <c r="L21" s="2" t="s">
        <v>199</v>
      </c>
      <c r="M21" s="2" t="s">
        <v>216</v>
      </c>
      <c r="N21" s="2" t="s">
        <v>92</v>
      </c>
      <c r="O21" s="2">
        <v>744.59</v>
      </c>
      <c r="Z21">
        <v>8</v>
      </c>
    </row>
    <row r="22" spans="1:42" x14ac:dyDescent="0.25">
      <c r="A22" s="14" t="str">
        <f t="shared" si="0"/>
        <v>12503527BLACK</v>
      </c>
      <c r="B22" s="15">
        <v>56</v>
      </c>
      <c r="C22" s="16">
        <v>6</v>
      </c>
      <c r="D22" s="2">
        <v>12503527</v>
      </c>
      <c r="E22" s="2" t="s">
        <v>117</v>
      </c>
      <c r="F22" s="2" t="s">
        <v>149</v>
      </c>
      <c r="G22" s="2" t="s">
        <v>36</v>
      </c>
      <c r="H22" s="2">
        <v>56</v>
      </c>
      <c r="I22" s="2" t="s">
        <v>93</v>
      </c>
      <c r="J22" s="2">
        <v>6</v>
      </c>
      <c r="K22" s="2" t="s">
        <v>188</v>
      </c>
      <c r="L22" s="2" t="s">
        <v>91</v>
      </c>
      <c r="N22" s="2" t="s">
        <v>92</v>
      </c>
      <c r="O22" s="2">
        <v>1745.65</v>
      </c>
      <c r="P22" s="2" t="s">
        <v>58</v>
      </c>
      <c r="Q22" s="2" t="s">
        <v>56</v>
      </c>
      <c r="R22" s="12">
        <v>6</v>
      </c>
    </row>
    <row r="23" spans="1:42" x14ac:dyDescent="0.25">
      <c r="A23" s="14" t="str">
        <f t="shared" si="0"/>
        <v>12503535SCA</v>
      </c>
      <c r="B23" s="15" t="s">
        <v>8</v>
      </c>
      <c r="C23" s="16">
        <v>3</v>
      </c>
      <c r="D23" s="2">
        <v>12503535</v>
      </c>
      <c r="E23" s="2" t="s">
        <v>116</v>
      </c>
      <c r="F23" s="2" t="s">
        <v>150</v>
      </c>
      <c r="G23" s="2" t="s">
        <v>29</v>
      </c>
      <c r="H23" s="2" t="s">
        <v>8</v>
      </c>
      <c r="I23" s="2" t="s">
        <v>93</v>
      </c>
      <c r="J23" s="2">
        <v>3</v>
      </c>
      <c r="K23" s="2" t="s">
        <v>189</v>
      </c>
      <c r="L23" s="2" t="s">
        <v>100</v>
      </c>
      <c r="M23" s="2" t="s">
        <v>217</v>
      </c>
      <c r="N23" s="2" t="s">
        <v>92</v>
      </c>
      <c r="O23" s="2">
        <v>1338.2</v>
      </c>
      <c r="P23" s="2" t="s">
        <v>58</v>
      </c>
      <c r="Q23" s="2" t="s">
        <v>56</v>
      </c>
      <c r="Z23">
        <v>3</v>
      </c>
    </row>
    <row r="24" spans="1:42" x14ac:dyDescent="0.25">
      <c r="A24" s="14" t="str">
        <f t="shared" si="0"/>
        <v>12503546BLK</v>
      </c>
      <c r="B24" s="15">
        <v>56</v>
      </c>
      <c r="C24" s="16">
        <v>6</v>
      </c>
      <c r="D24" s="2">
        <v>12503546</v>
      </c>
      <c r="E24" s="2" t="s">
        <v>11</v>
      </c>
      <c r="F24" s="2" t="s">
        <v>151</v>
      </c>
      <c r="G24" s="2" t="s">
        <v>36</v>
      </c>
      <c r="H24" s="2">
        <v>56</v>
      </c>
      <c r="I24" s="2" t="s">
        <v>93</v>
      </c>
      <c r="J24" s="2">
        <v>6</v>
      </c>
      <c r="K24" s="2" t="s">
        <v>190</v>
      </c>
      <c r="L24" s="2" t="s">
        <v>202</v>
      </c>
      <c r="N24" s="2" t="s">
        <v>92</v>
      </c>
      <c r="O24" s="2">
        <v>1396.4</v>
      </c>
      <c r="P24" s="2" t="s">
        <v>58</v>
      </c>
      <c r="Q24" s="2" t="s">
        <v>56</v>
      </c>
      <c r="R24" s="12">
        <v>6</v>
      </c>
    </row>
    <row r="25" spans="1:42" x14ac:dyDescent="0.25">
      <c r="A25" s="14" t="str">
        <f t="shared" si="0"/>
        <v>12503924GRA</v>
      </c>
      <c r="B25" s="15" t="s">
        <v>8</v>
      </c>
      <c r="C25" s="16">
        <v>6</v>
      </c>
      <c r="D25" s="2">
        <v>12503924</v>
      </c>
      <c r="E25" s="2" t="s">
        <v>110</v>
      </c>
      <c r="F25" s="2" t="s">
        <v>152</v>
      </c>
      <c r="G25" s="2" t="s">
        <v>29</v>
      </c>
      <c r="H25" s="2" t="s">
        <v>8</v>
      </c>
      <c r="I25" s="2" t="s">
        <v>93</v>
      </c>
      <c r="J25" s="2">
        <v>6</v>
      </c>
      <c r="K25" s="2" t="s">
        <v>189</v>
      </c>
      <c r="L25" s="2" t="s">
        <v>95</v>
      </c>
      <c r="M25" s="2" t="s">
        <v>218</v>
      </c>
      <c r="N25" s="2" t="s">
        <v>92</v>
      </c>
      <c r="O25" s="2">
        <v>1105.3699999999999</v>
      </c>
      <c r="P25" s="2" t="s">
        <v>55</v>
      </c>
      <c r="Q25" s="2" t="s">
        <v>56</v>
      </c>
      <c r="Z25">
        <v>6</v>
      </c>
    </row>
    <row r="26" spans="1:42" x14ac:dyDescent="0.25">
      <c r="A26" s="14" t="str">
        <f t="shared" si="0"/>
        <v>12503934CAB</v>
      </c>
      <c r="B26" s="15" t="s">
        <v>8</v>
      </c>
      <c r="C26" s="16">
        <v>5</v>
      </c>
      <c r="D26" s="2">
        <v>12503934</v>
      </c>
      <c r="E26" s="2" t="s">
        <v>111</v>
      </c>
      <c r="F26" s="2" t="s">
        <v>153</v>
      </c>
      <c r="G26" s="2" t="s">
        <v>29</v>
      </c>
      <c r="H26" s="2" t="s">
        <v>8</v>
      </c>
      <c r="I26" s="2" t="s">
        <v>93</v>
      </c>
      <c r="J26" s="2">
        <v>5</v>
      </c>
      <c r="K26" s="2" t="s">
        <v>189</v>
      </c>
      <c r="L26" s="2" t="s">
        <v>95</v>
      </c>
      <c r="M26" s="2" t="s">
        <v>218</v>
      </c>
      <c r="N26" s="2" t="s">
        <v>92</v>
      </c>
      <c r="O26" s="2">
        <v>1105.3699999999999</v>
      </c>
      <c r="P26" s="2" t="s">
        <v>55</v>
      </c>
      <c r="Q26" s="2" t="s">
        <v>56</v>
      </c>
      <c r="Z26">
        <v>5</v>
      </c>
    </row>
    <row r="27" spans="1:42" x14ac:dyDescent="0.25">
      <c r="A27" s="14" t="str">
        <f t="shared" si="0"/>
        <v>12523897GRAWHI</v>
      </c>
      <c r="B27" s="15" t="s">
        <v>8</v>
      </c>
      <c r="C27" s="16">
        <v>2</v>
      </c>
      <c r="D27" s="2">
        <v>12523897</v>
      </c>
      <c r="E27" s="2" t="s">
        <v>10</v>
      </c>
      <c r="F27" s="2" t="s">
        <v>154</v>
      </c>
      <c r="G27" s="2" t="s">
        <v>29</v>
      </c>
      <c r="H27" s="2" t="s">
        <v>8</v>
      </c>
      <c r="I27" s="2" t="s">
        <v>89</v>
      </c>
      <c r="J27" s="2">
        <v>2</v>
      </c>
      <c r="K27" s="2" t="s">
        <v>90</v>
      </c>
      <c r="L27" s="2" t="s">
        <v>95</v>
      </c>
      <c r="N27" s="2" t="s">
        <v>92</v>
      </c>
      <c r="O27" s="2">
        <v>1687.44</v>
      </c>
      <c r="P27" s="2" t="s">
        <v>24</v>
      </c>
      <c r="Q27" s="2" t="s">
        <v>25</v>
      </c>
      <c r="Z27">
        <v>2</v>
      </c>
    </row>
    <row r="28" spans="1:42" s="12" customFormat="1" x14ac:dyDescent="0.25">
      <c r="A28" s="14" t="str">
        <f t="shared" si="0"/>
        <v>12523910BLKBLK</v>
      </c>
      <c r="B28" s="15">
        <v>58</v>
      </c>
      <c r="C28" s="16">
        <v>1</v>
      </c>
      <c r="D28" s="2">
        <v>12523910</v>
      </c>
      <c r="E28" s="2" t="s">
        <v>6</v>
      </c>
      <c r="F28" s="2" t="s">
        <v>155</v>
      </c>
      <c r="G28" s="2" t="s">
        <v>33</v>
      </c>
      <c r="H28" s="2">
        <v>58</v>
      </c>
      <c r="I28" s="2" t="s">
        <v>89</v>
      </c>
      <c r="J28" s="2">
        <v>1</v>
      </c>
      <c r="K28" s="2" t="s">
        <v>90</v>
      </c>
      <c r="L28" s="2" t="s">
        <v>91</v>
      </c>
      <c r="M28" s="2"/>
      <c r="N28" s="2" t="s">
        <v>92</v>
      </c>
      <c r="O28" s="2">
        <v>2153.1</v>
      </c>
      <c r="P28" s="2" t="s">
        <v>24</v>
      </c>
      <c r="Q28" s="2" t="s">
        <v>25</v>
      </c>
      <c r="R28" s="12">
        <v>1</v>
      </c>
      <c r="S28" s="2"/>
      <c r="T28" s="2">
        <v>1</v>
      </c>
      <c r="U28" s="2"/>
      <c r="V28" s="2"/>
      <c r="W28"/>
      <c r="X28"/>
      <c r="Y28"/>
      <c r="Z28"/>
      <c r="AA28"/>
      <c r="AB28"/>
      <c r="AC28" s="13"/>
      <c r="AD28"/>
      <c r="AE28"/>
      <c r="AF28"/>
      <c r="AG28"/>
      <c r="AH28"/>
      <c r="AI28"/>
      <c r="AJ28"/>
      <c r="AK28"/>
      <c r="AL28"/>
      <c r="AM28"/>
      <c r="AN28"/>
      <c r="AO28"/>
      <c r="AP28"/>
    </row>
    <row r="29" spans="1:42" s="12" customFormat="1" x14ac:dyDescent="0.25">
      <c r="A29" s="14" t="str">
        <f t="shared" si="0"/>
        <v>60142978LTCKGR</v>
      </c>
      <c r="B29" s="15" t="s">
        <v>8</v>
      </c>
      <c r="C29" s="16">
        <v>6</v>
      </c>
      <c r="D29" s="2">
        <v>60142978</v>
      </c>
      <c r="E29" s="2" t="s">
        <v>123</v>
      </c>
      <c r="F29" s="2" t="s">
        <v>157</v>
      </c>
      <c r="G29" s="2" t="s">
        <v>29</v>
      </c>
      <c r="H29" s="2" t="s">
        <v>8</v>
      </c>
      <c r="I29" s="2" t="s">
        <v>93</v>
      </c>
      <c r="J29" s="2">
        <v>6</v>
      </c>
      <c r="K29" s="2" t="s">
        <v>191</v>
      </c>
      <c r="L29" s="2" t="s">
        <v>100</v>
      </c>
      <c r="M29" s="2"/>
      <c r="N29" s="2" t="s">
        <v>92</v>
      </c>
      <c r="O29" s="2">
        <v>884.29</v>
      </c>
      <c r="P29" s="2" t="s">
        <v>69</v>
      </c>
      <c r="Q29" s="2" t="s">
        <v>70</v>
      </c>
      <c r="S29" s="2"/>
      <c r="T29" s="2"/>
      <c r="U29" s="2"/>
      <c r="V29" s="2"/>
      <c r="W29"/>
      <c r="X29"/>
      <c r="Y29"/>
      <c r="Z29">
        <v>6</v>
      </c>
      <c r="AA29"/>
      <c r="AB29"/>
      <c r="AC29" s="13"/>
      <c r="AD29"/>
      <c r="AE29"/>
      <c r="AF29"/>
      <c r="AG29"/>
      <c r="AH29"/>
      <c r="AI29"/>
      <c r="AJ29"/>
      <c r="AK29"/>
      <c r="AL29"/>
      <c r="AM29"/>
      <c r="AN29"/>
      <c r="AO29"/>
      <c r="AP29"/>
    </row>
    <row r="30" spans="1:42" s="12" customFormat="1" x14ac:dyDescent="0.25">
      <c r="A30" s="14" t="str">
        <f t="shared" si="0"/>
        <v>60143388BLK</v>
      </c>
      <c r="B30" s="15" t="s">
        <v>8</v>
      </c>
      <c r="C30" s="16">
        <v>10</v>
      </c>
      <c r="D30" s="2">
        <v>60143388</v>
      </c>
      <c r="E30" s="2" t="s">
        <v>11</v>
      </c>
      <c r="F30" s="2" t="s">
        <v>158</v>
      </c>
      <c r="G30" s="2" t="s">
        <v>29</v>
      </c>
      <c r="H30" s="2" t="s">
        <v>8</v>
      </c>
      <c r="I30" s="2" t="s">
        <v>93</v>
      </c>
      <c r="J30" s="2">
        <v>10</v>
      </c>
      <c r="K30" s="2" t="s">
        <v>192</v>
      </c>
      <c r="L30" s="2" t="s">
        <v>100</v>
      </c>
      <c r="M30" s="2"/>
      <c r="N30" s="2" t="s">
        <v>92</v>
      </c>
      <c r="O30" s="2">
        <v>1210.25</v>
      </c>
      <c r="P30" s="2" t="s">
        <v>58</v>
      </c>
      <c r="Q30" s="2" t="s">
        <v>56</v>
      </c>
      <c r="S30" s="2"/>
      <c r="T30" s="2"/>
      <c r="U30" s="2"/>
      <c r="V30" s="2"/>
      <c r="W30"/>
      <c r="X30"/>
      <c r="Y30"/>
      <c r="Z30">
        <v>10</v>
      </c>
      <c r="AA30"/>
      <c r="AB30"/>
      <c r="AC30" s="13"/>
      <c r="AD30"/>
      <c r="AE30"/>
      <c r="AF30"/>
      <c r="AG30"/>
      <c r="AH30"/>
      <c r="AI30"/>
      <c r="AJ30"/>
      <c r="AK30"/>
      <c r="AL30"/>
      <c r="AM30"/>
      <c r="AN30"/>
      <c r="AO30"/>
      <c r="AP30"/>
    </row>
    <row r="31" spans="1:42" s="12" customFormat="1" x14ac:dyDescent="0.25">
      <c r="A31" s="14" t="str">
        <f t="shared" si="0"/>
        <v>60221494GRH</v>
      </c>
      <c r="B31" s="15">
        <v>58</v>
      </c>
      <c r="C31" s="16">
        <v>1</v>
      </c>
      <c r="D31" s="2">
        <v>60221494</v>
      </c>
      <c r="E31" s="2" t="s">
        <v>106</v>
      </c>
      <c r="F31" s="2" t="s">
        <v>159</v>
      </c>
      <c r="G31" s="2" t="s">
        <v>33</v>
      </c>
      <c r="H31" s="2">
        <v>58</v>
      </c>
      <c r="I31" s="2" t="s">
        <v>93</v>
      </c>
      <c r="J31" s="2">
        <v>1</v>
      </c>
      <c r="K31" s="2" t="s">
        <v>193</v>
      </c>
      <c r="L31" s="2" t="s">
        <v>99</v>
      </c>
      <c r="M31" s="2"/>
      <c r="N31" s="2" t="s">
        <v>92</v>
      </c>
      <c r="O31" s="2">
        <v>2308.31</v>
      </c>
      <c r="P31" s="2" t="s">
        <v>55</v>
      </c>
      <c r="Q31" s="2" t="s">
        <v>56</v>
      </c>
      <c r="R31" s="12">
        <v>1</v>
      </c>
      <c r="S31" s="2"/>
      <c r="T31" s="2">
        <v>1</v>
      </c>
      <c r="U31" s="2"/>
      <c r="V31" s="2"/>
      <c r="W31"/>
      <c r="X31"/>
      <c r="Y31"/>
      <c r="Z31"/>
      <c r="AA31"/>
      <c r="AB31"/>
      <c r="AC31" s="13"/>
      <c r="AD31"/>
      <c r="AE31"/>
      <c r="AF31"/>
      <c r="AG31"/>
      <c r="AH31"/>
      <c r="AI31"/>
      <c r="AJ31"/>
      <c r="AK31"/>
      <c r="AL31"/>
      <c r="AM31"/>
      <c r="AN31"/>
      <c r="AO31"/>
      <c r="AP31"/>
    </row>
    <row r="32" spans="1:42" s="12" customFormat="1" x14ac:dyDescent="0.25">
      <c r="A32" s="14" t="str">
        <f t="shared" si="0"/>
        <v>60221531BLK</v>
      </c>
      <c r="B32" s="15" t="s">
        <v>8</v>
      </c>
      <c r="C32" s="16">
        <v>2</v>
      </c>
      <c r="D32" s="2">
        <v>60221531</v>
      </c>
      <c r="E32" s="2" t="s">
        <v>11</v>
      </c>
      <c r="F32" s="2" t="s">
        <v>161</v>
      </c>
      <c r="G32" s="2" t="s">
        <v>29</v>
      </c>
      <c r="H32" s="2" t="s">
        <v>8</v>
      </c>
      <c r="I32" s="2" t="s">
        <v>93</v>
      </c>
      <c r="J32" s="2">
        <v>2</v>
      </c>
      <c r="K32" s="2" t="s">
        <v>193</v>
      </c>
      <c r="L32" s="2" t="s">
        <v>91</v>
      </c>
      <c r="M32" s="2"/>
      <c r="N32" s="2" t="s">
        <v>92</v>
      </c>
      <c r="O32" s="2">
        <v>1978.48</v>
      </c>
      <c r="P32" s="2" t="s">
        <v>69</v>
      </c>
      <c r="Q32" s="2" t="s">
        <v>70</v>
      </c>
      <c r="S32" s="2"/>
      <c r="T32" s="2"/>
      <c r="U32" s="2"/>
      <c r="V32" s="2"/>
      <c r="W32"/>
      <c r="X32"/>
      <c r="Y32"/>
      <c r="Z32">
        <v>2</v>
      </c>
      <c r="AA32"/>
      <c r="AB32"/>
      <c r="AC32" s="13"/>
      <c r="AD32"/>
      <c r="AE32"/>
      <c r="AF32"/>
      <c r="AG32"/>
      <c r="AH32"/>
      <c r="AI32"/>
      <c r="AJ32"/>
      <c r="AK32"/>
      <c r="AL32"/>
      <c r="AM32"/>
      <c r="AN32"/>
      <c r="AO32"/>
      <c r="AP32"/>
    </row>
    <row r="33" spans="1:42" s="12" customFormat="1" x14ac:dyDescent="0.25">
      <c r="A33" s="14" t="str">
        <f t="shared" si="0"/>
        <v>60221568NVY</v>
      </c>
      <c r="B33" s="15">
        <v>58</v>
      </c>
      <c r="C33" s="16">
        <v>1</v>
      </c>
      <c r="D33" s="2">
        <v>60221568</v>
      </c>
      <c r="E33" s="2" t="s">
        <v>107</v>
      </c>
      <c r="F33" s="2" t="s">
        <v>162</v>
      </c>
      <c r="G33" s="2" t="s">
        <v>33</v>
      </c>
      <c r="H33" s="2">
        <v>58</v>
      </c>
      <c r="I33" s="2" t="s">
        <v>89</v>
      </c>
      <c r="J33" s="2">
        <v>1</v>
      </c>
      <c r="K33" s="2" t="s">
        <v>194</v>
      </c>
      <c r="L33" s="2" t="s">
        <v>201</v>
      </c>
      <c r="M33" s="2"/>
      <c r="N33" s="2" t="s">
        <v>92</v>
      </c>
      <c r="O33" s="2">
        <v>2502.35</v>
      </c>
      <c r="P33" s="2" t="s">
        <v>270</v>
      </c>
      <c r="Q33" s="2" t="s">
        <v>271</v>
      </c>
      <c r="R33" s="12">
        <v>1</v>
      </c>
      <c r="S33" s="2"/>
      <c r="T33" s="2">
        <v>1</v>
      </c>
      <c r="U33" s="2"/>
      <c r="V33" s="2"/>
      <c r="W33"/>
      <c r="X33"/>
      <c r="Y33"/>
      <c r="Z33"/>
      <c r="AA33"/>
      <c r="AB33"/>
      <c r="AC33" s="13"/>
      <c r="AD33"/>
      <c r="AE33"/>
      <c r="AF33"/>
      <c r="AG33"/>
      <c r="AH33"/>
      <c r="AI33"/>
      <c r="AJ33"/>
      <c r="AK33"/>
      <c r="AL33"/>
      <c r="AM33"/>
      <c r="AN33"/>
      <c r="AO33"/>
      <c r="AP33"/>
    </row>
    <row r="34" spans="1:42" s="12" customFormat="1" x14ac:dyDescent="0.25">
      <c r="A34" s="14" t="str">
        <f t="shared" si="0"/>
        <v>60222237GRH</v>
      </c>
      <c r="B34" s="15" t="s">
        <v>8</v>
      </c>
      <c r="C34" s="16">
        <v>12</v>
      </c>
      <c r="D34" s="2">
        <v>60222237</v>
      </c>
      <c r="E34" s="2" t="s">
        <v>106</v>
      </c>
      <c r="F34" s="2" t="s">
        <v>164</v>
      </c>
      <c r="G34" s="2" t="s">
        <v>29</v>
      </c>
      <c r="H34" s="2" t="s">
        <v>8</v>
      </c>
      <c r="I34" s="2" t="s">
        <v>93</v>
      </c>
      <c r="J34" s="2">
        <v>12</v>
      </c>
      <c r="K34" s="2" t="s">
        <v>195</v>
      </c>
      <c r="L34" s="2" t="s">
        <v>95</v>
      </c>
      <c r="M34" s="2"/>
      <c r="N34" s="2" t="s">
        <v>92</v>
      </c>
      <c r="O34" s="2">
        <v>1687.44</v>
      </c>
      <c r="P34" s="2" t="s">
        <v>31</v>
      </c>
      <c r="Q34" s="2" t="s">
        <v>32</v>
      </c>
      <c r="S34" s="2"/>
      <c r="T34" s="2"/>
      <c r="U34" s="2"/>
      <c r="V34" s="2"/>
      <c r="W34"/>
      <c r="X34"/>
      <c r="Y34"/>
      <c r="Z34">
        <v>12</v>
      </c>
      <c r="AA34"/>
      <c r="AB34"/>
      <c r="AC34" s="13"/>
      <c r="AD34"/>
      <c r="AE34"/>
      <c r="AF34"/>
      <c r="AG34"/>
      <c r="AH34"/>
      <c r="AI34"/>
      <c r="AJ34"/>
      <c r="AK34"/>
      <c r="AL34"/>
      <c r="AM34"/>
      <c r="AN34"/>
      <c r="AO34"/>
      <c r="AP34"/>
    </row>
    <row r="35" spans="1:42" s="12" customFormat="1" x14ac:dyDescent="0.25">
      <c r="A35" s="14" t="str">
        <f t="shared" si="0"/>
        <v>60222257NVY</v>
      </c>
      <c r="B35" s="15" t="s">
        <v>8</v>
      </c>
      <c r="C35" s="16">
        <v>1</v>
      </c>
      <c r="D35" s="2">
        <v>60222257</v>
      </c>
      <c r="E35" s="2" t="s">
        <v>107</v>
      </c>
      <c r="F35" s="2" t="s">
        <v>165</v>
      </c>
      <c r="G35" s="2" t="s">
        <v>29</v>
      </c>
      <c r="H35" s="2" t="s">
        <v>8</v>
      </c>
      <c r="I35" s="2" t="s">
        <v>93</v>
      </c>
      <c r="J35" s="2">
        <v>1</v>
      </c>
      <c r="K35" s="2" t="s">
        <v>195</v>
      </c>
      <c r="L35" s="2" t="s">
        <v>100</v>
      </c>
      <c r="M35" s="2"/>
      <c r="N35" s="2" t="s">
        <v>92</v>
      </c>
      <c r="O35" s="2">
        <v>1978.48</v>
      </c>
      <c r="P35" s="2" t="s">
        <v>24</v>
      </c>
      <c r="Q35" s="2" t="s">
        <v>25</v>
      </c>
      <c r="S35" s="2"/>
      <c r="T35" s="2"/>
      <c r="U35" s="2"/>
      <c r="V35" s="2"/>
      <c r="W35"/>
      <c r="X35"/>
      <c r="Y35"/>
      <c r="Z35">
        <v>1</v>
      </c>
      <c r="AA35"/>
      <c r="AB35"/>
      <c r="AC35" s="13"/>
      <c r="AD35"/>
      <c r="AE35"/>
      <c r="AF35"/>
      <c r="AG35"/>
      <c r="AH35"/>
      <c r="AI35"/>
      <c r="AJ35"/>
      <c r="AK35"/>
      <c r="AL35"/>
      <c r="AM35"/>
      <c r="AN35"/>
      <c r="AO35"/>
      <c r="AP35"/>
    </row>
    <row r="36" spans="1:42" s="12" customFormat="1" x14ac:dyDescent="0.25">
      <c r="A36" s="14" t="str">
        <f t="shared" si="0"/>
        <v>60222275NVYRE</v>
      </c>
      <c r="B36" s="15">
        <v>58</v>
      </c>
      <c r="C36" s="16">
        <v>1</v>
      </c>
      <c r="D36" s="2">
        <v>60222275</v>
      </c>
      <c r="E36" s="2" t="s">
        <v>108</v>
      </c>
      <c r="F36" s="2" t="s">
        <v>166</v>
      </c>
      <c r="G36" s="2" t="s">
        <v>33</v>
      </c>
      <c r="H36" s="2">
        <v>58</v>
      </c>
      <c r="I36" s="2" t="s">
        <v>89</v>
      </c>
      <c r="J36" s="2">
        <v>1</v>
      </c>
      <c r="K36" s="2" t="s">
        <v>196</v>
      </c>
      <c r="L36" s="2" t="s">
        <v>94</v>
      </c>
      <c r="M36" s="2"/>
      <c r="N36" s="2" t="s">
        <v>92</v>
      </c>
      <c r="O36" s="2">
        <v>1862.06</v>
      </c>
      <c r="P36" s="2" t="s">
        <v>39</v>
      </c>
      <c r="Q36" s="2" t="s">
        <v>25</v>
      </c>
      <c r="S36" s="2"/>
      <c r="T36" s="2">
        <v>1</v>
      </c>
      <c r="U36" s="2"/>
      <c r="V36" s="2"/>
      <c r="W36"/>
      <c r="X36"/>
      <c r="Y36"/>
      <c r="Z36"/>
      <c r="AA36"/>
      <c r="AB36"/>
      <c r="AC36" s="13"/>
      <c r="AD36"/>
      <c r="AE36"/>
      <c r="AF36"/>
      <c r="AG36"/>
      <c r="AH36"/>
      <c r="AI36"/>
      <c r="AJ36"/>
      <c r="AK36"/>
      <c r="AL36"/>
      <c r="AM36"/>
      <c r="AN36"/>
      <c r="AO36"/>
      <c r="AP36"/>
    </row>
    <row r="37" spans="1:42" s="12" customFormat="1" x14ac:dyDescent="0.25">
      <c r="A37" s="14" t="str">
        <f t="shared" si="0"/>
        <v>60222277NVY</v>
      </c>
      <c r="B37" s="15" t="s">
        <v>8</v>
      </c>
      <c r="C37" s="16">
        <v>4</v>
      </c>
      <c r="D37" s="2">
        <v>60222277</v>
      </c>
      <c r="E37" s="2" t="s">
        <v>107</v>
      </c>
      <c r="F37" s="2" t="s">
        <v>167</v>
      </c>
      <c r="G37" s="2" t="s">
        <v>29</v>
      </c>
      <c r="H37" s="2" t="s">
        <v>8</v>
      </c>
      <c r="I37" s="2" t="s">
        <v>93</v>
      </c>
      <c r="J37" s="2">
        <v>4</v>
      </c>
      <c r="K37" s="2" t="s">
        <v>197</v>
      </c>
      <c r="L37" s="2" t="s">
        <v>100</v>
      </c>
      <c r="M37" s="2"/>
      <c r="N37" s="2" t="s">
        <v>92</v>
      </c>
      <c r="O37" s="2">
        <v>1862.06</v>
      </c>
      <c r="P37" s="2"/>
      <c r="Q37" s="2"/>
      <c r="S37" s="2"/>
      <c r="T37" s="2"/>
      <c r="U37" s="2"/>
      <c r="V37" s="2"/>
      <c r="W37"/>
      <c r="X37"/>
      <c r="Y37"/>
      <c r="Z37">
        <v>4</v>
      </c>
      <c r="AA37"/>
      <c r="AB37"/>
      <c r="AC37" s="13"/>
      <c r="AD37"/>
      <c r="AE37"/>
      <c r="AF37"/>
      <c r="AG37"/>
      <c r="AH37"/>
      <c r="AI37"/>
      <c r="AJ37"/>
      <c r="AK37"/>
      <c r="AL37"/>
      <c r="AM37"/>
      <c r="AN37"/>
      <c r="AO37"/>
      <c r="AP37"/>
    </row>
    <row r="38" spans="1:42" s="12" customFormat="1" x14ac:dyDescent="0.25">
      <c r="A38" s="14" t="str">
        <f t="shared" si="0"/>
        <v>60222290DKG</v>
      </c>
      <c r="B38" s="15">
        <v>58</v>
      </c>
      <c r="C38" s="16">
        <v>1</v>
      </c>
      <c r="D38" s="2">
        <v>60222290</v>
      </c>
      <c r="E38" s="2" t="s">
        <v>114</v>
      </c>
      <c r="F38" s="2" t="s">
        <v>168</v>
      </c>
      <c r="G38" s="2" t="s">
        <v>33</v>
      </c>
      <c r="H38" s="2">
        <v>58</v>
      </c>
      <c r="I38" s="2" t="s">
        <v>89</v>
      </c>
      <c r="J38" s="2">
        <v>1</v>
      </c>
      <c r="K38" s="2" t="s">
        <v>194</v>
      </c>
      <c r="L38" s="2" t="s">
        <v>91</v>
      </c>
      <c r="M38" s="2"/>
      <c r="N38" s="2" t="s">
        <v>92</v>
      </c>
      <c r="O38" s="2">
        <v>2153.1</v>
      </c>
      <c r="P38" s="2" t="s">
        <v>38</v>
      </c>
      <c r="Q38" s="2" t="s">
        <v>25</v>
      </c>
      <c r="R38" s="12">
        <v>1</v>
      </c>
      <c r="S38" s="2"/>
      <c r="T38" s="2">
        <v>1</v>
      </c>
      <c r="U38" s="2"/>
      <c r="V38" s="2"/>
      <c r="W38"/>
      <c r="X38"/>
      <c r="Y38"/>
      <c r="Z38"/>
      <c r="AA38"/>
      <c r="AB38"/>
      <c r="AC38" s="13"/>
      <c r="AD38"/>
      <c r="AE38"/>
      <c r="AF38"/>
      <c r="AG38"/>
      <c r="AH38"/>
      <c r="AI38"/>
      <c r="AJ38"/>
      <c r="AK38"/>
      <c r="AL38"/>
      <c r="AM38"/>
      <c r="AN38"/>
      <c r="AO38"/>
      <c r="AP38"/>
    </row>
    <row r="39" spans="1:42" s="12" customFormat="1" x14ac:dyDescent="0.25">
      <c r="A39" s="14" t="str">
        <f t="shared" si="0"/>
        <v>60222318GRP</v>
      </c>
      <c r="B39" s="15" t="s">
        <v>8</v>
      </c>
      <c r="C39" s="16">
        <v>6</v>
      </c>
      <c r="D39" s="2">
        <v>60222318</v>
      </c>
      <c r="E39" s="2" t="s">
        <v>109</v>
      </c>
      <c r="F39" s="2" t="s">
        <v>170</v>
      </c>
      <c r="G39" s="2" t="s">
        <v>29</v>
      </c>
      <c r="H39" s="2" t="s">
        <v>8</v>
      </c>
      <c r="I39" s="2" t="s">
        <v>93</v>
      </c>
      <c r="J39" s="2">
        <v>6</v>
      </c>
      <c r="K39" s="2" t="s">
        <v>195</v>
      </c>
      <c r="L39" s="2" t="s">
        <v>100</v>
      </c>
      <c r="M39" s="2"/>
      <c r="N39" s="2" t="s">
        <v>92</v>
      </c>
      <c r="O39" s="2">
        <v>2153.1</v>
      </c>
      <c r="P39" s="2" t="s">
        <v>24</v>
      </c>
      <c r="Q39" s="2" t="s">
        <v>25</v>
      </c>
      <c r="S39" s="2"/>
      <c r="T39" s="2"/>
      <c r="U39" s="2"/>
      <c r="V39" s="2"/>
      <c r="W39"/>
      <c r="X39"/>
      <c r="Y39"/>
      <c r="Z39">
        <v>6</v>
      </c>
      <c r="AA39"/>
      <c r="AB39"/>
      <c r="AC39" s="13"/>
      <c r="AD39"/>
      <c r="AE39"/>
      <c r="AF39"/>
      <c r="AG39"/>
      <c r="AH39"/>
      <c r="AI39"/>
      <c r="AJ39"/>
      <c r="AK39"/>
      <c r="AL39"/>
      <c r="AM39"/>
      <c r="AN39"/>
      <c r="AO39"/>
      <c r="AP39"/>
    </row>
    <row r="40" spans="1:42" s="12" customFormat="1" x14ac:dyDescent="0.25">
      <c r="A40" s="14" t="str">
        <f t="shared" si="0"/>
        <v>60222356PRP</v>
      </c>
      <c r="B40" s="15" t="s">
        <v>8</v>
      </c>
      <c r="C40" s="16">
        <v>4</v>
      </c>
      <c r="D40" s="2">
        <v>60222356</v>
      </c>
      <c r="E40" s="2" t="s">
        <v>104</v>
      </c>
      <c r="F40" s="2" t="s">
        <v>171</v>
      </c>
      <c r="G40" s="2" t="s">
        <v>29</v>
      </c>
      <c r="H40" s="2" t="s">
        <v>8</v>
      </c>
      <c r="I40" s="2" t="s">
        <v>93</v>
      </c>
      <c r="J40" s="2">
        <v>4</v>
      </c>
      <c r="K40" s="2" t="s">
        <v>195</v>
      </c>
      <c r="L40" s="2" t="s">
        <v>95</v>
      </c>
      <c r="M40" s="2"/>
      <c r="N40" s="2" t="s">
        <v>96</v>
      </c>
      <c r="O40" s="2">
        <v>1862.06</v>
      </c>
      <c r="P40" s="2" t="s">
        <v>26</v>
      </c>
      <c r="Q40" s="2" t="s">
        <v>25</v>
      </c>
      <c r="S40" s="2"/>
      <c r="T40" s="2"/>
      <c r="U40" s="2"/>
      <c r="V40" s="2"/>
      <c r="W40"/>
      <c r="X40"/>
      <c r="Y40"/>
      <c r="Z40">
        <v>4</v>
      </c>
      <c r="AA40"/>
      <c r="AB40"/>
      <c r="AC40" s="13"/>
      <c r="AD40"/>
      <c r="AE40"/>
      <c r="AF40"/>
      <c r="AG40"/>
      <c r="AH40"/>
      <c r="AI40"/>
      <c r="AJ40"/>
      <c r="AK40"/>
      <c r="AL40"/>
      <c r="AM40"/>
      <c r="AN40"/>
      <c r="AO40"/>
      <c r="AP40"/>
    </row>
    <row r="41" spans="1:42" s="12" customFormat="1" x14ac:dyDescent="0.25">
      <c r="A41" s="14" t="str">
        <f t="shared" si="0"/>
        <v>60222362NVY</v>
      </c>
      <c r="B41" s="15">
        <v>58</v>
      </c>
      <c r="C41" s="16">
        <v>1</v>
      </c>
      <c r="D41" s="2">
        <v>60222362</v>
      </c>
      <c r="E41" s="2" t="s">
        <v>107</v>
      </c>
      <c r="F41" s="2" t="s">
        <v>172</v>
      </c>
      <c r="G41" s="2" t="s">
        <v>33</v>
      </c>
      <c r="H41" s="2">
        <v>58</v>
      </c>
      <c r="I41" s="2" t="s">
        <v>93</v>
      </c>
      <c r="J41" s="2">
        <v>1</v>
      </c>
      <c r="K41" s="2" t="s">
        <v>195</v>
      </c>
      <c r="L41" s="2" t="s">
        <v>94</v>
      </c>
      <c r="M41" s="2"/>
      <c r="N41" s="2" t="s">
        <v>92</v>
      </c>
      <c r="O41" s="2">
        <v>2308.31</v>
      </c>
      <c r="P41" s="2" t="s">
        <v>24</v>
      </c>
      <c r="Q41" s="2" t="s">
        <v>25</v>
      </c>
      <c r="R41" s="12">
        <v>1</v>
      </c>
      <c r="S41" s="2"/>
      <c r="T41" s="2">
        <v>1</v>
      </c>
      <c r="U41" s="2"/>
      <c r="V41" s="2"/>
      <c r="W41"/>
      <c r="X41"/>
      <c r="Y41"/>
      <c r="Z41"/>
      <c r="AA41"/>
      <c r="AB41"/>
      <c r="AC41" s="13"/>
      <c r="AD41"/>
      <c r="AE41"/>
      <c r="AF41"/>
      <c r="AG41"/>
      <c r="AH41"/>
      <c r="AI41"/>
      <c r="AJ41"/>
      <c r="AK41"/>
      <c r="AL41"/>
      <c r="AM41"/>
      <c r="AN41"/>
      <c r="AO41"/>
      <c r="AP41"/>
    </row>
    <row r="42" spans="1:42" s="12" customFormat="1" x14ac:dyDescent="0.25">
      <c r="A42" s="14" t="str">
        <f t="shared" si="0"/>
        <v>60222367NVY</v>
      </c>
      <c r="B42" s="15">
        <v>60</v>
      </c>
      <c r="C42" s="16">
        <v>6</v>
      </c>
      <c r="D42" s="2">
        <v>60222367</v>
      </c>
      <c r="E42" s="2" t="s">
        <v>107</v>
      </c>
      <c r="F42" s="2" t="s">
        <v>174</v>
      </c>
      <c r="G42" s="2" t="s">
        <v>40</v>
      </c>
      <c r="H42" s="2">
        <v>60</v>
      </c>
      <c r="I42" s="2" t="s">
        <v>89</v>
      </c>
      <c r="J42" s="2">
        <v>6</v>
      </c>
      <c r="K42" s="2" t="s">
        <v>198</v>
      </c>
      <c r="L42" s="2" t="s">
        <v>91</v>
      </c>
      <c r="M42" s="2"/>
      <c r="N42" s="2" t="s">
        <v>92</v>
      </c>
      <c r="O42" s="2">
        <v>2502.35</v>
      </c>
      <c r="P42" s="2" t="s">
        <v>24</v>
      </c>
      <c r="Q42" s="2" t="s">
        <v>25</v>
      </c>
      <c r="S42" s="2"/>
      <c r="T42" s="2">
        <v>6</v>
      </c>
      <c r="U42" s="2"/>
      <c r="V42" s="2">
        <v>6</v>
      </c>
      <c r="W42">
        <v>8</v>
      </c>
      <c r="X42"/>
      <c r="Y42"/>
      <c r="Z42"/>
      <c r="AA42"/>
      <c r="AB42"/>
      <c r="AC42" s="13"/>
      <c r="AD42"/>
      <c r="AE42"/>
      <c r="AF42"/>
      <c r="AG42"/>
      <c r="AH42"/>
      <c r="AI42"/>
      <c r="AJ42"/>
      <c r="AK42"/>
      <c r="AL42"/>
      <c r="AM42"/>
      <c r="AN42"/>
      <c r="AO42"/>
      <c r="AP42"/>
    </row>
    <row r="43" spans="1:42" s="12" customFormat="1" x14ac:dyDescent="0.25">
      <c r="A43" s="14" t="str">
        <f t="shared" si="0"/>
        <v>60222424WHI</v>
      </c>
      <c r="B43" s="15" t="s">
        <v>8</v>
      </c>
      <c r="C43" s="16">
        <v>5</v>
      </c>
      <c r="D43" s="2">
        <v>60222424</v>
      </c>
      <c r="E43" s="2" t="s">
        <v>7</v>
      </c>
      <c r="F43" s="2" t="s">
        <v>177</v>
      </c>
      <c r="G43" s="2" t="s">
        <v>29</v>
      </c>
      <c r="H43" s="2" t="s">
        <v>8</v>
      </c>
      <c r="I43" s="2" t="s">
        <v>93</v>
      </c>
      <c r="J43" s="2">
        <v>5</v>
      </c>
      <c r="K43" s="2" t="s">
        <v>195</v>
      </c>
      <c r="L43" s="2" t="s">
        <v>91</v>
      </c>
      <c r="M43" s="2"/>
      <c r="N43" s="2" t="s">
        <v>92</v>
      </c>
      <c r="O43" s="2">
        <v>1978.48</v>
      </c>
      <c r="P43" s="2" t="s">
        <v>24</v>
      </c>
      <c r="Q43" s="2" t="s">
        <v>25</v>
      </c>
      <c r="S43" s="2"/>
      <c r="T43" s="2"/>
      <c r="U43" s="2"/>
      <c r="V43" s="2"/>
      <c r="W43"/>
      <c r="X43"/>
      <c r="Y43"/>
      <c r="Z43">
        <v>5</v>
      </c>
      <c r="AA43"/>
      <c r="AB43"/>
      <c r="AC43" s="13"/>
      <c r="AD43"/>
      <c r="AE43"/>
      <c r="AF43"/>
      <c r="AG43"/>
      <c r="AH43"/>
      <c r="AI43"/>
      <c r="AJ43"/>
      <c r="AK43"/>
      <c r="AL43"/>
      <c r="AM43"/>
      <c r="AN43"/>
      <c r="AO43"/>
      <c r="AP43"/>
    </row>
    <row r="44" spans="1:42" s="12" customFormat="1" x14ac:dyDescent="0.25">
      <c r="A44" s="14" t="str">
        <f t="shared" si="0"/>
        <v>60222529BLK</v>
      </c>
      <c r="B44" s="15" t="s">
        <v>8</v>
      </c>
      <c r="C44" s="16">
        <v>6</v>
      </c>
      <c r="D44" s="2">
        <v>60222529</v>
      </c>
      <c r="E44" s="2" t="s">
        <v>11</v>
      </c>
      <c r="F44" s="2" t="s">
        <v>178</v>
      </c>
      <c r="G44" s="2" t="s">
        <v>29</v>
      </c>
      <c r="H44" s="2" t="s">
        <v>8</v>
      </c>
      <c r="I44" s="2" t="s">
        <v>93</v>
      </c>
      <c r="J44" s="2">
        <v>6</v>
      </c>
      <c r="K44" s="2" t="s">
        <v>195</v>
      </c>
      <c r="L44" s="2" t="s">
        <v>91</v>
      </c>
      <c r="M44" s="2"/>
      <c r="N44" s="2" t="s">
        <v>92</v>
      </c>
      <c r="O44" s="2">
        <v>1978.48</v>
      </c>
      <c r="P44" s="2" t="s">
        <v>31</v>
      </c>
      <c r="Q44" s="2" t="s">
        <v>32</v>
      </c>
      <c r="S44" s="2"/>
      <c r="T44" s="2"/>
      <c r="U44" s="2"/>
      <c r="V44" s="2"/>
      <c r="W44"/>
      <c r="X44"/>
      <c r="Y44"/>
      <c r="Z44">
        <v>6</v>
      </c>
      <c r="AA44"/>
      <c r="AB44"/>
      <c r="AC44" s="13"/>
      <c r="AD44"/>
      <c r="AE44"/>
      <c r="AF44"/>
      <c r="AG44"/>
      <c r="AH44"/>
      <c r="AI44"/>
      <c r="AJ44"/>
      <c r="AK44"/>
      <c r="AL44"/>
      <c r="AM44"/>
      <c r="AN44"/>
      <c r="AO44"/>
      <c r="AP44"/>
    </row>
    <row r="45" spans="1:42" s="12" customFormat="1" x14ac:dyDescent="0.25">
      <c r="A45" s="14" t="str">
        <f t="shared" si="0"/>
        <v>60222530GRH</v>
      </c>
      <c r="B45" s="15">
        <v>56</v>
      </c>
      <c r="C45" s="16">
        <v>1</v>
      </c>
      <c r="D45" s="2">
        <v>60222530</v>
      </c>
      <c r="E45" s="2" t="s">
        <v>106</v>
      </c>
      <c r="F45" s="2" t="s">
        <v>179</v>
      </c>
      <c r="G45" s="2">
        <v>7</v>
      </c>
      <c r="H45" s="2">
        <v>56</v>
      </c>
      <c r="I45" s="2" t="s">
        <v>89</v>
      </c>
      <c r="J45" s="2">
        <v>1</v>
      </c>
      <c r="K45" s="2" t="s">
        <v>198</v>
      </c>
      <c r="L45" s="2" t="s">
        <v>91</v>
      </c>
      <c r="M45" s="2"/>
      <c r="N45" s="2" t="s">
        <v>92</v>
      </c>
      <c r="O45" s="2">
        <v>2502.35</v>
      </c>
      <c r="P45" s="2" t="s">
        <v>26</v>
      </c>
      <c r="Q45" s="2" t="s">
        <v>25</v>
      </c>
      <c r="R45" s="12">
        <v>1</v>
      </c>
      <c r="S45" s="2">
        <v>2</v>
      </c>
      <c r="T45" s="2">
        <v>2</v>
      </c>
      <c r="U45" s="2">
        <v>1</v>
      </c>
      <c r="V45" s="2"/>
      <c r="W45"/>
      <c r="X45"/>
      <c r="Y45"/>
      <c r="Z45"/>
      <c r="AA45"/>
      <c r="AB45"/>
      <c r="AC45" s="13"/>
      <c r="AD45"/>
      <c r="AE45"/>
      <c r="AF45"/>
      <c r="AG45"/>
      <c r="AH45"/>
      <c r="AI45"/>
      <c r="AJ45"/>
      <c r="AK45"/>
      <c r="AL45"/>
      <c r="AM45"/>
      <c r="AN45"/>
      <c r="AO45"/>
      <c r="AP45"/>
    </row>
    <row r="46" spans="1:42" s="12" customFormat="1" x14ac:dyDescent="0.25">
      <c r="A46" s="14" t="str">
        <f t="shared" si="0"/>
        <v>60222561LPK</v>
      </c>
      <c r="B46" s="15" t="s">
        <v>8</v>
      </c>
      <c r="C46" s="16">
        <v>4</v>
      </c>
      <c r="D46" s="2">
        <v>60222561</v>
      </c>
      <c r="E46" s="2" t="s">
        <v>105</v>
      </c>
      <c r="F46" s="2" t="s">
        <v>183</v>
      </c>
      <c r="G46" s="2" t="s">
        <v>29</v>
      </c>
      <c r="H46" s="2" t="s">
        <v>8</v>
      </c>
      <c r="I46" s="2" t="s">
        <v>93</v>
      </c>
      <c r="J46" s="2">
        <v>4</v>
      </c>
      <c r="K46" s="2" t="s">
        <v>195</v>
      </c>
      <c r="L46" s="2" t="s">
        <v>95</v>
      </c>
      <c r="M46" s="2"/>
      <c r="N46" s="2" t="s">
        <v>92</v>
      </c>
      <c r="O46" s="2">
        <v>1862.06</v>
      </c>
      <c r="P46" s="2" t="s">
        <v>24</v>
      </c>
      <c r="Q46" s="2" t="s">
        <v>25</v>
      </c>
      <c r="S46" s="2"/>
      <c r="T46" s="2"/>
      <c r="U46" s="2"/>
      <c r="V46" s="2"/>
      <c r="W46"/>
      <c r="X46"/>
      <c r="Y46"/>
      <c r="Z46">
        <v>4</v>
      </c>
      <c r="AA46"/>
      <c r="AB46"/>
      <c r="AC46" s="13"/>
      <c r="AD46"/>
      <c r="AE46"/>
      <c r="AF46"/>
      <c r="AG46"/>
      <c r="AH46"/>
      <c r="AI46"/>
      <c r="AJ46"/>
      <c r="AK46"/>
      <c r="AL46"/>
      <c r="AM46"/>
      <c r="AN46"/>
      <c r="AO46"/>
      <c r="AP4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29</xdr:col>
                    <xdr:colOff>333375</xdr:colOff>
                    <xdr:row>1</xdr:row>
                    <xdr:rowOff>57150</xdr:rowOff>
                  </from>
                  <to>
                    <xdr:col>33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5AA8-7FDD-4E75-B903-7EFEC5097EF8}">
  <dimension ref="A1:B46"/>
  <sheetViews>
    <sheetView workbookViewId="0">
      <selection activeCell="B1" sqref="B1:B1048576"/>
    </sheetView>
  </sheetViews>
  <sheetFormatPr defaultRowHeight="15" x14ac:dyDescent="0.25"/>
  <cols>
    <col min="1" max="1" width="17" bestFit="1" customWidth="1"/>
    <col min="2" max="2" width="13.85546875" bestFit="1" customWidth="1"/>
  </cols>
  <sheetData>
    <row r="1" spans="1:2" x14ac:dyDescent="0.25">
      <c r="A1" t="s">
        <v>0</v>
      </c>
      <c r="B1" t="s">
        <v>80</v>
      </c>
    </row>
    <row r="2" spans="1:2" x14ac:dyDescent="0.25">
      <c r="A2" t="s">
        <v>223</v>
      </c>
      <c r="B2" t="s">
        <v>272</v>
      </c>
    </row>
    <row r="3" spans="1:2" x14ac:dyDescent="0.25">
      <c r="A3" t="s">
        <v>224</v>
      </c>
      <c r="B3" t="s">
        <v>273</v>
      </c>
    </row>
    <row r="4" spans="1:2" x14ac:dyDescent="0.25">
      <c r="A4" t="s">
        <v>225</v>
      </c>
      <c r="B4" t="s">
        <v>273</v>
      </c>
    </row>
    <row r="5" spans="1:2" x14ac:dyDescent="0.25">
      <c r="A5" t="s">
        <v>226</v>
      </c>
      <c r="B5" t="s">
        <v>273</v>
      </c>
    </row>
    <row r="6" spans="1:2" x14ac:dyDescent="0.25">
      <c r="A6" t="s">
        <v>227</v>
      </c>
      <c r="B6" t="s">
        <v>273</v>
      </c>
    </row>
    <row r="7" spans="1:2" x14ac:dyDescent="0.25">
      <c r="A7" t="s">
        <v>228</v>
      </c>
      <c r="B7" t="s">
        <v>272</v>
      </c>
    </row>
    <row r="8" spans="1:2" x14ac:dyDescent="0.25">
      <c r="A8" t="s">
        <v>229</v>
      </c>
      <c r="B8" t="s">
        <v>272</v>
      </c>
    </row>
    <row r="9" spans="1:2" x14ac:dyDescent="0.25">
      <c r="A9" t="s">
        <v>230</v>
      </c>
      <c r="B9" t="s">
        <v>273</v>
      </c>
    </row>
    <row r="10" spans="1:2" x14ac:dyDescent="0.25">
      <c r="A10" t="s">
        <v>231</v>
      </c>
      <c r="B10" t="s">
        <v>272</v>
      </c>
    </row>
    <row r="11" spans="1:2" x14ac:dyDescent="0.25">
      <c r="A11" t="s">
        <v>232</v>
      </c>
      <c r="B11" t="s">
        <v>273</v>
      </c>
    </row>
    <row r="12" spans="1:2" x14ac:dyDescent="0.25">
      <c r="A12" t="s">
        <v>233</v>
      </c>
      <c r="B12" t="s">
        <v>273</v>
      </c>
    </row>
    <row r="13" spans="1:2" x14ac:dyDescent="0.25">
      <c r="A13" t="s">
        <v>234</v>
      </c>
      <c r="B13" t="s">
        <v>272</v>
      </c>
    </row>
    <row r="14" spans="1:2" x14ac:dyDescent="0.25">
      <c r="A14" t="s">
        <v>235</v>
      </c>
      <c r="B14" t="s">
        <v>273</v>
      </c>
    </row>
    <row r="15" spans="1:2" x14ac:dyDescent="0.25">
      <c r="A15" t="s">
        <v>236</v>
      </c>
      <c r="B15" t="s">
        <v>273</v>
      </c>
    </row>
    <row r="16" spans="1:2" x14ac:dyDescent="0.25">
      <c r="A16" t="s">
        <v>237</v>
      </c>
      <c r="B16" t="s">
        <v>273</v>
      </c>
    </row>
    <row r="17" spans="1:2" x14ac:dyDescent="0.25">
      <c r="A17" t="s">
        <v>238</v>
      </c>
      <c r="B17" t="s">
        <v>272</v>
      </c>
    </row>
    <row r="18" spans="1:2" x14ac:dyDescent="0.25">
      <c r="A18" t="s">
        <v>239</v>
      </c>
      <c r="B18" t="s">
        <v>272</v>
      </c>
    </row>
    <row r="19" spans="1:2" x14ac:dyDescent="0.25">
      <c r="A19" t="s">
        <v>240</v>
      </c>
      <c r="B19" t="s">
        <v>272</v>
      </c>
    </row>
    <row r="20" spans="1:2" x14ac:dyDescent="0.25">
      <c r="A20" t="s">
        <v>241</v>
      </c>
      <c r="B20" t="s">
        <v>272</v>
      </c>
    </row>
    <row r="21" spans="1:2" x14ac:dyDescent="0.25">
      <c r="A21" t="s">
        <v>242</v>
      </c>
      <c r="B21" t="s">
        <v>272</v>
      </c>
    </row>
    <row r="22" spans="1:2" x14ac:dyDescent="0.25">
      <c r="A22" t="s">
        <v>243</v>
      </c>
      <c r="B22" t="s">
        <v>272</v>
      </c>
    </row>
    <row r="23" spans="1:2" x14ac:dyDescent="0.25">
      <c r="A23" t="s">
        <v>244</v>
      </c>
      <c r="B23" t="s">
        <v>272</v>
      </c>
    </row>
    <row r="24" spans="1:2" x14ac:dyDescent="0.25">
      <c r="A24" t="s">
        <v>245</v>
      </c>
      <c r="B24" t="s">
        <v>272</v>
      </c>
    </row>
    <row r="25" spans="1:2" x14ac:dyDescent="0.25">
      <c r="A25" t="s">
        <v>246</v>
      </c>
      <c r="B25" t="s">
        <v>272</v>
      </c>
    </row>
    <row r="26" spans="1:2" x14ac:dyDescent="0.25">
      <c r="A26" t="s">
        <v>247</v>
      </c>
      <c r="B26" t="s">
        <v>272</v>
      </c>
    </row>
    <row r="27" spans="1:2" x14ac:dyDescent="0.25">
      <c r="A27" t="s">
        <v>248</v>
      </c>
      <c r="B27" t="s">
        <v>273</v>
      </c>
    </row>
    <row r="28" spans="1:2" x14ac:dyDescent="0.25">
      <c r="A28" t="s">
        <v>249</v>
      </c>
      <c r="B28" t="s">
        <v>273</v>
      </c>
    </row>
    <row r="29" spans="1:2" x14ac:dyDescent="0.25">
      <c r="A29" t="s">
        <v>250</v>
      </c>
      <c r="B29" t="s">
        <v>272</v>
      </c>
    </row>
    <row r="30" spans="1:2" x14ac:dyDescent="0.25">
      <c r="A30" t="s">
        <v>251</v>
      </c>
      <c r="B30" t="s">
        <v>272</v>
      </c>
    </row>
    <row r="31" spans="1:2" x14ac:dyDescent="0.25">
      <c r="A31" t="s">
        <v>252</v>
      </c>
      <c r="B31" t="s">
        <v>272</v>
      </c>
    </row>
    <row r="32" spans="1:2" x14ac:dyDescent="0.25">
      <c r="A32" t="s">
        <v>253</v>
      </c>
      <c r="B32" t="s">
        <v>272</v>
      </c>
    </row>
    <row r="33" spans="1:2" x14ac:dyDescent="0.25">
      <c r="A33" t="s">
        <v>254</v>
      </c>
      <c r="B33" t="s">
        <v>273</v>
      </c>
    </row>
    <row r="34" spans="1:2" x14ac:dyDescent="0.25">
      <c r="A34" t="s">
        <v>255</v>
      </c>
      <c r="B34" t="s">
        <v>272</v>
      </c>
    </row>
    <row r="35" spans="1:2" x14ac:dyDescent="0.25">
      <c r="A35" t="s">
        <v>256</v>
      </c>
      <c r="B35" t="s">
        <v>272</v>
      </c>
    </row>
    <row r="36" spans="1:2" x14ac:dyDescent="0.25">
      <c r="A36" t="s">
        <v>257</v>
      </c>
      <c r="B36" t="s">
        <v>273</v>
      </c>
    </row>
    <row r="37" spans="1:2" x14ac:dyDescent="0.25">
      <c r="A37" t="s">
        <v>258</v>
      </c>
      <c r="B37" t="s">
        <v>272</v>
      </c>
    </row>
    <row r="38" spans="1:2" x14ac:dyDescent="0.25">
      <c r="A38" t="s">
        <v>259</v>
      </c>
      <c r="B38" t="s">
        <v>273</v>
      </c>
    </row>
    <row r="39" spans="1:2" x14ac:dyDescent="0.25">
      <c r="A39" t="s">
        <v>260</v>
      </c>
      <c r="B39" t="s">
        <v>272</v>
      </c>
    </row>
    <row r="40" spans="1:2" x14ac:dyDescent="0.25">
      <c r="A40" t="s">
        <v>261</v>
      </c>
      <c r="B40" t="s">
        <v>272</v>
      </c>
    </row>
    <row r="41" spans="1:2" x14ac:dyDescent="0.25">
      <c r="A41" t="s">
        <v>262</v>
      </c>
      <c r="B41" t="s">
        <v>272</v>
      </c>
    </row>
    <row r="42" spans="1:2" x14ac:dyDescent="0.25">
      <c r="A42" t="s">
        <v>263</v>
      </c>
      <c r="B42" t="s">
        <v>273</v>
      </c>
    </row>
    <row r="43" spans="1:2" x14ac:dyDescent="0.25">
      <c r="A43" t="s">
        <v>264</v>
      </c>
      <c r="B43" t="s">
        <v>272</v>
      </c>
    </row>
    <row r="44" spans="1:2" x14ac:dyDescent="0.25">
      <c r="A44" t="s">
        <v>265</v>
      </c>
      <c r="B44" t="s">
        <v>272</v>
      </c>
    </row>
    <row r="45" spans="1:2" x14ac:dyDescent="0.25">
      <c r="A45" t="s">
        <v>266</v>
      </c>
      <c r="B45" t="s">
        <v>273</v>
      </c>
    </row>
    <row r="46" spans="1:2" x14ac:dyDescent="0.25">
      <c r="A46" t="s">
        <v>267</v>
      </c>
      <c r="B46" t="s">
        <v>272</v>
      </c>
    </row>
  </sheetData>
  <autoFilter ref="A1:B46" xr:uid="{53F05AA8-7FDD-4E75-B903-7EFEC5097EF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14942-BA33-49AB-A513-21860D2BC511}">
  <sheetPr codeName="Лист10"/>
  <dimension ref="A1:AP61"/>
  <sheetViews>
    <sheetView showGridLines="0" topLeftCell="F1" workbookViewId="0">
      <pane ySplit="1" topLeftCell="A29" activePane="bottomLeft" state="frozen"/>
      <selection pane="bottomLeft" activeCell="I54" sqref="I54"/>
    </sheetView>
  </sheetViews>
  <sheetFormatPr defaultRowHeight="15" x14ac:dyDescent="0.25"/>
  <cols>
    <col min="1" max="1" width="38.85546875" style="14" bestFit="1" customWidth="1"/>
    <col min="2" max="2" width="4.5703125" style="15" bestFit="1" customWidth="1"/>
    <col min="3" max="3" width="6.28515625" style="16" bestFit="1" customWidth="1"/>
    <col min="4" max="4" width="9.140625" style="2" customWidth="1"/>
    <col min="5" max="5" width="10.85546875" style="2" bestFit="1" customWidth="1"/>
    <col min="6" max="6" width="91.5703125" style="2" bestFit="1" customWidth="1"/>
    <col min="7" max="7" width="6.85546875" style="2" bestFit="1" customWidth="1"/>
    <col min="8" max="8" width="14.42578125" style="2" bestFit="1" customWidth="1"/>
    <col min="9" max="9" width="16.140625" style="2" bestFit="1" customWidth="1"/>
    <col min="10" max="10" width="9.5703125" style="2" customWidth="1"/>
    <col min="11" max="11" width="26.140625" style="2" bestFit="1" customWidth="1"/>
    <col min="12" max="12" width="27" style="2" bestFit="1" customWidth="1"/>
    <col min="13" max="13" width="15.7109375" style="2" customWidth="1"/>
    <col min="14" max="14" width="8.85546875" style="2" bestFit="1" customWidth="1"/>
    <col min="15" max="15" width="8" style="2" bestFit="1" customWidth="1"/>
    <col min="16" max="17" width="8.85546875" style="2" customWidth="1"/>
    <col min="18" max="18" width="3" style="12" bestFit="1" customWidth="1"/>
    <col min="19" max="22" width="3" style="2" bestFit="1" customWidth="1"/>
    <col min="23" max="25" width="3" bestFit="1" customWidth="1"/>
    <col min="26" max="26" width="4.28515625" bestFit="1" customWidth="1"/>
    <col min="29" max="29" width="9.140625" style="13"/>
    <col min="33" max="33" width="9.5703125" bestFit="1" customWidth="1"/>
    <col min="34" max="34" width="34.28515625" customWidth="1"/>
  </cols>
  <sheetData>
    <row r="1" spans="1:42" s="1" customFormat="1" ht="15.75" thickBot="1" x14ac:dyDescent="0.3">
      <c r="A1" s="18" t="s">
        <v>0</v>
      </c>
      <c r="B1" s="19" t="s">
        <v>1</v>
      </c>
      <c r="C1" s="20" t="s">
        <v>2</v>
      </c>
      <c r="D1" s="6" t="s">
        <v>4</v>
      </c>
      <c r="E1" s="6" t="s">
        <v>3</v>
      </c>
      <c r="F1" s="17" t="s">
        <v>78</v>
      </c>
      <c r="G1" s="17" t="s">
        <v>1</v>
      </c>
      <c r="H1" s="17" t="s">
        <v>79</v>
      </c>
      <c r="I1" s="17" t="s">
        <v>80</v>
      </c>
      <c r="J1" s="17" t="s">
        <v>81</v>
      </c>
      <c r="K1" s="17" t="s">
        <v>82</v>
      </c>
      <c r="L1" s="17" t="s">
        <v>83</v>
      </c>
      <c r="M1" s="17" t="s">
        <v>84</v>
      </c>
      <c r="N1" s="17" t="s">
        <v>85</v>
      </c>
      <c r="O1" s="17" t="s">
        <v>5</v>
      </c>
      <c r="P1" s="17" t="s">
        <v>86</v>
      </c>
      <c r="Q1" s="17" t="s">
        <v>18</v>
      </c>
      <c r="R1" s="8">
        <v>56</v>
      </c>
      <c r="S1" s="9">
        <v>57</v>
      </c>
      <c r="T1" s="9">
        <v>58</v>
      </c>
      <c r="U1" s="9">
        <v>59</v>
      </c>
      <c r="V1" s="9">
        <v>60</v>
      </c>
      <c r="W1" s="10">
        <v>62</v>
      </c>
      <c r="X1" s="10">
        <v>63</v>
      </c>
      <c r="Y1" s="10">
        <v>64</v>
      </c>
      <c r="Z1" s="10" t="s">
        <v>8</v>
      </c>
      <c r="AA1" s="10"/>
      <c r="AB1" s="10"/>
      <c r="AC1" s="11"/>
      <c r="AG1" s="1" t="s">
        <v>102</v>
      </c>
      <c r="AH1" s="21" cm="1">
        <f t="array" ref="AH1:AP1">_xlfn.LET(_xlpm.sizeCol,B2:B490,TRANSPOSE(_xlfn._xlws.SORT(_xlfn.UNIQUE(_xlfn._xlws.FILTER(_xlpm.sizeCol,_xlpm.sizeCol&lt;&gt;"","")))))</f>
        <v>56</v>
      </c>
      <c r="AI1" s="1">
        <v>57</v>
      </c>
      <c r="AJ1" s="1">
        <v>58</v>
      </c>
      <c r="AK1" s="1">
        <v>59</v>
      </c>
      <c r="AL1" s="1">
        <v>60</v>
      </c>
      <c r="AM1" s="1">
        <v>62</v>
      </c>
      <c r="AN1" s="1">
        <v>63</v>
      </c>
      <c r="AO1" s="1">
        <v>64</v>
      </c>
      <c r="AP1" s="1" t="str">
        <v>O/S</v>
      </c>
    </row>
    <row r="2" spans="1:42" x14ac:dyDescent="0.25">
      <c r="A2" s="14" t="str">
        <f t="shared" ref="A2:A61" si="0">D2&amp;E2</f>
        <v>10531938SCAWHI</v>
      </c>
      <c r="B2" s="15" t="s">
        <v>8</v>
      </c>
      <c r="C2" s="16">
        <v>1</v>
      </c>
      <c r="D2" s="2">
        <v>10531938</v>
      </c>
      <c r="E2" s="2" t="s">
        <v>14</v>
      </c>
      <c r="F2" s="2" t="s">
        <v>124</v>
      </c>
      <c r="G2" s="2" t="s">
        <v>29</v>
      </c>
      <c r="H2" s="2" t="s">
        <v>8</v>
      </c>
      <c r="I2" s="2" t="s">
        <v>93</v>
      </c>
      <c r="J2" s="2">
        <v>1</v>
      </c>
      <c r="K2" s="2" t="s">
        <v>184</v>
      </c>
      <c r="L2" s="2" t="s">
        <v>95</v>
      </c>
      <c r="M2" s="2" t="s">
        <v>204</v>
      </c>
      <c r="N2" s="2" t="s">
        <v>92</v>
      </c>
      <c r="O2" s="2">
        <v>1210.25</v>
      </c>
      <c r="P2" s="2" t="s">
        <v>24</v>
      </c>
      <c r="Q2" s="2" t="s">
        <v>25</v>
      </c>
    </row>
    <row r="3" spans="1:42" x14ac:dyDescent="0.25">
      <c r="A3" s="14" t="str">
        <f t="shared" si="0"/>
        <v>10861624TEAM</v>
      </c>
      <c r="B3" s="15">
        <v>62</v>
      </c>
      <c r="C3" s="16">
        <v>4</v>
      </c>
      <c r="D3" s="2">
        <v>10861624</v>
      </c>
      <c r="E3" s="2" t="s">
        <v>13</v>
      </c>
      <c r="F3" s="2" t="s">
        <v>125</v>
      </c>
      <c r="G3" s="2" t="s">
        <v>121</v>
      </c>
      <c r="H3" s="2">
        <v>62</v>
      </c>
      <c r="I3" s="2" t="s">
        <v>89</v>
      </c>
      <c r="J3" s="2">
        <v>4</v>
      </c>
      <c r="K3" s="2" t="s">
        <v>90</v>
      </c>
      <c r="L3" s="2" t="s">
        <v>91</v>
      </c>
      <c r="M3" s="2" t="s">
        <v>205</v>
      </c>
      <c r="N3" s="2" t="s">
        <v>92</v>
      </c>
      <c r="O3" s="2">
        <v>1815.61</v>
      </c>
      <c r="P3" s="2" t="s">
        <v>31</v>
      </c>
      <c r="Q3" s="2" t="s">
        <v>32</v>
      </c>
    </row>
    <row r="4" spans="1:42" x14ac:dyDescent="0.25">
      <c r="A4" s="14" t="str">
        <f t="shared" si="0"/>
        <v>10861624TEAM</v>
      </c>
      <c r="B4" s="15">
        <v>59</v>
      </c>
      <c r="C4" s="16">
        <v>2</v>
      </c>
      <c r="D4" s="2">
        <v>10861624</v>
      </c>
      <c r="E4" s="2" t="s">
        <v>13</v>
      </c>
      <c r="F4" s="2" t="s">
        <v>126</v>
      </c>
      <c r="G4" s="2" t="s">
        <v>122</v>
      </c>
      <c r="H4" s="2">
        <v>59</v>
      </c>
      <c r="I4" s="2" t="s">
        <v>89</v>
      </c>
      <c r="J4" s="2">
        <v>2</v>
      </c>
      <c r="K4" s="2" t="s">
        <v>90</v>
      </c>
      <c r="L4" s="2" t="s">
        <v>91</v>
      </c>
      <c r="M4" s="2" t="s">
        <v>205</v>
      </c>
      <c r="N4" s="2" t="s">
        <v>92</v>
      </c>
      <c r="O4" s="2">
        <v>1815.61</v>
      </c>
      <c r="P4" s="2" t="s">
        <v>31</v>
      </c>
      <c r="Q4" s="2" t="s">
        <v>32</v>
      </c>
    </row>
    <row r="5" spans="1:42" x14ac:dyDescent="0.25">
      <c r="A5" s="14" t="str">
        <f t="shared" si="0"/>
        <v>10862335TEAM</v>
      </c>
      <c r="B5" s="15">
        <v>60</v>
      </c>
      <c r="C5" s="16">
        <v>2</v>
      </c>
      <c r="D5" s="2">
        <v>10862335</v>
      </c>
      <c r="E5" s="2" t="s">
        <v>13</v>
      </c>
      <c r="F5" s="2" t="s">
        <v>127</v>
      </c>
      <c r="G5" s="2" t="s">
        <v>40</v>
      </c>
      <c r="H5" s="2">
        <v>60</v>
      </c>
      <c r="I5" s="2" t="s">
        <v>89</v>
      </c>
      <c r="J5" s="2">
        <v>2</v>
      </c>
      <c r="K5" s="2" t="s">
        <v>90</v>
      </c>
      <c r="L5" s="2" t="s">
        <v>91</v>
      </c>
      <c r="M5" s="2" t="s">
        <v>206</v>
      </c>
      <c r="N5" s="2" t="s">
        <v>92</v>
      </c>
      <c r="O5" s="2">
        <v>1815.61</v>
      </c>
      <c r="P5" s="2" t="s">
        <v>49</v>
      </c>
      <c r="Q5" s="2" t="s">
        <v>32</v>
      </c>
    </row>
    <row r="6" spans="1:42" s="2" customFormat="1" x14ac:dyDescent="0.25">
      <c r="A6" s="14" t="str">
        <f t="shared" si="0"/>
        <v>10862335TEAM</v>
      </c>
      <c r="B6" s="15">
        <v>58</v>
      </c>
      <c r="C6" s="16">
        <v>2</v>
      </c>
      <c r="D6" s="2">
        <v>10862335</v>
      </c>
      <c r="E6" s="2" t="s">
        <v>13</v>
      </c>
      <c r="F6" s="2" t="s">
        <v>128</v>
      </c>
      <c r="G6" s="2" t="s">
        <v>119</v>
      </c>
      <c r="H6" s="2">
        <v>58</v>
      </c>
      <c r="I6" s="2" t="s">
        <v>89</v>
      </c>
      <c r="J6" s="2">
        <v>2</v>
      </c>
      <c r="K6" s="2" t="s">
        <v>90</v>
      </c>
      <c r="L6" s="2" t="s">
        <v>91</v>
      </c>
      <c r="M6" s="2" t="s">
        <v>206</v>
      </c>
      <c r="N6" s="2" t="s">
        <v>92</v>
      </c>
      <c r="O6" s="2">
        <v>1815.61</v>
      </c>
      <c r="P6" s="2" t="s">
        <v>49</v>
      </c>
      <c r="Q6" s="2" t="s">
        <v>32</v>
      </c>
      <c r="R6" s="12"/>
      <c r="W6"/>
      <c r="X6"/>
      <c r="Y6"/>
      <c r="Z6"/>
      <c r="AA6"/>
      <c r="AB6"/>
      <c r="AC6" s="13"/>
    </row>
    <row r="7" spans="1:42" s="2" customFormat="1" x14ac:dyDescent="0.25">
      <c r="A7" s="14" t="str">
        <f t="shared" si="0"/>
        <v>10862336GRBLK</v>
      </c>
      <c r="B7" s="15">
        <v>63</v>
      </c>
      <c r="C7" s="16">
        <v>1</v>
      </c>
      <c r="D7" s="2">
        <v>10862336</v>
      </c>
      <c r="E7" s="2" t="s">
        <v>113</v>
      </c>
      <c r="F7" s="2" t="s">
        <v>129</v>
      </c>
      <c r="G7" s="2" t="s">
        <v>120</v>
      </c>
      <c r="H7" s="2">
        <v>63</v>
      </c>
      <c r="I7" s="2" t="s">
        <v>89</v>
      </c>
      <c r="J7" s="2">
        <v>1</v>
      </c>
      <c r="K7" s="2" t="s">
        <v>90</v>
      </c>
      <c r="L7" s="2" t="s">
        <v>91</v>
      </c>
      <c r="M7" s="2" t="s">
        <v>207</v>
      </c>
      <c r="N7" s="2" t="s">
        <v>92</v>
      </c>
      <c r="O7" s="2">
        <v>1815.61</v>
      </c>
      <c r="P7" s="2" t="s">
        <v>268</v>
      </c>
      <c r="Q7" s="2" t="s">
        <v>32</v>
      </c>
      <c r="R7" s="12"/>
      <c r="W7"/>
      <c r="X7"/>
      <c r="Y7"/>
      <c r="Z7"/>
      <c r="AA7"/>
      <c r="AB7"/>
      <c r="AC7" s="13"/>
    </row>
    <row r="8" spans="1:42" s="2" customFormat="1" x14ac:dyDescent="0.25">
      <c r="A8" s="14" t="str">
        <f t="shared" si="0"/>
        <v>10862336GRBLK</v>
      </c>
      <c r="B8" s="15">
        <v>64</v>
      </c>
      <c r="C8" s="16">
        <v>2</v>
      </c>
      <c r="D8" s="2">
        <v>10862336</v>
      </c>
      <c r="E8" s="2" t="s">
        <v>113</v>
      </c>
      <c r="F8" s="2" t="s">
        <v>130</v>
      </c>
      <c r="G8" s="2">
        <v>8</v>
      </c>
      <c r="H8" s="2">
        <v>64</v>
      </c>
      <c r="I8" s="2" t="s">
        <v>89</v>
      </c>
      <c r="J8" s="2">
        <v>2</v>
      </c>
      <c r="K8" s="2" t="s">
        <v>90</v>
      </c>
      <c r="L8" s="2" t="s">
        <v>91</v>
      </c>
      <c r="M8" s="2" t="s">
        <v>207</v>
      </c>
      <c r="N8" s="2" t="s">
        <v>92</v>
      </c>
      <c r="O8" s="2">
        <v>1815.61</v>
      </c>
      <c r="P8" s="2" t="s">
        <v>268</v>
      </c>
      <c r="Q8" s="2" t="s">
        <v>32</v>
      </c>
      <c r="R8" s="12"/>
      <c r="W8"/>
      <c r="X8"/>
      <c r="Y8"/>
      <c r="Z8"/>
      <c r="AA8"/>
      <c r="AB8"/>
      <c r="AC8" s="13"/>
    </row>
    <row r="9" spans="1:42" s="2" customFormat="1" x14ac:dyDescent="0.25">
      <c r="A9" s="14" t="str">
        <f t="shared" si="0"/>
        <v>10879530RED</v>
      </c>
      <c r="B9" s="15">
        <v>58</v>
      </c>
      <c r="C9" s="16">
        <v>3</v>
      </c>
      <c r="D9" s="2">
        <v>10879530</v>
      </c>
      <c r="E9" s="2" t="s">
        <v>112</v>
      </c>
      <c r="F9" s="2" t="s">
        <v>131</v>
      </c>
      <c r="G9" s="2" t="s">
        <v>33</v>
      </c>
      <c r="H9" s="2">
        <v>58</v>
      </c>
      <c r="I9" s="2" t="s">
        <v>89</v>
      </c>
      <c r="J9" s="2">
        <v>3</v>
      </c>
      <c r="K9" s="2" t="s">
        <v>90</v>
      </c>
      <c r="L9" s="2" t="s">
        <v>95</v>
      </c>
      <c r="M9" s="2" t="s">
        <v>97</v>
      </c>
      <c r="N9" s="2" t="s">
        <v>92</v>
      </c>
      <c r="O9" s="2">
        <v>2211.31</v>
      </c>
      <c r="P9" s="2" t="s">
        <v>24</v>
      </c>
      <c r="Q9" s="2" t="s">
        <v>25</v>
      </c>
      <c r="R9" s="12"/>
      <c r="W9"/>
      <c r="X9"/>
      <c r="Y9"/>
      <c r="Z9"/>
      <c r="AA9"/>
      <c r="AB9"/>
      <c r="AC9" s="13"/>
    </row>
    <row r="10" spans="1:42" s="2" customFormat="1" x14ac:dyDescent="0.25">
      <c r="A10" s="14" t="str">
        <f t="shared" si="0"/>
        <v>10879530RED</v>
      </c>
      <c r="B10" s="15">
        <v>56</v>
      </c>
      <c r="C10" s="16">
        <v>3</v>
      </c>
      <c r="D10" s="2">
        <v>10879530</v>
      </c>
      <c r="E10" s="2" t="s">
        <v>112</v>
      </c>
      <c r="F10" s="2" t="s">
        <v>132</v>
      </c>
      <c r="G10" s="2" t="s">
        <v>36</v>
      </c>
      <c r="H10" s="2">
        <v>56</v>
      </c>
      <c r="I10" s="2" t="s">
        <v>89</v>
      </c>
      <c r="J10" s="2">
        <v>3</v>
      </c>
      <c r="K10" s="2" t="s">
        <v>90</v>
      </c>
      <c r="L10" s="2" t="s">
        <v>95</v>
      </c>
      <c r="M10" s="2" t="s">
        <v>97</v>
      </c>
      <c r="N10" s="2" t="s">
        <v>92</v>
      </c>
      <c r="O10" s="2">
        <v>2211.31</v>
      </c>
      <c r="P10" s="2" t="s">
        <v>24</v>
      </c>
      <c r="Q10" s="2" t="s">
        <v>25</v>
      </c>
      <c r="R10" s="12"/>
      <c r="W10"/>
      <c r="X10"/>
      <c r="Y10"/>
      <c r="Z10"/>
      <c r="AA10"/>
      <c r="AB10"/>
      <c r="AC10" s="13"/>
    </row>
    <row r="11" spans="1:42" s="2" customFormat="1" x14ac:dyDescent="0.25">
      <c r="A11" s="14" t="str">
        <f t="shared" si="0"/>
        <v>11074364GRA</v>
      </c>
      <c r="B11" s="15" t="s">
        <v>8</v>
      </c>
      <c r="C11" s="16">
        <v>3</v>
      </c>
      <c r="D11" s="2">
        <v>11074364</v>
      </c>
      <c r="E11" s="2" t="s">
        <v>110</v>
      </c>
      <c r="F11" s="2" t="s">
        <v>133</v>
      </c>
      <c r="G11" s="2" t="s">
        <v>29</v>
      </c>
      <c r="H11" s="2" t="s">
        <v>8</v>
      </c>
      <c r="I11" s="2" t="s">
        <v>93</v>
      </c>
      <c r="J11" s="2">
        <v>3</v>
      </c>
      <c r="K11" s="2" t="s">
        <v>185</v>
      </c>
      <c r="L11" s="2" t="s">
        <v>203</v>
      </c>
      <c r="M11" s="2" t="s">
        <v>208</v>
      </c>
      <c r="N11" s="2" t="s">
        <v>92</v>
      </c>
      <c r="O11" s="2">
        <v>581.5</v>
      </c>
      <c r="R11" s="12"/>
      <c r="W11"/>
      <c r="X11"/>
      <c r="Y11"/>
      <c r="Z11"/>
      <c r="AA11"/>
      <c r="AB11"/>
      <c r="AC11" s="13"/>
    </row>
    <row r="12" spans="1:42" s="2" customFormat="1" x14ac:dyDescent="0.25">
      <c r="A12" s="14" t="str">
        <f t="shared" si="0"/>
        <v>11086491BLK</v>
      </c>
      <c r="B12" s="15">
        <v>56</v>
      </c>
      <c r="C12" s="16">
        <v>4</v>
      </c>
      <c r="D12" s="2">
        <v>11086491</v>
      </c>
      <c r="E12" s="2" t="s">
        <v>11</v>
      </c>
      <c r="F12" s="2" t="s">
        <v>134</v>
      </c>
      <c r="G12" s="2" t="s">
        <v>36</v>
      </c>
      <c r="H12" s="2">
        <v>56</v>
      </c>
      <c r="I12" s="2" t="s">
        <v>93</v>
      </c>
      <c r="J12" s="2">
        <v>4</v>
      </c>
      <c r="K12" s="2" t="s">
        <v>184</v>
      </c>
      <c r="L12" s="2" t="s">
        <v>99</v>
      </c>
      <c r="M12" s="2" t="s">
        <v>209</v>
      </c>
      <c r="N12" s="2" t="s">
        <v>92</v>
      </c>
      <c r="O12" s="2">
        <v>1117.1199999999999</v>
      </c>
      <c r="R12" s="12"/>
      <c r="W12"/>
      <c r="X12"/>
      <c r="Y12"/>
      <c r="Z12"/>
      <c r="AA12"/>
      <c r="AB12"/>
      <c r="AC12" s="13"/>
    </row>
    <row r="13" spans="1:42" s="2" customFormat="1" x14ac:dyDescent="0.25">
      <c r="A13" s="14" t="str">
        <f t="shared" si="0"/>
        <v>11180833BLKWHI</v>
      </c>
      <c r="B13" s="15">
        <v>56</v>
      </c>
      <c r="C13" s="16">
        <v>4</v>
      </c>
      <c r="D13" s="2">
        <v>11180833</v>
      </c>
      <c r="E13" s="2" t="s">
        <v>9</v>
      </c>
      <c r="F13" s="2" t="s">
        <v>135</v>
      </c>
      <c r="G13" s="2" t="s">
        <v>36</v>
      </c>
      <c r="H13" s="2">
        <v>56</v>
      </c>
      <c r="I13" s="2" t="s">
        <v>89</v>
      </c>
      <c r="J13" s="2">
        <v>4</v>
      </c>
      <c r="K13" s="2" t="s">
        <v>90</v>
      </c>
      <c r="L13" s="2" t="s">
        <v>95</v>
      </c>
      <c r="N13" s="2" t="s">
        <v>92</v>
      </c>
      <c r="O13" s="2">
        <v>1769.05</v>
      </c>
      <c r="P13" s="2" t="s">
        <v>24</v>
      </c>
      <c r="Q13" s="2" t="s">
        <v>25</v>
      </c>
      <c r="R13" s="12"/>
      <c r="W13"/>
      <c r="X13"/>
      <c r="Y13"/>
      <c r="Z13"/>
      <c r="AA13"/>
      <c r="AB13"/>
      <c r="AC13" s="13"/>
    </row>
    <row r="14" spans="1:42" s="2" customFormat="1" x14ac:dyDescent="0.25">
      <c r="A14" s="14" t="str">
        <f t="shared" si="0"/>
        <v>11198849GRA</v>
      </c>
      <c r="B14" s="15" t="s">
        <v>8</v>
      </c>
      <c r="C14" s="16">
        <v>2</v>
      </c>
      <c r="D14" s="2">
        <v>11198849</v>
      </c>
      <c r="E14" s="2" t="s">
        <v>110</v>
      </c>
      <c r="F14" s="2" t="s">
        <v>136</v>
      </c>
      <c r="G14" s="2" t="s">
        <v>29</v>
      </c>
      <c r="H14" s="2" t="s">
        <v>8</v>
      </c>
      <c r="I14" s="2" t="s">
        <v>93</v>
      </c>
      <c r="J14" s="2">
        <v>2</v>
      </c>
      <c r="K14" s="2" t="s">
        <v>186</v>
      </c>
      <c r="L14" s="2" t="s">
        <v>200</v>
      </c>
      <c r="M14" s="2" t="s">
        <v>210</v>
      </c>
      <c r="N14" s="2" t="s">
        <v>92</v>
      </c>
      <c r="O14" s="2">
        <v>1338.2</v>
      </c>
      <c r="P14" s="2" t="s">
        <v>24</v>
      </c>
      <c r="Q14" s="2" t="s">
        <v>25</v>
      </c>
      <c r="R14" s="12"/>
      <c r="W14"/>
      <c r="X14"/>
      <c r="Y14"/>
      <c r="Z14"/>
      <c r="AA14"/>
      <c r="AB14"/>
      <c r="AC14" s="13"/>
    </row>
    <row r="15" spans="1:42" s="2" customFormat="1" x14ac:dyDescent="0.25">
      <c r="A15" s="14" t="str">
        <f t="shared" si="0"/>
        <v>11213222BLK</v>
      </c>
      <c r="B15" s="15" t="s">
        <v>8</v>
      </c>
      <c r="C15" s="16">
        <v>3</v>
      </c>
      <c r="D15" s="2">
        <v>11213222</v>
      </c>
      <c r="E15" s="2" t="s">
        <v>11</v>
      </c>
      <c r="F15" s="2" t="s">
        <v>137</v>
      </c>
      <c r="G15" s="2" t="s">
        <v>29</v>
      </c>
      <c r="H15" s="2" t="s">
        <v>8</v>
      </c>
      <c r="I15" s="2" t="s">
        <v>89</v>
      </c>
      <c r="J15" s="2">
        <v>3</v>
      </c>
      <c r="K15" s="2" t="s">
        <v>90</v>
      </c>
      <c r="L15" s="2" t="s">
        <v>95</v>
      </c>
      <c r="M15" s="2" t="s">
        <v>211</v>
      </c>
      <c r="N15" s="2" t="s">
        <v>92</v>
      </c>
      <c r="O15" s="2">
        <v>1210.25</v>
      </c>
      <c r="P15" s="2" t="s">
        <v>58</v>
      </c>
      <c r="Q15" s="2" t="s">
        <v>56</v>
      </c>
      <c r="R15" s="12"/>
      <c r="W15"/>
      <c r="X15"/>
      <c r="Y15"/>
      <c r="Z15"/>
      <c r="AA15"/>
      <c r="AB15"/>
      <c r="AC15" s="13"/>
    </row>
    <row r="16" spans="1:42" s="2" customFormat="1" x14ac:dyDescent="0.25">
      <c r="A16" s="14" t="str">
        <f t="shared" si="0"/>
        <v>11405495BLK</v>
      </c>
      <c r="B16" s="15">
        <v>58</v>
      </c>
      <c r="C16" s="16">
        <v>14</v>
      </c>
      <c r="D16" s="2">
        <v>11405495</v>
      </c>
      <c r="E16" s="2" t="s">
        <v>11</v>
      </c>
      <c r="F16" s="2" t="s">
        <v>138</v>
      </c>
      <c r="G16" s="2" t="s">
        <v>33</v>
      </c>
      <c r="H16" s="2">
        <v>58</v>
      </c>
      <c r="I16" s="2" t="s">
        <v>89</v>
      </c>
      <c r="J16" s="2">
        <v>14</v>
      </c>
      <c r="K16" s="2" t="s">
        <v>90</v>
      </c>
      <c r="L16" s="2" t="s">
        <v>94</v>
      </c>
      <c r="M16" s="2" t="s">
        <v>212</v>
      </c>
      <c r="N16" s="2" t="s">
        <v>92</v>
      </c>
      <c r="O16" s="2">
        <v>1489.65</v>
      </c>
      <c r="P16" s="2" t="s">
        <v>26</v>
      </c>
      <c r="Q16" s="2" t="s">
        <v>25</v>
      </c>
      <c r="R16" s="12"/>
      <c r="W16"/>
      <c r="X16"/>
      <c r="Y16"/>
      <c r="Z16"/>
      <c r="AA16"/>
      <c r="AB16"/>
      <c r="AC16" s="13"/>
    </row>
    <row r="17" spans="1:29" s="2" customFormat="1" x14ac:dyDescent="0.25">
      <c r="A17" s="14" t="str">
        <f t="shared" si="0"/>
        <v>11448335BLK</v>
      </c>
      <c r="B17" s="15" t="s">
        <v>8</v>
      </c>
      <c r="C17" s="16">
        <v>2</v>
      </c>
      <c r="D17" s="2">
        <v>11448335</v>
      </c>
      <c r="E17" s="2" t="s">
        <v>11</v>
      </c>
      <c r="F17" s="2" t="s">
        <v>139</v>
      </c>
      <c r="G17" s="2" t="s">
        <v>29</v>
      </c>
      <c r="H17" s="2" t="s">
        <v>8</v>
      </c>
      <c r="I17" s="2" t="s">
        <v>93</v>
      </c>
      <c r="J17" s="2">
        <v>2</v>
      </c>
      <c r="K17" s="2" t="s">
        <v>185</v>
      </c>
      <c r="L17" s="2" t="s">
        <v>199</v>
      </c>
      <c r="M17" s="2" t="s">
        <v>213</v>
      </c>
      <c r="N17" s="2" t="s">
        <v>92</v>
      </c>
      <c r="O17" s="2">
        <v>581.5</v>
      </c>
      <c r="P17" s="2" t="s">
        <v>269</v>
      </c>
      <c r="Q17" s="2" t="s">
        <v>43</v>
      </c>
      <c r="R17" s="12"/>
      <c r="W17"/>
      <c r="X17"/>
      <c r="Y17"/>
      <c r="Z17"/>
      <c r="AA17"/>
      <c r="AB17"/>
      <c r="AC17" s="13"/>
    </row>
    <row r="18" spans="1:29" x14ac:dyDescent="0.25">
      <c r="A18" s="14" t="str">
        <f t="shared" si="0"/>
        <v>11588489NVYWHI</v>
      </c>
      <c r="B18" s="15" t="s">
        <v>8</v>
      </c>
      <c r="C18" s="16">
        <v>32</v>
      </c>
      <c r="D18" s="2">
        <v>11588489</v>
      </c>
      <c r="E18" s="2" t="s">
        <v>12</v>
      </c>
      <c r="F18" s="2" t="s">
        <v>140</v>
      </c>
      <c r="G18" s="2" t="s">
        <v>29</v>
      </c>
      <c r="H18" s="2" t="s">
        <v>8</v>
      </c>
      <c r="I18" s="2" t="s">
        <v>89</v>
      </c>
      <c r="J18" s="2">
        <v>32</v>
      </c>
      <c r="K18" s="2" t="s">
        <v>90</v>
      </c>
      <c r="L18" s="2" t="s">
        <v>95</v>
      </c>
      <c r="N18" s="2" t="s">
        <v>92</v>
      </c>
      <c r="O18" s="2">
        <v>1489.65</v>
      </c>
      <c r="P18" s="2" t="s">
        <v>24</v>
      </c>
      <c r="Q18" s="2" t="s">
        <v>25</v>
      </c>
    </row>
    <row r="19" spans="1:29" x14ac:dyDescent="0.25">
      <c r="A19" s="14" t="str">
        <f t="shared" si="0"/>
        <v>11871284BLKOTC</v>
      </c>
      <c r="B19" s="15">
        <v>56</v>
      </c>
      <c r="C19" s="16">
        <v>1</v>
      </c>
      <c r="D19" s="2">
        <v>11871284</v>
      </c>
      <c r="E19" s="2" t="s">
        <v>15</v>
      </c>
      <c r="F19" s="2" t="s">
        <v>141</v>
      </c>
      <c r="G19" s="2" t="s">
        <v>36</v>
      </c>
      <c r="H19" s="2">
        <v>56</v>
      </c>
      <c r="I19" s="2" t="s">
        <v>89</v>
      </c>
      <c r="J19" s="2">
        <v>1</v>
      </c>
      <c r="K19" s="2" t="s">
        <v>90</v>
      </c>
      <c r="L19" s="2" t="s">
        <v>99</v>
      </c>
      <c r="N19" s="2" t="s">
        <v>92</v>
      </c>
      <c r="O19" s="2">
        <v>1769.05</v>
      </c>
      <c r="P19" s="2" t="s">
        <v>31</v>
      </c>
      <c r="Q19" s="2" t="s">
        <v>32</v>
      </c>
    </row>
    <row r="20" spans="1:29" x14ac:dyDescent="0.25">
      <c r="A20" s="14" t="str">
        <f t="shared" si="0"/>
        <v>11901827BLK</v>
      </c>
      <c r="B20" s="15">
        <v>58</v>
      </c>
      <c r="C20" s="16">
        <v>1</v>
      </c>
      <c r="D20" s="2">
        <v>11901827</v>
      </c>
      <c r="E20" s="2" t="s">
        <v>11</v>
      </c>
      <c r="F20" s="2" t="s">
        <v>142</v>
      </c>
      <c r="G20" s="2" t="s">
        <v>33</v>
      </c>
      <c r="H20" s="2">
        <v>58</v>
      </c>
      <c r="I20" s="2" t="s">
        <v>89</v>
      </c>
      <c r="J20" s="2">
        <v>1</v>
      </c>
      <c r="K20" s="2" t="s">
        <v>90</v>
      </c>
      <c r="L20" s="2" t="s">
        <v>99</v>
      </c>
      <c r="N20" s="2" t="s">
        <v>92</v>
      </c>
      <c r="O20" s="2">
        <v>2211.31</v>
      </c>
      <c r="P20" s="2" t="s">
        <v>35</v>
      </c>
      <c r="Q20" s="2" t="s">
        <v>32</v>
      </c>
    </row>
    <row r="21" spans="1:29" x14ac:dyDescent="0.25">
      <c r="A21" s="14" t="str">
        <f t="shared" si="0"/>
        <v>12033100GRE</v>
      </c>
      <c r="B21" s="15" t="s">
        <v>8</v>
      </c>
      <c r="C21" s="16">
        <v>4</v>
      </c>
      <c r="D21" s="2">
        <v>12033100</v>
      </c>
      <c r="E21" s="2" t="s">
        <v>115</v>
      </c>
      <c r="F21" s="2" t="s">
        <v>143</v>
      </c>
      <c r="G21" s="2" t="s">
        <v>29</v>
      </c>
      <c r="H21" s="2" t="s">
        <v>8</v>
      </c>
      <c r="I21" s="2" t="s">
        <v>93</v>
      </c>
      <c r="J21" s="2">
        <v>4</v>
      </c>
      <c r="K21" s="2" t="s">
        <v>185</v>
      </c>
      <c r="L21" s="2" t="s">
        <v>199</v>
      </c>
      <c r="M21" s="2" t="s">
        <v>214</v>
      </c>
      <c r="N21" s="2" t="s">
        <v>92</v>
      </c>
      <c r="O21" s="2">
        <v>465.2</v>
      </c>
    </row>
    <row r="22" spans="1:29" x14ac:dyDescent="0.25">
      <c r="A22" s="14" t="str">
        <f t="shared" si="0"/>
        <v>12033103BLK</v>
      </c>
      <c r="B22" s="15" t="s">
        <v>8</v>
      </c>
      <c r="C22" s="16">
        <v>2</v>
      </c>
      <c r="D22" s="2">
        <v>12033103</v>
      </c>
      <c r="E22" s="2" t="s">
        <v>11</v>
      </c>
      <c r="F22" s="2" t="s">
        <v>144</v>
      </c>
      <c r="G22" s="2" t="s">
        <v>29</v>
      </c>
      <c r="H22" s="2" t="s">
        <v>8</v>
      </c>
      <c r="I22" s="2" t="s">
        <v>93</v>
      </c>
      <c r="J22" s="2">
        <v>2</v>
      </c>
      <c r="K22" s="2" t="s">
        <v>185</v>
      </c>
      <c r="L22" s="2" t="s">
        <v>199</v>
      </c>
      <c r="M22" s="2" t="s">
        <v>214</v>
      </c>
      <c r="N22" s="2" t="s">
        <v>92</v>
      </c>
      <c r="O22" s="2">
        <v>581.5</v>
      </c>
    </row>
    <row r="23" spans="1:29" x14ac:dyDescent="0.25">
      <c r="A23" s="14" t="str">
        <f t="shared" si="0"/>
        <v>12033266LOSDOD</v>
      </c>
      <c r="B23" s="15" t="s">
        <v>8</v>
      </c>
      <c r="C23" s="16">
        <v>1</v>
      </c>
      <c r="D23" s="2">
        <v>12033266</v>
      </c>
      <c r="E23" s="2" t="s">
        <v>28</v>
      </c>
      <c r="F23" s="2" t="s">
        <v>145</v>
      </c>
      <c r="G23" s="2" t="s">
        <v>29</v>
      </c>
      <c r="H23" s="2" t="s">
        <v>8</v>
      </c>
      <c r="I23" s="2" t="s">
        <v>93</v>
      </c>
      <c r="J23" s="2">
        <v>1</v>
      </c>
      <c r="K23" s="2" t="s">
        <v>185</v>
      </c>
      <c r="L23" s="2" t="s">
        <v>199</v>
      </c>
      <c r="M23" s="2" t="s">
        <v>215</v>
      </c>
      <c r="N23" s="2" t="s">
        <v>92</v>
      </c>
      <c r="O23" s="2">
        <v>581.5</v>
      </c>
      <c r="P23" s="2" t="s">
        <v>26</v>
      </c>
      <c r="Q23" s="2" t="s">
        <v>25</v>
      </c>
    </row>
    <row r="24" spans="1:29" x14ac:dyDescent="0.25">
      <c r="A24" s="14" t="str">
        <f t="shared" si="0"/>
        <v>12122725BLK</v>
      </c>
      <c r="B24" s="15">
        <v>58</v>
      </c>
      <c r="C24" s="16">
        <v>2</v>
      </c>
      <c r="D24" s="2">
        <v>12122725</v>
      </c>
      <c r="E24" s="2" t="s">
        <v>11</v>
      </c>
      <c r="F24" s="2" t="s">
        <v>146</v>
      </c>
      <c r="G24" s="2" t="s">
        <v>33</v>
      </c>
      <c r="H24" s="2">
        <v>58</v>
      </c>
      <c r="I24" s="2" t="s">
        <v>93</v>
      </c>
      <c r="J24" s="2">
        <v>2</v>
      </c>
      <c r="K24" s="2" t="s">
        <v>184</v>
      </c>
      <c r="L24" s="2" t="s">
        <v>95</v>
      </c>
      <c r="M24" s="2" t="s">
        <v>98</v>
      </c>
      <c r="N24" s="2" t="s">
        <v>92</v>
      </c>
      <c r="O24" s="2">
        <v>1769.05</v>
      </c>
      <c r="P24" s="2" t="s">
        <v>31</v>
      </c>
      <c r="Q24" s="2" t="s">
        <v>32</v>
      </c>
    </row>
    <row r="25" spans="1:29" x14ac:dyDescent="0.25">
      <c r="A25" s="14" t="str">
        <f t="shared" si="0"/>
        <v>12122725BLK</v>
      </c>
      <c r="B25" s="15">
        <v>56</v>
      </c>
      <c r="C25" s="16">
        <v>1</v>
      </c>
      <c r="D25" s="2">
        <v>12122725</v>
      </c>
      <c r="E25" s="2" t="s">
        <v>11</v>
      </c>
      <c r="F25" s="2" t="s">
        <v>147</v>
      </c>
      <c r="G25" s="2" t="s">
        <v>36</v>
      </c>
      <c r="H25" s="2">
        <v>56</v>
      </c>
      <c r="I25" s="2" t="s">
        <v>93</v>
      </c>
      <c r="J25" s="2">
        <v>1</v>
      </c>
      <c r="K25" s="2" t="s">
        <v>184</v>
      </c>
      <c r="L25" s="2" t="s">
        <v>95</v>
      </c>
      <c r="M25" s="2" t="s">
        <v>98</v>
      </c>
      <c r="N25" s="2" t="s">
        <v>92</v>
      </c>
      <c r="O25" s="2">
        <v>1769.05</v>
      </c>
      <c r="P25" s="2" t="s">
        <v>31</v>
      </c>
      <c r="Q25" s="2" t="s">
        <v>32</v>
      </c>
    </row>
    <row r="26" spans="1:29" x14ac:dyDescent="0.25">
      <c r="A26" s="14" t="str">
        <f t="shared" si="0"/>
        <v>12489434GRAWHT</v>
      </c>
      <c r="B26" s="15" t="s">
        <v>8</v>
      </c>
      <c r="C26" s="16">
        <v>8</v>
      </c>
      <c r="D26" s="2">
        <v>12489434</v>
      </c>
      <c r="E26" s="2" t="s">
        <v>118</v>
      </c>
      <c r="F26" s="2" t="s">
        <v>148</v>
      </c>
      <c r="G26" s="2" t="s">
        <v>29</v>
      </c>
      <c r="H26" s="2" t="s">
        <v>8</v>
      </c>
      <c r="I26" s="2" t="s">
        <v>93</v>
      </c>
      <c r="J26" s="2">
        <v>8</v>
      </c>
      <c r="K26" s="2" t="s">
        <v>187</v>
      </c>
      <c r="L26" s="2" t="s">
        <v>199</v>
      </c>
      <c r="M26" s="2" t="s">
        <v>216</v>
      </c>
      <c r="N26" s="2" t="s">
        <v>92</v>
      </c>
      <c r="O26" s="2">
        <v>744.59</v>
      </c>
    </row>
    <row r="27" spans="1:29" x14ac:dyDescent="0.25">
      <c r="A27" s="14" t="str">
        <f t="shared" si="0"/>
        <v>12503527BLACK</v>
      </c>
      <c r="B27" s="15">
        <v>56</v>
      </c>
      <c r="C27" s="16">
        <v>6</v>
      </c>
      <c r="D27" s="2">
        <v>12503527</v>
      </c>
      <c r="E27" s="2" t="s">
        <v>117</v>
      </c>
      <c r="F27" s="2" t="s">
        <v>149</v>
      </c>
      <c r="G27" s="2" t="s">
        <v>36</v>
      </c>
      <c r="H27" s="2">
        <v>56</v>
      </c>
      <c r="I27" s="2" t="s">
        <v>93</v>
      </c>
      <c r="J27" s="2">
        <v>6</v>
      </c>
      <c r="K27" s="2" t="s">
        <v>188</v>
      </c>
      <c r="L27" s="2" t="s">
        <v>91</v>
      </c>
      <c r="N27" s="2" t="s">
        <v>92</v>
      </c>
      <c r="O27" s="2">
        <v>1745.65</v>
      </c>
      <c r="P27" s="2" t="s">
        <v>58</v>
      </c>
      <c r="Q27" s="2" t="s">
        <v>56</v>
      </c>
    </row>
    <row r="28" spans="1:29" x14ac:dyDescent="0.25">
      <c r="A28" s="14" t="str">
        <f t="shared" si="0"/>
        <v>12503535SCA</v>
      </c>
      <c r="B28" s="15" t="s">
        <v>8</v>
      </c>
      <c r="C28" s="16">
        <v>3</v>
      </c>
      <c r="D28" s="2">
        <v>12503535</v>
      </c>
      <c r="E28" s="2" t="s">
        <v>116</v>
      </c>
      <c r="F28" s="2" t="s">
        <v>150</v>
      </c>
      <c r="G28" s="2" t="s">
        <v>29</v>
      </c>
      <c r="H28" s="2" t="s">
        <v>8</v>
      </c>
      <c r="I28" s="2" t="s">
        <v>93</v>
      </c>
      <c r="J28" s="2">
        <v>3</v>
      </c>
      <c r="K28" s="2" t="s">
        <v>189</v>
      </c>
      <c r="L28" s="2" t="s">
        <v>100</v>
      </c>
      <c r="M28" s="2" t="s">
        <v>217</v>
      </c>
      <c r="N28" s="2" t="s">
        <v>92</v>
      </c>
      <c r="O28" s="2">
        <v>1338.2</v>
      </c>
      <c r="P28" s="2" t="s">
        <v>58</v>
      </c>
      <c r="Q28" s="2" t="s">
        <v>56</v>
      </c>
    </row>
    <row r="29" spans="1:29" x14ac:dyDescent="0.25">
      <c r="A29" s="14" t="str">
        <f t="shared" si="0"/>
        <v>12503546BLK</v>
      </c>
      <c r="B29" s="15">
        <v>56</v>
      </c>
      <c r="C29" s="16">
        <v>6</v>
      </c>
      <c r="D29" s="2">
        <v>12503546</v>
      </c>
      <c r="E29" s="2" t="s">
        <v>11</v>
      </c>
      <c r="F29" s="2" t="s">
        <v>151</v>
      </c>
      <c r="G29" s="2" t="s">
        <v>36</v>
      </c>
      <c r="H29" s="2">
        <v>56</v>
      </c>
      <c r="I29" s="2" t="s">
        <v>93</v>
      </c>
      <c r="J29" s="2">
        <v>6</v>
      </c>
      <c r="K29" s="2" t="s">
        <v>190</v>
      </c>
      <c r="L29" s="2" t="s">
        <v>202</v>
      </c>
      <c r="N29" s="2" t="s">
        <v>92</v>
      </c>
      <c r="O29" s="2">
        <v>1396.4</v>
      </c>
      <c r="P29" s="2" t="s">
        <v>58</v>
      </c>
      <c r="Q29" s="2" t="s">
        <v>56</v>
      </c>
    </row>
    <row r="30" spans="1:29" x14ac:dyDescent="0.25">
      <c r="A30" s="14" t="str">
        <f t="shared" si="0"/>
        <v>12503924GRA</v>
      </c>
      <c r="B30" s="15" t="s">
        <v>8</v>
      </c>
      <c r="C30" s="16">
        <v>6</v>
      </c>
      <c r="D30" s="2">
        <v>12503924</v>
      </c>
      <c r="E30" s="2" t="s">
        <v>110</v>
      </c>
      <c r="F30" s="2" t="s">
        <v>152</v>
      </c>
      <c r="G30" s="2" t="s">
        <v>29</v>
      </c>
      <c r="H30" s="2" t="s">
        <v>8</v>
      </c>
      <c r="I30" s="2" t="s">
        <v>93</v>
      </c>
      <c r="J30" s="2">
        <v>6</v>
      </c>
      <c r="K30" s="2" t="s">
        <v>189</v>
      </c>
      <c r="L30" s="2" t="s">
        <v>95</v>
      </c>
      <c r="M30" s="2" t="s">
        <v>218</v>
      </c>
      <c r="N30" s="2" t="s">
        <v>92</v>
      </c>
      <c r="O30" s="2">
        <v>1105.3699999999999</v>
      </c>
      <c r="P30" s="2" t="s">
        <v>55</v>
      </c>
      <c r="Q30" s="2" t="s">
        <v>56</v>
      </c>
    </row>
    <row r="31" spans="1:29" x14ac:dyDescent="0.25">
      <c r="A31" s="14" t="str">
        <f t="shared" si="0"/>
        <v>12503934CAB</v>
      </c>
      <c r="B31" s="15" t="s">
        <v>8</v>
      </c>
      <c r="C31" s="16">
        <v>5</v>
      </c>
      <c r="D31" s="2">
        <v>12503934</v>
      </c>
      <c r="E31" s="2" t="s">
        <v>111</v>
      </c>
      <c r="F31" s="2" t="s">
        <v>153</v>
      </c>
      <c r="G31" s="2" t="s">
        <v>29</v>
      </c>
      <c r="H31" s="2" t="s">
        <v>8</v>
      </c>
      <c r="I31" s="2" t="s">
        <v>93</v>
      </c>
      <c r="J31" s="2">
        <v>5</v>
      </c>
      <c r="K31" s="2" t="s">
        <v>189</v>
      </c>
      <c r="L31" s="2" t="s">
        <v>95</v>
      </c>
      <c r="M31" s="2" t="s">
        <v>218</v>
      </c>
      <c r="N31" s="2" t="s">
        <v>92</v>
      </c>
      <c r="O31" s="2">
        <v>1105.3699999999999</v>
      </c>
      <c r="P31" s="2" t="s">
        <v>55</v>
      </c>
      <c r="Q31" s="2" t="s">
        <v>56</v>
      </c>
    </row>
    <row r="32" spans="1:29" x14ac:dyDescent="0.25">
      <c r="A32" s="14" t="str">
        <f t="shared" si="0"/>
        <v>12523897GRAWHI</v>
      </c>
      <c r="B32" s="15" t="s">
        <v>8</v>
      </c>
      <c r="C32" s="16">
        <v>2</v>
      </c>
      <c r="D32" s="2">
        <v>12523897</v>
      </c>
      <c r="E32" s="2" t="s">
        <v>10</v>
      </c>
      <c r="F32" s="2" t="s">
        <v>154</v>
      </c>
      <c r="G32" s="2" t="s">
        <v>29</v>
      </c>
      <c r="H32" s="2" t="s">
        <v>8</v>
      </c>
      <c r="I32" s="2" t="s">
        <v>89</v>
      </c>
      <c r="J32" s="2">
        <v>2</v>
      </c>
      <c r="K32" s="2" t="s">
        <v>90</v>
      </c>
      <c r="L32" s="2" t="s">
        <v>95</v>
      </c>
      <c r="N32" s="2" t="s">
        <v>92</v>
      </c>
      <c r="O32" s="2">
        <v>1687.44</v>
      </c>
      <c r="P32" s="2" t="s">
        <v>24</v>
      </c>
      <c r="Q32" s="2" t="s">
        <v>25</v>
      </c>
    </row>
    <row r="33" spans="1:17" x14ac:dyDescent="0.25">
      <c r="A33" s="14" t="str">
        <f t="shared" si="0"/>
        <v>12523910BLKBLK</v>
      </c>
      <c r="B33" s="15">
        <v>58</v>
      </c>
      <c r="C33" s="16">
        <v>1</v>
      </c>
      <c r="D33" s="2">
        <v>12523910</v>
      </c>
      <c r="E33" s="2" t="s">
        <v>6</v>
      </c>
      <c r="F33" s="2" t="s">
        <v>155</v>
      </c>
      <c r="G33" s="2" t="s">
        <v>33</v>
      </c>
      <c r="H33" s="2">
        <v>58</v>
      </c>
      <c r="I33" s="2" t="s">
        <v>89</v>
      </c>
      <c r="J33" s="2">
        <v>1</v>
      </c>
      <c r="K33" s="2" t="s">
        <v>90</v>
      </c>
      <c r="L33" s="2" t="s">
        <v>91</v>
      </c>
      <c r="N33" s="2" t="s">
        <v>92</v>
      </c>
      <c r="O33" s="2">
        <v>2153.1</v>
      </c>
      <c r="P33" s="2" t="s">
        <v>24</v>
      </c>
      <c r="Q33" s="2" t="s">
        <v>25</v>
      </c>
    </row>
    <row r="34" spans="1:17" x14ac:dyDescent="0.25">
      <c r="A34" s="14" t="str">
        <f t="shared" si="0"/>
        <v>12523910BLKBLK</v>
      </c>
      <c r="B34" s="15">
        <v>56</v>
      </c>
      <c r="C34" s="16">
        <v>1</v>
      </c>
      <c r="D34" s="2">
        <v>12523910</v>
      </c>
      <c r="E34" s="2" t="s">
        <v>6</v>
      </c>
      <c r="F34" s="2" t="s">
        <v>156</v>
      </c>
      <c r="G34" s="2" t="s">
        <v>36</v>
      </c>
      <c r="H34" s="2">
        <v>56</v>
      </c>
      <c r="I34" s="2" t="s">
        <v>89</v>
      </c>
      <c r="J34" s="2">
        <v>1</v>
      </c>
      <c r="K34" s="2" t="s">
        <v>90</v>
      </c>
      <c r="L34" s="2" t="s">
        <v>91</v>
      </c>
      <c r="N34" s="2" t="s">
        <v>92</v>
      </c>
      <c r="O34" s="2">
        <v>2153.1</v>
      </c>
      <c r="P34" s="2" t="s">
        <v>24</v>
      </c>
      <c r="Q34" s="2" t="s">
        <v>25</v>
      </c>
    </row>
    <row r="35" spans="1:17" x14ac:dyDescent="0.25">
      <c r="A35" s="14" t="str">
        <f t="shared" si="0"/>
        <v>60142978LTCKGR</v>
      </c>
      <c r="B35" s="15" t="s">
        <v>8</v>
      </c>
      <c r="C35" s="16">
        <v>6</v>
      </c>
      <c r="D35" s="2">
        <v>60142978</v>
      </c>
      <c r="E35" s="2" t="s">
        <v>123</v>
      </c>
      <c r="F35" s="2" t="s">
        <v>157</v>
      </c>
      <c r="G35" s="2" t="s">
        <v>29</v>
      </c>
      <c r="H35" s="2" t="s">
        <v>8</v>
      </c>
      <c r="I35" s="2" t="s">
        <v>93</v>
      </c>
      <c r="J35" s="2">
        <v>6</v>
      </c>
      <c r="K35" s="2" t="s">
        <v>191</v>
      </c>
      <c r="L35" s="2" t="s">
        <v>100</v>
      </c>
      <c r="N35" s="2" t="s">
        <v>92</v>
      </c>
      <c r="O35" s="2">
        <v>884.29</v>
      </c>
      <c r="P35" s="2" t="s">
        <v>69</v>
      </c>
      <c r="Q35" s="2" t="s">
        <v>70</v>
      </c>
    </row>
    <row r="36" spans="1:17" x14ac:dyDescent="0.25">
      <c r="A36" s="14" t="str">
        <f t="shared" si="0"/>
        <v>60143388BLK</v>
      </c>
      <c r="B36" s="15" t="s">
        <v>8</v>
      </c>
      <c r="C36" s="16">
        <v>10</v>
      </c>
      <c r="D36" s="2">
        <v>60143388</v>
      </c>
      <c r="E36" s="2" t="s">
        <v>11</v>
      </c>
      <c r="F36" s="2" t="s">
        <v>158</v>
      </c>
      <c r="G36" s="2" t="s">
        <v>29</v>
      </c>
      <c r="H36" s="2" t="s">
        <v>8</v>
      </c>
      <c r="I36" s="2" t="s">
        <v>93</v>
      </c>
      <c r="J36" s="2">
        <v>10</v>
      </c>
      <c r="K36" s="2" t="s">
        <v>192</v>
      </c>
      <c r="L36" s="2" t="s">
        <v>100</v>
      </c>
      <c r="N36" s="2" t="s">
        <v>92</v>
      </c>
      <c r="O36" s="2">
        <v>1210.25</v>
      </c>
      <c r="P36" s="2" t="s">
        <v>58</v>
      </c>
      <c r="Q36" s="2" t="s">
        <v>56</v>
      </c>
    </row>
    <row r="37" spans="1:17" x14ac:dyDescent="0.25">
      <c r="A37" s="14" t="str">
        <f t="shared" si="0"/>
        <v>60221494GRH</v>
      </c>
      <c r="B37" s="15">
        <v>58</v>
      </c>
      <c r="C37" s="16">
        <v>1</v>
      </c>
      <c r="D37" s="2">
        <v>60221494</v>
      </c>
      <c r="E37" s="2" t="s">
        <v>106</v>
      </c>
      <c r="F37" s="2" t="s">
        <v>159</v>
      </c>
      <c r="G37" s="2" t="s">
        <v>33</v>
      </c>
      <c r="H37" s="2">
        <v>58</v>
      </c>
      <c r="I37" s="2" t="s">
        <v>93</v>
      </c>
      <c r="J37" s="2">
        <v>1</v>
      </c>
      <c r="K37" s="2" t="s">
        <v>193</v>
      </c>
      <c r="L37" s="2" t="s">
        <v>99</v>
      </c>
      <c r="N37" s="2" t="s">
        <v>92</v>
      </c>
      <c r="O37" s="2">
        <v>2308.31</v>
      </c>
      <c r="P37" s="2" t="s">
        <v>55</v>
      </c>
      <c r="Q37" s="2" t="s">
        <v>56</v>
      </c>
    </row>
    <row r="38" spans="1:17" x14ac:dyDescent="0.25">
      <c r="A38" s="14" t="str">
        <f t="shared" si="0"/>
        <v>60221494GRH</v>
      </c>
      <c r="B38" s="15">
        <v>56</v>
      </c>
      <c r="C38" s="16">
        <v>1</v>
      </c>
      <c r="D38" s="2">
        <v>60221494</v>
      </c>
      <c r="E38" s="2" t="s">
        <v>106</v>
      </c>
      <c r="F38" s="2" t="s">
        <v>160</v>
      </c>
      <c r="G38" s="2" t="s">
        <v>36</v>
      </c>
      <c r="H38" s="2">
        <v>56</v>
      </c>
      <c r="I38" s="2" t="s">
        <v>93</v>
      </c>
      <c r="J38" s="2">
        <v>1</v>
      </c>
      <c r="K38" s="2" t="s">
        <v>193</v>
      </c>
      <c r="L38" s="2" t="s">
        <v>99</v>
      </c>
      <c r="N38" s="2" t="s">
        <v>92</v>
      </c>
      <c r="O38" s="2">
        <v>2308.31</v>
      </c>
      <c r="P38" s="2" t="s">
        <v>55</v>
      </c>
      <c r="Q38" s="2" t="s">
        <v>56</v>
      </c>
    </row>
    <row r="39" spans="1:17" x14ac:dyDescent="0.25">
      <c r="A39" s="14" t="str">
        <f t="shared" si="0"/>
        <v>60221531BLK</v>
      </c>
      <c r="B39" s="15" t="s">
        <v>8</v>
      </c>
      <c r="C39" s="16">
        <v>2</v>
      </c>
      <c r="D39" s="2">
        <v>60221531</v>
      </c>
      <c r="E39" s="2" t="s">
        <v>11</v>
      </c>
      <c r="F39" s="2" t="s">
        <v>161</v>
      </c>
      <c r="G39" s="2" t="s">
        <v>29</v>
      </c>
      <c r="H39" s="2" t="s">
        <v>8</v>
      </c>
      <c r="I39" s="2" t="s">
        <v>93</v>
      </c>
      <c r="J39" s="2">
        <v>2</v>
      </c>
      <c r="K39" s="2" t="s">
        <v>193</v>
      </c>
      <c r="L39" s="2" t="s">
        <v>91</v>
      </c>
      <c r="N39" s="2" t="s">
        <v>92</v>
      </c>
      <c r="O39" s="2">
        <v>1978.48</v>
      </c>
      <c r="P39" s="2" t="s">
        <v>69</v>
      </c>
      <c r="Q39" s="2" t="s">
        <v>70</v>
      </c>
    </row>
    <row r="40" spans="1:17" x14ac:dyDescent="0.25">
      <c r="A40" s="14" t="str">
        <f t="shared" si="0"/>
        <v>60221568NVY</v>
      </c>
      <c r="B40" s="15">
        <v>58</v>
      </c>
      <c r="C40" s="16">
        <v>1</v>
      </c>
      <c r="D40" s="2">
        <v>60221568</v>
      </c>
      <c r="E40" s="2" t="s">
        <v>107</v>
      </c>
      <c r="F40" s="2" t="s">
        <v>162</v>
      </c>
      <c r="G40" s="2" t="s">
        <v>33</v>
      </c>
      <c r="H40" s="2">
        <v>58</v>
      </c>
      <c r="I40" s="2" t="s">
        <v>89</v>
      </c>
      <c r="J40" s="2">
        <v>1</v>
      </c>
      <c r="K40" s="2" t="s">
        <v>194</v>
      </c>
      <c r="L40" s="2" t="s">
        <v>201</v>
      </c>
      <c r="N40" s="2" t="s">
        <v>92</v>
      </c>
      <c r="O40" s="2">
        <v>2502.35</v>
      </c>
      <c r="P40" s="2" t="s">
        <v>270</v>
      </c>
      <c r="Q40" s="2" t="s">
        <v>271</v>
      </c>
    </row>
    <row r="41" spans="1:17" x14ac:dyDescent="0.25">
      <c r="A41" s="14" t="str">
        <f t="shared" si="0"/>
        <v>60221568NVY</v>
      </c>
      <c r="B41" s="15">
        <v>56</v>
      </c>
      <c r="C41" s="16">
        <v>1</v>
      </c>
      <c r="D41" s="2">
        <v>60221568</v>
      </c>
      <c r="E41" s="2" t="s">
        <v>107</v>
      </c>
      <c r="F41" s="2" t="s">
        <v>163</v>
      </c>
      <c r="G41" s="2" t="s">
        <v>36</v>
      </c>
      <c r="H41" s="2">
        <v>56</v>
      </c>
      <c r="I41" s="2" t="s">
        <v>89</v>
      </c>
      <c r="J41" s="2">
        <v>1</v>
      </c>
      <c r="K41" s="2" t="s">
        <v>194</v>
      </c>
      <c r="L41" s="2" t="s">
        <v>201</v>
      </c>
      <c r="N41" s="2" t="s">
        <v>92</v>
      </c>
      <c r="O41" s="2">
        <v>2502.35</v>
      </c>
      <c r="P41" s="2" t="s">
        <v>270</v>
      </c>
      <c r="Q41" s="2" t="s">
        <v>271</v>
      </c>
    </row>
    <row r="42" spans="1:17" x14ac:dyDescent="0.25">
      <c r="A42" s="14" t="str">
        <f t="shared" si="0"/>
        <v>60222237GRH</v>
      </c>
      <c r="B42" s="15" t="s">
        <v>8</v>
      </c>
      <c r="C42" s="16">
        <v>12</v>
      </c>
      <c r="D42" s="2">
        <v>60222237</v>
      </c>
      <c r="E42" s="2" t="s">
        <v>106</v>
      </c>
      <c r="F42" s="2" t="s">
        <v>164</v>
      </c>
      <c r="G42" s="2" t="s">
        <v>29</v>
      </c>
      <c r="H42" s="2" t="s">
        <v>8</v>
      </c>
      <c r="I42" s="2" t="s">
        <v>93</v>
      </c>
      <c r="J42" s="2">
        <v>12</v>
      </c>
      <c r="K42" s="2" t="s">
        <v>195</v>
      </c>
      <c r="L42" s="2" t="s">
        <v>95</v>
      </c>
      <c r="N42" s="2" t="s">
        <v>92</v>
      </c>
      <c r="O42" s="2">
        <v>1687.44</v>
      </c>
      <c r="P42" s="2" t="s">
        <v>31</v>
      </c>
      <c r="Q42" s="2" t="s">
        <v>32</v>
      </c>
    </row>
    <row r="43" spans="1:17" x14ac:dyDescent="0.25">
      <c r="A43" s="14" t="str">
        <f t="shared" si="0"/>
        <v>60222257NVY</v>
      </c>
      <c r="B43" s="15" t="s">
        <v>8</v>
      </c>
      <c r="C43" s="16">
        <v>1</v>
      </c>
      <c r="D43" s="2">
        <v>60222257</v>
      </c>
      <c r="E43" s="2" t="s">
        <v>107</v>
      </c>
      <c r="F43" s="2" t="s">
        <v>165</v>
      </c>
      <c r="G43" s="2" t="s">
        <v>29</v>
      </c>
      <c r="H43" s="2" t="s">
        <v>8</v>
      </c>
      <c r="I43" s="2" t="s">
        <v>93</v>
      </c>
      <c r="J43" s="2">
        <v>1</v>
      </c>
      <c r="K43" s="2" t="s">
        <v>195</v>
      </c>
      <c r="L43" s="2" t="s">
        <v>100</v>
      </c>
      <c r="N43" s="2" t="s">
        <v>92</v>
      </c>
      <c r="O43" s="2">
        <v>1978.48</v>
      </c>
      <c r="P43" s="2" t="s">
        <v>24</v>
      </c>
      <c r="Q43" s="2" t="s">
        <v>25</v>
      </c>
    </row>
    <row r="44" spans="1:17" x14ac:dyDescent="0.25">
      <c r="A44" s="14" t="str">
        <f t="shared" si="0"/>
        <v>60222275NVYRE</v>
      </c>
      <c r="B44" s="15">
        <v>58</v>
      </c>
      <c r="C44" s="16">
        <v>1</v>
      </c>
      <c r="D44" s="2">
        <v>60222275</v>
      </c>
      <c r="E44" s="2" t="s">
        <v>108</v>
      </c>
      <c r="F44" s="2" t="s">
        <v>166</v>
      </c>
      <c r="G44" s="2" t="s">
        <v>33</v>
      </c>
      <c r="H44" s="2">
        <v>58</v>
      </c>
      <c r="I44" s="2" t="s">
        <v>89</v>
      </c>
      <c r="J44" s="2">
        <v>1</v>
      </c>
      <c r="K44" s="2" t="s">
        <v>196</v>
      </c>
      <c r="L44" s="2" t="s">
        <v>94</v>
      </c>
      <c r="N44" s="2" t="s">
        <v>92</v>
      </c>
      <c r="O44" s="2">
        <v>1862.06</v>
      </c>
      <c r="P44" s="2" t="s">
        <v>39</v>
      </c>
      <c r="Q44" s="2" t="s">
        <v>25</v>
      </c>
    </row>
    <row r="45" spans="1:17" x14ac:dyDescent="0.25">
      <c r="A45" s="14" t="str">
        <f t="shared" si="0"/>
        <v>60222277NVY</v>
      </c>
      <c r="B45" s="15" t="s">
        <v>8</v>
      </c>
      <c r="C45" s="16">
        <v>4</v>
      </c>
      <c r="D45" s="2">
        <v>60222277</v>
      </c>
      <c r="E45" s="2" t="s">
        <v>107</v>
      </c>
      <c r="F45" s="2" t="s">
        <v>167</v>
      </c>
      <c r="G45" s="2" t="s">
        <v>29</v>
      </c>
      <c r="H45" s="2" t="s">
        <v>8</v>
      </c>
      <c r="I45" s="2" t="s">
        <v>93</v>
      </c>
      <c r="J45" s="2">
        <v>4</v>
      </c>
      <c r="K45" s="2" t="s">
        <v>197</v>
      </c>
      <c r="L45" s="2" t="s">
        <v>100</v>
      </c>
      <c r="N45" s="2" t="s">
        <v>92</v>
      </c>
      <c r="O45" s="2">
        <v>1862.06</v>
      </c>
    </row>
    <row r="46" spans="1:17" x14ac:dyDescent="0.25">
      <c r="A46" s="14" t="str">
        <f t="shared" si="0"/>
        <v>60222290DKG</v>
      </c>
      <c r="B46" s="15">
        <v>58</v>
      </c>
      <c r="C46" s="16">
        <v>1</v>
      </c>
      <c r="D46" s="2">
        <v>60222290</v>
      </c>
      <c r="E46" s="2" t="s">
        <v>114</v>
      </c>
      <c r="F46" s="2" t="s">
        <v>168</v>
      </c>
      <c r="G46" s="2" t="s">
        <v>33</v>
      </c>
      <c r="H46" s="2">
        <v>58</v>
      </c>
      <c r="I46" s="2" t="s">
        <v>89</v>
      </c>
      <c r="J46" s="2">
        <v>1</v>
      </c>
      <c r="K46" s="2" t="s">
        <v>194</v>
      </c>
      <c r="L46" s="2" t="s">
        <v>91</v>
      </c>
      <c r="N46" s="2" t="s">
        <v>92</v>
      </c>
      <c r="O46" s="2">
        <v>2153.1</v>
      </c>
      <c r="P46" s="2" t="s">
        <v>38</v>
      </c>
      <c r="Q46" s="2" t="s">
        <v>25</v>
      </c>
    </row>
    <row r="47" spans="1:17" x14ac:dyDescent="0.25">
      <c r="A47" s="14" t="str">
        <f t="shared" si="0"/>
        <v>60222290DKG</v>
      </c>
      <c r="B47" s="15">
        <v>56</v>
      </c>
      <c r="C47" s="16">
        <v>1</v>
      </c>
      <c r="D47" s="2">
        <v>60222290</v>
      </c>
      <c r="E47" s="2" t="s">
        <v>114</v>
      </c>
      <c r="F47" s="2" t="s">
        <v>169</v>
      </c>
      <c r="G47" s="2" t="s">
        <v>36</v>
      </c>
      <c r="H47" s="2">
        <v>56</v>
      </c>
      <c r="I47" s="2" t="s">
        <v>89</v>
      </c>
      <c r="J47" s="2">
        <v>1</v>
      </c>
      <c r="K47" s="2" t="s">
        <v>194</v>
      </c>
      <c r="L47" s="2" t="s">
        <v>91</v>
      </c>
      <c r="N47" s="2" t="s">
        <v>92</v>
      </c>
      <c r="O47" s="2">
        <v>2153.1</v>
      </c>
      <c r="P47" s="2" t="s">
        <v>38</v>
      </c>
      <c r="Q47" s="2" t="s">
        <v>25</v>
      </c>
    </row>
    <row r="48" spans="1:17" x14ac:dyDescent="0.25">
      <c r="A48" s="14" t="str">
        <f t="shared" si="0"/>
        <v>60222318GRP</v>
      </c>
      <c r="B48" s="15" t="s">
        <v>8</v>
      </c>
      <c r="C48" s="16">
        <v>6</v>
      </c>
      <c r="D48" s="2">
        <v>60222318</v>
      </c>
      <c r="E48" s="2" t="s">
        <v>109</v>
      </c>
      <c r="F48" s="2" t="s">
        <v>170</v>
      </c>
      <c r="G48" s="2" t="s">
        <v>29</v>
      </c>
      <c r="H48" s="2" t="s">
        <v>8</v>
      </c>
      <c r="I48" s="2" t="s">
        <v>93</v>
      </c>
      <c r="J48" s="2">
        <v>6</v>
      </c>
      <c r="K48" s="2" t="s">
        <v>195</v>
      </c>
      <c r="L48" s="2" t="s">
        <v>100</v>
      </c>
      <c r="N48" s="2" t="s">
        <v>92</v>
      </c>
      <c r="O48" s="2">
        <v>2153.1</v>
      </c>
      <c r="P48" s="2" t="s">
        <v>24</v>
      </c>
      <c r="Q48" s="2" t="s">
        <v>25</v>
      </c>
    </row>
    <row r="49" spans="1:17" x14ac:dyDescent="0.25">
      <c r="A49" s="14" t="str">
        <f t="shared" si="0"/>
        <v>60222356PRP</v>
      </c>
      <c r="B49" s="15" t="s">
        <v>8</v>
      </c>
      <c r="C49" s="16">
        <v>4</v>
      </c>
      <c r="D49" s="2">
        <v>60222356</v>
      </c>
      <c r="E49" s="2" t="s">
        <v>104</v>
      </c>
      <c r="F49" s="2" t="s">
        <v>171</v>
      </c>
      <c r="G49" s="2" t="s">
        <v>29</v>
      </c>
      <c r="H49" s="2" t="s">
        <v>8</v>
      </c>
      <c r="I49" s="2" t="s">
        <v>93</v>
      </c>
      <c r="J49" s="2">
        <v>4</v>
      </c>
      <c r="K49" s="2" t="s">
        <v>195</v>
      </c>
      <c r="L49" s="2" t="s">
        <v>95</v>
      </c>
      <c r="N49" s="2" t="s">
        <v>96</v>
      </c>
      <c r="O49" s="2">
        <v>1862.06</v>
      </c>
      <c r="P49" s="2" t="s">
        <v>26</v>
      </c>
      <c r="Q49" s="2" t="s">
        <v>25</v>
      </c>
    </row>
    <row r="50" spans="1:17" x14ac:dyDescent="0.25">
      <c r="A50" s="14" t="str">
        <f t="shared" si="0"/>
        <v>60222362NVY</v>
      </c>
      <c r="B50" s="15">
        <v>58</v>
      </c>
      <c r="C50" s="16">
        <v>1</v>
      </c>
      <c r="D50" s="2">
        <v>60222362</v>
      </c>
      <c r="E50" s="2" t="s">
        <v>107</v>
      </c>
      <c r="F50" s="2" t="s">
        <v>172</v>
      </c>
      <c r="G50" s="2" t="s">
        <v>33</v>
      </c>
      <c r="H50" s="2">
        <v>58</v>
      </c>
      <c r="I50" s="2" t="s">
        <v>93</v>
      </c>
      <c r="J50" s="2">
        <v>1</v>
      </c>
      <c r="K50" s="2" t="s">
        <v>195</v>
      </c>
      <c r="L50" s="2" t="s">
        <v>94</v>
      </c>
      <c r="N50" s="2" t="s">
        <v>92</v>
      </c>
      <c r="O50" s="2">
        <v>2308.31</v>
      </c>
      <c r="P50" s="2" t="s">
        <v>24</v>
      </c>
      <c r="Q50" s="2" t="s">
        <v>25</v>
      </c>
    </row>
    <row r="51" spans="1:17" x14ac:dyDescent="0.25">
      <c r="A51" s="14" t="str">
        <f t="shared" si="0"/>
        <v>60222362NVY</v>
      </c>
      <c r="B51" s="15">
        <v>56</v>
      </c>
      <c r="C51" s="16">
        <v>1</v>
      </c>
      <c r="D51" s="2">
        <v>60222362</v>
      </c>
      <c r="E51" s="2" t="s">
        <v>107</v>
      </c>
      <c r="F51" s="2" t="s">
        <v>173</v>
      </c>
      <c r="G51" s="2" t="s">
        <v>36</v>
      </c>
      <c r="H51" s="2">
        <v>56</v>
      </c>
      <c r="I51" s="2" t="s">
        <v>93</v>
      </c>
      <c r="J51" s="2">
        <v>1</v>
      </c>
      <c r="K51" s="2" t="s">
        <v>195</v>
      </c>
      <c r="L51" s="2" t="s">
        <v>94</v>
      </c>
      <c r="N51" s="2" t="s">
        <v>92</v>
      </c>
      <c r="O51" s="2">
        <v>2308.31</v>
      </c>
      <c r="P51" s="2" t="s">
        <v>24</v>
      </c>
      <c r="Q51" s="2" t="s">
        <v>25</v>
      </c>
    </row>
    <row r="52" spans="1:17" x14ac:dyDescent="0.25">
      <c r="A52" s="14" t="str">
        <f t="shared" si="0"/>
        <v>60222367NVY</v>
      </c>
      <c r="B52" s="15">
        <v>60</v>
      </c>
      <c r="C52" s="16">
        <v>6</v>
      </c>
      <c r="D52" s="2">
        <v>60222367</v>
      </c>
      <c r="E52" s="2" t="s">
        <v>107</v>
      </c>
      <c r="F52" s="2" t="s">
        <v>174</v>
      </c>
      <c r="G52" s="2" t="s">
        <v>40</v>
      </c>
      <c r="H52" s="2">
        <v>60</v>
      </c>
      <c r="I52" s="2" t="s">
        <v>89</v>
      </c>
      <c r="J52" s="2">
        <v>6</v>
      </c>
      <c r="K52" s="2" t="s">
        <v>198</v>
      </c>
      <c r="L52" s="2" t="s">
        <v>91</v>
      </c>
      <c r="N52" s="2" t="s">
        <v>92</v>
      </c>
      <c r="O52" s="2">
        <v>2502.35</v>
      </c>
      <c r="P52" s="2" t="s">
        <v>24</v>
      </c>
      <c r="Q52" s="2" t="s">
        <v>25</v>
      </c>
    </row>
    <row r="53" spans="1:17" x14ac:dyDescent="0.25">
      <c r="A53" s="14" t="str">
        <f t="shared" si="0"/>
        <v>60222367NVY</v>
      </c>
      <c r="B53" s="15">
        <v>58</v>
      </c>
      <c r="C53" s="16">
        <v>6</v>
      </c>
      <c r="D53" s="2">
        <v>60222367</v>
      </c>
      <c r="E53" s="2" t="s">
        <v>107</v>
      </c>
      <c r="F53" s="2" t="s">
        <v>175</v>
      </c>
      <c r="G53" s="2" t="s">
        <v>119</v>
      </c>
      <c r="H53" s="2">
        <v>58</v>
      </c>
      <c r="I53" s="2" t="s">
        <v>89</v>
      </c>
      <c r="J53" s="2">
        <v>6</v>
      </c>
      <c r="K53" s="2" t="s">
        <v>198</v>
      </c>
      <c r="L53" s="2" t="s">
        <v>91</v>
      </c>
      <c r="N53" s="2" t="s">
        <v>92</v>
      </c>
      <c r="O53" s="2">
        <v>2502.35</v>
      </c>
      <c r="P53" s="2" t="s">
        <v>24</v>
      </c>
      <c r="Q53" s="2" t="s">
        <v>25</v>
      </c>
    </row>
    <row r="54" spans="1:17" x14ac:dyDescent="0.25">
      <c r="A54" s="14" t="str">
        <f t="shared" si="0"/>
        <v>60222367NVY</v>
      </c>
      <c r="B54" s="15">
        <v>62</v>
      </c>
      <c r="C54" s="16">
        <v>8</v>
      </c>
      <c r="D54" s="2">
        <v>60222367</v>
      </c>
      <c r="E54" s="2" t="s">
        <v>107</v>
      </c>
      <c r="F54" s="2" t="s">
        <v>176</v>
      </c>
      <c r="G54" s="2" t="s">
        <v>121</v>
      </c>
      <c r="H54" s="2">
        <v>62</v>
      </c>
      <c r="I54" s="2" t="s">
        <v>89</v>
      </c>
      <c r="J54" s="2">
        <v>8</v>
      </c>
      <c r="K54" s="2" t="s">
        <v>198</v>
      </c>
      <c r="L54" s="2" t="s">
        <v>91</v>
      </c>
      <c r="N54" s="2" t="s">
        <v>92</v>
      </c>
      <c r="O54" s="2">
        <v>2502.35</v>
      </c>
      <c r="P54" s="2" t="s">
        <v>24</v>
      </c>
      <c r="Q54" s="2" t="s">
        <v>25</v>
      </c>
    </row>
    <row r="55" spans="1:17" x14ac:dyDescent="0.25">
      <c r="A55" s="14" t="str">
        <f t="shared" si="0"/>
        <v>60222424WHI</v>
      </c>
      <c r="B55" s="15" t="s">
        <v>8</v>
      </c>
      <c r="C55" s="16">
        <v>5</v>
      </c>
      <c r="D55" s="2">
        <v>60222424</v>
      </c>
      <c r="E55" s="2" t="s">
        <v>7</v>
      </c>
      <c r="F55" s="2" t="s">
        <v>177</v>
      </c>
      <c r="G55" s="2" t="s">
        <v>29</v>
      </c>
      <c r="H55" s="2" t="s">
        <v>8</v>
      </c>
      <c r="I55" s="2" t="s">
        <v>93</v>
      </c>
      <c r="J55" s="2">
        <v>5</v>
      </c>
      <c r="K55" s="2" t="s">
        <v>195</v>
      </c>
      <c r="L55" s="2" t="s">
        <v>91</v>
      </c>
      <c r="N55" s="2" t="s">
        <v>92</v>
      </c>
      <c r="O55" s="2">
        <v>1978.48</v>
      </c>
      <c r="P55" s="2" t="s">
        <v>24</v>
      </c>
      <c r="Q55" s="2" t="s">
        <v>25</v>
      </c>
    </row>
    <row r="56" spans="1:17" x14ac:dyDescent="0.25">
      <c r="A56" s="14" t="str">
        <f t="shared" si="0"/>
        <v>60222529BLK</v>
      </c>
      <c r="B56" s="15" t="s">
        <v>8</v>
      </c>
      <c r="C56" s="16">
        <v>6</v>
      </c>
      <c r="D56" s="2">
        <v>60222529</v>
      </c>
      <c r="E56" s="2" t="s">
        <v>11</v>
      </c>
      <c r="F56" s="2" t="s">
        <v>178</v>
      </c>
      <c r="G56" s="2" t="s">
        <v>29</v>
      </c>
      <c r="H56" s="2" t="s">
        <v>8</v>
      </c>
      <c r="I56" s="2" t="s">
        <v>93</v>
      </c>
      <c r="J56" s="2">
        <v>6</v>
      </c>
      <c r="K56" s="2" t="s">
        <v>195</v>
      </c>
      <c r="L56" s="2" t="s">
        <v>91</v>
      </c>
      <c r="N56" s="2" t="s">
        <v>92</v>
      </c>
      <c r="O56" s="2">
        <v>1978.48</v>
      </c>
      <c r="P56" s="2" t="s">
        <v>31</v>
      </c>
      <c r="Q56" s="2" t="s">
        <v>32</v>
      </c>
    </row>
    <row r="57" spans="1:17" x14ac:dyDescent="0.25">
      <c r="A57" s="14" t="str">
        <f t="shared" si="0"/>
        <v>60222530GRH</v>
      </c>
      <c r="B57" s="15">
        <v>56</v>
      </c>
      <c r="C57" s="16">
        <v>1</v>
      </c>
      <c r="D57" s="2">
        <v>60222530</v>
      </c>
      <c r="E57" s="2" t="s">
        <v>106</v>
      </c>
      <c r="F57" s="2" t="s">
        <v>179</v>
      </c>
      <c r="G57" s="2">
        <v>7</v>
      </c>
      <c r="H57" s="2">
        <v>56</v>
      </c>
      <c r="I57" s="2" t="s">
        <v>89</v>
      </c>
      <c r="J57" s="2">
        <v>1</v>
      </c>
      <c r="K57" s="2" t="s">
        <v>198</v>
      </c>
      <c r="L57" s="2" t="s">
        <v>91</v>
      </c>
      <c r="N57" s="2" t="s">
        <v>92</v>
      </c>
      <c r="O57" s="2">
        <v>2502.35</v>
      </c>
      <c r="P57" s="2" t="s">
        <v>26</v>
      </c>
      <c r="Q57" s="2" t="s">
        <v>25</v>
      </c>
    </row>
    <row r="58" spans="1:17" x14ac:dyDescent="0.25">
      <c r="A58" s="14" t="str">
        <f t="shared" si="0"/>
        <v>60222530GRH</v>
      </c>
      <c r="B58" s="15">
        <v>58</v>
      </c>
      <c r="C58" s="16">
        <v>2</v>
      </c>
      <c r="D58" s="2">
        <v>60222530</v>
      </c>
      <c r="E58" s="2" t="s">
        <v>106</v>
      </c>
      <c r="F58" s="2" t="s">
        <v>180</v>
      </c>
      <c r="G58" s="2" t="s">
        <v>119</v>
      </c>
      <c r="H58" s="2">
        <v>58</v>
      </c>
      <c r="I58" s="2" t="s">
        <v>89</v>
      </c>
      <c r="J58" s="2">
        <v>2</v>
      </c>
      <c r="K58" s="2" t="s">
        <v>198</v>
      </c>
      <c r="L58" s="2" t="s">
        <v>91</v>
      </c>
      <c r="N58" s="2" t="s">
        <v>92</v>
      </c>
      <c r="O58" s="2">
        <v>2502.35</v>
      </c>
      <c r="P58" s="2" t="s">
        <v>26</v>
      </c>
      <c r="Q58" s="2" t="s">
        <v>25</v>
      </c>
    </row>
    <row r="59" spans="1:17" x14ac:dyDescent="0.25">
      <c r="A59" s="14" t="str">
        <f t="shared" si="0"/>
        <v>60222530GRH</v>
      </c>
      <c r="B59" s="15">
        <v>57</v>
      </c>
      <c r="C59" s="16">
        <v>2</v>
      </c>
      <c r="D59" s="2">
        <v>60222530</v>
      </c>
      <c r="E59" s="2" t="s">
        <v>106</v>
      </c>
      <c r="F59" s="2" t="s">
        <v>181</v>
      </c>
      <c r="G59" s="2" t="s">
        <v>101</v>
      </c>
      <c r="H59" s="2">
        <v>57</v>
      </c>
      <c r="I59" s="2" t="s">
        <v>89</v>
      </c>
      <c r="J59" s="2">
        <v>2</v>
      </c>
      <c r="K59" s="2" t="s">
        <v>198</v>
      </c>
      <c r="L59" s="2" t="s">
        <v>91</v>
      </c>
      <c r="N59" s="2" t="s">
        <v>92</v>
      </c>
      <c r="O59" s="2">
        <v>2502.35</v>
      </c>
      <c r="P59" s="2" t="s">
        <v>26</v>
      </c>
      <c r="Q59" s="2" t="s">
        <v>25</v>
      </c>
    </row>
    <row r="60" spans="1:17" x14ac:dyDescent="0.25">
      <c r="A60" s="14" t="str">
        <f t="shared" si="0"/>
        <v>60222530GRH</v>
      </c>
      <c r="B60" s="15">
        <v>59</v>
      </c>
      <c r="C60" s="16">
        <v>1</v>
      </c>
      <c r="D60" s="2">
        <v>60222530</v>
      </c>
      <c r="E60" s="2" t="s">
        <v>106</v>
      </c>
      <c r="F60" s="2" t="s">
        <v>182</v>
      </c>
      <c r="G60" s="2" t="s">
        <v>122</v>
      </c>
      <c r="H60" s="2">
        <v>59</v>
      </c>
      <c r="I60" s="2" t="s">
        <v>89</v>
      </c>
      <c r="J60" s="2">
        <v>1</v>
      </c>
      <c r="K60" s="2" t="s">
        <v>198</v>
      </c>
      <c r="L60" s="2" t="s">
        <v>91</v>
      </c>
      <c r="N60" s="2" t="s">
        <v>92</v>
      </c>
      <c r="O60" s="2">
        <v>2502.35</v>
      </c>
      <c r="P60" s="2" t="s">
        <v>26</v>
      </c>
      <c r="Q60" s="2" t="s">
        <v>25</v>
      </c>
    </row>
    <row r="61" spans="1:17" x14ac:dyDescent="0.25">
      <c r="A61" s="14" t="str">
        <f t="shared" si="0"/>
        <v>60222561LPK</v>
      </c>
      <c r="B61" s="15" t="s">
        <v>8</v>
      </c>
      <c r="C61" s="16">
        <v>4</v>
      </c>
      <c r="D61" s="2">
        <v>60222561</v>
      </c>
      <c r="E61" s="2" t="s">
        <v>105</v>
      </c>
      <c r="F61" s="2" t="s">
        <v>183</v>
      </c>
      <c r="G61" s="2" t="s">
        <v>29</v>
      </c>
      <c r="H61" s="2" t="s">
        <v>8</v>
      </c>
      <c r="I61" s="2" t="s">
        <v>93</v>
      </c>
      <c r="J61" s="2">
        <v>4</v>
      </c>
      <c r="K61" s="2" t="s">
        <v>195</v>
      </c>
      <c r="L61" s="2" t="s">
        <v>95</v>
      </c>
      <c r="N61" s="2" t="s">
        <v>92</v>
      </c>
      <c r="O61" s="2">
        <v>1862.06</v>
      </c>
      <c r="P61" s="2" t="s">
        <v>24</v>
      </c>
      <c r="Q61" s="2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29</xdr:col>
                    <xdr:colOff>333375</xdr:colOff>
                    <xdr:row>1</xdr:row>
                    <xdr:rowOff>57150</xdr:rowOff>
                  </from>
                  <to>
                    <xdr:col>33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Справочник</vt:lpstr>
      <vt:lpstr>Data</vt:lpstr>
      <vt:lpstr>КомандыИзНазвания</vt:lpstr>
      <vt:lpstr>Транспонирование</vt:lpstr>
      <vt:lpstr>Лист7</vt:lpstr>
      <vt:lpstr>Транспонирование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2022-09-15T08:40:51Z</dcterms:modified>
</cp:coreProperties>
</file>