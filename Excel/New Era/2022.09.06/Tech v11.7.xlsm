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9.06\"/>
    </mc:Choice>
  </mc:AlternateContent>
  <xr:revisionPtr revIDLastSave="0" documentId="13_ncr:1_{A501B9F8-101D-4EB3-A037-E55C4BDF36D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3" i="1"/>
  <c r="AY38" i="1" l="1"/>
  <c r="BA38" i="1" s="1"/>
  <c r="AY36" i="1"/>
  <c r="AY34" i="1"/>
  <c r="AY32" i="1"/>
  <c r="BA32" i="1" s="1"/>
  <c r="AY30" i="1"/>
  <c r="AY26" i="1"/>
  <c r="AY45" i="1"/>
  <c r="BA45" i="1" s="1"/>
  <c r="AY24" i="1"/>
  <c r="AY20" i="1"/>
  <c r="AY18" i="1"/>
  <c r="BA18" i="1" s="1"/>
  <c r="AY17" i="1"/>
  <c r="AY15" i="1"/>
  <c r="AY13" i="1"/>
  <c r="BA13" i="1" s="1"/>
  <c r="AY11" i="1"/>
  <c r="AY8" i="1"/>
  <c r="AY6" i="1"/>
  <c r="BA6" i="1" s="1"/>
  <c r="AY4" i="1"/>
  <c r="AX38" i="1"/>
  <c r="AX37" i="1"/>
  <c r="AY37" i="1" s="1"/>
  <c r="BA37" i="1" s="1"/>
  <c r="AX36" i="1"/>
  <c r="AX47" i="1"/>
  <c r="AY47" i="1" s="1"/>
  <c r="BA47" i="1" s="1"/>
  <c r="AX46" i="1"/>
  <c r="AY46" i="1" s="1"/>
  <c r="BA46" i="1" s="1"/>
  <c r="AX35" i="1"/>
  <c r="AY35" i="1" s="1"/>
  <c r="AX34" i="1"/>
  <c r="AX33" i="1"/>
  <c r="AY33" i="1" s="1"/>
  <c r="AX32" i="1"/>
  <c r="AX31" i="1"/>
  <c r="AY31" i="1" s="1"/>
  <c r="BA31" i="1" s="1"/>
  <c r="AX30" i="1"/>
  <c r="AX29" i="1"/>
  <c r="AY29" i="1" s="1"/>
  <c r="BA29" i="1" s="1"/>
  <c r="AX28" i="1"/>
  <c r="AY28" i="1" s="1"/>
  <c r="BA28" i="1" s="1"/>
  <c r="AX27" i="1"/>
  <c r="AY27" i="1" s="1"/>
  <c r="AX26" i="1"/>
  <c r="AX25" i="1"/>
  <c r="AY25" i="1" s="1"/>
  <c r="AX45" i="1"/>
  <c r="AX44" i="1"/>
  <c r="AY44" i="1" s="1"/>
  <c r="BA44" i="1" s="1"/>
  <c r="AX24" i="1"/>
  <c r="AX23" i="1"/>
  <c r="AY23" i="1" s="1"/>
  <c r="BA23" i="1" s="1"/>
  <c r="AX22" i="1"/>
  <c r="AY22" i="1" s="1"/>
  <c r="BA22" i="1" s="1"/>
  <c r="AX21" i="1"/>
  <c r="AY21" i="1" s="1"/>
  <c r="AX20" i="1"/>
  <c r="AX19" i="1"/>
  <c r="AY19" i="1" s="1"/>
  <c r="AX18" i="1"/>
  <c r="AX43" i="1"/>
  <c r="AY43" i="1" s="1"/>
  <c r="BA43" i="1" s="1"/>
  <c r="AX17" i="1"/>
  <c r="AX42" i="1"/>
  <c r="AY42" i="1" s="1"/>
  <c r="BA42" i="1" s="1"/>
  <c r="AX41" i="1"/>
  <c r="AY41" i="1" s="1"/>
  <c r="BA41" i="1" s="1"/>
  <c r="AX16" i="1"/>
  <c r="AY16" i="1" s="1"/>
  <c r="AX15" i="1"/>
  <c r="AX14" i="1"/>
  <c r="AY14" i="1" s="1"/>
  <c r="AX13" i="1"/>
  <c r="AX12" i="1"/>
  <c r="AY12" i="1" s="1"/>
  <c r="BA12" i="1" s="1"/>
  <c r="AX11" i="1"/>
  <c r="AX40" i="1"/>
  <c r="AY40" i="1" s="1"/>
  <c r="BA40" i="1" s="1"/>
  <c r="AX10" i="1"/>
  <c r="AY10" i="1" s="1"/>
  <c r="BA10" i="1" s="1"/>
  <c r="AX9" i="1"/>
  <c r="AY9" i="1" s="1"/>
  <c r="AX8" i="1"/>
  <c r="AX7" i="1"/>
  <c r="AY7" i="1" s="1"/>
  <c r="AX6" i="1"/>
  <c r="AX5" i="1"/>
  <c r="AY5" i="1" s="1"/>
  <c r="BA5" i="1" s="1"/>
  <c r="AX4" i="1"/>
  <c r="AX3" i="1"/>
  <c r="AY3" i="1" s="1"/>
  <c r="BA3" i="1" s="1"/>
  <c r="AX39" i="1"/>
  <c r="AY39" i="1" s="1"/>
  <c r="BA39" i="1" s="1"/>
  <c r="AT38" i="1"/>
  <c r="BC38" i="1" s="1"/>
  <c r="AT37" i="1"/>
  <c r="AT36" i="1"/>
  <c r="AZ36" i="1" s="1"/>
  <c r="AT47" i="1"/>
  <c r="BC47" i="1" s="1"/>
  <c r="AT46" i="1"/>
  <c r="BC46" i="1" s="1"/>
  <c r="AT35" i="1"/>
  <c r="BC35" i="1" s="1"/>
  <c r="AT34" i="1"/>
  <c r="BC34" i="1" s="1"/>
  <c r="AT33" i="1"/>
  <c r="BC33" i="1" s="1"/>
  <c r="AT32" i="1"/>
  <c r="BC32" i="1" s="1"/>
  <c r="AT31" i="1"/>
  <c r="AT30" i="1"/>
  <c r="AZ30" i="1" s="1"/>
  <c r="AT29" i="1"/>
  <c r="BC29" i="1" s="1"/>
  <c r="AT28" i="1"/>
  <c r="BC28" i="1" s="1"/>
  <c r="AT27" i="1"/>
  <c r="BC27" i="1" s="1"/>
  <c r="AT26" i="1"/>
  <c r="BC26" i="1" s="1"/>
  <c r="AT25" i="1"/>
  <c r="BC25" i="1" s="1"/>
  <c r="AT45" i="1"/>
  <c r="BC45" i="1" s="1"/>
  <c r="AT44" i="1"/>
  <c r="AT24" i="1"/>
  <c r="AZ24" i="1" s="1"/>
  <c r="AT23" i="1"/>
  <c r="BC23" i="1" s="1"/>
  <c r="AT22" i="1"/>
  <c r="BC22" i="1" s="1"/>
  <c r="AT21" i="1"/>
  <c r="BC21" i="1" s="1"/>
  <c r="AT20" i="1"/>
  <c r="BC20" i="1" s="1"/>
  <c r="AT19" i="1"/>
  <c r="BC19" i="1" s="1"/>
  <c r="AT18" i="1"/>
  <c r="BC18" i="1" s="1"/>
  <c r="AT43" i="1"/>
  <c r="AT17" i="1"/>
  <c r="AZ17" i="1" s="1"/>
  <c r="AT42" i="1"/>
  <c r="BC42" i="1" s="1"/>
  <c r="AT41" i="1"/>
  <c r="BC41" i="1" s="1"/>
  <c r="AT16" i="1"/>
  <c r="BC16" i="1" s="1"/>
  <c r="AT15" i="1"/>
  <c r="BC15" i="1" s="1"/>
  <c r="AT14" i="1"/>
  <c r="BC14" i="1" s="1"/>
  <c r="AT13" i="1"/>
  <c r="BC13" i="1" s="1"/>
  <c r="AT12" i="1"/>
  <c r="AT11" i="1"/>
  <c r="AZ11" i="1" s="1"/>
  <c r="AT40" i="1"/>
  <c r="BC40" i="1" s="1"/>
  <c r="AT10" i="1"/>
  <c r="BC10" i="1" s="1"/>
  <c r="AT9" i="1"/>
  <c r="BC9" i="1" s="1"/>
  <c r="AT8" i="1"/>
  <c r="BC8" i="1" s="1"/>
  <c r="AT7" i="1"/>
  <c r="BC7" i="1" s="1"/>
  <c r="AT6" i="1"/>
  <c r="BC6" i="1" s="1"/>
  <c r="AT5" i="1"/>
  <c r="AT4" i="1"/>
  <c r="AZ4" i="1" s="1"/>
  <c r="AT3" i="1"/>
  <c r="BC3" i="1" s="1"/>
  <c r="AT39" i="1"/>
  <c r="BC39" i="1" s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38" i="1"/>
  <c r="A37" i="1"/>
  <c r="A36" i="1"/>
  <c r="A47" i="1"/>
  <c r="A46" i="1"/>
  <c r="A35" i="1"/>
  <c r="A34" i="1"/>
  <c r="A33" i="1"/>
  <c r="A32" i="1"/>
  <c r="A31" i="1"/>
  <c r="A30" i="1"/>
  <c r="A29" i="1"/>
  <c r="A28" i="1"/>
  <c r="A27" i="1"/>
  <c r="A26" i="1"/>
  <c r="A25" i="1"/>
  <c r="A45" i="1"/>
  <c r="A44" i="1"/>
  <c r="A24" i="1"/>
  <c r="A23" i="1"/>
  <c r="A22" i="1"/>
  <c r="A21" i="1"/>
  <c r="A20" i="1"/>
  <c r="A19" i="1"/>
  <c r="A18" i="1"/>
  <c r="A43" i="1"/>
  <c r="A17" i="1"/>
  <c r="A42" i="1"/>
  <c r="A41" i="1"/>
  <c r="A16" i="1"/>
  <c r="A15" i="1"/>
  <c r="A14" i="1"/>
  <c r="A13" i="1"/>
  <c r="A12" i="1"/>
  <c r="A11" i="1"/>
  <c r="A40" i="1"/>
  <c r="A10" i="1"/>
  <c r="A9" i="1"/>
  <c r="A8" i="1"/>
  <c r="A7" i="1"/>
  <c r="A6" i="1"/>
  <c r="A5" i="1"/>
  <c r="A4" i="1"/>
  <c r="A3" i="1"/>
  <c r="A39" i="1"/>
  <c r="BE2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20" i="1"/>
  <c r="AW12" i="1"/>
  <c r="AV38" i="1"/>
  <c r="AW26" i="1"/>
  <c r="AV24" i="1"/>
  <c r="AV12" i="1"/>
  <c r="AV35" i="1"/>
  <c r="AV10" i="1"/>
  <c r="AV25" i="1"/>
  <c r="AW3" i="1"/>
  <c r="AV30" i="1"/>
  <c r="AW18" i="1"/>
  <c r="AW33" i="1"/>
  <c r="AV4" i="1"/>
  <c r="AV27" i="1"/>
  <c r="AV17" i="1"/>
  <c r="AV9" i="1"/>
  <c r="AV22" i="1"/>
  <c r="AW10" i="1"/>
  <c r="AW25" i="1"/>
  <c r="AW21" i="1"/>
  <c r="AV19" i="1"/>
  <c r="AW38" i="1"/>
  <c r="AW5" i="1"/>
  <c r="AV14" i="1"/>
  <c r="AV37" i="1"/>
  <c r="AW17" i="1"/>
  <c r="AV32" i="1"/>
  <c r="AV11" i="1"/>
  <c r="AW30" i="1"/>
  <c r="AV7" i="1"/>
  <c r="AW29" i="1"/>
  <c r="AV29" i="1"/>
  <c r="AW9" i="1"/>
  <c r="AW32" i="1"/>
  <c r="AV16" i="1"/>
  <c r="AW22" i="1"/>
  <c r="AV15" i="1"/>
  <c r="AW27" i="1"/>
  <c r="AW13" i="1"/>
  <c r="AV21" i="1"/>
  <c r="AW24" i="1"/>
  <c r="AV34" i="1"/>
  <c r="AV23" i="1"/>
  <c r="AV8" i="1"/>
  <c r="AV28" i="1"/>
  <c r="AV26" i="1"/>
  <c r="AV31" i="1"/>
  <c r="AW34" i="1"/>
  <c r="AV20" i="1"/>
  <c r="AV18" i="1"/>
  <c r="AV3" i="1"/>
  <c r="AW4" i="1"/>
  <c r="AV6" i="1"/>
  <c r="AW37" i="1"/>
  <c r="AV36" i="1"/>
  <c r="AW14" i="1"/>
  <c r="AW19" i="1"/>
  <c r="AV13" i="1"/>
  <c r="AW16" i="1"/>
  <c r="AW6" i="1"/>
  <c r="AW11" i="1"/>
  <c r="AV5" i="1"/>
  <c r="AW8" i="1"/>
  <c r="AV33" i="1"/>
  <c r="AW35" i="1"/>
  <c r="AW36" i="1"/>
  <c r="AW28" i="1"/>
  <c r="BA11" i="1" l="1"/>
  <c r="BA8" i="1"/>
  <c r="BA7" i="1"/>
  <c r="BA14" i="1"/>
  <c r="BA19" i="1"/>
  <c r="BA25" i="1"/>
  <c r="BA33" i="1"/>
  <c r="BA15" i="1"/>
  <c r="BA26" i="1"/>
  <c r="BA34" i="1"/>
  <c r="BA4" i="1"/>
  <c r="BA17" i="1"/>
  <c r="BA20" i="1"/>
  <c r="AZ5" i="1"/>
  <c r="AZ12" i="1"/>
  <c r="AZ43" i="1"/>
  <c r="AZ44" i="1"/>
  <c r="AZ31" i="1"/>
  <c r="AZ37" i="1"/>
  <c r="BA24" i="1"/>
  <c r="BA30" i="1"/>
  <c r="BA36" i="1"/>
  <c r="AZ6" i="1"/>
  <c r="AZ13" i="1"/>
  <c r="AZ18" i="1"/>
  <c r="AZ45" i="1"/>
  <c r="AZ32" i="1"/>
  <c r="AZ38" i="1"/>
  <c r="BA9" i="1"/>
  <c r="BA16" i="1"/>
  <c r="BA21" i="1"/>
  <c r="BA27" i="1"/>
  <c r="BA35" i="1"/>
  <c r="BC4" i="1"/>
  <c r="BC11" i="1"/>
  <c r="BC17" i="1"/>
  <c r="BC24" i="1"/>
  <c r="BC30" i="1"/>
  <c r="BC36" i="1"/>
  <c r="AZ7" i="1"/>
  <c r="AZ14" i="1"/>
  <c r="AZ19" i="1"/>
  <c r="AZ25" i="1"/>
  <c r="AZ33" i="1"/>
  <c r="BC5" i="1"/>
  <c r="BC12" i="1"/>
  <c r="BC43" i="1"/>
  <c r="BC44" i="1"/>
  <c r="BC31" i="1"/>
  <c r="BC37" i="1"/>
  <c r="AZ8" i="1"/>
  <c r="AZ15" i="1"/>
  <c r="AZ20" i="1"/>
  <c r="AZ26" i="1"/>
  <c r="AZ34" i="1"/>
  <c r="AZ9" i="1"/>
  <c r="AZ16" i="1"/>
  <c r="AZ21" i="1"/>
  <c r="AZ27" i="1"/>
  <c r="AZ35" i="1"/>
  <c r="AZ39" i="1"/>
  <c r="AZ10" i="1"/>
  <c r="AZ41" i="1"/>
  <c r="AZ22" i="1"/>
  <c r="AZ28" i="1"/>
  <c r="AZ46" i="1"/>
  <c r="AZ3" i="1"/>
  <c r="AZ40" i="1"/>
  <c r="AZ42" i="1"/>
  <c r="AZ23" i="1"/>
  <c r="AZ29" i="1"/>
  <c r="AZ47" i="1"/>
  <c r="D38" i="4"/>
  <c r="D39" i="4"/>
  <c r="D40" i="4"/>
  <c r="D41" i="4"/>
  <c r="D42" i="4"/>
  <c r="D43" i="4"/>
  <c r="D44" i="4"/>
  <c r="D45" i="4"/>
  <c r="D46" i="4"/>
  <c r="AW23" i="1"/>
  <c r="AW15" i="1"/>
  <c r="AW7" i="1"/>
  <c r="AW31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39" i="1" l="1"/>
  <c r="BE47" i="1"/>
  <c r="BE40" i="1"/>
  <c r="BE41" i="1"/>
  <c r="BE43" i="1"/>
  <c r="BE42" i="1"/>
  <c r="BE46" i="1"/>
  <c r="BE44" i="1"/>
  <c r="BE45" i="1"/>
  <c r="BE4" i="1"/>
  <c r="BF4" i="1" s="1"/>
  <c r="BE11" i="1"/>
  <c r="BF11" i="1" s="1"/>
  <c r="BE17" i="1"/>
  <c r="BF17" i="1" s="1"/>
  <c r="BE24" i="1"/>
  <c r="BF24" i="1" s="1"/>
  <c r="BE30" i="1"/>
  <c r="BF30" i="1" s="1"/>
  <c r="BE36" i="1"/>
  <c r="BF36" i="1" s="1"/>
  <c r="BE5" i="1"/>
  <c r="BF5" i="1" s="1"/>
  <c r="BE12" i="1"/>
  <c r="BF12" i="1" s="1"/>
  <c r="BE31" i="1"/>
  <c r="BF31" i="1" s="1"/>
  <c r="BE37" i="1"/>
  <c r="BF37" i="1" s="1"/>
  <c r="BE6" i="1"/>
  <c r="BF6" i="1" s="1"/>
  <c r="BE13" i="1"/>
  <c r="BF13" i="1" s="1"/>
  <c r="BE18" i="1"/>
  <c r="BF18" i="1" s="1"/>
  <c r="BE32" i="1"/>
  <c r="BF32" i="1" s="1"/>
  <c r="BE38" i="1"/>
  <c r="BF38" i="1" s="1"/>
  <c r="BE7" i="1"/>
  <c r="BF7" i="1" s="1"/>
  <c r="BE14" i="1"/>
  <c r="BF14" i="1" s="1"/>
  <c r="BE19" i="1"/>
  <c r="BF19" i="1" s="1"/>
  <c r="BE25" i="1"/>
  <c r="BF25" i="1" s="1"/>
  <c r="BE33" i="1"/>
  <c r="BF33" i="1" s="1"/>
  <c r="BE8" i="1"/>
  <c r="BF8" i="1" s="1"/>
  <c r="BE15" i="1"/>
  <c r="BF15" i="1" s="1"/>
  <c r="BE20" i="1"/>
  <c r="BF20" i="1" s="1"/>
  <c r="BE26" i="1"/>
  <c r="BF26" i="1" s="1"/>
  <c r="BE34" i="1"/>
  <c r="BF34" i="1" s="1"/>
  <c r="BE9" i="1"/>
  <c r="BF9" i="1" s="1"/>
  <c r="BE16" i="1"/>
  <c r="BF16" i="1" s="1"/>
  <c r="BE21" i="1"/>
  <c r="BF21" i="1" s="1"/>
  <c r="BE27" i="1"/>
  <c r="BF27" i="1" s="1"/>
  <c r="BE35" i="1"/>
  <c r="BF35" i="1" s="1"/>
  <c r="BE10" i="1"/>
  <c r="BF10" i="1" s="1"/>
  <c r="BE22" i="1"/>
  <c r="BF22" i="1" s="1"/>
  <c r="BE28" i="1"/>
  <c r="BF28" i="1" s="1"/>
  <c r="BE3" i="1"/>
  <c r="BF3" i="1" s="1"/>
  <c r="BE23" i="1"/>
  <c r="BF23" i="1" s="1"/>
  <c r="BE29" i="1"/>
  <c r="BF29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42" i="1" l="1"/>
  <c r="D40" i="1"/>
  <c r="D45" i="1"/>
  <c r="D39" i="1"/>
  <c r="D44" i="1"/>
  <c r="D46" i="1"/>
  <c r="D47" i="1"/>
  <c r="X251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H47" i="1" l="1"/>
  <c r="Q43" i="1"/>
  <c r="H43" i="1"/>
  <c r="H40" i="1"/>
  <c r="J40" i="1"/>
  <c r="O46" i="1"/>
  <c r="P44" i="1"/>
  <c r="J39" i="1"/>
  <c r="BD43" i="1"/>
  <c r="J43" i="1"/>
  <c r="M45" i="1"/>
  <c r="O42" i="1"/>
  <c r="H46" i="1"/>
  <c r="H42" i="1"/>
  <c r="AU47" i="1"/>
  <c r="U44" i="1"/>
  <c r="AU40" i="1"/>
  <c r="AU39" i="1"/>
  <c r="J41" i="1"/>
  <c r="L47" i="1"/>
  <c r="B47" i="1" s="1"/>
  <c r="J47" i="1"/>
  <c r="J46" i="1"/>
  <c r="P45" i="1"/>
  <c r="L39" i="1"/>
  <c r="B39" i="1" s="1"/>
  <c r="O40" i="1"/>
  <c r="AU41" i="1"/>
  <c r="H39" i="1"/>
  <c r="U47" i="1"/>
  <c r="AU44" i="1"/>
  <c r="S40" i="1"/>
  <c r="Q45" i="1"/>
  <c r="M43" i="1"/>
  <c r="BD46" i="1"/>
  <c r="M42" i="1"/>
  <c r="M41" i="1"/>
  <c r="M44" i="1"/>
  <c r="P42" i="1"/>
  <c r="O45" i="1"/>
  <c r="Q44" i="1"/>
  <c r="U40" i="1"/>
  <c r="U43" i="1"/>
  <c r="Q42" i="1"/>
  <c r="H44" i="1"/>
  <c r="Q41" i="1"/>
  <c r="P40" i="1"/>
  <c r="N47" i="1"/>
  <c r="M40" i="1"/>
  <c r="L43" i="1"/>
  <c r="B43" i="1" s="1"/>
  <c r="BD40" i="1"/>
  <c r="P46" i="1"/>
  <c r="H45" i="1"/>
  <c r="U45" i="1"/>
  <c r="U42" i="1"/>
  <c r="AU42" i="1"/>
  <c r="P47" i="1"/>
  <c r="L44" i="1"/>
  <c r="B44" i="1" s="1"/>
  <c r="N39" i="1"/>
  <c r="M39" i="1"/>
  <c r="L42" i="1"/>
  <c r="B42" i="1" s="1"/>
  <c r="BD41" i="1"/>
  <c r="B28" i="1"/>
  <c r="U46" i="1"/>
  <c r="U41" i="1"/>
  <c r="M46" i="1"/>
  <c r="O39" i="1"/>
  <c r="M47" i="1"/>
  <c r="J42" i="1"/>
  <c r="L41" i="1"/>
  <c r="B41" i="1" s="1"/>
  <c r="L45" i="1"/>
  <c r="B45" i="1" s="1"/>
  <c r="B34" i="1"/>
  <c r="Q40" i="1"/>
  <c r="Q46" i="1"/>
  <c r="Q39" i="1"/>
  <c r="U39" i="1"/>
  <c r="P39" i="1"/>
  <c r="L40" i="1"/>
  <c r="B40" i="1" s="1"/>
  <c r="BD47" i="1"/>
  <c r="J45" i="1"/>
  <c r="BD39" i="1"/>
  <c r="BD44" i="1"/>
  <c r="S45" i="1"/>
  <c r="T45" i="1" s="1"/>
  <c r="B32" i="1"/>
  <c r="AU46" i="1"/>
  <c r="H41" i="1"/>
  <c r="Q47" i="1"/>
  <c r="AU45" i="1"/>
  <c r="AU43" i="1"/>
  <c r="S44" i="1"/>
  <c r="T44" i="1" s="1"/>
  <c r="S39" i="1"/>
  <c r="T39" i="1" s="1"/>
  <c r="L46" i="1"/>
  <c r="B46" i="1" s="1"/>
  <c r="O47" i="1"/>
  <c r="BD45" i="1"/>
  <c r="BD42" i="1"/>
  <c r="J44" i="1"/>
  <c r="O44" i="1"/>
  <c r="B35" i="1"/>
  <c r="B21" i="1"/>
  <c r="B22" i="1"/>
  <c r="B7" i="1"/>
  <c r="B11" i="1"/>
  <c r="B12" i="1"/>
  <c r="B18" i="1"/>
  <c r="B13" i="1"/>
  <c r="B16" i="1"/>
  <c r="B3" i="1"/>
  <c r="BD4" i="1"/>
  <c r="BD33" i="1"/>
  <c r="BD19" i="1"/>
  <c r="BD10" i="1"/>
  <c r="B14" i="1"/>
  <c r="B23" i="1"/>
  <c r="B25" i="1"/>
  <c r="B24" i="1"/>
  <c r="B20" i="1"/>
  <c r="B17" i="1"/>
  <c r="B30" i="1"/>
  <c r="B8" i="1"/>
  <c r="B15" i="1"/>
  <c r="B4" i="1"/>
  <c r="B31" i="1"/>
  <c r="B9" i="1"/>
  <c r="B37" i="1"/>
  <c r="B26" i="1"/>
  <c r="B36" i="1"/>
  <c r="B38" i="1"/>
  <c r="B33" i="1"/>
  <c r="B6" i="1"/>
  <c r="B27" i="1"/>
  <c r="B19" i="1"/>
  <c r="B29" i="1"/>
  <c r="BD27" i="1"/>
  <c r="BD18" i="1"/>
  <c r="BD6" i="1"/>
  <c r="BD7" i="1"/>
  <c r="B10" i="1"/>
  <c r="BD8" i="1"/>
  <c r="BD3" i="1"/>
  <c r="BD24" i="1"/>
  <c r="BD25" i="1"/>
  <c r="BD31" i="1"/>
  <c r="BD38" i="1"/>
  <c r="BD9" i="1"/>
  <c r="BD22" i="1"/>
  <c r="BD20" i="1"/>
  <c r="BD11" i="1"/>
  <c r="BD5" i="1"/>
  <c r="BD13" i="1"/>
  <c r="BD26" i="1"/>
  <c r="BD16" i="1"/>
  <c r="B5" i="1"/>
  <c r="BD35" i="1"/>
  <c r="BD29" i="1"/>
  <c r="BD30" i="1"/>
  <c r="BD14" i="1"/>
  <c r="BD36" i="1"/>
  <c r="BD15" i="1"/>
  <c r="BD21" i="1"/>
  <c r="BD28" i="1"/>
  <c r="BD37" i="1"/>
  <c r="BD32" i="1"/>
  <c r="BD12" i="1"/>
  <c r="BD23" i="1"/>
  <c r="BD34" i="1"/>
  <c r="BD17" i="1"/>
  <c r="X10" i="8"/>
  <c r="X18" i="8"/>
  <c r="X8" i="8"/>
  <c r="C24" i="5"/>
  <c r="AV39" i="1"/>
  <c r="AW45" i="1"/>
  <c r="AV44" i="1"/>
  <c r="AW39" i="1"/>
  <c r="AV45" i="1"/>
  <c r="AW44" i="1"/>
  <c r="AW41" i="1"/>
  <c r="AW43" i="1"/>
  <c r="AV41" i="1"/>
  <c r="AV43" i="1"/>
  <c r="AW40" i="1"/>
  <c r="AW47" i="1"/>
  <c r="AW46" i="1"/>
  <c r="AV42" i="1"/>
  <c r="AV47" i="1"/>
  <c r="AV46" i="1"/>
  <c r="AW42" i="1"/>
  <c r="AV40" i="1"/>
  <c r="G43" i="1" l="1"/>
  <c r="F43" i="1"/>
  <c r="E43" i="1" s="1"/>
  <c r="BF43" i="1"/>
  <c r="G39" i="1"/>
  <c r="F39" i="1"/>
  <c r="E39" i="1" s="1"/>
  <c r="BF39" i="1"/>
  <c r="G40" i="1"/>
  <c r="F40" i="1"/>
  <c r="E40" i="1" s="1"/>
  <c r="BF40" i="1"/>
  <c r="G42" i="1"/>
  <c r="F42" i="1"/>
  <c r="E42" i="1" s="1"/>
  <c r="BF42" i="1"/>
  <c r="G45" i="1"/>
  <c r="F45" i="1"/>
  <c r="E45" i="1" s="1"/>
  <c r="BF45" i="1"/>
  <c r="G41" i="1"/>
  <c r="F41" i="1"/>
  <c r="E41" i="1" s="1"/>
  <c r="BF41" i="1"/>
  <c r="G44" i="1"/>
  <c r="F44" i="1"/>
  <c r="E44" i="1" s="1"/>
  <c r="BF44" i="1"/>
  <c r="G47" i="1"/>
  <c r="F47" i="1"/>
  <c r="E47" i="1" s="1"/>
  <c r="BF47" i="1"/>
  <c r="T40" i="1"/>
  <c r="G46" i="1"/>
  <c r="F46" i="1"/>
  <c r="E46" i="1" s="1"/>
  <c r="BF46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<sst xmlns="http://schemas.openxmlformats.org/spreadsheetml/2006/main" count="11168" uniqueCount="1857">
  <si>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</si>
  <si>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</si>
  <si>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</si>
  <si>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</si>
  <si>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</si>
  <si>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</si>
  <si>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</si>
  <si>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</si>
  <si>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</si>
  <si>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</si>
  <si>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</si>
  <si>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</si>
  <si>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</si>
  <si>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</si>
  <si>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</si>
  <si>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</si>
  <si>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</si>
  <si>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</si>
  <si>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</si>
  <si>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</si>
  <si>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</si>
  <si>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</si>
  <si>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</si>
  <si>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</si>
  <si>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</si>
  <si>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</si>
  <si>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</si>
  <si>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</si>
  <si>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</si>
  <si>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</si>
  <si>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</si>
  <si>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</si>
  <si>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</si>
  <si>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</si>
  <si>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</si>
  <si>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</si>
  <si>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</si>
  <si>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</si>
  <si>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</si>
  <si>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</si>
  <si>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</si>
  <si>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</si>
  <si>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</si>
  <si>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</si>
  <si>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</si>
  <si>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</si>
  <si>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</si>
  <si>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</si>
  <si>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</si>
  <si>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</si>
  <si>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</si>
  <si>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</si>
  <si>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</si>
  <si>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</si>
  <si>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</si>
  <si>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</si>
  <si>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</si>
  <si>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</si>
  <si>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</si>
  <si>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</si>
  <si>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</si>
  <si>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</si>
  <si>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</si>
  <si>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</si>
  <si>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</si>
  <si>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</si>
  <si>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</si>
  <si>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</si>
  <si>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</si>
  <si>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</si>
  <si>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</si>
  <si>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</si>
  <si>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</si>
  <si>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</si>
  <si>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</si>
  <si>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</si>
  <si>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</si>
  <si>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</si>
  <si>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</si>
  <si>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</si>
  <si>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</si>
  <si>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</si>
  <si>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</si>
  <si>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</si>
  <si>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</si>
  <si>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</si>
  <si>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</si>
  <si>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</si>
  <si>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</si>
  <si>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</si>
  <si>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</si>
  <si>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</si>
  <si>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</si>
  <si>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</si>
  <si>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</si>
  <si>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</si>
  <si>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</si>
  <si>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</si>
  <si>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</si>
  <si>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</si>
  <si>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</si>
  <si>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</si>
  <si>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</si>
  <si>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</si>
  <si>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</si>
  <si>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</si>
  <si>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</si>
  <si>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</si>
  <si>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</si>
  <si>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</si>
  <si>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</si>
  <si>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</si>
  <si>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</si>
  <si>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</si>
  <si>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</si>
  <si>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</si>
  <si>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</si>
  <si>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</si>
  <si>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</si>
  <si>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</si>
  <si>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</si>
  <si>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</si>
  <si>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</si>
  <si>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</si>
  <si>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</si>
  <si>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</si>
  <si>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</si>
  <si>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</si>
  <si>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</si>
  <si>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</si>
  <si>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</si>
  <si>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</si>
  <si>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</si>
  <si>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</si>
  <si>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</si>
  <si>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</si>
  <si>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</si>
  <si>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</si>
  <si>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</si>
  <si>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</si>
  <si>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</si>
  <si>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</si>
  <si>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</si>
  <si>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</si>
  <si>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</si>
  <si>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</si>
  <si>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</si>
  <si>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</si>
  <si>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</si>
  <si>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</si>
  <si>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</si>
  <si>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</si>
  <si>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</si>
  <si>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</si>
  <si>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</si>
  <si>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</si>
  <si>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</si>
  <si>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</si>
  <si>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</si>
  <si>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</si>
  <si>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</si>
  <si>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</si>
  <si>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</si>
  <si>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</si>
  <si>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</si>
  <si>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</si>
  <si>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</si>
  <si>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</si>
  <si>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</si>
  <si>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</si>
  <si>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</si>
  <si>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</si>
  <si>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</si>
  <si>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</si>
  <si>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</si>
  <si>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</si>
  <si>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</si>
  <si>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</si>
  <si>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</si>
  <si>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</si>
  <si>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</si>
  <si>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</si>
  <si>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</si>
  <si>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</si>
  <si>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</si>
  <si>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</si>
  <si>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</si>
  <si>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</si>
  <si>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</si>
  <si>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</si>
  <si>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</si>
  <si>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</si>
  <si>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</si>
  <si>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</si>
  <si>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</si>
  <si>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</si>
  <si>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</si>
  <si>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</si>
  <si>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</si>
  <si>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</si>
  <si>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</si>
  <si>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</si>
  <si>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</si>
  <si>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</si>
  <si>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</si>
  <si>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</si>
  <si>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</si>
  <si>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</si>
  <si>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</si>
  <si>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</si>
  <si>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</si>
  <si>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</si>
  <si>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</si>
  <si>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</si>
  <si>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</si>
  <si>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</si>
  <si>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</si>
  <si>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</si>
  <si>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</si>
  <si>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</si>
  <si>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</si>
  <si>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</si>
  <si>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</si>
  <si>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</si>
  <si>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</si>
  <si>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</si>
  <si>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</si>
  <si>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</si>
  <si>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</si>
  <si>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</si>
  <si>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</si>
  <si>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</si>
  <si>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</si>
  <si>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</si>
  <si>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</si>
  <si>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</si>
  <si>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</si>
  <si>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</si>
  <si>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</si>
  <si>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</si>
  <si>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</si>
  <si>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</si>
  <si>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</si>
  <si>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</si>
  <si>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</si>
  <si>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</si>
  <si>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</si>
  <si>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</si>
  <si>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</si>
  <si>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</si>
  <si>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</si>
  <si>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</si>
  <si>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</si>
  <si>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</si>
  <si>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</si>
  <si>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</si>
  <si>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</si>
  <si>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</si>
  <si>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</si>
  <si>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</si>
  <si>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</si>
  <si>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</si>
  <si>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</si>
  <si>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</si>
  <si>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</si>
  <si>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</si>
  <si>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</si>
  <si>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</si>
  <si>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</si>
  <si>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</si>
  <si>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</si>
  <si>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</si>
  <si>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</si>
  <si>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</si>
  <si>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</si>
  <si>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</si>
  <si>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</si>
  <si>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</si>
  <si>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</si>
  <si>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</si>
  <si>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</si>
  <si>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</si>
  <si>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</si>
  <si>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</si>
  <si>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</si>
  <si>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</si>
  <si>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</si>
  <si>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</si>
  <si>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</si>
  <si>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</si>
  <si>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</si>
  <si>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</si>
  <si>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</si>
  <si>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</si>
  <si>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</si>
  <si>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</si>
  <si>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</si>
  <si>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</si>
  <si>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</si>
  <si>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</si>
  <si>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</si>
  <si>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</si>
  <si>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</si>
  <si>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</si>
  <si>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</si>
  <si>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</si>
  <si>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</si>
  <si>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</si>
  <si>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</si>
  <si>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</si>
  <si>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</si>
  <si>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</si>
  <si>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</si>
  <si>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</si>
  <si>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</si>
  <si>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</si>
  <si>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</si>
  <si>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</si>
  <si>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</si>
  <si>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</si>
  <si>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</si>
  <si>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</si>
  <si>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</si>
  <si>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</si>
  <si>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</si>
  <si>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</si>
  <si>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</si>
  <si>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</si>
  <si>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</si>
  <si>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</si>
  <si>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</si>
  <si>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</si>
  <si>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</si>
  <si>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</si>
  <si>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</si>
  <si>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</si>
  <si>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</si>
  <si>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</si>
  <si>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</si>
  <si>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</si>
  <si>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</si>
  <si>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</si>
  <si>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</si>
  <si>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</si>
  <si>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</si>
  <si>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</si>
  <si>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</si>
  <si>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</si>
  <si>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</si>
  <si>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</si>
  <si>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</si>
  <si>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</si>
  <si>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</si>
  <si>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</si>
  <si>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</si>
  <si>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</si>
  <si>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</si>
  <si>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</si>
  <si>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</si>
  <si>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</si>
  <si>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</si>
  <si>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</si>
  <si>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</si>
  <si>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</si>
  <si>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</si>
  <si>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</si>
  <si>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</si>
  <si>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</si>
  <si>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</si>
  <si>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</si>
  <si>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</si>
  <si>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</si>
  <si>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</si>
  <si>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</si>
  <si>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</si>
  <si>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</si>
  <si>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</si>
  <si>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</si>
  <si>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</si>
  <si>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</si>
  <si>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</si>
  <si>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</si>
  <si>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</si>
  <si>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</si>
  <si>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</si>
  <si>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</si>
  <si>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</si>
  <si>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</si>
  <si>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</si>
  <si>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</si>
  <si>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</si>
  <si>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</si>
  <si>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</si>
  <si>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</si>
  <si>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</si>
  <si>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</si>
  <si>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</si>
  <si>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</si>
  <si>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</si>
  <si>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</si>
  <si>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</si>
  <si>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</si>
  <si>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</si>
  <si>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</si>
  <si>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</si>
  <si>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</si>
  <si>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</si>
  <si>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</si>
  <si>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</si>
  <si>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</si>
  <si>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</si>
  <si>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</si>
  <si>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</si>
  <si>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</si>
  <si>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</si>
  <si>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</si>
  <si>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</si>
  <si>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</si>
  <si>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</si>
  <si>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</si>
  <si>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</si>
  <si>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</si>
  <si>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</si>
  <si>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</si>
  <si>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</si>
  <si>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</si>
  <si>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</si>
  <si>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</si>
  <si>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</si>
  <si>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</si>
  <si>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</si>
  <si>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</si>
  <si>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</si>
  <si>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</si>
  <si>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</si>
  <si>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</si>
  <si>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</si>
  <si>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</si>
  <si>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</si>
  <si>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</si>
  <si>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</si>
  <si>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</si>
  <si>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</si>
  <si>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</si>
  <si>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</si>
  <si>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</si>
  <si>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</si>
  <si>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</si>
  <si>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</si>
  <si>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</si>
  <si>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</si>
  <si>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</si>
  <si>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</si>
  <si>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</si>
  <si>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</si>
  <si>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</si>
  <si>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</si>
  <si>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</si>
  <si>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</si>
  <si>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</si>
  <si>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</si>
  <si>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</si>
  <si>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</si>
  <si>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</si>
  <si>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</si>
  <si>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</si>
  <si>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</si>
  <si>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</si>
  <si>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</si>
  <si>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</si>
  <si>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</si>
  <si>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</si>
  <si>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</si>
  <si>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</si>
  <si>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</si>
  <si>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</si>
  <si>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</si>
  <si>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</si>
  <si>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</si>
  <si>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</si>
  <si>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</si>
  <si>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</si>
  <si>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</si>
  <si>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</si>
  <si>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</si>
  <si>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</si>
  <si>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</si>
  <si>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</si>
  <si>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</si>
  <si>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</si>
  <si>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</si>
  <si>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</si>
  <si>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</si>
  <si>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</si>
  <si>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</si>
  <si>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</si>
  <si>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</si>
  <si>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</si>
  <si>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</si>
  <si>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</si>
  <si>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</si>
  <si>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</si>
  <si>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</si>
  <si>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</si>
  <si>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</si>
  <si>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</si>
  <si>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</si>
  <si>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</si>
  <si>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</si>
  <si>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</si>
  <si>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</si>
  <si>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</si>
  <si>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</si>
  <si>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</si>
  <si>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</si>
  <si>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</si>
  <si>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</si>
  <si>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</si>
  <si>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</si>
  <si>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</si>
  <si>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</si>
  <si>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</si>
  <si>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</si>
  <si>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</si>
  <si>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</si>
  <si>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</si>
  <si>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</si>
  <si>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</si>
  <si>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</si>
  <si>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</si>
  <si>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</si>
  <si>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</si>
  <si>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</si>
  <si>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</si>
  <si>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</si>
  <si>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</si>
  <si>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</si>
  <si>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</si>
  <si>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</si>
  <si>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</si>
  <si>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</si>
  <si>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</si>
  <si>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</si>
  <si>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</si>
  <si>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</si>
  <si>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</si>
  <si>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</si>
  <si>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</si>
  <si>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</si>
  <si>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</si>
  <si>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</si>
  <si>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</si>
  <si>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</si>
  <si>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</si>
  <si>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</si>
  <si>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</si>
  <si>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</si>
  <si>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</si>
  <si>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</si>
  <si>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</si>
  <si>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</si>
  <si>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</si>
  <si>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</si>
  <si>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</si>
  <si>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</si>
  <si>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</si>
  <si>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</si>
  <si>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</si>
  <si>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</si>
  <si>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</si>
  <si>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</si>
  <si>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</si>
  <si>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</si>
  <si>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</si>
  <si>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</si>
  <si>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</si>
  <si>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</si>
  <si>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</si>
  <si>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</si>
  <si>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</si>
  <si>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</si>
  <si>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</si>
  <si>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</si>
  <si>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</si>
  <si>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</si>
  <si>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</si>
  <si>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</si>
  <si>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</si>
  <si>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</si>
  <si>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</si>
  <si>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</si>
  <si>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</si>
  <si>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</si>
  <si>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</si>
  <si>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</si>
  <si>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</si>
  <si>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</si>
  <si>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</si>
  <si>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</si>
  <si>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</si>
  <si>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</si>
  <si>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</si>
  <si>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</si>
  <si>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</si>
  <si>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</si>
  <si>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</si>
  <si>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</si>
  <si>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</si>
  <si>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</si>
  <si>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</si>
  <si>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</si>
  <si>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</si>
  <si>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</si>
  <si>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</si>
  <si>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</si>
  <si>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</si>
  <si>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</si>
  <si>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</si>
  <si>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</si>
  <si>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</si>
  <si>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</si>
  <si>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</si>
  <si>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</si>
  <si>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</si>
  <si>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</si>
  <si>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</si>
  <si>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</si>
  <si>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</si>
  <si>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</si>
  <si>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</si>
  <si>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</si>
  <si>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</si>
  <si>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</si>
  <si>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</si>
  <si>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</si>
  <si>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</si>
  <si>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</si>
  <si>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</si>
  <si>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</si>
  <si>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</si>
  <si>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</si>
  <si>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</si>
  <si>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</si>
  <si>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</si>
  <si>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</si>
  <si>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</si>
  <si>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</si>
  <si>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</si>
  <si>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</si>
  <si>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</si>
  <si>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</si>
  <si>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</si>
  <si>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</si>
  <si>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</si>
  <si>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</si>
  <si>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</si>
  <si>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</si>
  <si>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</si>
  <si>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</si>
  <si>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</si>
  <si>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</si>
  <si>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</si>
  <si>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</si>
  <si>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</si>
  <si>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</si>
  <si>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</si>
  <si>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</si>
  <si>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</si>
  <si>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</si>
  <si>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</si>
  <si>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</si>
  <si>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</si>
  <si>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</si>
  <si>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</si>
  <si>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</si>
  <si>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</si>
  <si>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</si>
  <si>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</si>
  <si>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</si>
  <si>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</si>
  <si>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</si>
  <si>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</si>
  <si>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</si>
  <si>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</si>
  <si>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</si>
  <si>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</si>
  <si>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</si>
  <si>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</si>
  <si>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</si>
  <si>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</si>
  <si>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</si>
  <si>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</si>
  <si>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</si>
  <si>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</si>
  <si>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</si>
  <si>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</si>
  <si>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</si>
  <si>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</si>
  <si>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</si>
  <si>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</si>
  <si>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</si>
  <si>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</si>
  <si>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</si>
  <si>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</si>
  <si>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</si>
  <si>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</si>
  <si>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</si>
  <si>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</si>
  <si>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</si>
  <si>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</si>
  <si>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</si>
  <si>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</si>
  <si>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</si>
  <si>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</si>
  <si>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</si>
  <si>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</si>
  <si>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</si>
  <si>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</si>
  <si>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</si>
  <si>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</si>
  <si>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</si>
  <si>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</si>
  <si>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</si>
  <si>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</si>
  <si>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</si>
  <si>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</si>
  <si>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</si>
  <si>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</si>
  <si>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</si>
  <si>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</si>
  <si>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</si>
  <si>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</si>
  <si>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</si>
  <si>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</si>
  <si>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</si>
  <si>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</si>
  <si>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</si>
  <si>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</si>
  <si>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</si>
  <si>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</si>
  <si>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</si>
  <si>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</si>
  <si>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</si>
  <si>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</si>
  <si>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</si>
  <si>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</si>
  <si>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</si>
  <si>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</si>
  <si>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</si>
  <si>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</si>
  <si>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</si>
  <si>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</si>
  <si>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</si>
  <si>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</si>
  <si>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</si>
  <si>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</si>
  <si>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</si>
  <si>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</si>
  <si>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</si>
  <si>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</si>
  <si>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</si>
  <si>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</si>
  <si>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</si>
  <si>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</si>
  <si>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</si>
  <si>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</si>
  <si>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</si>
  <si>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</si>
  <si>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</si>
  <si>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</si>
  <si>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</si>
  <si>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</si>
  <si>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</si>
  <si>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</si>
  <si>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</si>
  <si>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</si>
  <si>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</si>
  <si>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</si>
  <si>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</si>
  <si>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</si>
  <si>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</si>
  <si>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</si>
  <si>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</si>
  <si>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</si>
  <si>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</si>
  <si>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</si>
  <si>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</si>
  <si>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</si>
  <si>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</si>
  <si>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</si>
  <si>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</si>
  <si>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</si>
  <si>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</si>
  <si>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</si>
  <si>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</si>
  <si>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</si>
  <si>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</si>
  <si>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</si>
  <si>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</si>
  <si>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</si>
  <si>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</si>
  <si>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</si>
  <si>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</si>
  <si>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</si>
  <si>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</si>
  <si>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</si>
  <si>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</si>
  <si>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</si>
  <si>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</si>
  <si>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</si>
  <si>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</si>
  <si>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</si>
  <si>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</si>
  <si>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</si>
  <si>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</si>
  <si>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</si>
  <si>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</si>
  <si>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</si>
  <si>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</si>
  <si>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</si>
  <si>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</si>
  <si>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</si>
  <si>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</si>
  <si>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</si>
  <si>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</si>
  <si>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</si>
  <si>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</si>
  <si>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</si>
  <si>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</si>
  <si>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</si>
  <si>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</si>
  <si>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</si>
  <si>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</si>
  <si>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</si>
  <si>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</si>
  <si>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</si>
  <si>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</si>
  <si>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</si>
  <si>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</si>
  <si>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</si>
  <si>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</si>
  <si>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</si>
  <si>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</si>
  <si>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</si>
  <si>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</si>
  <si>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</si>
  <si>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</si>
  <si>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</si>
  <si>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</si>
  <si>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</si>
  <si>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</si>
  <si>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</si>
  <si>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</si>
  <si>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</si>
  <si>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</si>
  <si>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</si>
  <si>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</si>
  <si>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</si>
  <si>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</si>
  <si>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</si>
  <si>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</si>
  <si>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</si>
  <si>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</si>
  <si>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</si>
  <si>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</si>
  <si>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</si>
  <si>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</si>
  <si>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</si>
  <si>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</si>
  <si>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</si>
  <si>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</si>
  <si>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</si>
  <si>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</si>
  <si>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</si>
  <si>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</si>
  <si>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</si>
  <si>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</si>
  <si>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</si>
  <si>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</si>
  <si>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</si>
  <si>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</si>
  <si>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</si>
  <si>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</si>
  <si>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</si>
  <si>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</si>
  <si>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</si>
  <si>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</si>
  <si>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</si>
  <si>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</si>
  <si>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</si>
  <si>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</si>
  <si>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</si>
  <si>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</si>
  <si>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</si>
  <si>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</si>
  <si>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</si>
  <si>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</si>
  <si>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</si>
  <si>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</si>
  <si>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</si>
  <si>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</si>
  <si>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</si>
  <si>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</si>
  <si>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</si>
  <si>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</si>
  <si>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</si>
  <si>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</si>
  <si>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</si>
  <si>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</si>
  <si>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</si>
  <si>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</si>
  <si>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</si>
  <si>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</si>
  <si>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</si>
  <si>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</si>
  <si>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</si>
  <si>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Oakland Athletics</t>
  </si>
  <si>
    <t>Atlanta Braves</t>
  </si>
  <si>
    <t>100% полиэстер</t>
  </si>
  <si>
    <t>65% полиэстер - 35% хлопок</t>
  </si>
  <si>
    <t>Pittsburgh Pirates</t>
  </si>
  <si>
    <t>EPL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</si>
  <si>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</si>
  <si>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</si>
  <si>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</si>
  <si>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</si>
  <si>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</si>
  <si>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</si>
  <si>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</si>
  <si>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</si>
  <si>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</si>
  <si>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</si>
  <si>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</si>
  <si>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</si>
  <si>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</si>
  <si>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</si>
  <si>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</si>
  <si>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</si>
  <si>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</si>
  <si>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</si>
  <si>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</si>
  <si>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</si>
  <si>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</si>
  <si>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</si>
  <si>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</si>
  <si>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</si>
  <si>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</si>
  <si>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</si>
  <si>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</si>
  <si>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</si>
  <si>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</si>
  <si>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</si>
  <si>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</si>
  <si>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</si>
  <si>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</si>
  <si>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</si>
  <si>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</si>
  <si>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</si>
  <si>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</si>
  <si>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</si>
  <si>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</si>
  <si>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</si>
  <si>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</si>
  <si>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</si>
  <si>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</si>
  <si>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</si>
  <si>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</si>
  <si>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</si>
  <si>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</si>
  <si>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</si>
  <si>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</si>
  <si>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</si>
  <si>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</si>
  <si>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</si>
  <si>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</si>
  <si>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</si>
  <si>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</si>
  <si>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</si>
  <si>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</si>
  <si>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</si>
  <si>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</si>
  <si>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</si>
  <si>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</si>
  <si>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</si>
  <si>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</si>
  <si>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</si>
  <si>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</si>
  <si>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</si>
  <si>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</si>
  <si>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</si>
  <si>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</si>
  <si>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</si>
  <si>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</si>
  <si>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</si>
  <si>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</si>
  <si>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</si>
  <si>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</si>
  <si>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</si>
  <si>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</si>
  <si>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</si>
  <si>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</si>
  <si>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</si>
  <si>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</si>
  <si>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</si>
  <si>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</si>
  <si>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</si>
  <si>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</si>
  <si>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</si>
  <si>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</si>
  <si>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</si>
  <si>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</si>
  <si>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</si>
  <si>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</si>
  <si>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</si>
  <si>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</si>
  <si>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</si>
  <si>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</si>
  <si>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</si>
  <si>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</si>
  <si>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</si>
  <si>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</si>
  <si>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</si>
  <si>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</si>
  <si>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</si>
  <si>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</si>
  <si>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</si>
  <si>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</si>
  <si>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</si>
  <si>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</si>
  <si>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</si>
  <si>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</si>
  <si>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</si>
  <si>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</si>
  <si>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</si>
  <si>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</si>
  <si>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</si>
  <si>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</si>
  <si>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</si>
  <si>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</si>
  <si>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</si>
  <si>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</si>
  <si>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</si>
  <si>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</si>
  <si>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</si>
  <si>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</si>
  <si>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</si>
  <si>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</si>
  <si>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</si>
  <si>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</si>
  <si>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</si>
  <si>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</si>
  <si>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</si>
  <si>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</si>
  <si>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</si>
  <si>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</si>
  <si>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</si>
  <si>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</si>
  <si>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</si>
  <si>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</si>
  <si>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</si>
  <si>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</si>
  <si>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</si>
  <si>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</si>
  <si>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</si>
  <si>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</si>
  <si>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</si>
  <si>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</si>
  <si>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</si>
  <si>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</si>
  <si>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</si>
  <si>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</si>
  <si>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</si>
  <si>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</si>
  <si>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</si>
  <si>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</si>
  <si>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</si>
  <si>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</si>
  <si>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</si>
  <si>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</si>
  <si>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</si>
  <si>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</si>
  <si>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</si>
  <si>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</si>
  <si>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</si>
  <si>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</si>
  <si>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</si>
  <si>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</si>
  <si>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</si>
  <si>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</si>
  <si>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</si>
  <si>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</si>
  <si>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</si>
  <si>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</si>
  <si>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</si>
  <si>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</si>
  <si>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</si>
  <si>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</si>
  <si>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</si>
  <si>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</si>
  <si>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</si>
  <si>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</si>
  <si>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</si>
  <si>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</si>
  <si>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</si>
  <si>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</si>
  <si>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</si>
  <si>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</si>
  <si>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</si>
  <si>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</si>
  <si>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</si>
  <si>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</si>
  <si>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</si>
  <si>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</si>
  <si>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</si>
  <si>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</si>
  <si>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</si>
  <si>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</si>
  <si>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</si>
  <si>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</si>
  <si>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</si>
  <si>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</si>
  <si>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</si>
  <si>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</si>
  <si>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</si>
  <si>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</si>
  <si>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</si>
  <si>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</si>
  <si>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</si>
  <si>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</si>
  <si>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</si>
  <si>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</si>
  <si>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</si>
  <si>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</si>
  <si>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</si>
  <si>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</si>
  <si>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</si>
  <si>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</si>
  <si>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</si>
  <si>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</si>
  <si>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</si>
  <si>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</si>
  <si>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</si>
  <si>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</si>
  <si>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</si>
  <si>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</si>
  <si>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</si>
  <si>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</si>
  <si>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</si>
  <si>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</si>
  <si>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</si>
  <si>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</si>
  <si>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</si>
  <si>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</si>
  <si>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</si>
  <si>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</si>
  <si>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</si>
  <si>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96-146-19-59</t>
  </si>
  <si>
    <t>Панама NEW ERA арт. 60222553 (светло-синий) {irf}</t>
  </si>
  <si>
    <t>59 L</t>
  </si>
  <si>
    <t>96-146-19-57</t>
  </si>
  <si>
    <t>57 M</t>
  </si>
  <si>
    <t>96-145-09-00</t>
  </si>
  <si>
    <t>Бейсболка NEW ERA арт. 60222551 (черный) {blk}</t>
  </si>
  <si>
    <t>96-144-01-59</t>
  </si>
  <si>
    <t>Панама NEW ERA арт. 60222506 New York Yankees (светло-серый) {gra}</t>
  </si>
  <si>
    <t>60222506 New York Yankees</t>
  </si>
  <si>
    <t>96-144-01-55</t>
  </si>
  <si>
    <t>55 S</t>
  </si>
  <si>
    <t>96-143-09-59</t>
  </si>
  <si>
    <t>Панама NEW ERA арт. 60222505 Chicago Bulls (черный) {blk}</t>
  </si>
  <si>
    <t>60222505 Chicago Bulls</t>
  </si>
  <si>
    <t>96-142-34-59</t>
  </si>
  <si>
    <t>Панама NEW ERA арт. 60222498 (розовый) {bsk}</t>
  </si>
  <si>
    <t>bsk</t>
  </si>
  <si>
    <t>96-142-34-57</t>
  </si>
  <si>
    <t>96-141-80-00</t>
  </si>
  <si>
    <t>Бейсболка NEW ERA арт. 60222489 Los Angeles Lakers (серый) {gra}</t>
  </si>
  <si>
    <t>60222489 Los Angeles Lakers</t>
  </si>
  <si>
    <t>96-140-09-00</t>
  </si>
  <si>
    <t>Бейсболка NEW ERA арт. 60222488 New York Yankees (черный) {nvy}</t>
  </si>
  <si>
    <t>60222488 New York Yankees</t>
  </si>
  <si>
    <t>96-139-34-59</t>
  </si>
  <si>
    <t>Панама NEW ERA арт. 60222449 (розовый) {pnk}</t>
  </si>
  <si>
    <t>96-139-34-57</t>
  </si>
  <si>
    <t>96-139-34-55</t>
  </si>
  <si>
    <t>96-138-34-00</t>
  </si>
  <si>
    <t>Бейсболка NEW ERA арт. 60222405 New York Yankees (розовый) {plm}</t>
  </si>
  <si>
    <t>60222405 New York Yankees</t>
  </si>
  <si>
    <t>96-137-80-59</t>
  </si>
  <si>
    <t>Панама NEW ERA арт. 60222382 (серый) {grp}</t>
  </si>
  <si>
    <t>grp</t>
  </si>
  <si>
    <t>96-137-80-57</t>
  </si>
  <si>
    <t>96-137-80-55</t>
  </si>
  <si>
    <t>96-136-18-00</t>
  </si>
  <si>
    <t>Бейсболка NEW ERA арт. 60222375 (красный) {car}</t>
  </si>
  <si>
    <t>car</t>
  </si>
  <si>
    <t>96-135-09-59</t>
  </si>
  <si>
    <t>Панама NEW ERA арт. 60222332 (черный) {blk}</t>
  </si>
  <si>
    <t>96-135-09-57</t>
  </si>
  <si>
    <t>96-135-09-55</t>
  </si>
  <si>
    <t>96-134-09-57</t>
  </si>
  <si>
    <t>Панама NEW ERA арт. 60222327 (черный) {blk}</t>
  </si>
  <si>
    <t>96-133-16-59</t>
  </si>
  <si>
    <t>Панама NEW ERA арт. 60222310 New York Yankees (темно-синий) {nvy}</t>
  </si>
  <si>
    <t>60222310 New York Yankees</t>
  </si>
  <si>
    <t>96-133-16-55</t>
  </si>
  <si>
    <t>96-132-07-00</t>
  </si>
  <si>
    <t>Бейсболка NEW ERA арт. 60222258 (темно-зеленый) {dkg}</t>
  </si>
  <si>
    <t>dkg</t>
  </si>
  <si>
    <t>96-131-00-59</t>
  </si>
  <si>
    <t>Панама NEW ERA арт. 60222255 (камуфляж / белый) {urc}</t>
  </si>
  <si>
    <t>urc</t>
  </si>
  <si>
    <t>96-131-00-57</t>
  </si>
  <si>
    <t>96-131-00-55</t>
  </si>
  <si>
    <t>96-130-06-59</t>
  </si>
  <si>
    <t>Панама NEW ERA арт. 60222249 (синий) {atb}</t>
  </si>
  <si>
    <t>96-130-06-57</t>
  </si>
  <si>
    <t>96-130-06-55</t>
  </si>
  <si>
    <t>96-129-17-59</t>
  </si>
  <si>
    <t>Панама NEW ERA арт. 60222227 (белый) {stn}</t>
  </si>
  <si>
    <t>stn</t>
  </si>
  <si>
    <t>96-129-17-57</t>
  </si>
  <si>
    <t>96-128-03-59</t>
  </si>
  <si>
    <t>Панама NEW ERA арт. 60222226 (оливковый) {nov}</t>
  </si>
  <si>
    <t>96-128-03-57</t>
  </si>
  <si>
    <t>96-128-03-55</t>
  </si>
  <si>
    <t>96-127-09-00</t>
  </si>
  <si>
    <t>Бейсболка NEW ERA арт. 60221462 Manchester United (черный) {blk}</t>
  </si>
  <si>
    <t>60221462 Manchester United</t>
  </si>
  <si>
    <t>Manchester United</t>
  </si>
  <si>
    <t>96-126-16-00</t>
  </si>
  <si>
    <t>Бейсболка NEW ERA арт. 60179011 Crystal Palace EPL (темно-синий) {nvy}</t>
  </si>
  <si>
    <t>60179011 Crystal Palace EPL</t>
  </si>
  <si>
    <t>Crystal Palace</t>
  </si>
  <si>
    <t>96-125-80-00</t>
  </si>
  <si>
    <t>Шапка NEW ERA арт. 60144011 (серый) {grp}</t>
  </si>
  <si>
    <t>100% акрил</t>
  </si>
  <si>
    <t>96-124-01-00</t>
  </si>
  <si>
    <t>Шапка NEW ERA арт. 60144009 (бирюзовый) {blu}</t>
  </si>
  <si>
    <t>blu</t>
  </si>
  <si>
    <t>96-123-16-00</t>
  </si>
  <si>
    <t>Шапка NEW ERA арт. 60143425 Tottenham Hotspur EPL (темно-синий) {lnv}</t>
  </si>
  <si>
    <t>60143425 Tottenham Hotspur EPL</t>
  </si>
  <si>
    <t>Tottenham Hotspur</t>
  </si>
  <si>
    <t>lnv</t>
  </si>
  <si>
    <t>96-122-17-00</t>
  </si>
  <si>
    <t>Бейсболка NEW ERA арт. 60143421 Tottenham Hotspur EPL (белый) {whi}</t>
  </si>
  <si>
    <t>60143421 Tottenham Hotspur EPL</t>
  </si>
  <si>
    <t>96-121-72-00</t>
  </si>
  <si>
    <t>Шапка NEW ERA арт. 60143408 Manchester United (черный / красный) {blksca}</t>
  </si>
  <si>
    <t>60143408 Manchester United</t>
  </si>
  <si>
    <t>blksca</t>
  </si>
  <si>
    <t>96-120-72-00</t>
  </si>
  <si>
    <t>Бейсболка NEW ERA арт. 60143400 Manchester United (черный / красный) {nvy}</t>
  </si>
  <si>
    <t>60143400 Manchester United</t>
  </si>
  <si>
    <t>96-119-18-00</t>
  </si>
  <si>
    <t>Шапка NEW ERA арт. 60143394 Manchester United (красный) {blksca}</t>
  </si>
  <si>
    <t>60143394 Manchester United</t>
  </si>
  <si>
    <t>96-118-80-00</t>
  </si>
  <si>
    <t>Шапка NEW ERA арт. 60143393 Manchester United (серый) {grablk}</t>
  </si>
  <si>
    <t>60143393 Manchester United</t>
  </si>
  <si>
    <t>grablk</t>
  </si>
  <si>
    <t>96-117-18-00</t>
  </si>
  <si>
    <t>Бейсболка NEW ERA арт. 60143391 Manchester United (красный) {sca}</t>
  </si>
  <si>
    <t>60143391 Manchester United</t>
  </si>
  <si>
    <t>81% хлопок - 19% вискоза</t>
  </si>
  <si>
    <t>sca</t>
  </si>
  <si>
    <t>96-116-09-00</t>
  </si>
  <si>
    <t>Бейсболка NEW ERA арт. 60143388 Manchester United (черный) {blk}</t>
  </si>
  <si>
    <t>60143388 Manchester United</t>
  </si>
  <si>
    <t>96-115-09-00</t>
  </si>
  <si>
    <t>Бейсболка NEW ERA арт. 60143387 Manchester United (черный) {blk}</t>
  </si>
  <si>
    <t>60143387 Manchester United</t>
  </si>
  <si>
    <t>96-114-18-00</t>
  </si>
  <si>
    <t>Бейсболка NEW ERA арт. 60143386 Manchester United (красный) {sca}</t>
  </si>
  <si>
    <t>60143386 Manchester United</t>
  </si>
  <si>
    <t>96-113-06-00</t>
  </si>
  <si>
    <t>Бейсболка NEW ERA арт. 60143379 Chelsea (синий) {cab}</t>
  </si>
  <si>
    <t>60143379 Chelsea</t>
  </si>
  <si>
    <t>Chelsea</t>
  </si>
  <si>
    <t>cab</t>
  </si>
  <si>
    <t>96-112-06-00</t>
  </si>
  <si>
    <t>Бейсболка NEW ERA арт. 60143369 Chelsea (синий) {whi}</t>
  </si>
  <si>
    <t>60143369 Chelsea</t>
  </si>
  <si>
    <t>96-111-06-00</t>
  </si>
  <si>
    <t>Шапка NEW ERA арт. 60143365 Chelsea (синий) {cab}</t>
  </si>
  <si>
    <t>60143365 Chelsea</t>
  </si>
  <si>
    <t>96-110-06-00</t>
  </si>
  <si>
    <t>Шапка NEW ERA арт. 60143362 Chelsea (синий) {lnv}</t>
  </si>
  <si>
    <t>60143362 Chelsea</t>
  </si>
  <si>
    <t>96-109-11-00</t>
  </si>
  <si>
    <t>Бейсболка NEW ERA арт. 60142978 FA Ireland (зеленый) {ltckgr}</t>
  </si>
  <si>
    <t>60142978 FA Ireland</t>
  </si>
  <si>
    <t>UEFA</t>
  </si>
  <si>
    <t>Fa Ireland</t>
  </si>
  <si>
    <t>ltckgr</t>
  </si>
  <si>
    <t>96-108-06-00</t>
  </si>
  <si>
    <t>Бейсболка NEW ERA арт. 60142926 Atletico Madrid LaLiga (синий) {drywhi}</t>
  </si>
  <si>
    <t>60142926 Atletico Madrid LaLiga</t>
  </si>
  <si>
    <t>LaLiga</t>
  </si>
  <si>
    <t>Atletico Madrid</t>
  </si>
  <si>
    <t>drywhi</t>
  </si>
  <si>
    <t>96-107-14-00</t>
  </si>
  <si>
    <t>Шапка NEW ERA арт. 60141873 New York Yankees (коричневый) {wht}</t>
  </si>
  <si>
    <t>60141873 New York Yankees</t>
  </si>
  <si>
    <t>96-106-12-00</t>
  </si>
  <si>
    <t>Шапка NEW ERA арт. 60141872 New York Yankees (бордовый) {mrn}</t>
  </si>
  <si>
    <t>60141872 New York Yankees</t>
  </si>
  <si>
    <t>mrn</t>
  </si>
  <si>
    <t>96-105-09-00</t>
  </si>
  <si>
    <t>Шапка NEW ERA арт. 60141714 New York Yankees (черный) {blktel}</t>
  </si>
  <si>
    <t>60141714 New York Yankees</t>
  </si>
  <si>
    <t>blktel</t>
  </si>
  <si>
    <t>96-104-09-00</t>
  </si>
  <si>
    <t>Шапка NEW ERA арт. 60141713 New York Yankees (черный) {blkfur}</t>
  </si>
  <si>
    <t>60141713 New York Yankees</t>
  </si>
  <si>
    <t>blkfur</t>
  </si>
  <si>
    <t>96-103-02-00</t>
  </si>
  <si>
    <t>Шапка NEW ERA арт. 60141694 New York Yankees (песочный) {stn}</t>
  </si>
  <si>
    <t>60141694 New York Yankees</t>
  </si>
  <si>
    <t>96-102-03-00</t>
  </si>
  <si>
    <t>Шапка NEW ERA арт. 60141650 (оливковый) {nov}</t>
  </si>
  <si>
    <t>96-101-06-00</t>
  </si>
  <si>
    <t>Шапка NEW ERA арт. 60141649 (синий) {ind}</t>
  </si>
  <si>
    <t>ind</t>
  </si>
  <si>
    <t>96-100-13-00</t>
  </si>
  <si>
    <t>Шапка NEW ERA арт. 60141613 (оранжевый) {org}</t>
  </si>
  <si>
    <t>org</t>
  </si>
  <si>
    <t>96-099-80-00</t>
  </si>
  <si>
    <t>Шапка NEW ERA арт. 60141518 Los Angeles Lakers (серый) {gra}</t>
  </si>
  <si>
    <t>60141518 Los Angeles Lakers</t>
  </si>
  <si>
    <t>96-098-09-59</t>
  </si>
  <si>
    <t>Панама NEW ERA арт. 60141477 (черный) {blk}</t>
  </si>
  <si>
    <t>96-098-09-57</t>
  </si>
  <si>
    <t>96-098-09-55</t>
  </si>
  <si>
    <t>96-097-18-58</t>
  </si>
  <si>
    <t>Бейсболка NEW ERA арт. 60137572 Chicago Bulls (красный) {fdr}</t>
  </si>
  <si>
    <t>60137572 Chicago Bulls</t>
  </si>
  <si>
    <t>97% хлопок - 3% эластан</t>
  </si>
  <si>
    <t>96-097-18-56</t>
  </si>
  <si>
    <t>96-096-41-58</t>
  </si>
  <si>
    <t>Бейсболка NEW ERA арт. 60137571 Los Angeles Lakers (фиолетовый) {trp}</t>
  </si>
  <si>
    <t>60137571 Los Angeles Lakers</t>
  </si>
  <si>
    <t>trp</t>
  </si>
  <si>
    <t>96-096-41-56</t>
  </si>
  <si>
    <t>96-095-09-60</t>
  </si>
  <si>
    <t>Бейсболка NEW ERA арт. 60137527 New York Yankees (черный) {nvysca}</t>
  </si>
  <si>
    <t>60 L/XL</t>
  </si>
  <si>
    <t>60137527 New York Yankees</t>
  </si>
  <si>
    <t>nvysca</t>
  </si>
  <si>
    <t>96-094-09-58</t>
  </si>
  <si>
    <t>Бейсболка NEW ERA арт. 60137517 Las Vegas Raiders (черный) {blk}</t>
  </si>
  <si>
    <t>60137517 Las Vegas Raiders</t>
  </si>
  <si>
    <t>96-094-09-56</t>
  </si>
  <si>
    <t>96-093-06-58</t>
  </si>
  <si>
    <t>Бейсболка NEW ERA арт. 60137461 Los Angeles Dodgers (синий) {cdt}</t>
  </si>
  <si>
    <t>60137461 Los Angeles Dodgers</t>
  </si>
  <si>
    <t>cdt</t>
  </si>
  <si>
    <t>96-093-06-56</t>
  </si>
  <si>
    <t>96-092-80-00</t>
  </si>
  <si>
    <t>Шапка NEW ERA арт. 60102842 Chicago Bulls (серый) {otc}</t>
  </si>
  <si>
    <t>60102842 Chicago Bulls</t>
  </si>
  <si>
    <t>otc</t>
  </si>
  <si>
    <t>96-091-05-00</t>
  </si>
  <si>
    <t>Шапка NEW ERA арт. 60102809 Miami Heat (темно-серый) {otc}</t>
  </si>
  <si>
    <t>60102809 Miami Heat</t>
  </si>
  <si>
    <t>Miami Heat</t>
  </si>
  <si>
    <t>96-090-80-00</t>
  </si>
  <si>
    <t>Шапка NEW ERA арт. 60102707 Brooklyn Nets (серый) {otc}</t>
  </si>
  <si>
    <t>60102707 Brooklyn Nets</t>
  </si>
  <si>
    <t>Brooklyn Nets</t>
  </si>
  <si>
    <t>96-089-80-00</t>
  </si>
  <si>
    <t>Шапка NEW ERA арт. 60102591 Los Angeles Clippers (черный) {otc}</t>
  </si>
  <si>
    <t>60102591 Los Angeles Clippers</t>
  </si>
  <si>
    <t>Los Angeles Clippers</t>
  </si>
  <si>
    <t>96-088-09-00</t>
  </si>
  <si>
    <t>Бейсболка NEW ERA арт. 12881461 (черный) {blk}</t>
  </si>
  <si>
    <t>96-087-17-00</t>
  </si>
  <si>
    <t>Бейсболка NEW ERA арт. 12573358 (белый) {whi}</t>
  </si>
  <si>
    <t>96-086-12-60</t>
  </si>
  <si>
    <t>Бейсболка NEW ERA арт. 12523908 New York Yankees (бордовый) {mrnwhi}</t>
  </si>
  <si>
    <t>12523908 New York Yankees</t>
  </si>
  <si>
    <t>mrnwhi</t>
  </si>
  <si>
    <t>96-085-80-00</t>
  </si>
  <si>
    <t>Бейсболка NEW ERA арт. 12523896 New York Yankees (серый) {grhwhi}</t>
  </si>
  <si>
    <t>12523896 New York Yankees</t>
  </si>
  <si>
    <t>grhwhi</t>
  </si>
  <si>
    <t>96-084-20-00</t>
  </si>
  <si>
    <t>Шапка NEW ERA арт. 12505780 (желтый) {agd}</t>
  </si>
  <si>
    <t>agd</t>
  </si>
  <si>
    <t>96-083-09-00</t>
  </si>
  <si>
    <t>Шапка NEW ERA арт. 12505779 (черный) {blk}</t>
  </si>
  <si>
    <t>96-082-12-00</t>
  </si>
  <si>
    <t>Шапка NEW ERA арт. 12505772 (бордовый) {mrn}</t>
  </si>
  <si>
    <t>10% хлопок - 10% шерсть - 25% нейлон - 55% акрил</t>
  </si>
  <si>
    <t>96-081-03-00</t>
  </si>
  <si>
    <t>Шапка NEW ERA арт. 12505771 (оливковый) {nov}</t>
  </si>
  <si>
    <t>96-080-80-00</t>
  </si>
  <si>
    <t>Шапка NEW ERA арт. 12505744 Boston Red Sox (синий / красный) {nvysca}</t>
  </si>
  <si>
    <t>12505744 Boston Red Sox</t>
  </si>
  <si>
    <t>96-079-12-00</t>
  </si>
  <si>
    <t>Шапка NEW ERA арт. 12489461 Los Angeles Dodgers (бордовый) {mrn}</t>
  </si>
  <si>
    <t>12489461 Los Angeles Dodgers</t>
  </si>
  <si>
    <t>96-078-09-00</t>
  </si>
  <si>
    <t>Шапка NEW ERA арт. 12489460 New York Yankees (черный) {blk}</t>
  </si>
  <si>
    <t>12489460 New York Yankees</t>
  </si>
  <si>
    <t>96-077-06-00</t>
  </si>
  <si>
    <t>Шапка NEW ERA арт. 12489459 New York Yankees (синий) {nvy}</t>
  </si>
  <si>
    <t>12489459 New York Yankees</t>
  </si>
  <si>
    <t>96-076-06-00</t>
  </si>
  <si>
    <t>Шапка NEW ERA арт. 12489454 Oakland Athletics (синий) {nvy}</t>
  </si>
  <si>
    <t>12489454 Oakland Athletics</t>
  </si>
  <si>
    <t>96-075-34-00</t>
  </si>
  <si>
    <t>Шапка NEW ERA арт. 12489441 (розовый) {pnk}</t>
  </si>
  <si>
    <t>96-074-12-00</t>
  </si>
  <si>
    <t>Шапка NEW ERA арт. 12489435 (бордовый) {burwht}</t>
  </si>
  <si>
    <t>burwht</t>
  </si>
  <si>
    <t>96-073-05-00</t>
  </si>
  <si>
    <t>Шапка NEW ERA арт. 12489434 (темно-серый) {grawht}</t>
  </si>
  <si>
    <t>grawht</t>
  </si>
  <si>
    <t>96-072-00-00</t>
  </si>
  <si>
    <t>Бейсболка NEW ERA арт. 12309046 (камуфляж) {nol}</t>
  </si>
  <si>
    <t>nol</t>
  </si>
  <si>
    <t>96-071-09-00</t>
  </si>
  <si>
    <t>Бейсболка NEW ERA арт. 12292586 Chicago Bulls (черный) {blk}</t>
  </si>
  <si>
    <t>12292586 Chicago Bulls</t>
  </si>
  <si>
    <t>96-070-09-00</t>
  </si>
  <si>
    <t>Бейсболка NEW ERA арт. 12292584 Los Angeles Lakers (черный) {blk}</t>
  </si>
  <si>
    <t>12292584 Los Angeles Lakers</t>
  </si>
  <si>
    <t>96-069-09-56</t>
  </si>
  <si>
    <t>Бейсболка NEW ERA арт. 12285245 Chicago Bulls (черный) {blk}</t>
  </si>
  <si>
    <t>12285245 Chicago Bulls</t>
  </si>
  <si>
    <t>96-068-09-00</t>
  </si>
  <si>
    <t>Бейсболка NEW ERA арт. 12162668 (черный) {blk}</t>
  </si>
  <si>
    <t>96-067-09-00</t>
  </si>
  <si>
    <t>Шапка NEW ERA арт. 12156075 Chicago Bulls (черный) {otc}</t>
  </si>
  <si>
    <t>12156075 Chicago Bulls</t>
  </si>
  <si>
    <t>96-066-09-00</t>
  </si>
  <si>
    <t>Шапка NEW ERA арт. 12122729 New York Yankees (черный) {blkblk}</t>
  </si>
  <si>
    <t>12122729 New York Yankees</t>
  </si>
  <si>
    <t>96-065-06-00</t>
  </si>
  <si>
    <t>Шапка NEW ERA арт. 12033266 Los Angeles Dodgers (синий) {losdod}</t>
  </si>
  <si>
    <t>12033266 Los Angeles Dodgers</t>
  </si>
  <si>
    <t>losdod</t>
  </si>
  <si>
    <t>96-064-09-00</t>
  </si>
  <si>
    <t>Шапка NEW ERA арт. 12033128 (черный) {blk}</t>
  </si>
  <si>
    <t>96-063-09-00</t>
  </si>
  <si>
    <t>Шапка NEW ERA арт. 12033103 (черный) {blk}</t>
  </si>
  <si>
    <t>96-062-03-00</t>
  </si>
  <si>
    <t>Шапка NEW ERA арт. 12033099 (оливковый) {nov}</t>
  </si>
  <si>
    <t>96-061-09-00</t>
  </si>
  <si>
    <t>Шапка NEW ERA арт. 12033078 (черный) {blk}</t>
  </si>
  <si>
    <t>96-060-16-00</t>
  </si>
  <si>
    <t>Шапка NEW ERA арт. 12033074 (темно-синий) {nav}</t>
  </si>
  <si>
    <t>nav</t>
  </si>
  <si>
    <t>96-059-06-00</t>
  </si>
  <si>
    <t>Шапка NEW ERA арт. 11601067 (синий) {hnv}</t>
  </si>
  <si>
    <t>hnv</t>
  </si>
  <si>
    <t>96-058-65-00</t>
  </si>
  <si>
    <t>Шапка NEW ERA арт. 11601006 (темно-синий / серый) {nvygry}</t>
  </si>
  <si>
    <t>nvygry</t>
  </si>
  <si>
    <t>96-057-80-00</t>
  </si>
  <si>
    <t>Шапка NEW ERA арт. 11600974 (серый) {grh}</t>
  </si>
  <si>
    <t>96-056-16-00</t>
  </si>
  <si>
    <t>Шапка NEW ERA арт. 11448333 Seattle Seahawks (темно-синий) {blu}</t>
  </si>
  <si>
    <t>11448333 Seattle Seahawks</t>
  </si>
  <si>
    <t>Seattle Seahawks</t>
  </si>
  <si>
    <t>96-055-08-00</t>
  </si>
  <si>
    <t>Шапка NEW ERA арт. 11448330 Los Angeles Dodgers (серый / бордовый) {otc}</t>
  </si>
  <si>
    <t>11448330 Los Angeles Dodgers</t>
  </si>
  <si>
    <t>96-054-47-00</t>
  </si>
  <si>
    <t>Шапка NEW ERA арт. 11448329 New York Yankees (серый / черный) {otc}</t>
  </si>
  <si>
    <t>11448329 New York Yankees</t>
  </si>
  <si>
    <t>96-053-17-00</t>
  </si>
  <si>
    <t>Бейсболка NEW ERA арт. 11379840 Los Angeles Dodgers (белый) {wht}</t>
  </si>
  <si>
    <t>11379840 Los Angeles Dodgers</t>
  </si>
  <si>
    <t>96-052-75-00</t>
  </si>
  <si>
    <t>Шапка NEW ERA арт. 11277642 (синий / зеленый) {nvyrig}</t>
  </si>
  <si>
    <t>nvyrig</t>
  </si>
  <si>
    <t>96-051-80-58</t>
  </si>
  <si>
    <t>Бейсболка NEW ERA арт. 11179873 (серый) {grawhi}</t>
  </si>
  <si>
    <t>95% полиэстер - 5% эластан</t>
  </si>
  <si>
    <t>grawhi</t>
  </si>
  <si>
    <t>96-051-80-56</t>
  </si>
  <si>
    <t>96-050-09-00</t>
  </si>
  <si>
    <t>Бейсболка NEW ERA арт. 11179866 (черный) {blkwhi}</t>
  </si>
  <si>
    <t>96-049-80-00</t>
  </si>
  <si>
    <t>Бейсболка NEW ERA арт. 11179834 (серый) {grapwhi}</t>
  </si>
  <si>
    <t>grapwhi</t>
  </si>
  <si>
    <t>96-048-09-00</t>
  </si>
  <si>
    <t>Бейсболка NEW ERA арт. 11179831 (темно-синий) {whi}</t>
  </si>
  <si>
    <t>96-047-09-60</t>
  </si>
  <si>
    <t>Бейсболка NEW ERA арт. 10145637 New York Yankees (черный) {blkblk}</t>
  </si>
  <si>
    <t>10145637 New York Yankees</t>
  </si>
  <si>
    <t>96-047-09-58</t>
  </si>
  <si>
    <t>96-047-09-56</t>
  </si>
  <si>
    <t>96-147-71-00</t>
  </si>
  <si>
    <t>Бейсболка NEW ERA арт. 10047507 Atlanta Braves MLB (темно-синий / красный) {navy}</t>
  </si>
  <si>
    <t>10047507 Atlanta Braves MLB</t>
  </si>
  <si>
    <t>navy</t>
  </si>
  <si>
    <t>96-148-09-00</t>
  </si>
  <si>
    <t>Бейсболка NEW ERA арт. 10047511 Boston Red Sox MLB (темно-синий) {otc}</t>
  </si>
  <si>
    <t>10047511 Boston Red Sox MLB</t>
  </si>
  <si>
    <t>96-186-18-00</t>
  </si>
  <si>
    <t>Бейсболка NEW ERA арт. 80636012 New York Yankees MLB (красный) {carwhi}</t>
  </si>
  <si>
    <t>80636012 New York Yankees MLB</t>
  </si>
  <si>
    <t>carwhi</t>
  </si>
  <si>
    <t>96-185-17-00</t>
  </si>
  <si>
    <t>Бейсболка NEW ERA арт. 80524868 New York Yankees MLB (белый) {whi}</t>
  </si>
  <si>
    <t>80524868 New York Yankees MLB</t>
  </si>
  <si>
    <t>96-184-09-00</t>
  </si>
  <si>
    <t>Бейсболка NEW ERA арт. 80468932 New York Yankees MLB (черный) {blk}</t>
  </si>
  <si>
    <t>80468932 New York Yankees MLB</t>
  </si>
  <si>
    <t>96-183-09-57</t>
  </si>
  <si>
    <t>Бейсболка NEW ERA арт. 12572845 Chicago White Socks MLB (черный) {otc}</t>
  </si>
  <si>
    <t>12572845 Chicago White Socks MLB</t>
  </si>
  <si>
    <t>Chicago White Socks</t>
  </si>
  <si>
    <t>96-182-09-00</t>
  </si>
  <si>
    <t>Бейсболка NEW ERA арт. 12523912 Los Angeles Dodgers MLB (черный) {blkblk}</t>
  </si>
  <si>
    <t>12523912 Los Angeles Dodgers MLB</t>
  </si>
  <si>
    <t>96-181-17-00</t>
  </si>
  <si>
    <t>Бейсболка NEW ERA арт. 12523903 New York Yankees MLB (белый) {whiwhi}</t>
  </si>
  <si>
    <t>12523903 New York Yankees MLB</t>
  </si>
  <si>
    <t>whiwhi</t>
  </si>
  <si>
    <t>96-180-11-00</t>
  </si>
  <si>
    <t>Бейсболка NEW ERA арт. 12523894 New York Yankees MLB (зеленый / белый) {novwhi}</t>
  </si>
  <si>
    <t>12523894 New York Yankees MLB</t>
  </si>
  <si>
    <t>novwhi</t>
  </si>
  <si>
    <t>96-179-17-00</t>
  </si>
  <si>
    <t>Бейсболка NEW ERA арт. 12523893 New York Yankees MLB (бежевый / белый) {stnwhi}</t>
  </si>
  <si>
    <t>12523893 New York Yankees MLB</t>
  </si>
  <si>
    <t>stnwhi</t>
  </si>
  <si>
    <t>96-178-48-00</t>
  </si>
  <si>
    <t>Бейсболка NEW ERA арт. 12380796 New York Yankees MLB (белый / черный) {otc}</t>
  </si>
  <si>
    <t>12380796 New York Yankees MLB</t>
  </si>
  <si>
    <t>96-177-09-00</t>
  </si>
  <si>
    <t>Бейсболка NEW ERA арт. 12380594 New York Yankees MLB (черный) {blk}</t>
  </si>
  <si>
    <t>12380594 New York Yankees MLB</t>
  </si>
  <si>
    <t>96-176-17-00</t>
  </si>
  <si>
    <t>Бейсболка NEW ERA арт. 12380590 New York Yankees MLB (бежевый) {stn}</t>
  </si>
  <si>
    <t>12380590 New York Yankees MLB</t>
  </si>
  <si>
    <t>96-175-17-00</t>
  </si>
  <si>
    <t>Бейсболка NEW ERA арт. 12285467 New York Yankees MLB (белый) {whi}</t>
  </si>
  <si>
    <t>12285467 New York Yankees MLB</t>
  </si>
  <si>
    <t>96-174-09-00</t>
  </si>
  <si>
    <t>Бейсболка NEW ERA арт. 12122742 New York Yankees MLB (черный) {blkblk}</t>
  </si>
  <si>
    <t>12122742 New York Yankees MLB</t>
  </si>
  <si>
    <t>96-173-09-00</t>
  </si>
  <si>
    <t>Бейсболка NEW ERA арт. 12122741 New York Yankees MLB (черный) {blkwhi}</t>
  </si>
  <si>
    <t>12122741 New York Yankees MLB</t>
  </si>
  <si>
    <t>96-172-09-00</t>
  </si>
  <si>
    <t>Бейсболка NEW ERA арт. 12052000 Los Angeles Dodgers MLB (черный) {blk}</t>
  </si>
  <si>
    <t>12052000 Los Angeles Dodgers MLB</t>
  </si>
  <si>
    <t>96-171-00-00</t>
  </si>
  <si>
    <t>Бейсболка NEW ERA арт. 12051998 New York Yankees MLB (камуфляж) {mncblk}</t>
  </si>
  <si>
    <t>12051998 New York Yankees MLB</t>
  </si>
  <si>
    <t>mncblk</t>
  </si>
  <si>
    <t>96-170-09-58</t>
  </si>
  <si>
    <t>Бейсболка NEW ERA арт. 11871279 New York Yankees MLB (черный) {blkotc}</t>
  </si>
  <si>
    <t>11871279 New York Yankees MLB</t>
  </si>
  <si>
    <t>blkotc</t>
  </si>
  <si>
    <t>96-170-09-56</t>
  </si>
  <si>
    <t>96-169-50-00</t>
  </si>
  <si>
    <t>Бейсболка NEW ERA арт. 11588490 New York Yankees MLB (серый / белый) {grawhi}</t>
  </si>
  <si>
    <t>11588490 New York Yankees MLB</t>
  </si>
  <si>
    <t>96-168-18-00</t>
  </si>
  <si>
    <t>Бейсболка NEW ERA арт. 11588488 New York Yankees MLB (красный / белый) {scawhi}</t>
  </si>
  <si>
    <t>11588488 New York Yankees MLB</t>
  </si>
  <si>
    <t>96-167-00-00</t>
  </si>
  <si>
    <t>Бейсболка NEW ERA арт. 11579473 New York Yankees MLB (камуфляж / черный) {blk}</t>
  </si>
  <si>
    <t>11579473 New York Yankees MLB</t>
  </si>
  <si>
    <t>96-166-16-00</t>
  </si>
  <si>
    <t>Бейсболка NEW ERA арт. 11576724 (темно-синий) {navy}</t>
  </si>
  <si>
    <t>96-165-09-00</t>
  </si>
  <si>
    <t>Бейсболка NEW ERA арт. 11405614 Chicago Bulls NBA (черный) {otc}</t>
  </si>
  <si>
    <t>11405614 Chicago Bulls NBA</t>
  </si>
  <si>
    <t>96-164-95-00</t>
  </si>
  <si>
    <t>Бейсболка NEW ERA арт. 11405497 Los Angeles Dodgers MLB (синий / белый) {lrywhi}</t>
  </si>
  <si>
    <t>11405497 Los Angeles Dodgers MLB</t>
  </si>
  <si>
    <t>lrywhi</t>
  </si>
  <si>
    <t>96-163-09-58</t>
  </si>
  <si>
    <t>Бейсболка NEW ERA арт. 11180834 New York Yankees MLB (черный) {blkblk}</t>
  </si>
  <si>
    <t>11180834 New York Yankees MLB</t>
  </si>
  <si>
    <t>96-163-09-56</t>
  </si>
  <si>
    <t>96-162-06-00</t>
  </si>
  <si>
    <t>Бейсболка NEW ERA арт. 11157579 New York Yankees MLB (синий) {lrywhi}</t>
  </si>
  <si>
    <t>11157579 New York Yankees MLB</t>
  </si>
  <si>
    <t>96-161-34-00</t>
  </si>
  <si>
    <t>Бейсболка NEW ERA арт. 11157578 New York Yankees MLB (розовый) {whi}</t>
  </si>
  <si>
    <t>11157578 New York Yankees MLB</t>
  </si>
  <si>
    <t>96-160-10-58</t>
  </si>
  <si>
    <t>Бейсболка NEW ERA арт. 10879529 Las Vegas Raiders NFL (черный / серый) {blk}</t>
  </si>
  <si>
    <t>10879529 Las Vegas Raiders NFL</t>
  </si>
  <si>
    <t>96-160-10-56</t>
  </si>
  <si>
    <t>96-159-09-58</t>
  </si>
  <si>
    <t>Бейсболка NEW ERA арт. 10531956 Boston Red Sox MLB (темно-синий) {team}</t>
  </si>
  <si>
    <t>10531956 Boston Red Sox MLB</t>
  </si>
  <si>
    <t>96-159-09-56</t>
  </si>
  <si>
    <t>96-158-16-58</t>
  </si>
  <si>
    <t>Бейсболка NEW ERA арт. 10531953 New York Yankees MLB (темно-синий) {nvywhi}</t>
  </si>
  <si>
    <t>10531953 New York Yankees MLB</t>
  </si>
  <si>
    <t>nvywhi</t>
  </si>
  <si>
    <t>96-158-16-56</t>
  </si>
  <si>
    <t>96-157-09-00</t>
  </si>
  <si>
    <t>Бейсболка NEW ERA арт. 10531941 New York Yankees MLB (черный) {blkwhi}</t>
  </si>
  <si>
    <t>10531941 New York Yankees MLB</t>
  </si>
  <si>
    <t>96-156-16-00</t>
  </si>
  <si>
    <t>Бейсболка NEW ERA арт. 10531939 New York Yankees MLB (темно-синий) {nvywhi}</t>
  </si>
  <si>
    <t>10531939 New York Yankees MLB</t>
  </si>
  <si>
    <t>96-155-06-58</t>
  </si>
  <si>
    <t>Бейсболка NEW ERA арт. 10145638 New York Yankees MLB (черный) {blawht}</t>
  </si>
  <si>
    <t>10145638 New York Yankees MLB</t>
  </si>
  <si>
    <t>blawht</t>
  </si>
  <si>
    <t>96-155-06-56</t>
  </si>
  <si>
    <t>96-154-09-58</t>
  </si>
  <si>
    <t>Бейсболка NEW ERA арт. 10145636 New York Yankees MLB (черный) {nvywht}</t>
  </si>
  <si>
    <t>10145636 New York Yankees MLB</t>
  </si>
  <si>
    <t>nvywht</t>
  </si>
  <si>
    <t>96-154-09-56</t>
  </si>
  <si>
    <t>96-153-09-00</t>
  </si>
  <si>
    <t>Бейсболка NEW ERA арт. 10047544 Pittsburgh Pirates MLB (черный) {otc}</t>
  </si>
  <si>
    <t>10047544 Pittsburgh Pirates MLB</t>
  </si>
  <si>
    <t>96-152-00-00</t>
  </si>
  <si>
    <t>Бейсболка NEW ERA арт. 10047540 Oakland Athletics MLB (зеленый / желтый) {grn}</t>
  </si>
  <si>
    <t>10047540 Oakland Athletics MLB</t>
  </si>
  <si>
    <t>grn</t>
  </si>
  <si>
    <t>96-151-16-00</t>
  </si>
  <si>
    <t>Бейсболка NEW ERA арт. 10047538 New York Yankees MLB (темно-синий) {navy}</t>
  </si>
  <si>
    <t>10047538 New York Yankees MLB</t>
  </si>
  <si>
    <t>96-150-06-00</t>
  </si>
  <si>
    <t>Бейсболка NEW ERA арт. 10047531 Los Angeles Dodgers MLB (синий) {gm}</t>
  </si>
  <si>
    <t>10047531 Los Angeles Dodgers MLB</t>
  </si>
  <si>
    <t>gm</t>
  </si>
  <si>
    <t>96-149-09-00</t>
  </si>
  <si>
    <t>Бейсболка NEW ERA арт. 10047515 Chicago White Socks MLB (черный) {blkwhi}</t>
  </si>
  <si>
    <t>10047515 Chicago White Socks MLB</t>
  </si>
  <si>
    <t>96-191-09-00</t>
  </si>
  <si>
    <t>Бейсболка NEW ERA арт. 60222404 New York Yankees MLB (серый) {pea}</t>
  </si>
  <si>
    <t>60222404 New York Yankees MLB</t>
  </si>
  <si>
    <t>pea</t>
  </si>
  <si>
    <t>96-190-09-00</t>
  </si>
  <si>
    <t>Бейсболка NEW ERA арт. 60222253 Chicago Bulls NBA (черный) {blk}</t>
  </si>
  <si>
    <t>60222253 Chicago Bulls NBA</t>
  </si>
  <si>
    <t>96-189-09-00</t>
  </si>
  <si>
    <t>Бейсболка NEW ERA арт. 60222234 Los Angeles Lakers NBA (черный) {otc}</t>
  </si>
  <si>
    <t>60222234 Los Angeles Lakers NBA</t>
  </si>
  <si>
    <t>96-188-09-00</t>
  </si>
  <si>
    <t>Бейсболка NEW ERA арт. 12523907 New York Yankees MLB (черный) {blkwhi}</t>
  </si>
  <si>
    <t>12523907 New York Yankees MLB</t>
  </si>
  <si>
    <t>96-187-09-00</t>
  </si>
  <si>
    <t>Бейсболка NEW ERA арт. 11198850 New York Yankees MLB (черный) {blk}</t>
  </si>
  <si>
    <t>11198850 New York Yankees MLB</t>
  </si>
  <si>
    <t>53% хлопок - 47% полиэстер</t>
  </si>
  <si>
    <t>96-211-11-00</t>
  </si>
  <si>
    <t>Бейсболка NEW ERA арт. 60222512 (зеленый) {nov}</t>
  </si>
  <si>
    <t>96-212-16-00</t>
  </si>
  <si>
    <t>Бейсболка NEW ERA арт. 60222545 New York Yankees MLB (темно-синий) {nvy}</t>
  </si>
  <si>
    <t>60222545 New York Yankees MLB</t>
  </si>
  <si>
    <t>96-210-09-00</t>
  </si>
  <si>
    <t>Бейсболка NEW ERA арт. 60222472 (черный) {blk}</t>
  </si>
  <si>
    <t>96-209-16-62</t>
  </si>
  <si>
    <t>Бейсболка NEW ERA арт. 60222367 New York Yankees MLB (темно-синий) {nvy}</t>
  </si>
  <si>
    <t>62 XL/XXL</t>
  </si>
  <si>
    <t>60222367 New York Yankees MLB</t>
  </si>
  <si>
    <t>96-209-16-60</t>
  </si>
  <si>
    <t>96-209-16-58</t>
  </si>
  <si>
    <t>96-208-80-00</t>
  </si>
  <si>
    <t>Бейсболка NEW ERA арт. 12523906 New York Yankees MLB (серый) {grhgrh}</t>
  </si>
  <si>
    <t>12523906 New York Yankees MLB</t>
  </si>
  <si>
    <t>grhgrh</t>
  </si>
  <si>
    <t>96-207-80-00</t>
  </si>
  <si>
    <t>Бейсболка NEW ERA арт. 12523898 New York Yankees MLB (серый) {grhwhi}</t>
  </si>
  <si>
    <t>12523898 New York Yankees MLB</t>
  </si>
  <si>
    <t>96-206-09-00</t>
  </si>
  <si>
    <t>Бейсболка NEW ERA арт. 12523889 New York Yankees MLB (черный) {blk}</t>
  </si>
  <si>
    <t>12523889 New York Yankees MLB</t>
  </si>
  <si>
    <t>96-205-12-00</t>
  </si>
  <si>
    <t>Бейсболка NEW ERA арт. 12523888 New York Yankees MLB (бордовый) {mrn}</t>
  </si>
  <si>
    <t>12523888 New York Yankees MLB</t>
  </si>
  <si>
    <t>96-204-03-00</t>
  </si>
  <si>
    <t>Бейсболка NEW ERA арт. 12523887 New York Yankees MLB (оливковый) {nov}</t>
  </si>
  <si>
    <t>12523887 New York Yankees MLB</t>
  </si>
  <si>
    <t>96-203-80-00</t>
  </si>
  <si>
    <t>Бейсболка NEW ERA арт. 12381106 New York Yankees MLB (серый) {gra}</t>
  </si>
  <si>
    <t>12381106 New York Yankees MLB</t>
  </si>
  <si>
    <t>96-202-18-00</t>
  </si>
  <si>
    <t>Бейсболка NEW ERA арт. 12380822 Chicago Bulls NBA (красный) {otc}</t>
  </si>
  <si>
    <t>12380822 Chicago Bulls NBA</t>
  </si>
  <si>
    <t>96-201-09-00</t>
  </si>
  <si>
    <t>Бейсболка NEW ERA арт. 11405616 Brooklyn Nets NBA (черный) {otc}</t>
  </si>
  <si>
    <t>11405616 Brooklyn Nets NBA</t>
  </si>
  <si>
    <t>96-200-41-00</t>
  </si>
  <si>
    <t>Бейсболка NEW ERA арт. 11405605 Los Angeles Lakers NBA (фиолетовый) {otc}</t>
  </si>
  <si>
    <t>11405605 Los Angeles Lakers NBA</t>
  </si>
  <si>
    <t>96-199-06-00</t>
  </si>
  <si>
    <t>Бейсболка NEW ERA арт. 11405492 Los Angeles Dodgers MLB (синий) {lrywhi}</t>
  </si>
  <si>
    <t>11405492 Los Angeles Dodgers MLB</t>
  </si>
  <si>
    <t>96-198-00-00</t>
  </si>
  <si>
    <t>Бейсболка NEW ERA арт. 11357008 New York Yankees MLB (камуфляж) {camblk}</t>
  </si>
  <si>
    <t>11357008 New York Yankees MLB</t>
  </si>
  <si>
    <t>camblk</t>
  </si>
  <si>
    <t>96-197-09-00</t>
  </si>
  <si>
    <t>Бейсболка NEW ERA арт. 11213222 Manchester United EPL (черный) {blk}</t>
  </si>
  <si>
    <t>11213222 Manchester United EPL</t>
  </si>
  <si>
    <t>96-196-18-00</t>
  </si>
  <si>
    <t>Бейсболка NEW ERA арт. 11213219 Manchester United EPL (красный) {sca}</t>
  </si>
  <si>
    <t>11213219 Manchester United EPL</t>
  </si>
  <si>
    <t>96-195-17-00</t>
  </si>
  <si>
    <t>Бейсболка NEW ERA арт. 11209938 New York Yankees MLB (белый) {whi}</t>
  </si>
  <si>
    <t>11209938 New York Yankees MLB</t>
  </si>
  <si>
    <t>96-194-17-00</t>
  </si>
  <si>
    <t>Бейсболка NEW ERA арт. 10745455 New York Yankees MLB (белый) {whibla}</t>
  </si>
  <si>
    <t>10745455 New York Yankees MLB</t>
  </si>
  <si>
    <t>whibla</t>
  </si>
  <si>
    <t>96-193-18-58</t>
  </si>
  <si>
    <t>Бейсболка NEW ERA арт. 10298276 New York Yankees MLB (красный) {scawhi}</t>
  </si>
  <si>
    <t>10298276 New York Yankees MLB</t>
  </si>
  <si>
    <t>96-193-18-56</t>
  </si>
  <si>
    <t>96-192-16-56</t>
  </si>
  <si>
    <t>Бейсболка NEW ERA арт. 10145640 Los Angeles Dodgers MLB (темно-синий) {nvywhi}</t>
  </si>
  <si>
    <t>10145640 Los Angeles Dodgers MLB</t>
  </si>
  <si>
    <t>SCAWHI</t>
  </si>
  <si>
    <t>TEAM</t>
  </si>
  <si>
    <t>GRBLK</t>
  </si>
  <si>
    <t>RED</t>
  </si>
  <si>
    <t>GRA</t>
  </si>
  <si>
    <t>BLK</t>
  </si>
  <si>
    <t>BLKWHI</t>
  </si>
  <si>
    <t>NVYWHI</t>
  </si>
  <si>
    <t>BLKOTC</t>
  </si>
  <si>
    <t>GRE</t>
  </si>
  <si>
    <t>LOSDOD</t>
  </si>
  <si>
    <t>GRAWHT</t>
  </si>
  <si>
    <t>BLACK</t>
  </si>
  <si>
    <t>SCA</t>
  </si>
  <si>
    <t>CAB</t>
  </si>
  <si>
    <t>GRAWHI</t>
  </si>
  <si>
    <t>BLKBLK</t>
  </si>
  <si>
    <t>LTCKGR</t>
  </si>
  <si>
    <t>GRH</t>
  </si>
  <si>
    <t>NVY</t>
  </si>
  <si>
    <t>NVYRE</t>
  </si>
  <si>
    <t>DKG</t>
  </si>
  <si>
    <t>GRP</t>
  </si>
  <si>
    <t>PRP</t>
  </si>
  <si>
    <t>WHI</t>
  </si>
  <si>
    <t>LPK</t>
  </si>
  <si>
    <t>10531938</t>
  </si>
  <si>
    <t>10861624</t>
  </si>
  <si>
    <t>10862335</t>
  </si>
  <si>
    <t>10862336</t>
  </si>
  <si>
    <t>10879530</t>
  </si>
  <si>
    <t>11074364</t>
  </si>
  <si>
    <t>11086491</t>
  </si>
  <si>
    <t>11180833</t>
  </si>
  <si>
    <t>11198849</t>
  </si>
  <si>
    <t>11213222</t>
  </si>
  <si>
    <t>11405495</t>
  </si>
  <si>
    <t>11448335</t>
  </si>
  <si>
    <t>11588489</t>
  </si>
  <si>
    <t>11871284</t>
  </si>
  <si>
    <t>11901827</t>
  </si>
  <si>
    <t>12033100</t>
  </si>
  <si>
    <t>12033103</t>
  </si>
  <si>
    <t>12033266</t>
  </si>
  <si>
    <t>12122725</t>
  </si>
  <si>
    <t>12489434</t>
  </si>
  <si>
    <t>12503527</t>
  </si>
  <si>
    <t>12503535</t>
  </si>
  <si>
    <t>12503546</t>
  </si>
  <si>
    <t>12503924</t>
  </si>
  <si>
    <t>12503934</t>
  </si>
  <si>
    <t>12523897</t>
  </si>
  <si>
    <t>12523910</t>
  </si>
  <si>
    <t>60142978</t>
  </si>
  <si>
    <t>60143388</t>
  </si>
  <si>
    <t>60221494</t>
  </si>
  <si>
    <t>60221531</t>
  </si>
  <si>
    <t>60221568</t>
  </si>
  <si>
    <t>60222237</t>
  </si>
  <si>
    <t>60222257</t>
  </si>
  <si>
    <t>60222275</t>
  </si>
  <si>
    <t>60222277</t>
  </si>
  <si>
    <t>60222290</t>
  </si>
  <si>
    <t>60222318</t>
  </si>
  <si>
    <t>60222356</t>
  </si>
  <si>
    <t>60222362</t>
  </si>
  <si>
    <t>60222367</t>
  </si>
  <si>
    <t>60222424</t>
  </si>
  <si>
    <t>60222529</t>
  </si>
  <si>
    <t>60222530</t>
  </si>
  <si>
    <t>60222561</t>
  </si>
  <si>
    <t>унисекс</t>
  </si>
  <si>
    <t>женский</t>
  </si>
  <si>
    <t>NEW ERA</t>
  </si>
  <si>
    <t>Chicago Bulls NBA</t>
  </si>
  <si>
    <t>Brooklyn Nets NBA</t>
  </si>
  <si>
    <t>Boston Selitics NBA</t>
  </si>
  <si>
    <t>New York Yankees MLB</t>
  </si>
  <si>
    <t>Los Angeles Dodgers MLB</t>
  </si>
  <si>
    <t>Oakland Raiders NFL</t>
  </si>
  <si>
    <t>Los Angeles Lakers NBA</t>
  </si>
  <si>
    <t>Manchester United EPL</t>
  </si>
  <si>
    <t>Chelsea EPL</t>
  </si>
  <si>
    <t>FA Ireland UEFA</t>
  </si>
  <si>
    <t>England Rugby RL</t>
  </si>
  <si>
    <t>Boston Red Sox MLB</t>
  </si>
  <si>
    <t>Oakland Athletics MLB</t>
  </si>
  <si>
    <t>100% Полиэстер</t>
  </si>
  <si>
    <t>Boston Selitics</t>
  </si>
  <si>
    <t>100% Хлопок</t>
  </si>
  <si>
    <t>95% хлопок - 5% эластан</t>
  </si>
  <si>
    <t>95% Полиэстер - 5% Эластан</t>
  </si>
  <si>
    <t>53% Хлопок - 47% Полиэстер</t>
  </si>
  <si>
    <t>97% Хлопок - 3% Эластан</t>
  </si>
  <si>
    <t>94% полиэстер - 6% эластан</t>
  </si>
  <si>
    <t>FA Ireland</t>
  </si>
  <si>
    <t>RL</t>
  </si>
  <si>
    <t>England Rugby</t>
  </si>
  <si>
    <t>85% Акрил - 12% Шерсть - 3% Эластан</t>
  </si>
  <si>
    <t>96-213-</t>
  </si>
  <si>
    <t>96-214-</t>
  </si>
  <si>
    <t>96-215-</t>
  </si>
  <si>
    <t>96-216-</t>
  </si>
  <si>
    <t>96-217-</t>
  </si>
  <si>
    <t>96-218-</t>
  </si>
  <si>
    <t>96-219-</t>
  </si>
  <si>
    <t>96-220-</t>
  </si>
  <si>
    <t>96-221-</t>
  </si>
  <si>
    <t>96-222-</t>
  </si>
  <si>
    <t>96-223-</t>
  </si>
  <si>
    <t>96-224-</t>
  </si>
  <si>
    <t>96-225-</t>
  </si>
  <si>
    <t>96-226-</t>
  </si>
  <si>
    <t>96-227-</t>
  </si>
  <si>
    <t>96-228-</t>
  </si>
  <si>
    <t>96-229-</t>
  </si>
  <si>
    <t>96-230-</t>
  </si>
  <si>
    <t>96-231-</t>
  </si>
  <si>
    <t>96-232-</t>
  </si>
  <si>
    <t>96-233-</t>
  </si>
  <si>
    <t>96-234-</t>
  </si>
  <si>
    <t>96-235-</t>
  </si>
  <si>
    <t>96-236-</t>
  </si>
  <si>
    <t>96-237-</t>
  </si>
  <si>
    <t>96-238-</t>
  </si>
  <si>
    <t>96-239-</t>
  </si>
  <si>
    <t>96-240-</t>
  </si>
  <si>
    <t>96-241-</t>
  </si>
  <si>
    <t>96-242-</t>
  </si>
  <si>
    <t>96-243-</t>
  </si>
  <si>
    <t>96-244-</t>
  </si>
  <si>
    <t>96-245-</t>
  </si>
  <si>
    <t>96-246-</t>
  </si>
  <si>
    <t>96-247-</t>
  </si>
  <si>
    <t>96-248-</t>
  </si>
  <si>
    <t>Oakland Raiders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</si>
</sst>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3" fontId="11" fillId="17" borderId="26" xfId="39" applyNumberFormat="1" applyFont="1" applyFill="1" applyBorder="1" applyAlignment="1">
      <alignment horizontal="right" vertical="top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542192</xdr:colOff>
      <xdr:row>11</xdr:row>
      <xdr:rowOff>87923</xdr:rowOff>
    </xdr:from>
    <xdr:to>
      <xdr:col>8</xdr:col>
      <xdr:colOff>1406769</xdr:colOff>
      <xdr:row>11</xdr:row>
      <xdr:rowOff>1165600</xdr:rowOff>
    </xdr:to>
    <xdr:pic>
      <xdr:nvPicPr>
        <xdr:cNvPr id="12" name="Picture 122">
          <a:extLst>
            <a:ext uri="{FF2B5EF4-FFF2-40B4-BE49-F238E27FC236}">
              <a16:creationId xmlns:a16="http://schemas.microsoft.com/office/drawing/2014/main" id="{A5986280-82DB-4C46-909E-560CF4C17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0038" y="12133385"/>
          <a:ext cx="864577" cy="1077677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8</xdr:col>
      <xdr:colOff>600807</xdr:colOff>
      <xdr:row>15</xdr:row>
      <xdr:rowOff>190500</xdr:rowOff>
    </xdr:from>
    <xdr:to>
      <xdr:col>8</xdr:col>
      <xdr:colOff>1406769</xdr:colOff>
      <xdr:row>15</xdr:row>
      <xdr:rowOff>1195115</xdr:rowOff>
    </xdr:to>
    <xdr:pic>
      <xdr:nvPicPr>
        <xdr:cNvPr id="13" name="Picture 83">
          <a:extLst>
            <a:ext uri="{FF2B5EF4-FFF2-40B4-BE49-F238E27FC236}">
              <a16:creationId xmlns:a16="http://schemas.microsoft.com/office/drawing/2014/main" id="{AA0173F8-53A3-4142-8A19-CCBB57018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8653" y="17218269"/>
          <a:ext cx="805962" cy="1004615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9" activePane="bottomLeft" state="frozen"/>
      <selection pane="bottomLeft" activeCell="I12" sqref="I12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7"/>
    <col min="13" max="13" width="9" style="99"/>
    <col min="14" max="15" width="6.7109375" style="99" customWidth="1"/>
    <col min="16" max="16" width="11.28515625" style="99" customWidth="1"/>
    <col min="17" max="17" width="13.7109375" style="107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5" customWidth="1"/>
    <col min="51" max="51" width="9.85546875" style="103" customWidth="1"/>
    <col min="52" max="53" width="10" style="103" customWidth="1"/>
    <col min="54" max="54" width="14" style="106" bestFit="1" customWidth="1"/>
    <col min="55" max="55" width="16.5703125" style="106" customWidth="1"/>
    <col min="56" max="56" width="9" style="98"/>
    <col min="57" max="57" width="9" style="108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09" t="s">
        <v>462</v>
      </c>
      <c r="C1" s="110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35" t="s">
        <v>479</v>
      </c>
      <c r="L1" s="136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0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1" t="s">
        <v>820</v>
      </c>
      <c r="AK1" s="111" t="s">
        <v>821</v>
      </c>
      <c r="AL1" s="111" t="s">
        <v>822</v>
      </c>
      <c r="AM1" s="111" t="s">
        <v>823</v>
      </c>
      <c r="AN1" s="111" t="s">
        <v>824</v>
      </c>
      <c r="AO1" s="111" t="s">
        <v>825</v>
      </c>
      <c r="AP1" s="111" t="s">
        <v>826</v>
      </c>
      <c r="AQ1" s="111" t="s">
        <v>827</v>
      </c>
      <c r="AR1" s="111" t="s">
        <v>550</v>
      </c>
      <c r="AS1" s="111" t="s">
        <v>549</v>
      </c>
      <c r="AT1" s="96" t="s">
        <v>467</v>
      </c>
      <c r="AU1" s="110" t="s">
        <v>497</v>
      </c>
      <c r="AV1" s="96" t="s">
        <v>468</v>
      </c>
      <c r="AW1" s="96" t="s">
        <v>469</v>
      </c>
      <c r="AX1" s="112" t="s">
        <v>498</v>
      </c>
      <c r="AY1" s="96" t="s">
        <v>470</v>
      </c>
      <c r="AZ1" s="96" t="s">
        <v>471</v>
      </c>
      <c r="BA1" s="96" t="s">
        <v>472</v>
      </c>
      <c r="BB1" s="113" t="s">
        <v>499</v>
      </c>
      <c r="BC1" s="113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4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4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5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6"/>
      <c r="L2" s="117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6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4" t="str">
        <f>IF(A2&lt;&gt;"",_xlfn.XLOOKUP(_xlfn.XLOOKUP(A2,'1C'!A:A,'1C'!O:O,_xlfn.XLOOKUP(C2,'1C'!W:W,'1C'!O:O,"",0),0),Settings!N:N,Settings!O:O,"",0),"")</f>
        <v/>
      </c>
      <c r="AV2" s="102" t="str">
        <f t="shared" ref="AV2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t="shared" ref="AW2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18">
        <f t="shared" ref="AX2" si="4">0.05+0.05</f>
        <v>0.1</v>
      </c>
      <c r="AY2" s="102">
        <f t="shared" ref="AY2" si="5">IF(AX2&lt;&gt;"",AX2*1.5,"Требуется нетто")</f>
        <v>0.15000000000000002</v>
      </c>
      <c r="AZ2" s="102" t="str">
        <f t="shared" ref="AZ2" si="6">+IF(AX2&lt;&gt;"",IFERROR(AT2*AX2,"Требуются кол-во и нетто"),"Требуются кол-во и нетто")</f>
        <v>Требуются кол-во и нетто</v>
      </c>
      <c r="BA2" s="102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19"/>
      <c r="BC2" s="119" t="str">
        <f t="shared" ref="BC2" si="8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9">IFERROR(IF(BE2,"-",IFERROR(IF(BD2&gt;0,0,1),"")),"")</f>
        <v/>
      </c>
      <c r="BG2" s="101"/>
    </row>
    <row r="3" spans="1:59" ht="98.1" customHeight="1">
      <c r="A3" s="103" t="str">
        <f t="shared" ref="A3:A47" si="10">IF(C3&amp;K3&lt;&gt;"",C3&amp;K3,"")</f>
        <v>10861624TEAM</v>
      </c>
      <c r="B3" s="98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96-213-18</v>
      </c>
      <c r="C3" s="104" t="s">
        <v>1748</v>
      </c>
      <c r="D3" s="99" t="s">
        <v>1795</v>
      </c>
      <c r="E3" s="103" t="str">
        <f>IF(F3&lt;&gt;"",IFERROR(VLOOKUP(F3,Категории!A:B,2,0),""),"Требуется категория")</f>
        <v>Бейсболки</v>
      </c>
      <c r="F3" s="99" t="s">
        <v>783</v>
      </c>
      <c r="G3" s="101" t="s">
        <v>887</v>
      </c>
      <c r="H3" s="99" t="s">
        <v>388</v>
      </c>
      <c r="I3" s="99" t="str">
        <f>C3&amp;" "&amp;D3</f>
        <v>10861624 Chicago Bulls NBA</v>
      </c>
      <c r="J3" s="101" t="s">
        <v>1794</v>
      </c>
      <c r="K3" s="107" t="s">
        <v>1722</v>
      </c>
      <c r="L3" s="107" t="s">
        <v>78</v>
      </c>
      <c r="M3" s="101"/>
      <c r="N3" s="101"/>
      <c r="O3" s="101" t="s">
        <v>1047</v>
      </c>
      <c r="P3" s="101" t="s">
        <v>1048</v>
      </c>
      <c r="Q3" s="116" t="s">
        <v>1808</v>
      </c>
      <c r="R3" s="101"/>
      <c r="S3" s="101"/>
      <c r="U3" s="99" t="s">
        <v>382</v>
      </c>
      <c r="AC3" s="99">
        <v>2</v>
      </c>
      <c r="AF3" s="99">
        <v>4</v>
      </c>
      <c r="AT3" s="102">
        <f t="shared" ref="AT3:AT47" si="11">IF(COUNTBLANK(V3:AS3)&lt;24,SUM(V3:AS3),"")</f>
        <v>6</v>
      </c>
      <c r="AU3" s="114" t="s">
        <v>571</v>
      </c>
      <c r="AV3" s="102" t="str">
        <f t="shared" ref="AV3:AV47" ca="1" si="12">IF(AU3&lt;&gt;"",VLOOKUP(AU3,INDIRECT(SUBSTITUTE(IF(ISNUMBER(IFERROR(VALUE(LEFT(J3,1)),FALSE)),"_"&amp;J3,J3)," ","")&amp;"Manufactures"),3,0),"Требуется код страны")</f>
        <v>ERR</v>
      </c>
      <c r="AW3" s="103" t="str">
        <f t="shared" ref="AW3:AW47" ca="1" si="13">IF(AU3&lt;&gt;"",VLOOKUP(AU3,INDIRECT(SUBSTITUTE(IF(ISNUMBER(IFERROR(VALUE(LEFT(J3,1)),FALSE)),"_"&amp;J3,J3)," ","")&amp;"Manufactures"),2,0),"Требуется код страны")</f>
        <v>Бангладеш</v>
      </c>
      <c r="AX3" s="105">
        <f t="shared" ref="AX3:AX47" si="14">0.05+0.05</f>
        <v>0.1</v>
      </c>
      <c r="AY3" s="103">
        <f t="shared" ref="AY3:AY47" si="15">IF(AX3&lt;&gt;"",AX3*1.5,"Требуется нетто")</f>
        <v>0.15000000000000002</v>
      </c>
      <c r="AZ3" s="103">
        <f t="shared" ref="AZ3:AZ47" si="16">+IF(AX3&lt;&gt;"",IFERROR(AT3*AX3,"Требуются кол-во и нетто"),"Требуются кол-во и нетто")</f>
        <v>0.60000000000000009</v>
      </c>
      <c r="BA3" s="103">
        <f t="shared" ref="BA3:BA47" si="17">IF(AY3&lt;&gt;"",IFERROR(AT3*AY3,"Требуются кол-во и брутто"),"Требуются кол-во и брутто")</f>
        <v>0.90000000000000013</v>
      </c>
      <c r="BB3" s="106">
        <v>1815.61</v>
      </c>
      <c r="BC3" s="141">
        <f t="shared" ref="BC3:BC47" si="18">+IF(BB3&lt;&gt;0,IFERROR(AT3*BB3,"Требуются кол-во и цена"),"Требуются кол-во и цена")</f>
        <v>10893.66</v>
      </c>
      <c r="BD3" s="98">
        <f>IF(A3&lt;&gt;"",IF(_xlfn.XLOOKUP(A3,'1C'!A:A,'1C'!A:A,0,0)&gt;0,1,0),"")</f>
        <v>0</v>
      </c>
      <c r="BE3" s="98">
        <f>IF(C3&lt;&gt;"",IF(_xlfn.XLOOKUP(TEXT(C3,"###"),'1C'!W:W,'1C'!D:D,0,0)&gt;0,0,1),"")</f>
        <v>1</v>
      </c>
      <c r="BF3" s="98" t="str">
        <f t="shared" ref="BF3:BF47" si="19">IFERROR(IF(BE3,"-",IFERROR(IF(BD3&gt;0,0,1),"")),"")</f>
        <v>-</v>
      </c>
    </row>
    <row r="4" spans="1:59" ht="98.1" customHeight="1">
      <c r="A4" s="103" t="str">
        <f t="shared" si="10"/>
        <v>10862335TEAM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96-214-09</v>
      </c>
      <c r="C4" s="104" t="s">
        <v>1749</v>
      </c>
      <c r="D4" s="99" t="s">
        <v>1796</v>
      </c>
      <c r="E4" s="103" t="str">
        <f>IF(F4&lt;&gt;"",IFERROR(VLOOKUP(F4,Категории!A:B,2,0),""),"Требуется категория")</f>
        <v>Бейсболки</v>
      </c>
      <c r="F4" s="99" t="s">
        <v>783</v>
      </c>
      <c r="G4" s="101" t="s">
        <v>887</v>
      </c>
      <c r="H4" s="99" t="s">
        <v>388</v>
      </c>
      <c r="I4" s="99" t="str">
        <f t="shared" ref="I4:I47" si="20">C4&amp;" "&amp;D4</f>
        <v>10862335 Brooklyn Nets NBA</v>
      </c>
      <c r="J4" s="101" t="s">
        <v>1794</v>
      </c>
      <c r="K4" s="107" t="s">
        <v>1722</v>
      </c>
      <c r="L4" s="107" t="s">
        <v>53</v>
      </c>
      <c r="M4" s="101"/>
      <c r="N4" s="101"/>
      <c r="O4" s="101" t="s">
        <v>1047</v>
      </c>
      <c r="P4" s="101" t="s">
        <v>1370</v>
      </c>
      <c r="Q4" s="116" t="s">
        <v>1808</v>
      </c>
      <c r="R4" s="101"/>
      <c r="S4" s="101"/>
      <c r="U4" s="99" t="s">
        <v>382</v>
      </c>
      <c r="AB4" s="99">
        <v>2</v>
      </c>
      <c r="AD4" s="99">
        <v>2</v>
      </c>
      <c r="AT4" s="102">
        <f t="shared" si="11"/>
        <v>4</v>
      </c>
      <c r="AU4" s="114" t="s">
        <v>571</v>
      </c>
      <c r="AV4" s="102" t="str">
        <f t="shared" ca="1" si="12"/>
        <v>ERR</v>
      </c>
      <c r="AW4" s="103" t="str">
        <f t="shared" ca="1" si="13"/>
        <v>Бангладеш</v>
      </c>
      <c r="AX4" s="105">
        <f t="shared" si="14"/>
        <v>0.1</v>
      </c>
      <c r="AY4" s="103">
        <f t="shared" si="15"/>
        <v>0.15000000000000002</v>
      </c>
      <c r="AZ4" s="103">
        <f t="shared" si="16"/>
        <v>0.4</v>
      </c>
      <c r="BA4" s="103">
        <f t="shared" si="17"/>
        <v>0.60000000000000009</v>
      </c>
      <c r="BB4" s="106">
        <v>1815.61</v>
      </c>
      <c r="BC4" s="141">
        <f t="shared" si="18"/>
        <v>7262.44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si="19"/>
        <v>-</v>
      </c>
    </row>
    <row r="5" spans="1:59" ht="98.1" customHeight="1">
      <c r="A5" s="103" t="str">
        <f t="shared" si="10"/>
        <v>10862336GRBLK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96-215-11</v>
      </c>
      <c r="C5" s="104" t="s">
        <v>1750</v>
      </c>
      <c r="D5" s="99" t="s">
        <v>1797</v>
      </c>
      <c r="E5" s="103" t="str">
        <f>IF(F5&lt;&gt;"",IFERROR(VLOOKUP(F5,Категории!A:B,2,0),""),"Требуется категория")</f>
        <v>Бейсболки</v>
      </c>
      <c r="F5" s="99" t="s">
        <v>783</v>
      </c>
      <c r="G5" s="101" t="s">
        <v>887</v>
      </c>
      <c r="H5" s="99" t="s">
        <v>388</v>
      </c>
      <c r="I5" s="99" t="str">
        <f t="shared" si="20"/>
        <v>10862336 Boston Selitics NBA</v>
      </c>
      <c r="J5" s="101" t="s">
        <v>1794</v>
      </c>
      <c r="K5" s="107" t="s">
        <v>1723</v>
      </c>
      <c r="L5" s="107" t="s">
        <v>60</v>
      </c>
      <c r="M5" s="101"/>
      <c r="N5" s="101"/>
      <c r="O5" s="101" t="s">
        <v>1047</v>
      </c>
      <c r="P5" s="101" t="s">
        <v>1809</v>
      </c>
      <c r="Q5" s="116" t="s">
        <v>1808</v>
      </c>
      <c r="R5" s="101"/>
      <c r="S5" s="101"/>
      <c r="U5" s="99" t="s">
        <v>382</v>
      </c>
      <c r="AG5" s="99">
        <v>1</v>
      </c>
      <c r="AH5" s="99">
        <v>2</v>
      </c>
      <c r="AT5" s="102">
        <f t="shared" si="11"/>
        <v>3</v>
      </c>
      <c r="AU5" s="114" t="s">
        <v>571</v>
      </c>
      <c r="AV5" s="102" t="str">
        <f t="shared" ca="1" si="12"/>
        <v>ERR</v>
      </c>
      <c r="AW5" s="103" t="str">
        <f t="shared" ca="1" si="13"/>
        <v>Бангладеш</v>
      </c>
      <c r="AX5" s="105">
        <f t="shared" si="14"/>
        <v>0.1</v>
      </c>
      <c r="AY5" s="103">
        <f t="shared" si="15"/>
        <v>0.15000000000000002</v>
      </c>
      <c r="AZ5" s="103">
        <f t="shared" si="16"/>
        <v>0.30000000000000004</v>
      </c>
      <c r="BA5" s="103">
        <f t="shared" si="17"/>
        <v>0.45000000000000007</v>
      </c>
      <c r="BB5" s="106">
        <v>1815.61</v>
      </c>
      <c r="BC5" s="141">
        <f t="shared" si="18"/>
        <v>5446.83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9"/>
        <v>-</v>
      </c>
    </row>
    <row r="6" spans="1:59" ht="98.1" customHeight="1">
      <c r="A6" s="103" t="str">
        <f t="shared" si="10"/>
        <v>10879530RED</v>
      </c>
      <c r="B6" s="98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96-216-18</v>
      </c>
      <c r="C6" s="104" t="s">
        <v>1751</v>
      </c>
      <c r="D6" s="99" t="s">
        <v>1798</v>
      </c>
      <c r="E6" s="103" t="str">
        <f>IF(F6&lt;&gt;"",IFERROR(VLOOKUP(F6,Категории!A:B,2,0),""),"Требуется категория")</f>
        <v>Бейсболки</v>
      </c>
      <c r="F6" s="99" t="s">
        <v>783</v>
      </c>
      <c r="G6" s="101" t="s">
        <v>887</v>
      </c>
      <c r="H6" s="99" t="s">
        <v>388</v>
      </c>
      <c r="I6" s="99" t="str">
        <f t="shared" si="20"/>
        <v>10879530 New York Yankees MLB</v>
      </c>
      <c r="J6" s="101" t="s">
        <v>1794</v>
      </c>
      <c r="K6" s="107" t="s">
        <v>1724</v>
      </c>
      <c r="L6" s="138" t="s">
        <v>78</v>
      </c>
      <c r="M6" s="101"/>
      <c r="N6" s="101"/>
      <c r="O6" s="101" t="s">
        <v>911</v>
      </c>
      <c r="P6" s="101" t="s">
        <v>914</v>
      </c>
      <c r="Q6" s="116" t="s">
        <v>1810</v>
      </c>
      <c r="R6" s="101"/>
      <c r="S6" s="101" t="s">
        <v>43</v>
      </c>
      <c r="U6" s="99" t="s">
        <v>382</v>
      </c>
      <c r="Z6" s="99">
        <v>3</v>
      </c>
      <c r="AB6" s="99">
        <v>3</v>
      </c>
      <c r="AT6" s="102">
        <f t="shared" si="11"/>
        <v>6</v>
      </c>
      <c r="AU6" s="114" t="s">
        <v>571</v>
      </c>
      <c r="AV6" s="102" t="str">
        <f t="shared" ca="1" si="12"/>
        <v>ERR</v>
      </c>
      <c r="AW6" s="103" t="str">
        <f t="shared" ca="1" si="13"/>
        <v>Бангладеш</v>
      </c>
      <c r="AX6" s="105">
        <f t="shared" si="14"/>
        <v>0.1</v>
      </c>
      <c r="AY6" s="103">
        <f t="shared" si="15"/>
        <v>0.15000000000000002</v>
      </c>
      <c r="AZ6" s="103">
        <f t="shared" si="16"/>
        <v>0.60000000000000009</v>
      </c>
      <c r="BA6" s="103">
        <f t="shared" si="17"/>
        <v>0.90000000000000013</v>
      </c>
      <c r="BB6" s="106">
        <v>2211.31</v>
      </c>
      <c r="BC6" s="141">
        <f t="shared" si="18"/>
        <v>13267.86</v>
      </c>
      <c r="BD6" s="98">
        <f>IF(A6&lt;&gt;"",IF(_xlfn.XLOOKUP(A6,'1C'!A:A,'1C'!A:A,0,0)&gt;0,1,0),"")</f>
        <v>0</v>
      </c>
      <c r="BE6" s="98">
        <f>IF(C6&lt;&gt;"",IF(_xlfn.XLOOKUP(TEXT(C6,"###"),'1C'!W:W,'1C'!D:D,0,0)&gt;0,0,1),"")</f>
        <v>1</v>
      </c>
      <c r="BF6" s="98" t="str">
        <f t="shared" si="19"/>
        <v>-</v>
      </c>
    </row>
    <row r="7" spans="1:59" ht="98.1" customHeight="1">
      <c r="A7" s="103" t="str">
        <f t="shared" si="10"/>
        <v>11074364GRA</v>
      </c>
      <c r="B7" s="98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96-217-80</v>
      </c>
      <c r="C7" s="104" t="s">
        <v>1752</v>
      </c>
      <c r="E7" s="103" t="str">
        <f>IF(F7&lt;&gt;"",IFERROR(VLOOKUP(F7,Категории!A:B,2,0),""),"Требуется категория")</f>
        <v>Шапки</v>
      </c>
      <c r="F7" s="99" t="s">
        <v>340</v>
      </c>
      <c r="G7" s="101" t="s">
        <v>887</v>
      </c>
      <c r="H7" s="99" t="s">
        <v>388</v>
      </c>
      <c r="I7" s="99" t="str">
        <f t="shared" si="20"/>
        <v xml:space="preserve">11074364 </v>
      </c>
      <c r="J7" s="101" t="s">
        <v>1794</v>
      </c>
      <c r="K7" s="107" t="s">
        <v>1725</v>
      </c>
      <c r="L7" s="107" t="s">
        <v>83</v>
      </c>
      <c r="M7" s="101"/>
      <c r="N7" s="101"/>
      <c r="O7" s="101"/>
      <c r="P7" s="101"/>
      <c r="Q7" s="116" t="s">
        <v>1811</v>
      </c>
      <c r="R7" s="101"/>
      <c r="S7" s="101"/>
      <c r="U7" s="99" t="s">
        <v>382</v>
      </c>
      <c r="V7" s="99">
        <v>3</v>
      </c>
      <c r="AT7" s="102">
        <f t="shared" si="11"/>
        <v>3</v>
      </c>
      <c r="AU7" s="114" t="s">
        <v>423</v>
      </c>
      <c r="AV7" s="102" t="str">
        <f t="shared" ca="1" si="12"/>
        <v>ERR</v>
      </c>
      <c r="AW7" s="103" t="str">
        <f t="shared" ca="1" si="13"/>
        <v>Китай</v>
      </c>
      <c r="AX7" s="105">
        <f t="shared" si="14"/>
        <v>0.1</v>
      </c>
      <c r="AY7" s="103">
        <f t="shared" si="15"/>
        <v>0.15000000000000002</v>
      </c>
      <c r="AZ7" s="103">
        <f t="shared" si="16"/>
        <v>0.30000000000000004</v>
      </c>
      <c r="BA7" s="103">
        <f t="shared" si="17"/>
        <v>0.45000000000000007</v>
      </c>
      <c r="BB7" s="106">
        <v>581.5</v>
      </c>
      <c r="BC7" s="141">
        <f t="shared" si="18"/>
        <v>1744.5</v>
      </c>
      <c r="BD7" s="98">
        <f>IF(A7&lt;&gt;"",IF(_xlfn.XLOOKUP(A7,'1C'!A:A,'1C'!A:A,0,0)&gt;0,1,0),"")</f>
        <v>0</v>
      </c>
      <c r="BE7" s="98">
        <f>IF(C7&lt;&gt;"",IF(_xlfn.XLOOKUP(TEXT(C7,"###"),'1C'!W:W,'1C'!D:D,0,0)&gt;0,0,1),"")</f>
        <v>1</v>
      </c>
      <c r="BF7" s="98" t="str">
        <f t="shared" si="19"/>
        <v>-</v>
      </c>
    </row>
    <row r="8" spans="1:59" ht="98.1" customHeight="1">
      <c r="A8" s="103" t="str">
        <f t="shared" si="10"/>
        <v>11086491BLK</v>
      </c>
      <c r="B8" s="98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96-218-09</v>
      </c>
      <c r="C8" s="104" t="s">
        <v>1753</v>
      </c>
      <c r="E8" s="103" t="str">
        <f>IF(F8&lt;&gt;"",IFERROR(VLOOKUP(F8,Категории!A:B,2,0),""),"Требуется категория")</f>
        <v>Бейсболки</v>
      </c>
      <c r="F8" s="99" t="s">
        <v>327</v>
      </c>
      <c r="G8" s="101" t="s">
        <v>887</v>
      </c>
      <c r="H8" s="99" t="s">
        <v>388</v>
      </c>
      <c r="I8" s="99" t="str">
        <f t="shared" si="20"/>
        <v xml:space="preserve">11086491 </v>
      </c>
      <c r="J8" s="101" t="s">
        <v>1794</v>
      </c>
      <c r="K8" s="107" t="s">
        <v>1726</v>
      </c>
      <c r="L8" s="107" t="s">
        <v>53</v>
      </c>
      <c r="M8" s="101"/>
      <c r="N8" s="101"/>
      <c r="O8" s="101"/>
      <c r="P8" s="101"/>
      <c r="Q8" s="116" t="s">
        <v>1812</v>
      </c>
      <c r="R8" s="101"/>
      <c r="S8" s="101"/>
      <c r="U8" s="99" t="s">
        <v>382</v>
      </c>
      <c r="Z8" s="99">
        <v>4</v>
      </c>
      <c r="AT8" s="102">
        <f t="shared" si="11"/>
        <v>4</v>
      </c>
      <c r="AU8" s="114" t="s">
        <v>423</v>
      </c>
      <c r="AV8" s="102" t="str">
        <f t="shared" ca="1" si="12"/>
        <v>ERR</v>
      </c>
      <c r="AW8" s="103" t="str">
        <f t="shared" ca="1" si="13"/>
        <v>Китай</v>
      </c>
      <c r="AX8" s="105">
        <f t="shared" si="14"/>
        <v>0.1</v>
      </c>
      <c r="AY8" s="103">
        <f t="shared" si="15"/>
        <v>0.15000000000000002</v>
      </c>
      <c r="AZ8" s="103">
        <f t="shared" si="16"/>
        <v>0.4</v>
      </c>
      <c r="BA8" s="103">
        <f t="shared" si="17"/>
        <v>0.60000000000000009</v>
      </c>
      <c r="BB8" s="106">
        <v>1117.1199999999999</v>
      </c>
      <c r="BC8" s="141">
        <f t="shared" si="18"/>
        <v>4468.4799999999996</v>
      </c>
      <c r="BD8" s="98">
        <f>IF(A8&lt;&gt;"",IF(_xlfn.XLOOKUP(A8,'1C'!A:A,'1C'!A:A,0,0)&gt;0,1,0),"")</f>
        <v>0</v>
      </c>
      <c r="BE8" s="98">
        <f>IF(C8&lt;&gt;"",IF(_xlfn.XLOOKUP(TEXT(C8,"###"),'1C'!W:W,'1C'!D:D,0,0)&gt;0,0,1),"")</f>
        <v>1</v>
      </c>
      <c r="BF8" s="98" t="str">
        <f t="shared" si="19"/>
        <v>-</v>
      </c>
    </row>
    <row r="9" spans="1:59" ht="98.1" customHeight="1">
      <c r="A9" s="103" t="str">
        <f t="shared" si="10"/>
        <v>11180833BLKWHI</v>
      </c>
      <c r="B9" s="98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96-219-09</v>
      </c>
      <c r="C9" s="104" t="s">
        <v>1754</v>
      </c>
      <c r="D9" s="99" t="s">
        <v>1798</v>
      </c>
      <c r="E9" s="103" t="str">
        <f>IF(F9&lt;&gt;"",IFERROR(VLOOKUP(F9,Категории!A:B,2,0),""),"Требуется категория")</f>
        <v>Бейсболки</v>
      </c>
      <c r="F9" s="99" t="s">
        <v>783</v>
      </c>
      <c r="G9" s="101" t="s">
        <v>887</v>
      </c>
      <c r="H9" s="99" t="s">
        <v>388</v>
      </c>
      <c r="I9" s="99" t="str">
        <f t="shared" si="20"/>
        <v>11180833 New York Yankees MLB</v>
      </c>
      <c r="J9" s="101" t="s">
        <v>1794</v>
      </c>
      <c r="K9" s="107" t="s">
        <v>1727</v>
      </c>
      <c r="L9" s="107" t="s">
        <v>53</v>
      </c>
      <c r="M9" s="101"/>
      <c r="N9" s="101"/>
      <c r="O9" s="101" t="s">
        <v>911</v>
      </c>
      <c r="P9" s="101" t="s">
        <v>914</v>
      </c>
      <c r="Q9" s="116" t="s">
        <v>1810</v>
      </c>
      <c r="R9" s="101"/>
      <c r="S9" s="101" t="s">
        <v>43</v>
      </c>
      <c r="U9" s="99" t="s">
        <v>382</v>
      </c>
      <c r="Z9" s="99">
        <v>4</v>
      </c>
      <c r="AT9" s="102">
        <f t="shared" si="11"/>
        <v>4</v>
      </c>
      <c r="AU9" s="114" t="s">
        <v>571</v>
      </c>
      <c r="AV9" s="102" t="str">
        <f t="shared" ca="1" si="12"/>
        <v>ERR</v>
      </c>
      <c r="AW9" s="103" t="str">
        <f t="shared" ca="1" si="13"/>
        <v>Бангладеш</v>
      </c>
      <c r="AX9" s="105">
        <f t="shared" si="14"/>
        <v>0.1</v>
      </c>
      <c r="AY9" s="103">
        <f t="shared" si="15"/>
        <v>0.15000000000000002</v>
      </c>
      <c r="AZ9" s="103">
        <f t="shared" si="16"/>
        <v>0.4</v>
      </c>
      <c r="BA9" s="103">
        <f t="shared" si="17"/>
        <v>0.60000000000000009</v>
      </c>
      <c r="BB9" s="106">
        <v>1769.05</v>
      </c>
      <c r="BC9" s="141">
        <f t="shared" si="18"/>
        <v>7076.2</v>
      </c>
      <c r="BD9" s="98">
        <f>IF(A9&lt;&gt;"",IF(_xlfn.XLOOKUP(A9,'1C'!A:A,'1C'!A:A,0,0)&gt;0,1,0),"")</f>
        <v>0</v>
      </c>
      <c r="BE9" s="98">
        <f>IF(C9&lt;&gt;"",IF(_xlfn.XLOOKUP(TEXT(C9,"###"),'1C'!W:W,'1C'!D:D,0,0)&gt;0,0,1),"")</f>
        <v>1</v>
      </c>
      <c r="BF9" s="98" t="str">
        <f t="shared" si="19"/>
        <v>-</v>
      </c>
    </row>
    <row r="10" spans="1:59" ht="98.1" customHeight="1">
      <c r="A10" s="103" t="str">
        <f t="shared" si="10"/>
        <v>11198849GRA</v>
      </c>
      <c r="B10" s="98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96-220-80</v>
      </c>
      <c r="C10" s="104" t="s">
        <v>1755</v>
      </c>
      <c r="D10" s="99" t="s">
        <v>1798</v>
      </c>
      <c r="E10" s="103" t="str">
        <f>IF(F10&lt;&gt;"",IFERROR(VLOOKUP(F10,Категории!A:B,2,0),""),"Требуется категория")</f>
        <v>Бейсболки</v>
      </c>
      <c r="F10" s="99" t="s">
        <v>327</v>
      </c>
      <c r="G10" s="101" t="s">
        <v>887</v>
      </c>
      <c r="H10" s="99" t="s">
        <v>388</v>
      </c>
      <c r="I10" s="99" t="str">
        <f t="shared" si="20"/>
        <v>11198849 New York Yankees MLB</v>
      </c>
      <c r="J10" s="101" t="s">
        <v>1794</v>
      </c>
      <c r="K10" s="107" t="s">
        <v>1725</v>
      </c>
      <c r="L10" s="107" t="s">
        <v>83</v>
      </c>
      <c r="M10" s="101"/>
      <c r="N10" s="101"/>
      <c r="O10" s="101" t="s">
        <v>911</v>
      </c>
      <c r="P10" s="101" t="s">
        <v>914</v>
      </c>
      <c r="Q10" s="116" t="s">
        <v>1813</v>
      </c>
      <c r="R10" s="101"/>
      <c r="S10" s="101" t="s">
        <v>43</v>
      </c>
      <c r="U10" s="99" t="s">
        <v>382</v>
      </c>
      <c r="V10" s="99">
        <v>2</v>
      </c>
      <c r="AT10" s="102">
        <f t="shared" si="11"/>
        <v>2</v>
      </c>
      <c r="AU10" s="114" t="s">
        <v>423</v>
      </c>
      <c r="AV10" s="102" t="str">
        <f t="shared" ca="1" si="12"/>
        <v>ERR</v>
      </c>
      <c r="AW10" s="103" t="str">
        <f t="shared" ca="1" si="13"/>
        <v>Китай</v>
      </c>
      <c r="AX10" s="105">
        <f t="shared" si="14"/>
        <v>0.1</v>
      </c>
      <c r="AY10" s="103">
        <f t="shared" si="15"/>
        <v>0.15000000000000002</v>
      </c>
      <c r="AZ10" s="103">
        <f t="shared" si="16"/>
        <v>0.2</v>
      </c>
      <c r="BA10" s="103">
        <f t="shared" si="17"/>
        <v>0.30000000000000004</v>
      </c>
      <c r="BB10" s="106">
        <v>1338.2</v>
      </c>
      <c r="BC10" s="141">
        <f t="shared" si="18"/>
        <v>2676.4</v>
      </c>
      <c r="BD10" s="98">
        <f>IF(A10&lt;&gt;"",IF(_xlfn.XLOOKUP(A10,'1C'!A:A,'1C'!A:A,0,0)&gt;0,1,0),"")</f>
        <v>0</v>
      </c>
      <c r="BE10" s="98">
        <f>IF(C10&lt;&gt;"",IF(_xlfn.XLOOKUP(TEXT(C10,"###"),'1C'!W:W,'1C'!D:D,0,0)&gt;0,0,1),"")</f>
        <v>1</v>
      </c>
      <c r="BF10" s="98" t="str">
        <f t="shared" si="19"/>
        <v>-</v>
      </c>
    </row>
    <row r="11" spans="1:59" ht="98.1" customHeight="1">
      <c r="A11" s="103" t="str">
        <f t="shared" si="10"/>
        <v>11405495BLK</v>
      </c>
      <c r="B11" s="98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96-221-09</v>
      </c>
      <c r="C11" s="104" t="s">
        <v>1757</v>
      </c>
      <c r="D11" s="99" t="s">
        <v>1799</v>
      </c>
      <c r="E11" s="103" t="str">
        <f>IF(F11&lt;&gt;"",IFERROR(VLOOKUP(F11,Категории!A:B,2,0),""),"Требуется категория")</f>
        <v>Бейсболки</v>
      </c>
      <c r="F11" s="99" t="s">
        <v>327</v>
      </c>
      <c r="G11" s="101" t="s">
        <v>887</v>
      </c>
      <c r="H11" s="99" t="s">
        <v>388</v>
      </c>
      <c r="I11" s="99" t="str">
        <f t="shared" si="20"/>
        <v>11405495 Los Angeles Dodgers MLB</v>
      </c>
      <c r="J11" s="101" t="s">
        <v>1794</v>
      </c>
      <c r="K11" s="107" t="s">
        <v>1726</v>
      </c>
      <c r="L11" s="107" t="s">
        <v>53</v>
      </c>
      <c r="M11" s="101"/>
      <c r="N11" s="101"/>
      <c r="O11" s="101" t="s">
        <v>911</v>
      </c>
      <c r="P11" s="101" t="s">
        <v>912</v>
      </c>
      <c r="Q11" s="116" t="s">
        <v>1814</v>
      </c>
      <c r="R11" s="101"/>
      <c r="S11" s="101" t="s">
        <v>43</v>
      </c>
      <c r="U11" s="99" t="s">
        <v>382</v>
      </c>
      <c r="AB11" s="99">
        <v>14</v>
      </c>
      <c r="AT11" s="102">
        <f t="shared" si="11"/>
        <v>14</v>
      </c>
      <c r="AU11" s="114" t="s">
        <v>571</v>
      </c>
      <c r="AV11" s="102" t="str">
        <f t="shared" ca="1" si="12"/>
        <v>ERR</v>
      </c>
      <c r="AW11" s="103" t="str">
        <f t="shared" ca="1" si="13"/>
        <v>Бангладеш</v>
      </c>
      <c r="AX11" s="105">
        <f t="shared" si="14"/>
        <v>0.1</v>
      </c>
      <c r="AY11" s="103">
        <f t="shared" si="15"/>
        <v>0.15000000000000002</v>
      </c>
      <c r="AZ11" s="103">
        <f t="shared" si="16"/>
        <v>1.4000000000000001</v>
      </c>
      <c r="BA11" s="103">
        <f t="shared" si="17"/>
        <v>2.1000000000000005</v>
      </c>
      <c r="BB11" s="106">
        <v>1489.65</v>
      </c>
      <c r="BC11" s="141">
        <f t="shared" si="18"/>
        <v>20855.100000000002</v>
      </c>
      <c r="BD11" s="98">
        <f>IF(A11&lt;&gt;"",IF(_xlfn.XLOOKUP(A11,'1C'!A:A,'1C'!A:A,0,0)&gt;0,1,0),"")</f>
        <v>0</v>
      </c>
      <c r="BE11" s="98">
        <f>IF(C11&lt;&gt;"",IF(_xlfn.XLOOKUP(TEXT(C11,"###"),'1C'!W:W,'1C'!D:D,0,0)&gt;0,0,1),"")</f>
        <v>1</v>
      </c>
      <c r="BF11" s="98" t="str">
        <f t="shared" si="19"/>
        <v>-</v>
      </c>
    </row>
    <row r="12" spans="1:59" ht="98.1" customHeight="1">
      <c r="A12" s="103" t="str">
        <f t="shared" si="10"/>
        <v>11448335BLK</v>
      </c>
      <c r="B12" s="98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96-222-09</v>
      </c>
      <c r="C12" s="104" t="s">
        <v>1758</v>
      </c>
      <c r="D12" s="99" t="s">
        <v>1800</v>
      </c>
      <c r="E12" s="103" t="str">
        <f>IF(F12&lt;&gt;"",IFERROR(VLOOKUP(F12,Категории!A:B,2,0),""),"Требуется категория")</f>
        <v>Шапки</v>
      </c>
      <c r="F12" s="99" t="s">
        <v>340</v>
      </c>
      <c r="G12" s="101" t="s">
        <v>887</v>
      </c>
      <c r="H12" s="99" t="s">
        <v>388</v>
      </c>
      <c r="I12" s="99" t="str">
        <f t="shared" si="20"/>
        <v>11448335 Oakland Raiders NFL</v>
      </c>
      <c r="J12" s="101" t="s">
        <v>1794</v>
      </c>
      <c r="K12" s="107" t="s">
        <v>1726</v>
      </c>
      <c r="L12" s="107" t="s">
        <v>53</v>
      </c>
      <c r="M12" s="101"/>
      <c r="N12" s="101"/>
      <c r="O12" s="101" t="s">
        <v>1111</v>
      </c>
      <c r="P12" s="101" t="s">
        <v>1856</v>
      </c>
      <c r="Q12" s="116" t="s">
        <v>1236</v>
      </c>
      <c r="R12" s="101"/>
      <c r="S12" s="101"/>
      <c r="U12" s="99" t="s">
        <v>382</v>
      </c>
      <c r="V12" s="99">
        <v>2</v>
      </c>
      <c r="AT12" s="102">
        <f t="shared" si="11"/>
        <v>2</v>
      </c>
      <c r="AU12" s="114" t="s">
        <v>423</v>
      </c>
      <c r="AV12" s="102" t="str">
        <f t="shared" ca="1" si="12"/>
        <v>ERR</v>
      </c>
      <c r="AW12" s="103" t="str">
        <f t="shared" ca="1" si="13"/>
        <v>Китай</v>
      </c>
      <c r="AX12" s="105">
        <f t="shared" si="14"/>
        <v>0.1</v>
      </c>
      <c r="AY12" s="103">
        <f t="shared" si="15"/>
        <v>0.15000000000000002</v>
      </c>
      <c r="AZ12" s="103">
        <f t="shared" si="16"/>
        <v>0.2</v>
      </c>
      <c r="BA12" s="103">
        <f t="shared" si="17"/>
        <v>0.30000000000000004</v>
      </c>
      <c r="BB12" s="106">
        <v>581.5</v>
      </c>
      <c r="BC12" s="141">
        <f t="shared" si="18"/>
        <v>1163</v>
      </c>
      <c r="BD12" s="98">
        <f>IF(A12&lt;&gt;"",IF(_xlfn.XLOOKUP(A12,'1C'!A:A,'1C'!A:A,0,0)&gt;0,1,0),"")</f>
        <v>0</v>
      </c>
      <c r="BE12" s="98">
        <f>IF(C12&lt;&gt;"",IF(_xlfn.XLOOKUP(TEXT(C12,"###"),'1C'!W:W,'1C'!D:D,0,0)&gt;0,0,1),"")</f>
        <v>1</v>
      </c>
      <c r="BF12" s="98" t="str">
        <f t="shared" si="19"/>
        <v>-</v>
      </c>
    </row>
    <row r="13" spans="1:59" ht="98.1" customHeight="1">
      <c r="A13" s="103" t="str">
        <f t="shared" si="10"/>
        <v>11588489NVYWHI</v>
      </c>
      <c r="B13" s="98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96-223-65</v>
      </c>
      <c r="C13" s="104" t="s">
        <v>1759</v>
      </c>
      <c r="D13" s="99" t="s">
        <v>1798</v>
      </c>
      <c r="E13" s="103" t="str">
        <f>IF(F13&lt;&gt;"",IFERROR(VLOOKUP(F13,Категории!A:B,2,0),""),"Требуется категория")</f>
        <v>Бейсболки</v>
      </c>
      <c r="F13" s="99" t="s">
        <v>356</v>
      </c>
      <c r="G13" s="101" t="s">
        <v>887</v>
      </c>
      <c r="H13" s="99" t="s">
        <v>388</v>
      </c>
      <c r="I13" s="99" t="str">
        <f t="shared" si="20"/>
        <v>11588489 New York Yankees MLB</v>
      </c>
      <c r="J13" s="101" t="s">
        <v>1794</v>
      </c>
      <c r="K13" s="107" t="s">
        <v>1728</v>
      </c>
      <c r="L13" s="107" t="s">
        <v>678</v>
      </c>
      <c r="M13" s="101"/>
      <c r="N13" s="101"/>
      <c r="O13" s="101" t="s">
        <v>911</v>
      </c>
      <c r="P13" s="101" t="s">
        <v>914</v>
      </c>
      <c r="Q13" s="116" t="s">
        <v>1810</v>
      </c>
      <c r="R13" s="101"/>
      <c r="S13" s="101" t="s">
        <v>43</v>
      </c>
      <c r="U13" s="99" t="s">
        <v>382</v>
      </c>
      <c r="V13" s="99">
        <v>32</v>
      </c>
      <c r="AT13" s="102">
        <f t="shared" si="11"/>
        <v>32</v>
      </c>
      <c r="AU13" s="114" t="s">
        <v>571</v>
      </c>
      <c r="AV13" s="102" t="str">
        <f t="shared" ca="1" si="12"/>
        <v>ERR</v>
      </c>
      <c r="AW13" s="103" t="str">
        <f t="shared" ca="1" si="13"/>
        <v>Бангладеш</v>
      </c>
      <c r="AX13" s="105">
        <f t="shared" si="14"/>
        <v>0.1</v>
      </c>
      <c r="AY13" s="103">
        <f t="shared" si="15"/>
        <v>0.15000000000000002</v>
      </c>
      <c r="AZ13" s="103">
        <f t="shared" si="16"/>
        <v>3.2</v>
      </c>
      <c r="BA13" s="103">
        <f t="shared" si="17"/>
        <v>4.8000000000000007</v>
      </c>
      <c r="BB13" s="106">
        <v>1489.65</v>
      </c>
      <c r="BC13" s="141">
        <f t="shared" si="18"/>
        <v>47668.800000000003</v>
      </c>
      <c r="BD13" s="98">
        <f>IF(A13&lt;&gt;"",IF(_xlfn.XLOOKUP(A13,'1C'!A:A,'1C'!A:A,0,0)&gt;0,1,0),"")</f>
        <v>0</v>
      </c>
      <c r="BE13" s="98">
        <f>IF(C13&lt;&gt;"",IF(_xlfn.XLOOKUP(TEXT(C13,"###"),'1C'!W:W,'1C'!D:D,0,0)&gt;0,0,1),"")</f>
        <v>1</v>
      </c>
      <c r="BF13" s="98" t="str">
        <f t="shared" si="19"/>
        <v>-</v>
      </c>
    </row>
    <row r="14" spans="1:59" ht="98.1" customHeight="1">
      <c r="A14" s="103" t="str">
        <f t="shared" si="10"/>
        <v>11871284BLKOTC</v>
      </c>
      <c r="B14" s="98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96-224-09</v>
      </c>
      <c r="C14" s="104" t="s">
        <v>1760</v>
      </c>
      <c r="D14" s="99" t="s">
        <v>1795</v>
      </c>
      <c r="E14" s="103" t="str">
        <f>IF(F14&lt;&gt;"",IFERROR(VLOOKUP(F14,Категории!A:B,2,0),""),"Требуется категория")</f>
        <v>Бейсболки</v>
      </c>
      <c r="F14" s="99" t="s">
        <v>327</v>
      </c>
      <c r="G14" s="101" t="s">
        <v>887</v>
      </c>
      <c r="H14" s="99" t="s">
        <v>388</v>
      </c>
      <c r="I14" s="99" t="str">
        <f t="shared" si="20"/>
        <v>11871284 Chicago Bulls NBA</v>
      </c>
      <c r="J14" s="101" t="s">
        <v>1794</v>
      </c>
      <c r="K14" s="107" t="s">
        <v>1729</v>
      </c>
      <c r="L14" s="107" t="s">
        <v>53</v>
      </c>
      <c r="M14" s="101"/>
      <c r="N14" s="101"/>
      <c r="O14" s="101" t="s">
        <v>1047</v>
      </c>
      <c r="P14" s="101" t="s">
        <v>1048</v>
      </c>
      <c r="Q14" s="116" t="s">
        <v>1812</v>
      </c>
      <c r="R14" s="101"/>
      <c r="S14" s="101"/>
      <c r="U14" s="99" t="s">
        <v>382</v>
      </c>
      <c r="Z14" s="99">
        <v>1</v>
      </c>
      <c r="AT14" s="102">
        <f t="shared" si="11"/>
        <v>1</v>
      </c>
      <c r="AU14" s="114" t="s">
        <v>571</v>
      </c>
      <c r="AV14" s="102" t="str">
        <f t="shared" ca="1" si="12"/>
        <v>ERR</v>
      </c>
      <c r="AW14" s="103" t="str">
        <f t="shared" ca="1" si="13"/>
        <v>Бангладеш</v>
      </c>
      <c r="AX14" s="105">
        <f t="shared" si="14"/>
        <v>0.1</v>
      </c>
      <c r="AY14" s="103">
        <f t="shared" si="15"/>
        <v>0.15000000000000002</v>
      </c>
      <c r="AZ14" s="103">
        <f t="shared" si="16"/>
        <v>0.1</v>
      </c>
      <c r="BA14" s="103">
        <f t="shared" si="17"/>
        <v>0.15000000000000002</v>
      </c>
      <c r="BB14" s="106">
        <v>1769.05</v>
      </c>
      <c r="BC14" s="141">
        <f t="shared" si="18"/>
        <v>1769.05</v>
      </c>
      <c r="BD14" s="98">
        <f>IF(A14&lt;&gt;"",IF(_xlfn.XLOOKUP(A14,'1C'!A:A,'1C'!A:A,0,0)&gt;0,1,0),"")</f>
        <v>0</v>
      </c>
      <c r="BE14" s="98">
        <f>IF(C14&lt;&gt;"",IF(_xlfn.XLOOKUP(TEXT(C14,"###"),'1C'!W:W,'1C'!D:D,0,0)&gt;0,0,1),"")</f>
        <v>1</v>
      </c>
      <c r="BF14" s="98" t="str">
        <f t="shared" si="19"/>
        <v>-</v>
      </c>
    </row>
    <row r="15" spans="1:59" ht="98.1" customHeight="1">
      <c r="A15" s="103" t="str">
        <f t="shared" si="10"/>
        <v>11901827BLK</v>
      </c>
      <c r="B15" s="98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96-225-09</v>
      </c>
      <c r="C15" s="104" t="s">
        <v>1761</v>
      </c>
      <c r="D15" s="99" t="s">
        <v>1801</v>
      </c>
      <c r="E15" s="103" t="str">
        <f>IF(F15&lt;&gt;"",IFERROR(VLOOKUP(F15,Категории!A:B,2,0),""),"Требуется категория")</f>
        <v>Бейсболки</v>
      </c>
      <c r="F15" s="99" t="s">
        <v>327</v>
      </c>
      <c r="G15" s="101" t="s">
        <v>887</v>
      </c>
      <c r="H15" s="99" t="s">
        <v>388</v>
      </c>
      <c r="I15" s="99" t="str">
        <f t="shared" si="20"/>
        <v>11901827 Los Angeles Lakers NBA</v>
      </c>
      <c r="J15" s="101" t="s">
        <v>1794</v>
      </c>
      <c r="K15" s="107" t="s">
        <v>1726</v>
      </c>
      <c r="L15" s="107" t="s">
        <v>53</v>
      </c>
      <c r="M15" s="101"/>
      <c r="N15" s="101"/>
      <c r="O15" s="101" t="s">
        <v>1047</v>
      </c>
      <c r="P15" s="101" t="s">
        <v>1053</v>
      </c>
      <c r="Q15" s="116" t="s">
        <v>1812</v>
      </c>
      <c r="R15" s="101"/>
      <c r="S15" s="101"/>
      <c r="U15" s="99" t="s">
        <v>382</v>
      </c>
      <c r="AB15" s="99">
        <v>1</v>
      </c>
      <c r="AT15" s="102">
        <f t="shared" si="11"/>
        <v>1</v>
      </c>
      <c r="AU15" s="114" t="s">
        <v>571</v>
      </c>
      <c r="AV15" s="102" t="str">
        <f t="shared" ca="1" si="12"/>
        <v>ERR</v>
      </c>
      <c r="AW15" s="103" t="str">
        <f t="shared" ca="1" si="13"/>
        <v>Бангладеш</v>
      </c>
      <c r="AX15" s="105">
        <f t="shared" si="14"/>
        <v>0.1</v>
      </c>
      <c r="AY15" s="103">
        <f t="shared" si="15"/>
        <v>0.15000000000000002</v>
      </c>
      <c r="AZ15" s="103">
        <f t="shared" si="16"/>
        <v>0.1</v>
      </c>
      <c r="BA15" s="103">
        <f t="shared" si="17"/>
        <v>0.15000000000000002</v>
      </c>
      <c r="BB15" s="106">
        <v>2211.31</v>
      </c>
      <c r="BC15" s="141">
        <f t="shared" si="18"/>
        <v>2211.31</v>
      </c>
      <c r="BD15" s="98">
        <f>IF(A15&lt;&gt;"",IF(_xlfn.XLOOKUP(A15,'1C'!A:A,'1C'!A:A,0,0)&gt;0,1,0),"")</f>
        <v>0</v>
      </c>
      <c r="BE15" s="98">
        <f>IF(C15&lt;&gt;"",IF(_xlfn.XLOOKUP(TEXT(C15,"###"),'1C'!W:W,'1C'!D:D,0,0)&gt;0,0,1),"")</f>
        <v>1</v>
      </c>
      <c r="BF15" s="98" t="str">
        <f t="shared" si="19"/>
        <v>-</v>
      </c>
    </row>
    <row r="16" spans="1:59" ht="98.1" customHeight="1">
      <c r="A16" s="103" t="str">
        <f t="shared" si="10"/>
        <v>12033100GRE</v>
      </c>
      <c r="B16" s="98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96-226-03</v>
      </c>
      <c r="C16" s="104" t="s">
        <v>1762</v>
      </c>
      <c r="E16" s="103" t="str">
        <f>IF(F16&lt;&gt;"",IFERROR(VLOOKUP(F16,Категории!A:B,2,0),""),"Требуется категория")</f>
        <v>Шапки</v>
      </c>
      <c r="F16" s="99" t="s">
        <v>340</v>
      </c>
      <c r="G16" s="101" t="s">
        <v>887</v>
      </c>
      <c r="H16" s="99" t="s">
        <v>388</v>
      </c>
      <c r="I16" s="99" t="str">
        <f t="shared" si="20"/>
        <v xml:space="preserve">12033100 </v>
      </c>
      <c r="J16" s="101" t="s">
        <v>1794</v>
      </c>
      <c r="K16" s="107" t="s">
        <v>1730</v>
      </c>
      <c r="L16" s="107" t="s">
        <v>195</v>
      </c>
      <c r="M16" s="101"/>
      <c r="N16" s="101"/>
      <c r="O16" s="101"/>
      <c r="P16" s="101"/>
      <c r="Q16" s="116" t="s">
        <v>1236</v>
      </c>
      <c r="R16" s="101"/>
      <c r="S16" s="101" t="s">
        <v>43</v>
      </c>
      <c r="U16" s="99" t="s">
        <v>382</v>
      </c>
      <c r="V16" s="99">
        <v>4</v>
      </c>
      <c r="AT16" s="102">
        <f t="shared" si="11"/>
        <v>4</v>
      </c>
      <c r="AU16" s="114" t="s">
        <v>423</v>
      </c>
      <c r="AV16" s="102" t="str">
        <f t="shared" ca="1" si="12"/>
        <v>ERR</v>
      </c>
      <c r="AW16" s="103" t="str">
        <f t="shared" ca="1" si="13"/>
        <v>Китай</v>
      </c>
      <c r="AX16" s="105">
        <f t="shared" si="14"/>
        <v>0.1</v>
      </c>
      <c r="AY16" s="103">
        <f t="shared" si="15"/>
        <v>0.15000000000000002</v>
      </c>
      <c r="AZ16" s="103">
        <f t="shared" si="16"/>
        <v>0.4</v>
      </c>
      <c r="BA16" s="103">
        <f t="shared" si="17"/>
        <v>0.60000000000000009</v>
      </c>
      <c r="BB16" s="106">
        <v>465.2</v>
      </c>
      <c r="BC16" s="141">
        <f t="shared" si="18"/>
        <v>1860.8</v>
      </c>
      <c r="BD16" s="98">
        <f>IF(A16&lt;&gt;"",IF(_xlfn.XLOOKUP(A16,'1C'!A:A,'1C'!A:A,0,0)&gt;0,1,0),"")</f>
        <v>0</v>
      </c>
      <c r="BE16" s="98">
        <f>IF(C16&lt;&gt;"",IF(_xlfn.XLOOKUP(TEXT(C16,"###"),'1C'!W:W,'1C'!D:D,0,0)&gt;0,0,1),"")</f>
        <v>1</v>
      </c>
      <c r="BF16" s="98" t="str">
        <f t="shared" si="19"/>
        <v>-</v>
      </c>
    </row>
    <row r="17" spans="1:58" ht="98.1" customHeight="1">
      <c r="A17" s="103" t="str">
        <f t="shared" si="10"/>
        <v>12122725BLK</v>
      </c>
      <c r="B17" s="98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96-227-09</v>
      </c>
      <c r="C17" s="104" t="s">
        <v>1765</v>
      </c>
      <c r="D17" s="99" t="s">
        <v>1795</v>
      </c>
      <c r="E17" s="103" t="str">
        <f>IF(F17&lt;&gt;"",IFERROR(VLOOKUP(F17,Категории!A:B,2,0),""),"Требуется категория")</f>
        <v>Бейсболки</v>
      </c>
      <c r="F17" s="99" t="s">
        <v>783</v>
      </c>
      <c r="G17" s="101" t="s">
        <v>887</v>
      </c>
      <c r="H17" s="99" t="s">
        <v>388</v>
      </c>
      <c r="I17" s="99" t="str">
        <f t="shared" si="20"/>
        <v>12122725 Chicago Bulls NBA</v>
      </c>
      <c r="J17" s="101" t="s">
        <v>1794</v>
      </c>
      <c r="K17" s="107" t="s">
        <v>1726</v>
      </c>
      <c r="L17" s="107" t="s">
        <v>53</v>
      </c>
      <c r="M17" s="101"/>
      <c r="N17" s="101"/>
      <c r="O17" s="101" t="s">
        <v>1047</v>
      </c>
      <c r="P17" s="101" t="s">
        <v>1048</v>
      </c>
      <c r="Q17" s="116" t="s">
        <v>1810</v>
      </c>
      <c r="R17" s="101"/>
      <c r="S17" s="101" t="s">
        <v>43</v>
      </c>
      <c r="U17" s="99" t="s">
        <v>382</v>
      </c>
      <c r="Z17" s="99">
        <v>1</v>
      </c>
      <c r="AB17" s="99">
        <v>2</v>
      </c>
      <c r="AT17" s="102">
        <f t="shared" si="11"/>
        <v>3</v>
      </c>
      <c r="AU17" s="114" t="s">
        <v>423</v>
      </c>
      <c r="AV17" s="102" t="str">
        <f t="shared" ca="1" si="12"/>
        <v>ERR</v>
      </c>
      <c r="AW17" s="103" t="str">
        <f t="shared" ca="1" si="13"/>
        <v>Китай</v>
      </c>
      <c r="AX17" s="105">
        <f t="shared" si="14"/>
        <v>0.1</v>
      </c>
      <c r="AY17" s="103">
        <f t="shared" si="15"/>
        <v>0.15000000000000002</v>
      </c>
      <c r="AZ17" s="103">
        <f t="shared" si="16"/>
        <v>0.30000000000000004</v>
      </c>
      <c r="BA17" s="103">
        <f t="shared" si="17"/>
        <v>0.45000000000000007</v>
      </c>
      <c r="BB17" s="106">
        <v>1769.05</v>
      </c>
      <c r="BC17" s="141">
        <f t="shared" si="18"/>
        <v>5307.15</v>
      </c>
      <c r="BD17" s="98">
        <f>IF(A17&lt;&gt;"",IF(_xlfn.XLOOKUP(A17,'1C'!A:A,'1C'!A:A,0,0)&gt;0,1,0),"")</f>
        <v>0</v>
      </c>
      <c r="BE17" s="98">
        <f>IF(C17&lt;&gt;"",IF(_xlfn.XLOOKUP(TEXT(C17,"###"),'1C'!W:W,'1C'!D:D,0,0)&gt;0,0,1),"")</f>
        <v>1</v>
      </c>
      <c r="BF17" s="98" t="str">
        <f t="shared" si="19"/>
        <v>-</v>
      </c>
    </row>
    <row r="18" spans="1:58" ht="98.1" customHeight="1">
      <c r="A18" s="103" t="str">
        <f t="shared" si="10"/>
        <v>12503527BLACK</v>
      </c>
      <c r="B18" s="98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96-228-09</v>
      </c>
      <c r="C18" s="104" t="s">
        <v>1767</v>
      </c>
      <c r="D18" s="99" t="s">
        <v>1802</v>
      </c>
      <c r="E18" s="103" t="str">
        <f>IF(F18&lt;&gt;"",IFERROR(VLOOKUP(F18,Категории!A:B,2,0),""),"Требуется категория")</f>
        <v>Бейсболки</v>
      </c>
      <c r="F18" s="99" t="s">
        <v>327</v>
      </c>
      <c r="G18" s="101" t="s">
        <v>887</v>
      </c>
      <c r="H18" s="99" t="s">
        <v>388</v>
      </c>
      <c r="I18" s="99" t="str">
        <f t="shared" si="20"/>
        <v>12503527 Manchester United EPL</v>
      </c>
      <c r="J18" s="101" t="s">
        <v>1794</v>
      </c>
      <c r="K18" s="107" t="s">
        <v>1733</v>
      </c>
      <c r="L18" s="138" t="s">
        <v>53</v>
      </c>
      <c r="M18" s="101"/>
      <c r="N18" s="101"/>
      <c r="O18" s="101" t="s">
        <v>921</v>
      </c>
      <c r="P18" s="101" t="s">
        <v>1229</v>
      </c>
      <c r="Q18" s="116" t="s">
        <v>1808</v>
      </c>
      <c r="R18" s="101"/>
      <c r="S18" s="101"/>
      <c r="U18" s="99" t="s">
        <v>382</v>
      </c>
      <c r="Z18" s="99">
        <v>6</v>
      </c>
      <c r="AT18" s="102">
        <f t="shared" si="11"/>
        <v>6</v>
      </c>
      <c r="AU18" s="114" t="s">
        <v>423</v>
      </c>
      <c r="AV18" s="102" t="str">
        <f t="shared" ca="1" si="12"/>
        <v>ERR</v>
      </c>
      <c r="AW18" s="103" t="str">
        <f t="shared" ca="1" si="13"/>
        <v>Китай</v>
      </c>
      <c r="AX18" s="105">
        <f t="shared" si="14"/>
        <v>0.1</v>
      </c>
      <c r="AY18" s="103">
        <f t="shared" si="15"/>
        <v>0.15000000000000002</v>
      </c>
      <c r="AZ18" s="103">
        <f t="shared" si="16"/>
        <v>0.60000000000000009</v>
      </c>
      <c r="BA18" s="103">
        <f t="shared" si="17"/>
        <v>0.90000000000000013</v>
      </c>
      <c r="BB18" s="106">
        <v>1745.65</v>
      </c>
      <c r="BC18" s="141">
        <f t="shared" si="18"/>
        <v>10473.900000000001</v>
      </c>
      <c r="BD18" s="98">
        <f>IF(A18&lt;&gt;"",IF(_xlfn.XLOOKUP(A18,'1C'!A:A,'1C'!A:A,0,0)&gt;0,1,0),"")</f>
        <v>0</v>
      </c>
      <c r="BE18" s="98">
        <f>IF(C18&lt;&gt;"",IF(_xlfn.XLOOKUP(TEXT(C18,"###"),'1C'!W:W,'1C'!D:D,0,0)&gt;0,0,1),"")</f>
        <v>1</v>
      </c>
      <c r="BF18" s="98" t="str">
        <f t="shared" si="19"/>
        <v>-</v>
      </c>
    </row>
    <row r="19" spans="1:58" ht="98.1" customHeight="1">
      <c r="A19" s="103" t="str">
        <f t="shared" si="10"/>
        <v>12503535SCA</v>
      </c>
      <c r="B19" s="98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96-229-18</v>
      </c>
      <c r="C19" s="104" t="s">
        <v>1768</v>
      </c>
      <c r="D19" s="99" t="s">
        <v>1802</v>
      </c>
      <c r="E19" s="103" t="str">
        <f>IF(F19&lt;&gt;"",IFERROR(VLOOKUP(F19,Категории!A:B,2,0),""),"Требуется категория")</f>
        <v>Бейсболки</v>
      </c>
      <c r="F19" s="99" t="s">
        <v>327</v>
      </c>
      <c r="G19" s="101" t="s">
        <v>887</v>
      </c>
      <c r="H19" s="99" t="s">
        <v>388</v>
      </c>
      <c r="I19" s="99" t="str">
        <f t="shared" si="20"/>
        <v>12503535 Manchester United EPL</v>
      </c>
      <c r="J19" s="101" t="s">
        <v>1794</v>
      </c>
      <c r="K19" s="107" t="s">
        <v>1734</v>
      </c>
      <c r="L19" s="107" t="s">
        <v>78</v>
      </c>
      <c r="M19" s="101"/>
      <c r="N19" s="101"/>
      <c r="O19" s="101" t="s">
        <v>921</v>
      </c>
      <c r="P19" s="101" t="s">
        <v>1229</v>
      </c>
      <c r="Q19" s="116" t="s">
        <v>910</v>
      </c>
      <c r="R19" s="101"/>
      <c r="S19" s="101" t="s">
        <v>43</v>
      </c>
      <c r="U19" s="99" t="s">
        <v>382</v>
      </c>
      <c r="V19" s="99">
        <v>3</v>
      </c>
      <c r="AT19" s="102">
        <f t="shared" si="11"/>
        <v>3</v>
      </c>
      <c r="AU19" s="114" t="s">
        <v>423</v>
      </c>
      <c r="AV19" s="102" t="str">
        <f t="shared" ca="1" si="12"/>
        <v>ERR</v>
      </c>
      <c r="AW19" s="103" t="str">
        <f t="shared" ca="1" si="13"/>
        <v>Китай</v>
      </c>
      <c r="AX19" s="105">
        <f t="shared" si="14"/>
        <v>0.1</v>
      </c>
      <c r="AY19" s="103">
        <f t="shared" si="15"/>
        <v>0.15000000000000002</v>
      </c>
      <c r="AZ19" s="103">
        <f t="shared" si="16"/>
        <v>0.30000000000000004</v>
      </c>
      <c r="BA19" s="103">
        <f t="shared" si="17"/>
        <v>0.45000000000000007</v>
      </c>
      <c r="BB19" s="106">
        <v>1338.2</v>
      </c>
      <c r="BC19" s="141">
        <f t="shared" si="18"/>
        <v>4014.6000000000004</v>
      </c>
      <c r="BD19" s="98">
        <f>IF(A19&lt;&gt;"",IF(_xlfn.XLOOKUP(A19,'1C'!A:A,'1C'!A:A,0,0)&gt;0,1,0),"")</f>
        <v>0</v>
      </c>
      <c r="BE19" s="98">
        <f>IF(C19&lt;&gt;"",IF(_xlfn.XLOOKUP(TEXT(C19,"###"),'1C'!W:W,'1C'!D:D,0,0)&gt;0,0,1),"")</f>
        <v>1</v>
      </c>
      <c r="BF19" s="98" t="str">
        <f t="shared" si="19"/>
        <v>-</v>
      </c>
    </row>
    <row r="20" spans="1:58" ht="98.1" customHeight="1">
      <c r="A20" s="103" t="str">
        <f t="shared" si="10"/>
        <v>12503546BLK</v>
      </c>
      <c r="B20" s="98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96-230-09</v>
      </c>
      <c r="C20" s="104" t="s">
        <v>1769</v>
      </c>
      <c r="D20" s="99" t="s">
        <v>1802</v>
      </c>
      <c r="E20" s="103" t="str">
        <f>IF(F20&lt;&gt;"",IFERROR(VLOOKUP(F20,Категории!A:B,2,0),""),"Требуется категория")</f>
        <v>Бейсболки</v>
      </c>
      <c r="F20" s="99" t="s">
        <v>327</v>
      </c>
      <c r="G20" s="101" t="s">
        <v>887</v>
      </c>
      <c r="H20" s="99" t="s">
        <v>388</v>
      </c>
      <c r="I20" s="99" t="str">
        <f t="shared" si="20"/>
        <v>12503546 Manchester United EPL</v>
      </c>
      <c r="J20" s="101" t="s">
        <v>1794</v>
      </c>
      <c r="K20" s="107" t="s">
        <v>1726</v>
      </c>
      <c r="L20" s="107" t="s">
        <v>53</v>
      </c>
      <c r="M20" s="101"/>
      <c r="N20" s="101"/>
      <c r="O20" s="101" t="s">
        <v>921</v>
      </c>
      <c r="P20" s="101" t="s">
        <v>1229</v>
      </c>
      <c r="Q20" s="116" t="s">
        <v>1815</v>
      </c>
      <c r="R20" s="101"/>
      <c r="S20" s="101"/>
      <c r="U20" s="99" t="s">
        <v>382</v>
      </c>
      <c r="Z20" s="99">
        <v>6</v>
      </c>
      <c r="AT20" s="102">
        <f t="shared" si="11"/>
        <v>6</v>
      </c>
      <c r="AU20" s="114" t="s">
        <v>423</v>
      </c>
      <c r="AV20" s="102" t="str">
        <f t="shared" ca="1" si="12"/>
        <v>ERR</v>
      </c>
      <c r="AW20" s="103" t="str">
        <f t="shared" ca="1" si="13"/>
        <v>Китай</v>
      </c>
      <c r="AX20" s="105">
        <f t="shared" si="14"/>
        <v>0.1</v>
      </c>
      <c r="AY20" s="103">
        <f t="shared" si="15"/>
        <v>0.15000000000000002</v>
      </c>
      <c r="AZ20" s="103">
        <f t="shared" si="16"/>
        <v>0.60000000000000009</v>
      </c>
      <c r="BA20" s="103">
        <f t="shared" si="17"/>
        <v>0.90000000000000013</v>
      </c>
      <c r="BB20" s="106">
        <v>1396.4</v>
      </c>
      <c r="BC20" s="141">
        <f t="shared" si="18"/>
        <v>8378.4000000000015</v>
      </c>
      <c r="BD20" s="98">
        <f>IF(A20&lt;&gt;"",IF(_xlfn.XLOOKUP(A20,'1C'!A:A,'1C'!A:A,0,0)&gt;0,1,0),"")</f>
        <v>0</v>
      </c>
      <c r="BE20" s="98">
        <f>IF(C20&lt;&gt;"",IF(_xlfn.XLOOKUP(TEXT(C20,"###"),'1C'!W:W,'1C'!D:D,0,0)&gt;0,0,1),"")</f>
        <v>1</v>
      </c>
      <c r="BF20" s="98" t="str">
        <f t="shared" si="19"/>
        <v>-</v>
      </c>
    </row>
    <row r="21" spans="1:58" ht="98.1" customHeight="1">
      <c r="A21" s="103" t="str">
        <f t="shared" si="10"/>
        <v>12503924GRA</v>
      </c>
      <c r="B21" s="98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96-231-80</v>
      </c>
      <c r="C21" s="104" t="s">
        <v>1770</v>
      </c>
      <c r="D21" s="99" t="s">
        <v>1803</v>
      </c>
      <c r="E21" s="103" t="str">
        <f>IF(F21&lt;&gt;"",IFERROR(VLOOKUP(F21,Категории!A:B,2,0),""),"Требуется категория")</f>
        <v>Бейсболки</v>
      </c>
      <c r="F21" s="99" t="s">
        <v>327</v>
      </c>
      <c r="G21" s="101" t="s">
        <v>887</v>
      </c>
      <c r="H21" s="99" t="s">
        <v>388</v>
      </c>
      <c r="I21" s="99" t="str">
        <f t="shared" si="20"/>
        <v>12503924 Chelsea EPL</v>
      </c>
      <c r="J21" s="101" t="s">
        <v>1794</v>
      </c>
      <c r="K21" s="107" t="s">
        <v>1725</v>
      </c>
      <c r="L21" s="107" t="s">
        <v>83</v>
      </c>
      <c r="M21" s="101"/>
      <c r="N21" s="101"/>
      <c r="O21" s="101" t="s">
        <v>921</v>
      </c>
      <c r="P21" s="101" t="s">
        <v>1279</v>
      </c>
      <c r="Q21" s="116" t="s">
        <v>1810</v>
      </c>
      <c r="R21" s="101"/>
      <c r="S21" s="101" t="s">
        <v>43</v>
      </c>
      <c r="U21" s="99" t="s">
        <v>382</v>
      </c>
      <c r="V21" s="99">
        <v>6</v>
      </c>
      <c r="AT21" s="102">
        <f t="shared" si="11"/>
        <v>6</v>
      </c>
      <c r="AU21" s="114" t="s">
        <v>423</v>
      </c>
      <c r="AV21" s="102" t="str">
        <f t="shared" ca="1" si="12"/>
        <v>ERR</v>
      </c>
      <c r="AW21" s="103" t="str">
        <f t="shared" ca="1" si="13"/>
        <v>Китай</v>
      </c>
      <c r="AX21" s="105">
        <f t="shared" si="14"/>
        <v>0.1</v>
      </c>
      <c r="AY21" s="103">
        <f t="shared" si="15"/>
        <v>0.15000000000000002</v>
      </c>
      <c r="AZ21" s="103">
        <f t="shared" si="16"/>
        <v>0.60000000000000009</v>
      </c>
      <c r="BA21" s="103">
        <f t="shared" si="17"/>
        <v>0.90000000000000013</v>
      </c>
      <c r="BB21" s="106">
        <v>1105.3699999999999</v>
      </c>
      <c r="BC21" s="141">
        <f t="shared" si="18"/>
        <v>6632.2199999999993</v>
      </c>
      <c r="BD21" s="98">
        <f>IF(A21&lt;&gt;"",IF(_xlfn.XLOOKUP(A21,'1C'!A:A,'1C'!A:A,0,0)&gt;0,1,0),"")</f>
        <v>0</v>
      </c>
      <c r="BE21" s="98">
        <f>IF(C21&lt;&gt;"",IF(_xlfn.XLOOKUP(TEXT(C21,"###"),'1C'!W:W,'1C'!D:D,0,0)&gt;0,0,1),"")</f>
        <v>1</v>
      </c>
      <c r="BF21" s="98" t="str">
        <f t="shared" si="19"/>
        <v>-</v>
      </c>
    </row>
    <row r="22" spans="1:58" ht="98.1" customHeight="1">
      <c r="A22" s="103" t="str">
        <f t="shared" si="10"/>
        <v>12503934CAB</v>
      </c>
      <c r="B22" s="98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96-232-06</v>
      </c>
      <c r="C22" s="104" t="s">
        <v>1771</v>
      </c>
      <c r="D22" s="99" t="s">
        <v>1803</v>
      </c>
      <c r="E22" s="103" t="str">
        <f>IF(F22&lt;&gt;"",IFERROR(VLOOKUP(F22,Категории!A:B,2,0),""),"Требуется категория")</f>
        <v>Бейсболки</v>
      </c>
      <c r="F22" s="99" t="s">
        <v>327</v>
      </c>
      <c r="G22" s="101" t="s">
        <v>887</v>
      </c>
      <c r="H22" s="99" t="s">
        <v>388</v>
      </c>
      <c r="I22" s="99" t="str">
        <f t="shared" si="20"/>
        <v>12503934 Chelsea EPL</v>
      </c>
      <c r="J22" s="101" t="s">
        <v>1794</v>
      </c>
      <c r="K22" s="107" t="s">
        <v>1735</v>
      </c>
      <c r="L22" s="107" t="s">
        <v>71</v>
      </c>
      <c r="M22" s="101"/>
      <c r="N22" s="101"/>
      <c r="O22" s="101" t="s">
        <v>921</v>
      </c>
      <c r="P22" s="101" t="s">
        <v>1279</v>
      </c>
      <c r="Q22" s="116" t="s">
        <v>1810</v>
      </c>
      <c r="R22" s="101"/>
      <c r="S22" s="101" t="s">
        <v>43</v>
      </c>
      <c r="U22" s="99" t="s">
        <v>382</v>
      </c>
      <c r="V22" s="99">
        <v>5</v>
      </c>
      <c r="AT22" s="102">
        <f t="shared" si="11"/>
        <v>5</v>
      </c>
      <c r="AU22" s="114" t="s">
        <v>423</v>
      </c>
      <c r="AV22" s="102" t="str">
        <f t="shared" ca="1" si="12"/>
        <v>ERR</v>
      </c>
      <c r="AW22" s="103" t="str">
        <f t="shared" ca="1" si="13"/>
        <v>Китай</v>
      </c>
      <c r="AX22" s="105">
        <f t="shared" si="14"/>
        <v>0.1</v>
      </c>
      <c r="AY22" s="103">
        <f t="shared" si="15"/>
        <v>0.15000000000000002</v>
      </c>
      <c r="AZ22" s="103">
        <f t="shared" si="16"/>
        <v>0.5</v>
      </c>
      <c r="BA22" s="103">
        <f t="shared" si="17"/>
        <v>0.75000000000000011</v>
      </c>
      <c r="BB22" s="106">
        <v>1105.3699999999999</v>
      </c>
      <c r="BC22" s="141">
        <f t="shared" si="18"/>
        <v>5526.8499999999995</v>
      </c>
      <c r="BD22" s="98">
        <f>IF(A22&lt;&gt;"",IF(_xlfn.XLOOKUP(A22,'1C'!A:A,'1C'!A:A,0,0)&gt;0,1,0),"")</f>
        <v>0</v>
      </c>
      <c r="BE22" s="98">
        <f>IF(C22&lt;&gt;"",IF(_xlfn.XLOOKUP(TEXT(C22,"###"),'1C'!W:W,'1C'!D:D,0,0)&gt;0,0,1),"")</f>
        <v>1</v>
      </c>
      <c r="BF22" s="98" t="str">
        <f t="shared" si="19"/>
        <v>-</v>
      </c>
    </row>
    <row r="23" spans="1:58" ht="98.1" customHeight="1">
      <c r="A23" s="103" t="str">
        <f t="shared" si="10"/>
        <v>12523897GRAWHI</v>
      </c>
      <c r="B23" s="98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96-233-80</v>
      </c>
      <c r="C23" s="104" t="s">
        <v>1772</v>
      </c>
      <c r="D23" s="99" t="s">
        <v>1798</v>
      </c>
      <c r="E23" s="103" t="str">
        <f>IF(F23&lt;&gt;"",IFERROR(VLOOKUP(F23,Категории!A:B,2,0),""),"Требуется категория")</f>
        <v>Бейсболки</v>
      </c>
      <c r="F23" s="99" t="s">
        <v>327</v>
      </c>
      <c r="G23" s="101" t="s">
        <v>887</v>
      </c>
      <c r="H23" s="99" t="s">
        <v>388</v>
      </c>
      <c r="I23" s="99" t="str">
        <f t="shared" si="20"/>
        <v>12523897 New York Yankees MLB</v>
      </c>
      <c r="J23" s="101" t="s">
        <v>1794</v>
      </c>
      <c r="K23" s="107" t="s">
        <v>1736</v>
      </c>
      <c r="L23" s="107" t="s">
        <v>83</v>
      </c>
      <c r="M23" s="101"/>
      <c r="N23" s="101"/>
      <c r="O23" s="101" t="s">
        <v>911</v>
      </c>
      <c r="P23" s="101" t="s">
        <v>914</v>
      </c>
      <c r="Q23" s="116" t="s">
        <v>1810</v>
      </c>
      <c r="R23" s="101"/>
      <c r="S23" s="101" t="s">
        <v>43</v>
      </c>
      <c r="U23" s="99" t="s">
        <v>382</v>
      </c>
      <c r="V23" s="99">
        <v>2</v>
      </c>
      <c r="AT23" s="102">
        <f t="shared" si="11"/>
        <v>2</v>
      </c>
      <c r="AU23" s="114" t="s">
        <v>571</v>
      </c>
      <c r="AV23" s="102" t="str">
        <f t="shared" ca="1" si="12"/>
        <v>ERR</v>
      </c>
      <c r="AW23" s="103" t="str">
        <f t="shared" ca="1" si="13"/>
        <v>Бангладеш</v>
      </c>
      <c r="AX23" s="105">
        <f t="shared" si="14"/>
        <v>0.1</v>
      </c>
      <c r="AY23" s="103">
        <f t="shared" si="15"/>
        <v>0.15000000000000002</v>
      </c>
      <c r="AZ23" s="103">
        <f t="shared" si="16"/>
        <v>0.2</v>
      </c>
      <c r="BA23" s="103">
        <f t="shared" si="17"/>
        <v>0.30000000000000004</v>
      </c>
      <c r="BB23" s="106">
        <v>1687.44</v>
      </c>
      <c r="BC23" s="141">
        <f t="shared" si="18"/>
        <v>3374.88</v>
      </c>
      <c r="BD23" s="98">
        <f>IF(A23&lt;&gt;"",IF(_xlfn.XLOOKUP(A23,'1C'!A:A,'1C'!A:A,0,0)&gt;0,1,0),"")</f>
        <v>0</v>
      </c>
      <c r="BE23" s="98">
        <f>IF(C23&lt;&gt;"",IF(_xlfn.XLOOKUP(TEXT(C23,"###"),'1C'!W:W,'1C'!D:D,0,0)&gt;0,0,1),"")</f>
        <v>1</v>
      </c>
      <c r="BF23" s="98" t="str">
        <f t="shared" si="19"/>
        <v>-</v>
      </c>
    </row>
    <row r="24" spans="1:58" ht="98.1" customHeight="1">
      <c r="A24" s="103" t="str">
        <f t="shared" si="10"/>
        <v>12523910BLKBLK</v>
      </c>
      <c r="B24" s="98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96-234-09</v>
      </c>
      <c r="C24" s="104" t="s">
        <v>1773</v>
      </c>
      <c r="D24" s="99" t="s">
        <v>1798</v>
      </c>
      <c r="E24" s="103" t="str">
        <f>IF(F24&lt;&gt;"",IFERROR(VLOOKUP(F24,Категории!A:B,2,0),""),"Требуется категория")</f>
        <v>Бейсболки</v>
      </c>
      <c r="F24" s="99" t="s">
        <v>327</v>
      </c>
      <c r="G24" s="101" t="s">
        <v>887</v>
      </c>
      <c r="H24" s="99" t="s">
        <v>388</v>
      </c>
      <c r="I24" s="99" t="str">
        <f t="shared" si="20"/>
        <v>12523910 New York Yankees MLB</v>
      </c>
      <c r="J24" s="101" t="s">
        <v>1794</v>
      </c>
      <c r="K24" s="107" t="s">
        <v>1737</v>
      </c>
      <c r="L24" s="107" t="s">
        <v>53</v>
      </c>
      <c r="M24" s="101"/>
      <c r="N24" s="101"/>
      <c r="O24" s="101" t="s">
        <v>911</v>
      </c>
      <c r="P24" s="101" t="s">
        <v>914</v>
      </c>
      <c r="Q24" s="116" t="s">
        <v>1808</v>
      </c>
      <c r="R24" s="101"/>
      <c r="S24" s="101"/>
      <c r="U24" s="99" t="s">
        <v>382</v>
      </c>
      <c r="Z24" s="99">
        <v>1</v>
      </c>
      <c r="AB24" s="99">
        <v>1</v>
      </c>
      <c r="AT24" s="102">
        <f t="shared" si="11"/>
        <v>2</v>
      </c>
      <c r="AU24" s="114" t="s">
        <v>571</v>
      </c>
      <c r="AV24" s="102" t="str">
        <f t="shared" ca="1" si="12"/>
        <v>ERR</v>
      </c>
      <c r="AW24" s="103" t="str">
        <f t="shared" ca="1" si="13"/>
        <v>Бангладеш</v>
      </c>
      <c r="AX24" s="105">
        <f t="shared" si="14"/>
        <v>0.1</v>
      </c>
      <c r="AY24" s="103">
        <f t="shared" si="15"/>
        <v>0.15000000000000002</v>
      </c>
      <c r="AZ24" s="103">
        <f t="shared" si="16"/>
        <v>0.2</v>
      </c>
      <c r="BA24" s="103">
        <f t="shared" si="17"/>
        <v>0.30000000000000004</v>
      </c>
      <c r="BB24" s="106">
        <v>2153.1</v>
      </c>
      <c r="BC24" s="141">
        <f t="shared" si="18"/>
        <v>4306.2</v>
      </c>
      <c r="BD24" s="98">
        <f>IF(A24&lt;&gt;"",IF(_xlfn.XLOOKUP(A24,'1C'!A:A,'1C'!A:A,0,0)&gt;0,1,0),"")</f>
        <v>0</v>
      </c>
      <c r="BE24" s="98">
        <f>IF(C24&lt;&gt;"",IF(_xlfn.XLOOKUP(TEXT(C24,"###"),'1C'!W:W,'1C'!D:D,0,0)&gt;0,0,1),"")</f>
        <v>1</v>
      </c>
      <c r="BF24" s="98" t="str">
        <f t="shared" si="19"/>
        <v>-</v>
      </c>
    </row>
    <row r="25" spans="1:58" ht="98.1" customHeight="1">
      <c r="A25" s="103" t="str">
        <f t="shared" si="10"/>
        <v>60221494GRH</v>
      </c>
      <c r="B25" s="98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96-235-05</v>
      </c>
      <c r="C25" s="104" t="s">
        <v>1776</v>
      </c>
      <c r="D25" s="99" t="s">
        <v>1803</v>
      </c>
      <c r="E25" s="103" t="str">
        <f>IF(F25&lt;&gt;"",IFERROR(VLOOKUP(F25,Категории!A:B,2,0),""),"Требуется категория")</f>
        <v>Бейсболки</v>
      </c>
      <c r="F25" s="99" t="s">
        <v>327</v>
      </c>
      <c r="G25" s="101" t="s">
        <v>887</v>
      </c>
      <c r="H25" s="99" t="s">
        <v>388</v>
      </c>
      <c r="I25" s="99" t="str">
        <f t="shared" si="20"/>
        <v>60221494 Chelsea EPL</v>
      </c>
      <c r="J25" s="99" t="s">
        <v>1794</v>
      </c>
      <c r="K25" s="107" t="s">
        <v>1739</v>
      </c>
      <c r="L25" s="107" t="s">
        <v>277</v>
      </c>
      <c r="M25" s="101"/>
      <c r="N25" s="101"/>
      <c r="O25" s="101" t="s">
        <v>921</v>
      </c>
      <c r="P25" s="101" t="s">
        <v>1279</v>
      </c>
      <c r="Q25" s="116" t="s">
        <v>1812</v>
      </c>
      <c r="R25" s="101"/>
      <c r="S25" s="101"/>
      <c r="U25" s="99" t="s">
        <v>382</v>
      </c>
      <c r="Z25" s="99">
        <v>1</v>
      </c>
      <c r="AB25" s="99">
        <v>1</v>
      </c>
      <c r="AT25" s="102">
        <f t="shared" si="11"/>
        <v>2</v>
      </c>
      <c r="AU25" s="114" t="s">
        <v>423</v>
      </c>
      <c r="AV25" s="102" t="str">
        <f t="shared" ca="1" si="12"/>
        <v>ERR</v>
      </c>
      <c r="AW25" s="103" t="str">
        <f t="shared" ca="1" si="13"/>
        <v>Китай</v>
      </c>
      <c r="AX25" s="105">
        <f t="shared" si="14"/>
        <v>0.1</v>
      </c>
      <c r="AY25" s="103">
        <f t="shared" si="15"/>
        <v>0.15000000000000002</v>
      </c>
      <c r="AZ25" s="103">
        <f t="shared" si="16"/>
        <v>0.2</v>
      </c>
      <c r="BA25" s="103">
        <f t="shared" si="17"/>
        <v>0.30000000000000004</v>
      </c>
      <c r="BB25" s="106">
        <v>2308.31</v>
      </c>
      <c r="BC25" s="141">
        <f t="shared" si="18"/>
        <v>4616.62</v>
      </c>
      <c r="BD25" s="98">
        <f>IF(A25&lt;&gt;"",IF(_xlfn.XLOOKUP(A25,'1C'!A:A,'1C'!A:A,0,0)&gt;0,1,0),"")</f>
        <v>0</v>
      </c>
      <c r="BE25" s="98">
        <f>IF(C25&lt;&gt;"",IF(_xlfn.XLOOKUP(TEXT(C25,"###"),'1C'!W:W,'1C'!D:D,0,0)&gt;0,0,1),"")</f>
        <v>1</v>
      </c>
      <c r="BF25" s="98" t="str">
        <f t="shared" si="19"/>
        <v>-</v>
      </c>
    </row>
    <row r="26" spans="1:58" ht="98.1" customHeight="1">
      <c r="A26" s="103" t="str">
        <f t="shared" si="10"/>
        <v>60221531BLK</v>
      </c>
      <c r="B26" s="98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96-236-09</v>
      </c>
      <c r="C26" s="104" t="s">
        <v>1777</v>
      </c>
      <c r="D26" s="99" t="s">
        <v>1804</v>
      </c>
      <c r="E26" s="103" t="str">
        <f>IF(F26&lt;&gt;"",IFERROR(VLOOKUP(F26,Категории!A:B,2,0),""),"Требуется категория")</f>
        <v>Бейсболки</v>
      </c>
      <c r="F26" s="99" t="s">
        <v>356</v>
      </c>
      <c r="G26" s="101" t="s">
        <v>887</v>
      </c>
      <c r="H26" s="99" t="s">
        <v>388</v>
      </c>
      <c r="I26" s="99" t="str">
        <f t="shared" si="20"/>
        <v>60221531 FA Ireland UEFA</v>
      </c>
      <c r="J26" s="99" t="s">
        <v>1794</v>
      </c>
      <c r="K26" s="107" t="s">
        <v>1726</v>
      </c>
      <c r="L26" s="107" t="s">
        <v>53</v>
      </c>
      <c r="M26" s="101"/>
      <c r="N26" s="101"/>
      <c r="O26" s="101" t="s">
        <v>1293</v>
      </c>
      <c r="P26" s="101" t="s">
        <v>1816</v>
      </c>
      <c r="Q26" s="116" t="s">
        <v>1808</v>
      </c>
      <c r="R26" s="101"/>
      <c r="S26" s="101"/>
      <c r="U26" s="99" t="s">
        <v>382</v>
      </c>
      <c r="V26" s="99">
        <v>2</v>
      </c>
      <c r="AT26" s="102">
        <f t="shared" si="11"/>
        <v>2</v>
      </c>
      <c r="AU26" s="114" t="s">
        <v>423</v>
      </c>
      <c r="AV26" s="102" t="str">
        <f t="shared" ca="1" si="12"/>
        <v>ERR</v>
      </c>
      <c r="AW26" s="103" t="str">
        <f t="shared" ca="1" si="13"/>
        <v>Китай</v>
      </c>
      <c r="AX26" s="105">
        <f t="shared" si="14"/>
        <v>0.1</v>
      </c>
      <c r="AY26" s="103">
        <f t="shared" si="15"/>
        <v>0.15000000000000002</v>
      </c>
      <c r="AZ26" s="103">
        <f t="shared" si="16"/>
        <v>0.2</v>
      </c>
      <c r="BA26" s="103">
        <f t="shared" si="17"/>
        <v>0.30000000000000004</v>
      </c>
      <c r="BB26" s="106">
        <v>1978.48</v>
      </c>
      <c r="BC26" s="141">
        <f t="shared" si="18"/>
        <v>3956.96</v>
      </c>
      <c r="BD26" s="98">
        <f>IF(A26&lt;&gt;"",IF(_xlfn.XLOOKUP(A26,'1C'!A:A,'1C'!A:A,0,0)&gt;0,1,0),"")</f>
        <v>0</v>
      </c>
      <c r="BE26" s="98">
        <f>IF(C26&lt;&gt;"",IF(_xlfn.XLOOKUP(TEXT(C26,"###"),'1C'!W:W,'1C'!D:D,0,0)&gt;0,0,1),"")</f>
        <v>1</v>
      </c>
      <c r="BF26" s="98" t="str">
        <f t="shared" si="19"/>
        <v>-</v>
      </c>
    </row>
    <row r="27" spans="1:58" ht="98.1" customHeight="1">
      <c r="A27" s="103" t="str">
        <f t="shared" si="10"/>
        <v>60221568NVY</v>
      </c>
      <c r="B27" s="98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96-237-16</v>
      </c>
      <c r="C27" s="104" t="s">
        <v>1778</v>
      </c>
      <c r="D27" s="99" t="s">
        <v>1805</v>
      </c>
      <c r="E27" s="103" t="str">
        <f>IF(F27&lt;&gt;"",IFERROR(VLOOKUP(F27,Категории!A:B,2,0),""),"Требуется категория")</f>
        <v>Бейсболки</v>
      </c>
      <c r="F27" s="99" t="s">
        <v>327</v>
      </c>
      <c r="G27" s="101" t="s">
        <v>887</v>
      </c>
      <c r="H27" s="99" t="s">
        <v>388</v>
      </c>
      <c r="I27" s="99" t="str">
        <f t="shared" si="20"/>
        <v>60221568 England Rugby RL</v>
      </c>
      <c r="J27" s="99" t="s">
        <v>1794</v>
      </c>
      <c r="K27" s="107" t="s">
        <v>1740</v>
      </c>
      <c r="L27" s="107" t="s">
        <v>55</v>
      </c>
      <c r="M27" s="101"/>
      <c r="N27" s="101"/>
      <c r="O27" s="101" t="s">
        <v>1817</v>
      </c>
      <c r="P27" s="101" t="s">
        <v>1818</v>
      </c>
      <c r="Q27" s="116" t="s">
        <v>1819</v>
      </c>
      <c r="R27" s="101"/>
      <c r="S27" s="101"/>
      <c r="U27" s="99" t="s">
        <v>382</v>
      </c>
      <c r="Z27" s="99">
        <v>1</v>
      </c>
      <c r="AB27" s="99">
        <v>1</v>
      </c>
      <c r="AT27" s="102">
        <f t="shared" si="11"/>
        <v>2</v>
      </c>
      <c r="AU27" s="114" t="s">
        <v>571</v>
      </c>
      <c r="AV27" s="102" t="str">
        <f t="shared" ca="1" si="12"/>
        <v>ERR</v>
      </c>
      <c r="AW27" s="103" t="str">
        <f t="shared" ca="1" si="13"/>
        <v>Бангладеш</v>
      </c>
      <c r="AX27" s="105">
        <f t="shared" si="14"/>
        <v>0.1</v>
      </c>
      <c r="AY27" s="103">
        <f t="shared" si="15"/>
        <v>0.15000000000000002</v>
      </c>
      <c r="AZ27" s="103">
        <f t="shared" si="16"/>
        <v>0.2</v>
      </c>
      <c r="BA27" s="103">
        <f t="shared" si="17"/>
        <v>0.30000000000000004</v>
      </c>
      <c r="BB27" s="106">
        <v>2502.35</v>
      </c>
      <c r="BC27" s="141">
        <f t="shared" si="18"/>
        <v>5004.7</v>
      </c>
      <c r="BD27" s="98">
        <f>IF(A27&lt;&gt;"",IF(_xlfn.XLOOKUP(A27,'1C'!A:A,'1C'!A:A,0,0)&gt;0,1,0),"")</f>
        <v>0</v>
      </c>
      <c r="BE27" s="98">
        <f>IF(C27&lt;&gt;"",IF(_xlfn.XLOOKUP(TEXT(C27,"###"),'1C'!W:W,'1C'!D:D,0,0)&gt;0,0,1),"")</f>
        <v>1</v>
      </c>
      <c r="BF27" s="98" t="str">
        <f t="shared" si="19"/>
        <v>-</v>
      </c>
    </row>
    <row r="28" spans="1:58" ht="98.1" customHeight="1">
      <c r="A28" s="103" t="str">
        <f t="shared" si="10"/>
        <v>60222237GRH</v>
      </c>
      <c r="B28" s="98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96-238-05</v>
      </c>
      <c r="C28" s="104" t="s">
        <v>1779</v>
      </c>
      <c r="D28" s="99" t="s">
        <v>1795</v>
      </c>
      <c r="E28" s="103" t="str">
        <f>IF(F28&lt;&gt;"",IFERROR(VLOOKUP(F28,Категории!A:B,2,0),""),"Требуется категория")</f>
        <v>Бейсболки</v>
      </c>
      <c r="F28" s="99" t="s">
        <v>327</v>
      </c>
      <c r="G28" s="101" t="s">
        <v>887</v>
      </c>
      <c r="H28" s="99" t="s">
        <v>388</v>
      </c>
      <c r="I28" s="99" t="str">
        <f t="shared" si="20"/>
        <v>60222237 Chicago Bulls NBA</v>
      </c>
      <c r="J28" s="99" t="s">
        <v>1794</v>
      </c>
      <c r="K28" s="107" t="s">
        <v>1739</v>
      </c>
      <c r="L28" s="107" t="s">
        <v>277</v>
      </c>
      <c r="M28" s="101"/>
      <c r="N28" s="101"/>
      <c r="O28" s="101" t="s">
        <v>1047</v>
      </c>
      <c r="P28" s="101" t="s">
        <v>1048</v>
      </c>
      <c r="Q28" s="116" t="s">
        <v>1810</v>
      </c>
      <c r="R28" s="101"/>
      <c r="S28" s="101" t="s">
        <v>43</v>
      </c>
      <c r="U28" s="99" t="s">
        <v>382</v>
      </c>
      <c r="V28" s="99">
        <v>12</v>
      </c>
      <c r="AT28" s="102">
        <f t="shared" si="11"/>
        <v>12</v>
      </c>
      <c r="AU28" s="114" t="s">
        <v>423</v>
      </c>
      <c r="AV28" s="102" t="str">
        <f t="shared" ca="1" si="12"/>
        <v>ERR</v>
      </c>
      <c r="AW28" s="103" t="str">
        <f t="shared" ca="1" si="13"/>
        <v>Китай</v>
      </c>
      <c r="AX28" s="105">
        <f t="shared" si="14"/>
        <v>0.1</v>
      </c>
      <c r="AY28" s="103">
        <f t="shared" si="15"/>
        <v>0.15000000000000002</v>
      </c>
      <c r="AZ28" s="103">
        <f t="shared" si="16"/>
        <v>1.2000000000000002</v>
      </c>
      <c r="BA28" s="103">
        <f t="shared" si="17"/>
        <v>1.8000000000000003</v>
      </c>
      <c r="BB28" s="106">
        <v>1687.44</v>
      </c>
      <c r="BC28" s="141">
        <f t="shared" si="18"/>
        <v>20249.28</v>
      </c>
      <c r="BD28" s="98">
        <f>IF(A28&lt;&gt;"",IF(_xlfn.XLOOKUP(A28,'1C'!A:A,'1C'!A:A,0,0)&gt;0,1,0),"")</f>
        <v>0</v>
      </c>
      <c r="BE28" s="98">
        <f>IF(C28&lt;&gt;"",IF(_xlfn.XLOOKUP(TEXT(C28,"###"),'1C'!W:W,'1C'!D:D,0,0)&gt;0,0,1),"")</f>
        <v>1</v>
      </c>
      <c r="BF28" s="98" t="str">
        <f t="shared" si="19"/>
        <v>-</v>
      </c>
    </row>
    <row r="29" spans="1:58" ht="98.1" customHeight="1">
      <c r="A29" s="103" t="str">
        <f t="shared" si="10"/>
        <v>60222257NVY</v>
      </c>
      <c r="B29" s="98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96-239-16</v>
      </c>
      <c r="C29" s="104" t="s">
        <v>1780</v>
      </c>
      <c r="D29" s="99" t="s">
        <v>1798</v>
      </c>
      <c r="E29" s="103" t="str">
        <f>IF(F29&lt;&gt;"",IFERROR(VLOOKUP(F29,Категории!A:B,2,0),""),"Требуется категория")</f>
        <v>Бейсболки</v>
      </c>
      <c r="F29" s="99" t="s">
        <v>356</v>
      </c>
      <c r="G29" s="101" t="s">
        <v>887</v>
      </c>
      <c r="H29" s="99" t="s">
        <v>388</v>
      </c>
      <c r="I29" s="99" t="str">
        <f t="shared" si="20"/>
        <v>60222257 New York Yankees MLB</v>
      </c>
      <c r="J29" s="99" t="s">
        <v>1794</v>
      </c>
      <c r="K29" s="107" t="s">
        <v>1740</v>
      </c>
      <c r="L29" s="107" t="s">
        <v>55</v>
      </c>
      <c r="M29" s="101"/>
      <c r="N29" s="101"/>
      <c r="O29" s="101" t="s">
        <v>911</v>
      </c>
      <c r="P29" s="101" t="s">
        <v>914</v>
      </c>
      <c r="Q29" s="116" t="s">
        <v>910</v>
      </c>
      <c r="R29" s="101"/>
      <c r="S29" s="101" t="s">
        <v>43</v>
      </c>
      <c r="U29" s="99" t="s">
        <v>382</v>
      </c>
      <c r="V29" s="99">
        <v>1</v>
      </c>
      <c r="AT29" s="103">
        <f t="shared" si="11"/>
        <v>1</v>
      </c>
      <c r="AU29" s="114" t="s">
        <v>423</v>
      </c>
      <c r="AV29" s="102" t="str">
        <f t="shared" ca="1" si="12"/>
        <v>ERR</v>
      </c>
      <c r="AW29" s="103" t="str">
        <f t="shared" ca="1" si="13"/>
        <v>Китай</v>
      </c>
      <c r="AX29" s="105">
        <f t="shared" si="14"/>
        <v>0.1</v>
      </c>
      <c r="AY29" s="103">
        <f t="shared" si="15"/>
        <v>0.15000000000000002</v>
      </c>
      <c r="AZ29" s="103">
        <f t="shared" si="16"/>
        <v>0.1</v>
      </c>
      <c r="BA29" s="103">
        <f t="shared" si="17"/>
        <v>0.15000000000000002</v>
      </c>
      <c r="BB29" s="106">
        <v>1978.48</v>
      </c>
      <c r="BC29" s="141">
        <f t="shared" si="18"/>
        <v>1978.48</v>
      </c>
      <c r="BD29" s="98">
        <f>IF(A29&lt;&gt;"",IF(_xlfn.XLOOKUP(A29,'1C'!A:A,'1C'!A:A,0,0)&gt;0,1,0),"")</f>
        <v>0</v>
      </c>
      <c r="BE29" s="98">
        <f>IF(C29&lt;&gt;"",IF(_xlfn.XLOOKUP(TEXT(C29,"###"),'1C'!W:W,'1C'!D:D,0,0)&gt;0,0,1),"")</f>
        <v>1</v>
      </c>
      <c r="BF29" s="98" t="str">
        <f t="shared" si="19"/>
        <v>-</v>
      </c>
    </row>
    <row r="30" spans="1:58" ht="98.1" customHeight="1">
      <c r="A30" s="103" t="str">
        <f t="shared" si="10"/>
        <v>60222275NVYRE</v>
      </c>
      <c r="B30" s="98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96-240-16</v>
      </c>
      <c r="C30" s="104" t="s">
        <v>1781</v>
      </c>
      <c r="D30" s="99" t="s">
        <v>1806</v>
      </c>
      <c r="E30" s="103" t="str">
        <f>IF(F30&lt;&gt;"",IFERROR(VLOOKUP(F30,Категории!A:B,2,0),""),"Требуется категория")</f>
        <v>Бейсболки</v>
      </c>
      <c r="F30" s="99" t="s">
        <v>327</v>
      </c>
      <c r="G30" s="101" t="s">
        <v>887</v>
      </c>
      <c r="H30" s="99" t="s">
        <v>388</v>
      </c>
      <c r="I30" s="99" t="str">
        <f t="shared" si="20"/>
        <v>60222275 Boston Red Sox MLB</v>
      </c>
      <c r="J30" s="99" t="s">
        <v>1794</v>
      </c>
      <c r="K30" s="107" t="s">
        <v>1741</v>
      </c>
      <c r="L30" s="107" t="s">
        <v>55</v>
      </c>
      <c r="M30" s="101"/>
      <c r="N30" s="101"/>
      <c r="O30" s="101" t="s">
        <v>911</v>
      </c>
      <c r="P30" s="101" t="s">
        <v>915</v>
      </c>
      <c r="Q30" s="116" t="s">
        <v>1814</v>
      </c>
      <c r="R30" s="101"/>
      <c r="S30" s="101" t="s">
        <v>43</v>
      </c>
      <c r="U30" s="99" t="s">
        <v>382</v>
      </c>
      <c r="AB30" s="99">
        <v>1</v>
      </c>
      <c r="AT30" s="103">
        <f t="shared" si="11"/>
        <v>1</v>
      </c>
      <c r="AU30" s="114" t="s">
        <v>571</v>
      </c>
      <c r="AV30" s="102" t="str">
        <f t="shared" ca="1" si="12"/>
        <v>ERR</v>
      </c>
      <c r="AW30" s="103" t="str">
        <f t="shared" ca="1" si="13"/>
        <v>Бангладеш</v>
      </c>
      <c r="AX30" s="105">
        <f t="shared" si="14"/>
        <v>0.1</v>
      </c>
      <c r="AY30" s="103">
        <f t="shared" si="15"/>
        <v>0.15000000000000002</v>
      </c>
      <c r="AZ30" s="103">
        <f t="shared" si="16"/>
        <v>0.1</v>
      </c>
      <c r="BA30" s="103">
        <f t="shared" si="17"/>
        <v>0.15000000000000002</v>
      </c>
      <c r="BB30" s="106">
        <v>1862.06</v>
      </c>
      <c r="BC30" s="141">
        <f t="shared" si="18"/>
        <v>1862.06</v>
      </c>
      <c r="BD30" s="98">
        <f>IF(A30&lt;&gt;"",IF(_xlfn.XLOOKUP(A30,'1C'!A:A,'1C'!A:A,0,0)&gt;0,1,0),"")</f>
        <v>0</v>
      </c>
      <c r="BE30" s="98">
        <f>IF(C30&lt;&gt;"",IF(_xlfn.XLOOKUP(TEXT(C30,"###"),'1C'!W:W,'1C'!D:D,0,0)&gt;0,0,1),"")</f>
        <v>1</v>
      </c>
      <c r="BF30" s="98" t="str">
        <f t="shared" si="19"/>
        <v>-</v>
      </c>
    </row>
    <row r="31" spans="1:58" ht="98.1" customHeight="1">
      <c r="A31" s="103" t="str">
        <f t="shared" si="10"/>
        <v>60222277NVY</v>
      </c>
      <c r="B31" s="98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96-241-16</v>
      </c>
      <c r="C31" s="104" t="s">
        <v>1782</v>
      </c>
      <c r="E31" s="103" t="str">
        <f>IF(F31&lt;&gt;"",IFERROR(VLOOKUP(F31,Категории!A:B,2,0),""),"Требуется категория")</f>
        <v>Бейсболки</v>
      </c>
      <c r="F31" s="99" t="s">
        <v>327</v>
      </c>
      <c r="G31" s="101" t="s">
        <v>887</v>
      </c>
      <c r="H31" s="99" t="s">
        <v>388</v>
      </c>
      <c r="I31" s="99" t="str">
        <f t="shared" si="20"/>
        <v xml:space="preserve">60222277 </v>
      </c>
      <c r="J31" s="99" t="s">
        <v>1794</v>
      </c>
      <c r="K31" s="107" t="s">
        <v>1740</v>
      </c>
      <c r="L31" s="107" t="s">
        <v>55</v>
      </c>
      <c r="M31" s="101"/>
      <c r="N31" s="101"/>
      <c r="O31" s="101"/>
      <c r="P31" s="101"/>
      <c r="Q31" s="116" t="s">
        <v>910</v>
      </c>
      <c r="R31" s="101"/>
      <c r="S31" s="101" t="s">
        <v>43</v>
      </c>
      <c r="U31" s="99" t="s">
        <v>382</v>
      </c>
      <c r="V31" s="99">
        <v>4</v>
      </c>
      <c r="AT31" s="103">
        <f t="shared" si="11"/>
        <v>4</v>
      </c>
      <c r="AU31" s="114" t="s">
        <v>423</v>
      </c>
      <c r="AV31" s="102" t="str">
        <f t="shared" ca="1" si="12"/>
        <v>ERR</v>
      </c>
      <c r="AW31" s="103" t="str">
        <f t="shared" ca="1" si="13"/>
        <v>Китай</v>
      </c>
      <c r="AX31" s="105">
        <f t="shared" si="14"/>
        <v>0.1</v>
      </c>
      <c r="AY31" s="103">
        <f t="shared" si="15"/>
        <v>0.15000000000000002</v>
      </c>
      <c r="AZ31" s="103">
        <f t="shared" si="16"/>
        <v>0.4</v>
      </c>
      <c r="BA31" s="103">
        <f t="shared" si="17"/>
        <v>0.60000000000000009</v>
      </c>
      <c r="BB31" s="106">
        <v>1862.06</v>
      </c>
      <c r="BC31" s="141">
        <f t="shared" si="18"/>
        <v>7448.24</v>
      </c>
      <c r="BD31" s="98">
        <f>IF(A31&lt;&gt;"",IF(_xlfn.XLOOKUP(A31,'1C'!A:A,'1C'!A:A,0,0)&gt;0,1,0),"")</f>
        <v>0</v>
      </c>
      <c r="BE31" s="98">
        <f>IF(C31&lt;&gt;"",IF(_xlfn.XLOOKUP(TEXT(C31,"###"),'1C'!W:W,'1C'!D:D,0,0)&gt;0,0,1),"")</f>
        <v>1</v>
      </c>
      <c r="BF31" s="98" t="str">
        <f t="shared" si="19"/>
        <v>-</v>
      </c>
    </row>
    <row r="32" spans="1:58" ht="98.1" customHeight="1">
      <c r="A32" s="103" t="str">
        <f t="shared" si="10"/>
        <v>60222290DKG</v>
      </c>
      <c r="B32" s="98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96-242-11</v>
      </c>
      <c r="C32" s="104" t="s">
        <v>1783</v>
      </c>
      <c r="D32" s="99" t="s">
        <v>1807</v>
      </c>
      <c r="E32" s="103" t="str">
        <f>IF(F32&lt;&gt;"",IFERROR(VLOOKUP(F32,Категории!A:B,2,0),""),"Требуется категория")</f>
        <v>Бейсболки</v>
      </c>
      <c r="F32" s="99" t="s">
        <v>327</v>
      </c>
      <c r="G32" s="101" t="s">
        <v>887</v>
      </c>
      <c r="H32" s="99" t="s">
        <v>388</v>
      </c>
      <c r="I32" s="99" t="str">
        <f t="shared" si="20"/>
        <v>60222290 Oakland Athletics MLB</v>
      </c>
      <c r="J32" s="99" t="s">
        <v>1794</v>
      </c>
      <c r="K32" s="107" t="s">
        <v>1742</v>
      </c>
      <c r="L32" s="107" t="s">
        <v>60</v>
      </c>
      <c r="M32" s="101"/>
      <c r="N32" s="101"/>
      <c r="O32" s="101" t="s">
        <v>911</v>
      </c>
      <c r="P32" s="101" t="s">
        <v>916</v>
      </c>
      <c r="Q32" s="116" t="s">
        <v>1808</v>
      </c>
      <c r="R32" s="101"/>
      <c r="S32" s="101"/>
      <c r="U32" s="99" t="s">
        <v>382</v>
      </c>
      <c r="Z32" s="99">
        <v>1</v>
      </c>
      <c r="AB32" s="99">
        <v>1</v>
      </c>
      <c r="AT32" s="103">
        <f t="shared" si="11"/>
        <v>2</v>
      </c>
      <c r="AU32" s="114" t="s">
        <v>571</v>
      </c>
      <c r="AV32" s="102" t="str">
        <f t="shared" ca="1" si="12"/>
        <v>ERR</v>
      </c>
      <c r="AW32" s="103" t="str">
        <f t="shared" ca="1" si="13"/>
        <v>Бангладеш</v>
      </c>
      <c r="AX32" s="105">
        <f t="shared" si="14"/>
        <v>0.1</v>
      </c>
      <c r="AY32" s="103">
        <f t="shared" si="15"/>
        <v>0.15000000000000002</v>
      </c>
      <c r="AZ32" s="103">
        <f t="shared" si="16"/>
        <v>0.2</v>
      </c>
      <c r="BA32" s="103">
        <f t="shared" si="17"/>
        <v>0.30000000000000004</v>
      </c>
      <c r="BB32" s="106">
        <v>2153.1</v>
      </c>
      <c r="BC32" s="141">
        <f t="shared" si="18"/>
        <v>4306.2</v>
      </c>
      <c r="BD32" s="98">
        <f>IF(A32&lt;&gt;"",IF(_xlfn.XLOOKUP(A32,'1C'!A:A,'1C'!A:A,0,0)&gt;0,1,0),"")</f>
        <v>0</v>
      </c>
      <c r="BE32" s="98">
        <f>IF(C32&lt;&gt;"",IF(_xlfn.XLOOKUP(TEXT(C32,"###"),'1C'!W:W,'1C'!D:D,0,0)&gt;0,0,1),"")</f>
        <v>1</v>
      </c>
      <c r="BF32" s="98" t="str">
        <f t="shared" si="19"/>
        <v>-</v>
      </c>
    </row>
    <row r="33" spans="1:58" ht="98.1" customHeight="1">
      <c r="A33" s="103" t="str">
        <f t="shared" si="10"/>
        <v>60222318GRP</v>
      </c>
      <c r="B33" s="98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96-243-80</v>
      </c>
      <c r="C33" s="104" t="s">
        <v>1784</v>
      </c>
      <c r="D33" s="99" t="s">
        <v>1798</v>
      </c>
      <c r="E33" s="103" t="str">
        <f>IF(F33&lt;&gt;"",IFERROR(VLOOKUP(F33,Категории!A:B,2,0),""),"Требуется категория")</f>
        <v>Бейсболки</v>
      </c>
      <c r="F33" s="99" t="s">
        <v>356</v>
      </c>
      <c r="G33" s="101" t="s">
        <v>887</v>
      </c>
      <c r="H33" s="99" t="s">
        <v>388</v>
      </c>
      <c r="I33" s="99" t="str">
        <f t="shared" si="20"/>
        <v>60222318 New York Yankees MLB</v>
      </c>
      <c r="J33" s="99" t="s">
        <v>1794</v>
      </c>
      <c r="K33" s="107" t="s">
        <v>1743</v>
      </c>
      <c r="L33" s="107" t="s">
        <v>83</v>
      </c>
      <c r="M33" s="101"/>
      <c r="N33" s="101"/>
      <c r="O33" s="101" t="s">
        <v>911</v>
      </c>
      <c r="P33" s="101" t="s">
        <v>914</v>
      </c>
      <c r="Q33" s="116" t="s">
        <v>910</v>
      </c>
      <c r="R33" s="101"/>
      <c r="S33" s="101" t="s">
        <v>43</v>
      </c>
      <c r="U33" s="99" t="s">
        <v>382</v>
      </c>
      <c r="V33" s="99">
        <v>6</v>
      </c>
      <c r="AT33" s="103">
        <f t="shared" si="11"/>
        <v>6</v>
      </c>
      <c r="AU33" s="114" t="s">
        <v>423</v>
      </c>
      <c r="AV33" s="102" t="str">
        <f t="shared" ca="1" si="12"/>
        <v>ERR</v>
      </c>
      <c r="AW33" s="103" t="str">
        <f t="shared" ca="1" si="13"/>
        <v>Китай</v>
      </c>
      <c r="AX33" s="105">
        <f t="shared" si="14"/>
        <v>0.1</v>
      </c>
      <c r="AY33" s="103">
        <f t="shared" si="15"/>
        <v>0.15000000000000002</v>
      </c>
      <c r="AZ33" s="103">
        <f t="shared" si="16"/>
        <v>0.60000000000000009</v>
      </c>
      <c r="BA33" s="103">
        <f t="shared" si="17"/>
        <v>0.90000000000000013</v>
      </c>
      <c r="BB33" s="106">
        <v>2153.1</v>
      </c>
      <c r="BC33" s="141">
        <f t="shared" si="18"/>
        <v>12918.599999999999</v>
      </c>
      <c r="BD33" s="98">
        <f>IF(A33&lt;&gt;"",IF(_xlfn.XLOOKUP(A33,'1C'!A:A,'1C'!A:A,0,0)&gt;0,1,0),"")</f>
        <v>0</v>
      </c>
      <c r="BE33" s="98">
        <f>IF(C33&lt;&gt;"",IF(_xlfn.XLOOKUP(TEXT(C33,"###"),'1C'!W:W,'1C'!D:D,0,0)&gt;0,0,1),"")</f>
        <v>1</v>
      </c>
      <c r="BF33" s="98" t="str">
        <f t="shared" si="19"/>
        <v>-</v>
      </c>
    </row>
    <row r="34" spans="1:58" ht="98.1" customHeight="1">
      <c r="A34" s="103" t="str">
        <f t="shared" si="10"/>
        <v>60222356PRP</v>
      </c>
      <c r="B34" s="98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96-244-41</v>
      </c>
      <c r="C34" s="104" t="s">
        <v>1785</v>
      </c>
      <c r="D34" s="99" t="s">
        <v>1799</v>
      </c>
      <c r="E34" s="103" t="str">
        <f>IF(F34&lt;&gt;"",IFERROR(VLOOKUP(F34,Категории!A:B,2,0),""),"Требуется категория")</f>
        <v>Бейсболки</v>
      </c>
      <c r="F34" s="99" t="s">
        <v>327</v>
      </c>
      <c r="G34" s="101" t="s">
        <v>887</v>
      </c>
      <c r="H34" s="99" t="s">
        <v>388</v>
      </c>
      <c r="I34" s="99" t="str">
        <f t="shared" si="20"/>
        <v>60222356 Los Angeles Dodgers MLB</v>
      </c>
      <c r="J34" s="99" t="s">
        <v>1794</v>
      </c>
      <c r="K34" s="107" t="s">
        <v>1744</v>
      </c>
      <c r="L34" s="117" t="s">
        <v>286</v>
      </c>
      <c r="M34" s="101"/>
      <c r="N34" s="101"/>
      <c r="O34" s="101" t="s">
        <v>911</v>
      </c>
      <c r="P34" s="101" t="s">
        <v>912</v>
      </c>
      <c r="Q34" s="116" t="s">
        <v>1810</v>
      </c>
      <c r="R34" s="101"/>
      <c r="S34" s="101" t="s">
        <v>43</v>
      </c>
      <c r="U34" s="99" t="s">
        <v>382</v>
      </c>
      <c r="V34" s="99">
        <v>4</v>
      </c>
      <c r="AT34" s="103">
        <f t="shared" si="11"/>
        <v>4</v>
      </c>
      <c r="AU34" s="114" t="s">
        <v>423</v>
      </c>
      <c r="AV34" s="102" t="str">
        <f t="shared" ca="1" si="12"/>
        <v>ERR</v>
      </c>
      <c r="AW34" s="103" t="str">
        <f t="shared" ca="1" si="13"/>
        <v>Китай</v>
      </c>
      <c r="AX34" s="105">
        <f t="shared" si="14"/>
        <v>0.1</v>
      </c>
      <c r="AY34" s="103">
        <f t="shared" si="15"/>
        <v>0.15000000000000002</v>
      </c>
      <c r="AZ34" s="103">
        <f t="shared" si="16"/>
        <v>0.4</v>
      </c>
      <c r="BA34" s="103">
        <f t="shared" si="17"/>
        <v>0.60000000000000009</v>
      </c>
      <c r="BB34" s="106">
        <v>1862.06</v>
      </c>
      <c r="BC34" s="141">
        <f t="shared" si="18"/>
        <v>7448.24</v>
      </c>
      <c r="BD34" s="98">
        <f>IF(A34&lt;&gt;"",IF(_xlfn.XLOOKUP(A34,'1C'!A:A,'1C'!A:A,0,0)&gt;0,1,0),"")</f>
        <v>0</v>
      </c>
      <c r="BE34" s="98">
        <f>IF(C34&lt;&gt;"",IF(_xlfn.XLOOKUP(TEXT(C34,"###"),'1C'!W:W,'1C'!D:D,0,0)&gt;0,0,1),"")</f>
        <v>1</v>
      </c>
      <c r="BF34" s="98" t="str">
        <f t="shared" si="19"/>
        <v>-</v>
      </c>
    </row>
    <row r="35" spans="1:58" ht="98.1" customHeight="1">
      <c r="A35" s="103" t="str">
        <f t="shared" si="10"/>
        <v>60222362NVY</v>
      </c>
      <c r="B35" s="98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96-245-16</v>
      </c>
      <c r="C35" s="104" t="s">
        <v>1786</v>
      </c>
      <c r="D35" s="99" t="s">
        <v>1798</v>
      </c>
      <c r="E35" s="103" t="str">
        <f>IF(F35&lt;&gt;"",IFERROR(VLOOKUP(F35,Категории!A:B,2,0),""),"Требуется категория")</f>
        <v>Бейсболки</v>
      </c>
      <c r="F35" s="99" t="s">
        <v>327</v>
      </c>
      <c r="G35" s="101" t="s">
        <v>887</v>
      </c>
      <c r="H35" s="99" t="s">
        <v>388</v>
      </c>
      <c r="I35" s="99" t="str">
        <f t="shared" si="20"/>
        <v>60222362 New York Yankees MLB</v>
      </c>
      <c r="J35" s="99" t="s">
        <v>1794</v>
      </c>
      <c r="K35" s="107" t="s">
        <v>1740</v>
      </c>
      <c r="L35" s="107" t="s">
        <v>55</v>
      </c>
      <c r="M35" s="101"/>
      <c r="N35" s="101"/>
      <c r="O35" s="101" t="s">
        <v>911</v>
      </c>
      <c r="P35" s="101" t="s">
        <v>914</v>
      </c>
      <c r="Q35" s="116" t="s">
        <v>1814</v>
      </c>
      <c r="R35" s="101"/>
      <c r="S35" s="101" t="s">
        <v>43</v>
      </c>
      <c r="U35" s="99" t="s">
        <v>1793</v>
      </c>
      <c r="Z35" s="99">
        <v>1</v>
      </c>
      <c r="AB35" s="99">
        <v>1</v>
      </c>
      <c r="AT35" s="103">
        <f t="shared" si="11"/>
        <v>2</v>
      </c>
      <c r="AU35" s="114" t="s">
        <v>423</v>
      </c>
      <c r="AV35" s="102" t="str">
        <f t="shared" ca="1" si="12"/>
        <v>ERR</v>
      </c>
      <c r="AW35" s="103" t="str">
        <f t="shared" ca="1" si="13"/>
        <v>Китай</v>
      </c>
      <c r="AX35" s="105">
        <f t="shared" si="14"/>
        <v>0.1</v>
      </c>
      <c r="AY35" s="103">
        <f t="shared" si="15"/>
        <v>0.15000000000000002</v>
      </c>
      <c r="AZ35" s="103">
        <f t="shared" si="16"/>
        <v>0.2</v>
      </c>
      <c r="BA35" s="103">
        <f t="shared" si="17"/>
        <v>0.30000000000000004</v>
      </c>
      <c r="BB35" s="106">
        <v>2308.31</v>
      </c>
      <c r="BC35" s="141">
        <f t="shared" si="18"/>
        <v>4616.62</v>
      </c>
      <c r="BD35" s="98">
        <f>IF(A35&lt;&gt;"",IF(_xlfn.XLOOKUP(A35,'1C'!A:A,'1C'!A:A,0,0)&gt;0,1,0),"")</f>
        <v>0</v>
      </c>
      <c r="BE35" s="98">
        <f>IF(C35&lt;&gt;"",IF(_xlfn.XLOOKUP(TEXT(C35,"###"),'1C'!W:W,'1C'!D:D,0,0)&gt;0,0,1),"")</f>
        <v>1</v>
      </c>
      <c r="BF35" s="98" t="str">
        <f t="shared" si="19"/>
        <v>-</v>
      </c>
    </row>
    <row r="36" spans="1:58" ht="98.1" customHeight="1">
      <c r="A36" s="103" t="str">
        <f t="shared" si="10"/>
        <v>60222529BLK</v>
      </c>
      <c r="B36" s="98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96-246-09</v>
      </c>
      <c r="C36" s="104" t="s">
        <v>1789</v>
      </c>
      <c r="D36" s="99" t="s">
        <v>1795</v>
      </c>
      <c r="E36" s="103" t="str">
        <f>IF(F36&lt;&gt;"",IFERROR(VLOOKUP(F36,Категории!A:B,2,0),""),"Требуется категория")</f>
        <v>Бейсболки</v>
      </c>
      <c r="F36" s="99" t="s">
        <v>356</v>
      </c>
      <c r="G36" s="101" t="s">
        <v>887</v>
      </c>
      <c r="H36" s="99" t="s">
        <v>388</v>
      </c>
      <c r="I36" s="99" t="str">
        <f t="shared" si="20"/>
        <v>60222529 Chicago Bulls NBA</v>
      </c>
      <c r="J36" s="99" t="s">
        <v>1794</v>
      </c>
      <c r="K36" s="107" t="s">
        <v>1726</v>
      </c>
      <c r="L36" s="107" t="s">
        <v>53</v>
      </c>
      <c r="M36" s="101"/>
      <c r="N36" s="101"/>
      <c r="O36" s="101" t="s">
        <v>1047</v>
      </c>
      <c r="P36" s="101" t="s">
        <v>1048</v>
      </c>
      <c r="Q36" s="116" t="s">
        <v>1808</v>
      </c>
      <c r="R36" s="101"/>
      <c r="S36" s="101"/>
      <c r="U36" s="99" t="s">
        <v>1792</v>
      </c>
      <c r="V36" s="99">
        <v>6</v>
      </c>
      <c r="AT36" s="103">
        <f t="shared" si="11"/>
        <v>6</v>
      </c>
      <c r="AU36" s="114" t="s">
        <v>423</v>
      </c>
      <c r="AV36" s="102" t="str">
        <f t="shared" ca="1" si="12"/>
        <v>ERR</v>
      </c>
      <c r="AW36" s="103" t="str">
        <f t="shared" ca="1" si="13"/>
        <v>Китай</v>
      </c>
      <c r="AX36" s="105">
        <f t="shared" si="14"/>
        <v>0.1</v>
      </c>
      <c r="AY36" s="103">
        <f t="shared" si="15"/>
        <v>0.15000000000000002</v>
      </c>
      <c r="AZ36" s="103">
        <f t="shared" si="16"/>
        <v>0.60000000000000009</v>
      </c>
      <c r="BA36" s="103">
        <f t="shared" si="17"/>
        <v>0.90000000000000013</v>
      </c>
      <c r="BB36" s="106">
        <v>1978.48</v>
      </c>
      <c r="BC36" s="141">
        <f t="shared" si="18"/>
        <v>11870.880000000001</v>
      </c>
      <c r="BD36" s="98">
        <f>IF(A36&lt;&gt;"",IF(_xlfn.XLOOKUP(A36,'1C'!A:A,'1C'!A:A,0,0)&gt;0,1,0),"")</f>
        <v>0</v>
      </c>
      <c r="BE36" s="98">
        <f>IF(C36&lt;&gt;"",IF(_xlfn.XLOOKUP(TEXT(C36,"###"),'1C'!W:W,'1C'!D:D,0,0)&gt;0,0,1),"")</f>
        <v>1</v>
      </c>
      <c r="BF36" s="98" t="str">
        <f t="shared" si="19"/>
        <v>-</v>
      </c>
    </row>
    <row r="37" spans="1:58" ht="98.1" customHeight="1">
      <c r="A37" s="103" t="str">
        <f t="shared" si="10"/>
        <v>60222530GRH</v>
      </c>
      <c r="B37" s="98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96-247-05</v>
      </c>
      <c r="C37" s="104" t="s">
        <v>1790</v>
      </c>
      <c r="D37" s="99" t="s">
        <v>1799</v>
      </c>
      <c r="E37" s="103" t="str">
        <f>IF(F37&lt;&gt;"",IFERROR(VLOOKUP(F37,Категории!A:B,2,0),""),"Требуется категория")</f>
        <v>Бейсболки</v>
      </c>
      <c r="F37" s="99" t="s">
        <v>783</v>
      </c>
      <c r="G37" s="101" t="s">
        <v>887</v>
      </c>
      <c r="H37" s="99" t="s">
        <v>388</v>
      </c>
      <c r="I37" s="99" t="str">
        <f t="shared" si="20"/>
        <v>60222530 Los Angeles Dodgers MLB</v>
      </c>
      <c r="J37" s="99" t="s">
        <v>1794</v>
      </c>
      <c r="K37" s="107" t="s">
        <v>1739</v>
      </c>
      <c r="L37" s="117" t="s">
        <v>277</v>
      </c>
      <c r="M37" s="101"/>
      <c r="N37" s="101"/>
      <c r="O37" s="101" t="s">
        <v>911</v>
      </c>
      <c r="P37" s="101" t="s">
        <v>912</v>
      </c>
      <c r="Q37" s="116" t="s">
        <v>1808</v>
      </c>
      <c r="R37" s="101"/>
      <c r="S37" s="101"/>
      <c r="U37" s="99" t="s">
        <v>1792</v>
      </c>
      <c r="Z37" s="99">
        <v>1</v>
      </c>
      <c r="AA37" s="99">
        <v>2</v>
      </c>
      <c r="AB37" s="99">
        <v>2</v>
      </c>
      <c r="AC37" s="99">
        <v>1</v>
      </c>
      <c r="AT37" s="103">
        <f t="shared" si="11"/>
        <v>6</v>
      </c>
      <c r="AU37" s="114" t="s">
        <v>571</v>
      </c>
      <c r="AV37" s="102" t="str">
        <f t="shared" ca="1" si="12"/>
        <v>ERR</v>
      </c>
      <c r="AW37" s="103" t="str">
        <f t="shared" ca="1" si="13"/>
        <v>Бангладеш</v>
      </c>
      <c r="AX37" s="105">
        <f t="shared" si="14"/>
        <v>0.1</v>
      </c>
      <c r="AY37" s="103">
        <f t="shared" si="15"/>
        <v>0.15000000000000002</v>
      </c>
      <c r="AZ37" s="103">
        <f t="shared" si="16"/>
        <v>0.60000000000000009</v>
      </c>
      <c r="BA37" s="103">
        <f t="shared" si="17"/>
        <v>0.90000000000000013</v>
      </c>
      <c r="BB37" s="106">
        <v>2502.35</v>
      </c>
      <c r="BC37" s="141">
        <f t="shared" si="18"/>
        <v>15014.099999999999</v>
      </c>
      <c r="BD37" s="98">
        <f>IF(A37&lt;&gt;"",IF(_xlfn.XLOOKUP(A37,'1C'!A:A,'1C'!A:A,0,0)&gt;0,1,0),"")</f>
        <v>0</v>
      </c>
      <c r="BE37" s="98">
        <f>IF(C37&lt;&gt;"",IF(_xlfn.XLOOKUP(TEXT(C37,"###"),'1C'!W:W,'1C'!D:D,0,0)&gt;0,0,1),"")</f>
        <v>1</v>
      </c>
      <c r="BF37" s="98" t="str">
        <f t="shared" si="19"/>
        <v>-</v>
      </c>
    </row>
    <row r="38" spans="1:58" ht="98.1" customHeight="1">
      <c r="A38" s="103" t="str">
        <f t="shared" si="10"/>
        <v>60222561LPK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96-248-34</v>
      </c>
      <c r="C38" s="104" t="s">
        <v>1791</v>
      </c>
      <c r="D38" s="99" t="s">
        <v>1798</v>
      </c>
      <c r="E38" s="103" t="str">
        <f>IF(F38&lt;&gt;"",IFERROR(VLOOKUP(F38,Категории!A:B,2,0),""),"Требуется категория")</f>
        <v>Бейсболки</v>
      </c>
      <c r="F38" s="99" t="s">
        <v>327</v>
      </c>
      <c r="G38" s="101" t="s">
        <v>887</v>
      </c>
      <c r="H38" s="99" t="s">
        <v>388</v>
      </c>
      <c r="I38" s="99" t="str">
        <f t="shared" si="20"/>
        <v>60222561 New York Yankees MLB</v>
      </c>
      <c r="J38" s="99" t="s">
        <v>1794</v>
      </c>
      <c r="K38" s="107" t="s">
        <v>1746</v>
      </c>
      <c r="L38" s="117" t="s">
        <v>68</v>
      </c>
      <c r="M38" s="101"/>
      <c r="N38" s="101"/>
      <c r="O38" s="101" t="s">
        <v>911</v>
      </c>
      <c r="P38" s="101" t="s">
        <v>914</v>
      </c>
      <c r="Q38" s="116" t="s">
        <v>1810</v>
      </c>
      <c r="R38" s="101"/>
      <c r="S38" s="101" t="s">
        <v>43</v>
      </c>
      <c r="U38" s="99" t="s">
        <v>1793</v>
      </c>
      <c r="V38" s="99">
        <v>4</v>
      </c>
      <c r="AT38" s="103">
        <f t="shared" si="11"/>
        <v>4</v>
      </c>
      <c r="AU38" s="114" t="s">
        <v>423</v>
      </c>
      <c r="AV38" s="102" t="str">
        <f t="shared" ca="1" si="12"/>
        <v>ERR</v>
      </c>
      <c r="AW38" s="103" t="str">
        <f t="shared" ca="1" si="13"/>
        <v>Китай</v>
      </c>
      <c r="AX38" s="105">
        <f t="shared" si="14"/>
        <v>0.1</v>
      </c>
      <c r="AY38" s="103">
        <f t="shared" si="15"/>
        <v>0.15000000000000002</v>
      </c>
      <c r="AZ38" s="103">
        <f t="shared" si="16"/>
        <v>0.4</v>
      </c>
      <c r="BA38" s="103">
        <f t="shared" si="17"/>
        <v>0.60000000000000009</v>
      </c>
      <c r="BB38" s="106">
        <v>1862.06</v>
      </c>
      <c r="BC38" s="141">
        <f t="shared" si="18"/>
        <v>7448.24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si="19"/>
        <v>-</v>
      </c>
    </row>
    <row r="39" spans="1:58" ht="98.1" customHeight="1">
      <c r="A39" s="103" t="str">
        <f t="shared" si="10"/>
        <v>10531938SCAWHI</v>
      </c>
      <c r="B39" s="98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96-014-18</v>
      </c>
      <c r="C39" s="104" t="s">
        <v>1747</v>
      </c>
      <c r="D39" s="103" t="str">
        <f>IF(A39&lt;&gt;"",_xlfn.XLOOKUP(C39,'1C'!W:W,'1C'!X:X,"",0),"")</f>
        <v>New York Yankees MLB</v>
      </c>
      <c r="E39" s="103" t="str">
        <f>IF(F39&lt;&gt;"",IFERROR(VLOOKUP(F39,Категории!A:B,2,0),""),"Требуется категория")</f>
        <v>Бейсболки</v>
      </c>
      <c r="F39" s="103" t="str">
        <f>IF(A39&lt;&gt;"",IF(BD39&gt;0,_xlfn.XLOOKUP(A39,'1C'!A:A,'1C'!J:J,"",0),_xlfn.XLOOKUP(C39,'1C'!W:W,'1C'!J:J,"",0)),"")</f>
        <v>Бейсболка</v>
      </c>
      <c r="G39" s="102" t="str">
        <f>IF(C39&lt;&gt;"",IF(BD39&gt;0,_xlfn.XLOOKUP(A39,'1C'!A:A,'1C'!L:L,"",0),_xlfn.XLOOKUP(C39,'1C'!W:W,'1C'!L:L,"",0)),"")</f>
        <v>New Era</v>
      </c>
      <c r="H39" s="103" t="str">
        <f>IF(A39&lt;&gt;"",_xlfn.XLOOKUP(A39,'1C'!A:A,'1C'!M:M,_xlfn.XLOOKUP(C39,'1C'!W:W,'1C'!M:M,"",0),0),"")</f>
        <v>всесезон</v>
      </c>
      <c r="I39" s="99" t="str">
        <f t="shared" si="20"/>
        <v>10531938 New York Yankees MLB</v>
      </c>
      <c r="J39" s="103" t="str">
        <f>_xlfn.LET(_xlpm.itemName,_xlfn.XLOOKUP(A39,'1C'!A:A,'1C'!D:D,"",0),IFERROR(MID(_xlpm.itemName,FIND(" ",_xlpm.itemName)+1,FIND("арт.",_xlpm.itemName)-(FIND(" ",_xlpm.itemName)+2)),""))</f>
        <v>NEW ERA</v>
      </c>
      <c r="K39" s="117" t="s">
        <v>1721</v>
      </c>
      <c r="L39" s="137" t="str">
        <f>IF(K39&lt;&gt;"",IFERROR(VLOOKUP(A39,'1C'!A:X,8,0),IFERROR(VLOOKUP(K39,Colors!D:E,2,0),"")),"")</f>
        <v>красный</v>
      </c>
      <c r="M39" s="102" t="str">
        <f>IF(K39&lt;&gt;"",_xlfn.XLOOKUP(A39,'1C'!A:A,'1C'!R:R,"",0),"")</f>
        <v>красный</v>
      </c>
      <c r="N39" s="102" t="str">
        <f>_xlfn.LET(_xlpm.RES,IF($A39&lt;&gt;"",_xlfn.XLOOKUP($A39,'1C'!$A:$A,'1C'!S:S,"",0),""),IF(_xlpm.RES=0,"",_xlpm.RES))</f>
        <v>жесткая форма</v>
      </c>
      <c r="O39" s="102" t="str">
        <f>_xlfn.LET(_xlpm.RES,IF($A39&lt;&gt;"",_xlfn.XLOOKUP($A39,'1C'!$A:$A,'1C'!T:T,"",0),""),IF(_xlpm.RES=0,"",_xlpm.RES))</f>
        <v>MLB</v>
      </c>
      <c r="P39" s="102" t="str">
        <f>_xlfn.LET(_xlpm.RES,IF($A39&lt;&gt;"",_xlfn.XLOOKUP($A39,'1C'!$A:$A,'1C'!U:U,"",0),""),IF(_xlpm.RES=0,"",_xlpm.RES))</f>
        <v>New York Yankees</v>
      </c>
      <c r="Q39" s="137" t="str">
        <f>IF(A39&lt;&gt;"",_xlfn.XLOOKUP(A39,'1C'!A:A,'1C'!I:I,_xlfn.XLOOKUP(C39,'1C'!W:W,'1C'!I:I,"",0),0),"")</f>
        <v>100% хлопок</v>
      </c>
      <c r="R39" s="101"/>
      <c r="S39" s="102" t="str">
        <f>_xlfn.LET(_xlpm.RES,IF(A39&lt;&gt;"",_xlfn.XLOOKUP(A39,'1C'!A:A,'1C'!N:N,_xlfn.XLOOKUP(C39,'1C'!W:W,'1C'!N:N,"",0),0),""),IF(_xlpm.RES=0,"",_xlpm.RES))</f>
        <v>хлопковые</v>
      </c>
      <c r="T39" s="103" t="str">
        <f>IF(S39&lt;&gt;"",IFERROR(VLOOKUP(S39,MaterialsTypes!F:G,2,0),IFERROR(VLOOKUP(Q39,MaterialsTypes100,2,0),"")),IFERROR(VLOOKUP(Q39,MaterialsTypes100,2,0),""))</f>
        <v>Текстиль, ткань</v>
      </c>
      <c r="U39" s="103" t="str">
        <f>IF(A39&lt;&gt;"",_xlfn.XLOOKUP(A39,'1C'!A:A,'1C'!K:K,_xlfn.XLOOKUP(C39,'1C'!W:W,'1C'!K:K,"",0),0),"")</f>
        <v>Унисекс</v>
      </c>
      <c r="V39" s="99">
        <v>1</v>
      </c>
      <c r="AT39" s="102">
        <f t="shared" si="11"/>
        <v>1</v>
      </c>
      <c r="AU39" s="140" t="str">
        <f>IF(A39&lt;&gt;"",_xlfn.XLOOKUP(_xlfn.XLOOKUP(A39,'1C'!A:A,'1C'!O:O,_xlfn.XLOOKUP(C39,'1C'!W:W,'1C'!O:O,"",0),0),Settings!N:N,Settings!O:O,"",0),"")</f>
        <v>CN</v>
      </c>
      <c r="AV39" s="102" t="str">
        <f t="shared" ca="1" si="12"/>
        <v>ERR</v>
      </c>
      <c r="AW39" s="102" t="str">
        <f t="shared" ca="1" si="13"/>
        <v>Китай</v>
      </c>
      <c r="AX39" s="105">
        <f t="shared" si="14"/>
        <v>0.1</v>
      </c>
      <c r="AY39" s="103">
        <f t="shared" si="15"/>
        <v>0.15000000000000002</v>
      </c>
      <c r="AZ39" s="103">
        <f t="shared" si="16"/>
        <v>0.1</v>
      </c>
      <c r="BA39" s="103">
        <f t="shared" si="17"/>
        <v>0.15000000000000002</v>
      </c>
      <c r="BB39" s="106">
        <v>1210.25</v>
      </c>
      <c r="BC39" s="141">
        <f t="shared" si="18"/>
        <v>1210.25</v>
      </c>
      <c r="BD39" s="98">
        <f>IF(A39&lt;&gt;"",IF(_xlfn.XLOOKUP(A39,'1C'!A:A,'1C'!A:A,0,0)&gt;0,1,0),"")</f>
        <v>1</v>
      </c>
      <c r="BE39" s="98">
        <f>IF(C39&lt;&gt;"",IF(_xlfn.XLOOKUP(TEXT(C39,"###"),'1C'!W:W,'1C'!D:D,0,0)&gt;0,0,1),"")</f>
        <v>0</v>
      </c>
      <c r="BF39" s="98">
        <f t="shared" si="19"/>
        <v>0</v>
      </c>
    </row>
    <row r="40" spans="1:58" ht="98.1" customHeight="1">
      <c r="A40" s="103" t="str">
        <f t="shared" si="10"/>
        <v>11213222BLK</v>
      </c>
      <c r="B40" s="98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96-197-09</v>
      </c>
      <c r="C40" s="104" t="s">
        <v>1756</v>
      </c>
      <c r="D40" s="103" t="str">
        <f>IF(A40&lt;&gt;"",_xlfn.XLOOKUP(C40,'1C'!W:W,'1C'!X:X,"",0),"")</f>
        <v>Manchester United EPL</v>
      </c>
      <c r="E40" s="103" t="str">
        <f>IF(F40&lt;&gt;"",IFERROR(VLOOKUP(F40,Категории!A:B,2,0),""),"Требуется категория")</f>
        <v>Бейсболки</v>
      </c>
      <c r="F40" s="103" t="str">
        <f>IF(A40&lt;&gt;"",IF(BD40&gt;0,_xlfn.XLOOKUP(A40,'1C'!A:A,'1C'!J:J,"",0),_xlfn.XLOOKUP(C40,'1C'!W:W,'1C'!J:J,"",0)),"")</f>
        <v>Бейсболка</v>
      </c>
      <c r="G40" s="102" t="str">
        <f>IF(C40&lt;&gt;"",IF(BD40&gt;0,_xlfn.XLOOKUP(A40,'1C'!A:A,'1C'!L:L,"",0),_xlfn.XLOOKUP(C40,'1C'!W:W,'1C'!L:L,"",0)),"")</f>
        <v>New Era</v>
      </c>
      <c r="H40" s="103" t="str">
        <f>IF(A40&lt;&gt;"",_xlfn.XLOOKUP(A40,'1C'!A:A,'1C'!M:M,_xlfn.XLOOKUP(C40,'1C'!W:W,'1C'!M:M,"",0),0),"")</f>
        <v>всесезон</v>
      </c>
      <c r="I40" s="99" t="str">
        <f t="shared" si="20"/>
        <v>11213222 Manchester United EPL</v>
      </c>
      <c r="J40" s="102" t="str">
        <f>_xlfn.LET(_xlpm.itemName,_xlfn.XLOOKUP(A40,'1C'!A:A,'1C'!D:D,"",0),IFERROR(MID(_xlpm.itemName,FIND(" ",_xlpm.itemName)+1,FIND("арт.",_xlpm.itemName)-(FIND(" ",_xlpm.itemName)+2)),""))</f>
        <v>NEW ERA</v>
      </c>
      <c r="K40" s="107" t="s">
        <v>1726</v>
      </c>
      <c r="L40" s="138" t="str">
        <f>IF(K40&lt;&gt;"",IFERROR(VLOOKUP(A40,'1C'!A:X,8,0),IFERROR(VLOOKUP(K40,Colors!D:E,2,0),"")),"")</f>
        <v>черный</v>
      </c>
      <c r="M40" s="102" t="str">
        <f>IF(K40&lt;&gt;"",_xlfn.XLOOKUP(A40,'1C'!A:A,'1C'!R:R,"",0),"")</f>
        <v>черный</v>
      </c>
      <c r="N40" s="101"/>
      <c r="O40" s="102" t="str">
        <f>_xlfn.LET(_xlpm.RES,IF($A40&lt;&gt;"",_xlfn.XLOOKUP($A40,'1C'!$A:$A,'1C'!T:T,"",0),""),IF(_xlpm.RES=0,"",_xlpm.RES))</f>
        <v>EPL</v>
      </c>
      <c r="P40" s="102" t="str">
        <f>_xlfn.LET(_xlpm.RES,IF($A40&lt;&gt;"",_xlfn.XLOOKUP($A40,'1C'!$A:$A,'1C'!U:U,"",0),""),IF(_xlpm.RES=0,"",_xlpm.RES))</f>
        <v>Manchester United</v>
      </c>
      <c r="Q40" s="137" t="str">
        <f>IF(A40&lt;&gt;"",_xlfn.XLOOKUP(A40,'1C'!A:A,'1C'!I:I,_xlfn.XLOOKUP(C40,'1C'!W:W,'1C'!I:I,"",0),0),"")</f>
        <v>100% хлопок</v>
      </c>
      <c r="R40" s="101"/>
      <c r="S40" s="102" t="str">
        <f>_xlfn.LET(_xlpm.RES,IF(A40&lt;&gt;"",_xlfn.XLOOKUP(A40,'1C'!A:A,'1C'!N:N,_xlfn.XLOOKUP(C40,'1C'!W:W,'1C'!N:N,"",0),0),""),IF(_xlpm.RES=0,"",_xlpm.RES))</f>
        <v>хлопковые</v>
      </c>
      <c r="T40" s="103" t="str">
        <f>IF(S40&lt;&gt;"",IFERROR(VLOOKUP(S40,MaterialsTypes!F:G,2,0),IFERROR(VLOOKUP(Q40,MaterialsTypes100,2,0),"")),IFERROR(VLOOKUP(Q40,MaterialsTypes100,2,0),""))</f>
        <v>Текстиль, ткань</v>
      </c>
      <c r="U40" s="103" t="str">
        <f>IF(A40&lt;&gt;"",_xlfn.XLOOKUP(A40,'1C'!A:A,'1C'!K:K,_xlfn.XLOOKUP(C40,'1C'!W:W,'1C'!K:K,"",0),0),"")</f>
        <v>Унисекс</v>
      </c>
      <c r="V40" s="99">
        <v>3</v>
      </c>
      <c r="AT40" s="102">
        <f t="shared" si="11"/>
        <v>3</v>
      </c>
      <c r="AU40" s="140" t="str">
        <f>IF(A40&lt;&gt;"",_xlfn.XLOOKUP(_xlfn.XLOOKUP(A40,'1C'!A:A,'1C'!O:O,_xlfn.XLOOKUP(C40,'1C'!W:W,'1C'!O:O,"",0),0),Settings!N:N,Settings!O:O,"",0),"")</f>
        <v>BD</v>
      </c>
      <c r="AV40" s="102" t="str">
        <f t="shared" ca="1" si="12"/>
        <v>ERR</v>
      </c>
      <c r="AW40" s="103" t="str">
        <f t="shared" ca="1" si="13"/>
        <v>Бангладеш</v>
      </c>
      <c r="AX40" s="105">
        <f t="shared" si="14"/>
        <v>0.1</v>
      </c>
      <c r="AY40" s="103">
        <f t="shared" si="15"/>
        <v>0.15000000000000002</v>
      </c>
      <c r="AZ40" s="103">
        <f t="shared" si="16"/>
        <v>0.30000000000000004</v>
      </c>
      <c r="BA40" s="103">
        <f t="shared" si="17"/>
        <v>0.45000000000000007</v>
      </c>
      <c r="BB40" s="106">
        <v>1210.25</v>
      </c>
      <c r="BC40" s="141">
        <f t="shared" si="18"/>
        <v>3630.75</v>
      </c>
      <c r="BD40" s="98">
        <f>IF(A40&lt;&gt;"",IF(_xlfn.XLOOKUP(A40,'1C'!A:A,'1C'!A:A,0,0)&gt;0,1,0),"")</f>
        <v>1</v>
      </c>
      <c r="BE40" s="98">
        <f>IF(C40&lt;&gt;"",IF(_xlfn.XLOOKUP(TEXT(C40,"###"),'1C'!W:W,'1C'!D:D,0,0)&gt;0,0,1),"")</f>
        <v>0</v>
      </c>
      <c r="BF40" s="98">
        <f t="shared" si="19"/>
        <v>0</v>
      </c>
    </row>
    <row r="41" spans="1:58" ht="98.1" customHeight="1">
      <c r="A41" s="103" t="str">
        <f t="shared" si="10"/>
        <v>12033103BLK</v>
      </c>
      <c r="B41" s="98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96-063-09</v>
      </c>
      <c r="C41" s="104" t="s">
        <v>1763</v>
      </c>
      <c r="E41" s="103" t="str">
        <f>IF(F41&lt;&gt;"",IFERROR(VLOOKUP(F41,Категории!A:B,2,0),""),"Требуется категория")</f>
        <v>Шапки</v>
      </c>
      <c r="F41" s="103" t="str">
        <f>IF(A41&lt;&gt;"",IF(BD41&gt;0,_xlfn.XLOOKUP(A41,'1C'!A:A,'1C'!J:J,"",0),_xlfn.XLOOKUP(C41,'1C'!W:W,'1C'!J:J,"",0)),"")</f>
        <v>Шапка вязаная</v>
      </c>
      <c r="G41" s="102" t="str">
        <f>IF(C41&lt;&gt;"",IF(BD41&gt;0,_xlfn.XLOOKUP(A41,'1C'!A:A,'1C'!L:L,"",0),_xlfn.XLOOKUP(C41,'1C'!W:W,'1C'!L:L,"",0)),"")</f>
        <v>New Era</v>
      </c>
      <c r="H41" s="103" t="str">
        <f>IF(A41&lt;&gt;"",_xlfn.XLOOKUP(A41,'1C'!A:A,'1C'!M:M,_xlfn.XLOOKUP(C41,'1C'!W:W,'1C'!M:M,"",0),0),"")</f>
        <v>зимний</v>
      </c>
      <c r="I41" s="99" t="str">
        <f t="shared" si="20"/>
        <v xml:space="preserve">12033103 </v>
      </c>
      <c r="J41" s="102" t="str">
        <f>_xlfn.LET(_xlpm.itemName,_xlfn.XLOOKUP(A41,'1C'!A:A,'1C'!D:D,"",0),IFERROR(MID(_xlpm.itemName,FIND(" ",_xlpm.itemName)+1,FIND("арт.",_xlpm.itemName)-(FIND(" ",_xlpm.itemName)+2)),""))</f>
        <v>NEW ERA</v>
      </c>
      <c r="K41" s="107" t="s">
        <v>1726</v>
      </c>
      <c r="L41" s="138" t="str">
        <f>IF(K41&lt;&gt;"",IFERROR(VLOOKUP(A41,'1C'!A:X,8,0),IFERROR(VLOOKUP(K41,Colors!D:E,2,0),"")),"")</f>
        <v>черный</v>
      </c>
      <c r="M41" s="102" t="str">
        <f>IF(K41&lt;&gt;"",_xlfn.XLOOKUP(A41,'1C'!A:A,'1C'!R:R,"",0),"")</f>
        <v>черный</v>
      </c>
      <c r="N41" s="101"/>
      <c r="O41" s="101"/>
      <c r="P41" s="101"/>
      <c r="Q41" s="137" t="str">
        <f>IF(A41&lt;&gt;"",_xlfn.XLOOKUP(A41,'1C'!A:A,'1C'!I:I,_xlfn.XLOOKUP(C41,'1C'!W:W,'1C'!I:I,"",0),0),"")</f>
        <v>100% акрил</v>
      </c>
      <c r="R41" s="101"/>
      <c r="S41" s="101"/>
      <c r="U41" s="103" t="str">
        <f>IF(A41&lt;&gt;"",_xlfn.XLOOKUP(A41,'1C'!A:A,'1C'!K:K,_xlfn.XLOOKUP(C41,'1C'!W:W,'1C'!K:K,"",0),0),"")</f>
        <v>Унисекс</v>
      </c>
      <c r="V41" s="99">
        <v>2</v>
      </c>
      <c r="AT41" s="102">
        <f t="shared" si="11"/>
        <v>2</v>
      </c>
      <c r="AU41" s="140" t="str">
        <f>IF(A41&lt;&gt;"",_xlfn.XLOOKUP(_xlfn.XLOOKUP(A41,'1C'!A:A,'1C'!O:O,_xlfn.XLOOKUP(C41,'1C'!W:W,'1C'!O:O,"",0),0),Settings!N:N,Settings!O:O,"",0),"")</f>
        <v>CN</v>
      </c>
      <c r="AV41" s="102" t="str">
        <f t="shared" ca="1" si="12"/>
        <v>ERR</v>
      </c>
      <c r="AW41" s="103" t="str">
        <f t="shared" ca="1" si="13"/>
        <v>Китай</v>
      </c>
      <c r="AX41" s="105">
        <f t="shared" si="14"/>
        <v>0.1</v>
      </c>
      <c r="AY41" s="103">
        <f t="shared" si="15"/>
        <v>0.15000000000000002</v>
      </c>
      <c r="AZ41" s="103">
        <f t="shared" si="16"/>
        <v>0.2</v>
      </c>
      <c r="BA41" s="103">
        <f t="shared" si="17"/>
        <v>0.30000000000000004</v>
      </c>
      <c r="BB41" s="106">
        <v>581.5</v>
      </c>
      <c r="BC41" s="141">
        <f t="shared" si="18"/>
        <v>1163</v>
      </c>
      <c r="BD41" s="98">
        <f>IF(A41&lt;&gt;"",IF(_xlfn.XLOOKUP(A41,'1C'!A:A,'1C'!A:A,0,0)&gt;0,1,0),"")</f>
        <v>1</v>
      </c>
      <c r="BE41" s="98">
        <f>IF(C41&lt;&gt;"",IF(_xlfn.XLOOKUP(TEXT(C41,"###"),'1C'!W:W,'1C'!D:D,0,0)&gt;0,0,1),"")</f>
        <v>0</v>
      </c>
      <c r="BF41" s="98">
        <f t="shared" si="19"/>
        <v>0</v>
      </c>
    </row>
    <row r="42" spans="1:58" ht="98.1" customHeight="1">
      <c r="A42" s="103" t="str">
        <f t="shared" si="10"/>
        <v>12033266LOSDOD</v>
      </c>
      <c r="B42" s="98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96-065-06</v>
      </c>
      <c r="C42" s="104" t="s">
        <v>1764</v>
      </c>
      <c r="D42" s="103" t="str">
        <f>IF(A42&lt;&gt;"",_xlfn.XLOOKUP(C42,'1C'!W:W,'1C'!X:X,"",0),"")</f>
        <v>Los Angeles Dodgers</v>
      </c>
      <c r="E42" s="103" t="str">
        <f>IF(F42&lt;&gt;"",IFERROR(VLOOKUP(F42,Категории!A:B,2,0),""),"Требуется категория")</f>
        <v>Шапки</v>
      </c>
      <c r="F42" s="103" t="str">
        <f>IF(A42&lt;&gt;"",IF(BD42&gt;0,_xlfn.XLOOKUP(A42,'1C'!A:A,'1C'!J:J,"",0),_xlfn.XLOOKUP(C42,'1C'!W:W,'1C'!J:J,"",0)),"")</f>
        <v>Шапка вязаная</v>
      </c>
      <c r="G42" s="102" t="str">
        <f>IF(C42&lt;&gt;"",IF(BD42&gt;0,_xlfn.XLOOKUP(A42,'1C'!A:A,'1C'!L:L,"",0),_xlfn.XLOOKUP(C42,'1C'!W:W,'1C'!L:L,"",0)),"")</f>
        <v>New Era</v>
      </c>
      <c r="H42" s="103" t="str">
        <f>IF(A42&lt;&gt;"",_xlfn.XLOOKUP(A42,'1C'!A:A,'1C'!M:M,_xlfn.XLOOKUP(C42,'1C'!W:W,'1C'!M:M,"",0),0),"")</f>
        <v>зимний</v>
      </c>
      <c r="I42" s="99" t="str">
        <f t="shared" si="20"/>
        <v>12033266 Los Angeles Dodgers</v>
      </c>
      <c r="J42" s="102" t="str">
        <f>_xlfn.LET(_xlpm.itemName,_xlfn.XLOOKUP(A42,'1C'!A:A,'1C'!D:D,"",0),IFERROR(MID(_xlpm.itemName,FIND(" ",_xlpm.itemName)+1,FIND("арт.",_xlpm.itemName)-(FIND(" ",_xlpm.itemName)+2)),""))</f>
        <v>NEW ERA</v>
      </c>
      <c r="K42" s="107" t="s">
        <v>1731</v>
      </c>
      <c r="L42" s="138" t="str">
        <f>IF(K42&lt;&gt;"",IFERROR(VLOOKUP(A42,'1C'!A:X,8,0),IFERROR(VLOOKUP(K42,Colors!D:E,2,0),"")),"")</f>
        <v>синий</v>
      </c>
      <c r="M42" s="102" t="str">
        <f>IF(K42&lt;&gt;"",_xlfn.XLOOKUP(A42,'1C'!A:A,'1C'!R:R,"",0),"")</f>
        <v>синий</v>
      </c>
      <c r="N42" s="101"/>
      <c r="O42" s="102" t="str">
        <f>_xlfn.LET(_xlpm.RES,IF($A42&lt;&gt;"",_xlfn.XLOOKUP($A42,'1C'!$A:$A,'1C'!T:T,"",0),""),IF(_xlpm.RES=0,"",_xlpm.RES))</f>
        <v>MLB</v>
      </c>
      <c r="P42" s="102" t="str">
        <f>_xlfn.LET(_xlpm.RES,IF($A42&lt;&gt;"",_xlfn.XLOOKUP($A42,'1C'!$A:$A,'1C'!U:U,"",0),""),IF(_xlpm.RES=0,"",_xlpm.RES))</f>
        <v>Los Angeles Dodgers</v>
      </c>
      <c r="Q42" s="137" t="str">
        <f>IF(A42&lt;&gt;"",_xlfn.XLOOKUP(A42,'1C'!A:A,'1C'!I:I,_xlfn.XLOOKUP(C42,'1C'!W:W,'1C'!I:I,"",0),0),"")</f>
        <v>100% акрил</v>
      </c>
      <c r="R42" s="101"/>
      <c r="S42" s="101"/>
      <c r="U42" s="103" t="str">
        <f>IF(A42&lt;&gt;"",_xlfn.XLOOKUP(A42,'1C'!A:A,'1C'!K:K,_xlfn.XLOOKUP(C42,'1C'!W:W,'1C'!K:K,"",0),0),"")</f>
        <v>Унисекс</v>
      </c>
      <c r="V42" s="99">
        <v>1</v>
      </c>
      <c r="AT42" s="102">
        <f t="shared" si="11"/>
        <v>1</v>
      </c>
      <c r="AU42" s="140" t="str">
        <f>IF(A42&lt;&gt;"",_xlfn.XLOOKUP(_xlfn.XLOOKUP(A42,'1C'!A:A,'1C'!O:O,_xlfn.XLOOKUP(C42,'1C'!W:W,'1C'!O:O,"",0),0),Settings!N:N,Settings!O:O,"",0),"")</f>
        <v>CN</v>
      </c>
      <c r="AV42" s="102" t="str">
        <f t="shared" ca="1" si="12"/>
        <v>ERR</v>
      </c>
      <c r="AW42" s="103" t="str">
        <f t="shared" ca="1" si="13"/>
        <v>Китай</v>
      </c>
      <c r="AX42" s="105">
        <f t="shared" si="14"/>
        <v>0.1</v>
      </c>
      <c r="AY42" s="103">
        <f t="shared" si="15"/>
        <v>0.15000000000000002</v>
      </c>
      <c r="AZ42" s="103">
        <f t="shared" si="16"/>
        <v>0.1</v>
      </c>
      <c r="BA42" s="103">
        <f t="shared" si="17"/>
        <v>0.15000000000000002</v>
      </c>
      <c r="BB42" s="106">
        <v>581.5</v>
      </c>
      <c r="BC42" s="141">
        <f t="shared" si="18"/>
        <v>581.5</v>
      </c>
      <c r="BD42" s="98">
        <f>IF(A42&lt;&gt;"",IF(_xlfn.XLOOKUP(A42,'1C'!A:A,'1C'!A:A,0,0)&gt;0,1,0),"")</f>
        <v>1</v>
      </c>
      <c r="BE42" s="98">
        <f>IF(C42&lt;&gt;"",IF(_xlfn.XLOOKUP(TEXT(C42,"###"),'1C'!W:W,'1C'!D:D,0,0)&gt;0,0,1),"")</f>
        <v>0</v>
      </c>
      <c r="BF42" s="98">
        <f t="shared" si="19"/>
        <v>0</v>
      </c>
    </row>
    <row r="43" spans="1:58" ht="98.1" customHeight="1">
      <c r="A43" s="103" t="str">
        <f t="shared" si="10"/>
        <v>12489434GRAWHT</v>
      </c>
      <c r="B43" s="98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96-073-05</v>
      </c>
      <c r="C43" s="104" t="s">
        <v>1766</v>
      </c>
      <c r="E43" s="103" t="str">
        <f>IF(F43&lt;&gt;"",IFERROR(VLOOKUP(F43,Категории!A:B,2,0),""),"Требуется категория")</f>
        <v>Шапки</v>
      </c>
      <c r="F43" s="103" t="str">
        <f>IF(A43&lt;&gt;"",IF(BD43&gt;0,_xlfn.XLOOKUP(A43,'1C'!A:A,'1C'!J:J,"",0),_xlfn.XLOOKUP(C43,'1C'!W:W,'1C'!J:J,"",0)),"")</f>
        <v>Шапка вязаная</v>
      </c>
      <c r="G43" s="102" t="str">
        <f>IF(C43&lt;&gt;"",IF(BD43&gt;0,_xlfn.XLOOKUP(A43,'1C'!A:A,'1C'!L:L,"",0),_xlfn.XLOOKUP(C43,'1C'!W:W,'1C'!L:L,"",0)),"")</f>
        <v>New Era</v>
      </c>
      <c r="H43" s="103" t="str">
        <f>IF(A43&lt;&gt;"",_xlfn.XLOOKUP(A43,'1C'!A:A,'1C'!M:M,_xlfn.XLOOKUP(C43,'1C'!W:W,'1C'!M:M,"",0),0),"")</f>
        <v>зимний</v>
      </c>
      <c r="I43" s="99" t="str">
        <f t="shared" si="20"/>
        <v xml:space="preserve">12489434 </v>
      </c>
      <c r="J43" s="102" t="str">
        <f>_xlfn.LET(_xlpm.itemName,_xlfn.XLOOKUP(A43,'1C'!A:A,'1C'!D:D,"",0),IFERROR(MID(_xlpm.itemName,FIND(" ",_xlpm.itemName)+1,FIND("арт.",_xlpm.itemName)-(FIND(" ",_xlpm.itemName)+2)),""))</f>
        <v>NEW ERA</v>
      </c>
      <c r="K43" s="107" t="s">
        <v>1732</v>
      </c>
      <c r="L43" s="138" t="str">
        <f>IF(K43&lt;&gt;"",IFERROR(VLOOKUP(A43,'1C'!A:X,8,0),IFERROR(VLOOKUP(K43,Colors!D:E,2,0),"")),"")</f>
        <v>темно-серый</v>
      </c>
      <c r="M43" s="102" t="str">
        <f>IF(K43&lt;&gt;"",_xlfn.XLOOKUP(A43,'1C'!A:A,'1C'!R:R,"",0),"")</f>
        <v>серый</v>
      </c>
      <c r="N43" s="101"/>
      <c r="O43" s="101"/>
      <c r="P43" s="101"/>
      <c r="Q43" s="137" t="str">
        <f>IF(A43&lt;&gt;"",_xlfn.XLOOKUP(A43,'1C'!A:A,'1C'!I:I,_xlfn.XLOOKUP(C43,'1C'!W:W,'1C'!I:I,"",0),0),"")</f>
        <v>100% акрил</v>
      </c>
      <c r="R43" s="101"/>
      <c r="S43" s="101"/>
      <c r="U43" s="103" t="str">
        <f>IF(A43&lt;&gt;"",_xlfn.XLOOKUP(A43,'1C'!A:A,'1C'!K:K,_xlfn.XLOOKUP(C43,'1C'!W:W,'1C'!K:K,"",0),0),"")</f>
        <v>Унисекс</v>
      </c>
      <c r="V43" s="99">
        <v>8</v>
      </c>
      <c r="AT43" s="102">
        <f t="shared" si="11"/>
        <v>8</v>
      </c>
      <c r="AU43" s="140" t="str">
        <f>IF(A43&lt;&gt;"",_xlfn.XLOOKUP(_xlfn.XLOOKUP(A43,'1C'!A:A,'1C'!O:O,_xlfn.XLOOKUP(C43,'1C'!W:W,'1C'!O:O,"",0),0),Settings!N:N,Settings!O:O,"",0),"")</f>
        <v>CN</v>
      </c>
      <c r="AV43" s="102" t="str">
        <f t="shared" ca="1" si="12"/>
        <v>ERR</v>
      </c>
      <c r="AW43" s="103" t="str">
        <f t="shared" ca="1" si="13"/>
        <v>Китай</v>
      </c>
      <c r="AX43" s="105">
        <f t="shared" si="14"/>
        <v>0.1</v>
      </c>
      <c r="AY43" s="103">
        <f t="shared" si="15"/>
        <v>0.15000000000000002</v>
      </c>
      <c r="AZ43" s="103">
        <f t="shared" si="16"/>
        <v>0.8</v>
      </c>
      <c r="BA43" s="103">
        <f t="shared" si="17"/>
        <v>1.2000000000000002</v>
      </c>
      <c r="BB43" s="106">
        <v>744.59</v>
      </c>
      <c r="BC43" s="141">
        <f t="shared" si="18"/>
        <v>5956.72</v>
      </c>
      <c r="BD43" s="98">
        <f>IF(A43&lt;&gt;"",IF(_xlfn.XLOOKUP(A43,'1C'!A:A,'1C'!A:A,0,0)&gt;0,1,0),"")</f>
        <v>1</v>
      </c>
      <c r="BE43" s="98">
        <f>IF(C43&lt;&gt;"",IF(_xlfn.XLOOKUP(TEXT(C43,"###"),'1C'!W:W,'1C'!D:D,0,0)&gt;0,0,1),"")</f>
        <v>0</v>
      </c>
      <c r="BF43" s="98">
        <f t="shared" si="19"/>
        <v>0</v>
      </c>
    </row>
    <row r="44" spans="1:58" ht="98.1" customHeight="1">
      <c r="A44" s="103" t="str">
        <f t="shared" si="10"/>
        <v>60142978LTCKGR</v>
      </c>
      <c r="B44" s="98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96-109-11</v>
      </c>
      <c r="C44" s="104" t="s">
        <v>1774</v>
      </c>
      <c r="D44" s="103" t="str">
        <f>IF(A44&lt;&gt;"",_xlfn.XLOOKUP(C44,'1C'!W:W,'1C'!X:X,"",0),"")</f>
        <v>FA Ireland</v>
      </c>
      <c r="E44" s="103" t="str">
        <f>IF(F44&lt;&gt;"",IFERROR(VLOOKUP(F44,Категории!A:B,2,0),""),"Требуется категория")</f>
        <v>Бейсболки</v>
      </c>
      <c r="F44" s="103" t="str">
        <f>IF(A44&lt;&gt;"",IF(BD44&gt;0,_xlfn.XLOOKUP(A44,'1C'!A:A,'1C'!J:J,"",0),_xlfn.XLOOKUP(C44,'1C'!W:W,'1C'!J:J,"",0)),"")</f>
        <v>Бейсболка</v>
      </c>
      <c r="G44" s="102" t="str">
        <f>IF(C44&lt;&gt;"",IF(BD44&gt;0,_xlfn.XLOOKUP(A44,'1C'!A:A,'1C'!L:L,"",0),_xlfn.XLOOKUP(C44,'1C'!W:W,'1C'!L:L,"",0)),"")</f>
        <v>New Era</v>
      </c>
      <c r="H44" s="103" t="str">
        <f>IF(A44&lt;&gt;"",_xlfn.XLOOKUP(A44,'1C'!A:A,'1C'!M:M,_xlfn.XLOOKUP(C44,'1C'!W:W,'1C'!M:M,"",0),0),"")</f>
        <v>всесезон</v>
      </c>
      <c r="I44" s="99" t="str">
        <f t="shared" si="20"/>
        <v>60142978 FA Ireland</v>
      </c>
      <c r="J44" s="103" t="str">
        <f>_xlfn.LET(_xlpm.itemName,_xlfn.XLOOKUP(A44,'1C'!A:A,'1C'!D:D,"",0),IFERROR(MID(_xlpm.itemName,FIND(" ",_xlpm.itemName)+1,FIND("арт.",_xlpm.itemName)-(FIND(" ",_xlpm.itemName)+2)),""))</f>
        <v>NEW ERA</v>
      </c>
      <c r="K44" s="107" t="s">
        <v>1738</v>
      </c>
      <c r="L44" s="138" t="str">
        <f>IF(K44&lt;&gt;"",IFERROR(VLOOKUP(A44,'1C'!A:X,8,0),IFERROR(VLOOKUP(K44,Colors!D:E,2,0),"")),"")</f>
        <v>зеленый</v>
      </c>
      <c r="M44" s="102" t="str">
        <f>IF(K44&lt;&gt;"",_xlfn.XLOOKUP(A44,'1C'!A:A,'1C'!R:R,"",0),"")</f>
        <v>зеленый</v>
      </c>
      <c r="N44" s="101"/>
      <c r="O44" s="102" t="str">
        <f>_xlfn.LET(_xlpm.RES,IF($A44&lt;&gt;"",_xlfn.XLOOKUP($A44,'1C'!$A:$A,'1C'!T:T,"",0),""),IF(_xlpm.RES=0,"",_xlpm.RES))</f>
        <v>UEFA</v>
      </c>
      <c r="P44" s="102" t="str">
        <f>_xlfn.LET(_xlpm.RES,IF($A44&lt;&gt;"",_xlfn.XLOOKUP($A44,'1C'!$A:$A,'1C'!U:U,"",0),""),IF(_xlpm.RES=0,"",_xlpm.RES))</f>
        <v>Fa Ireland</v>
      </c>
      <c r="Q44" s="137" t="str">
        <f>IF(A44&lt;&gt;"",_xlfn.XLOOKUP(A44,'1C'!A:A,'1C'!I:I,_xlfn.XLOOKUP(C44,'1C'!W:W,'1C'!I:I,"",0),0),"")</f>
        <v>100% хлопок</v>
      </c>
      <c r="R44" s="101"/>
      <c r="S44" s="102" t="str">
        <f>_xlfn.LET(_xlpm.RES,IF(A44&lt;&gt;"",_xlfn.XLOOKUP(A44,'1C'!A:A,'1C'!N:N,_xlfn.XLOOKUP(C44,'1C'!W:W,'1C'!N:N,"",0),0),""),IF(_xlpm.RES=0,"",_xlpm.RES))</f>
        <v>хлопковые</v>
      </c>
      <c r="T44" s="103" t="str">
        <f>IF(S44&lt;&gt;"",IFERROR(VLOOKUP(S44,MaterialsTypes!F:G,2,0),IFERROR(VLOOKUP(Q44,MaterialsTypes100,2,0),"")),IFERROR(VLOOKUP(Q44,MaterialsTypes100,2,0),""))</f>
        <v>Текстиль, ткань</v>
      </c>
      <c r="U44" s="103" t="str">
        <f>IF(A44&lt;&gt;"",_xlfn.XLOOKUP(A44,'1C'!A:A,'1C'!K:K,_xlfn.XLOOKUP(C44,'1C'!W:W,'1C'!K:K,"",0),0),"")</f>
        <v>Унисекс</v>
      </c>
      <c r="V44" s="99">
        <v>6</v>
      </c>
      <c r="AT44" s="102">
        <f t="shared" si="11"/>
        <v>6</v>
      </c>
      <c r="AU44" s="140" t="str">
        <f>IF(A44&lt;&gt;"",_xlfn.XLOOKUP(_xlfn.XLOOKUP(A44,'1C'!A:A,'1C'!O:O,_xlfn.XLOOKUP(C44,'1C'!W:W,'1C'!O:O,"",0),0),Settings!N:N,Settings!O:O,"",0),"")</f>
        <v>CN</v>
      </c>
      <c r="AV44" s="102" t="str">
        <f t="shared" ca="1" si="12"/>
        <v>ERR</v>
      </c>
      <c r="AW44" s="103" t="str">
        <f t="shared" ca="1" si="13"/>
        <v>Китай</v>
      </c>
      <c r="AX44" s="105">
        <f t="shared" si="14"/>
        <v>0.1</v>
      </c>
      <c r="AY44" s="103">
        <f t="shared" si="15"/>
        <v>0.15000000000000002</v>
      </c>
      <c r="AZ44" s="103">
        <f t="shared" si="16"/>
        <v>0.60000000000000009</v>
      </c>
      <c r="BA44" s="103">
        <f t="shared" si="17"/>
        <v>0.90000000000000013</v>
      </c>
      <c r="BB44" s="106">
        <v>884.29</v>
      </c>
      <c r="BC44" s="141">
        <f t="shared" si="18"/>
        <v>5305.74</v>
      </c>
      <c r="BD44" s="98">
        <f>IF(A44&lt;&gt;"",IF(_xlfn.XLOOKUP(A44,'1C'!A:A,'1C'!A:A,0,0)&gt;0,1,0),"")</f>
        <v>1</v>
      </c>
      <c r="BE44" s="98">
        <f>IF(C44&lt;&gt;"",IF(_xlfn.XLOOKUP(TEXT(C44,"###"),'1C'!W:W,'1C'!D:D,0,0)&gt;0,0,1),"")</f>
        <v>0</v>
      </c>
      <c r="BF44" s="98">
        <f t="shared" si="19"/>
        <v>0</v>
      </c>
    </row>
    <row r="45" spans="1:58" ht="98.1" customHeight="1">
      <c r="A45" s="103" t="str">
        <f t="shared" si="10"/>
        <v>60143388BLK</v>
      </c>
      <c r="B45" s="98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96-116-09</v>
      </c>
      <c r="C45" s="104" t="s">
        <v>1775</v>
      </c>
      <c r="D45" s="103" t="str">
        <f>IF(A45&lt;&gt;"",_xlfn.XLOOKUP(C45,'1C'!W:W,'1C'!X:X,"",0),"")</f>
        <v>Manchester United</v>
      </c>
      <c r="E45" s="103" t="str">
        <f>IF(F45&lt;&gt;"",IFERROR(VLOOKUP(F45,Категории!A:B,2,0),""),"Требуется категория")</f>
        <v>Бейсболки</v>
      </c>
      <c r="F45" s="103" t="str">
        <f>IF(A45&lt;&gt;"",IF(BD45&gt;0,_xlfn.XLOOKUP(A45,'1C'!A:A,'1C'!J:J,"",0),_xlfn.XLOOKUP(C45,'1C'!W:W,'1C'!J:J,"",0)),"")</f>
        <v>Бейсболка с сеточкой</v>
      </c>
      <c r="G45" s="102" t="str">
        <f>IF(C45&lt;&gt;"",IF(BD45&gt;0,_xlfn.XLOOKUP(A45,'1C'!A:A,'1C'!L:L,"",0),_xlfn.XLOOKUP(C45,'1C'!W:W,'1C'!L:L,"",0)),"")</f>
        <v>New Era</v>
      </c>
      <c r="H45" s="103" t="str">
        <f>IF(A45&lt;&gt;"",_xlfn.XLOOKUP(A45,'1C'!A:A,'1C'!M:M,_xlfn.XLOOKUP(C45,'1C'!W:W,'1C'!M:M,"",0),0),"")</f>
        <v>всесезон</v>
      </c>
      <c r="I45" s="99" t="str">
        <f t="shared" si="20"/>
        <v>60143388 Manchester United</v>
      </c>
      <c r="J45" s="103" t="str">
        <f>_xlfn.LET(_xlpm.itemName,_xlfn.XLOOKUP(A45,'1C'!A:A,'1C'!D:D,"",0),IFERROR(MID(_xlpm.itemName,FIND(" ",_xlpm.itemName)+1,FIND("арт.",_xlpm.itemName)-(FIND(" ",_xlpm.itemName)+2)),""))</f>
        <v>NEW ERA</v>
      </c>
      <c r="K45" s="107" t="s">
        <v>1726</v>
      </c>
      <c r="L45" s="138" t="str">
        <f>IF(K45&lt;&gt;"",IFERROR(VLOOKUP(A45,'1C'!A:X,8,0),IFERROR(VLOOKUP(K45,Colors!D:E,2,0),"")),"")</f>
        <v>черный</v>
      </c>
      <c r="M45" s="102" t="str">
        <f>IF(K45&lt;&gt;"",_xlfn.XLOOKUP(A45,'1C'!A:A,'1C'!R:R,"",0),"")</f>
        <v>черный</v>
      </c>
      <c r="N45" s="101"/>
      <c r="O45" s="102" t="str">
        <f>_xlfn.LET(_xlpm.RES,IF($A45&lt;&gt;"",_xlfn.XLOOKUP($A45,'1C'!$A:$A,'1C'!T:T,"",0),""),IF(_xlpm.RES=0,"",_xlpm.RES))</f>
        <v>EPL</v>
      </c>
      <c r="P45" s="102" t="str">
        <f>_xlfn.LET(_xlpm.RES,IF($A45&lt;&gt;"",_xlfn.XLOOKUP($A45,'1C'!$A:$A,'1C'!U:U,"",0),""),IF(_xlpm.RES=0,"",_xlpm.RES))</f>
        <v>Manchester United</v>
      </c>
      <c r="Q45" s="137" t="str">
        <f>IF(A45&lt;&gt;"",_xlfn.XLOOKUP(A45,'1C'!A:A,'1C'!I:I,_xlfn.XLOOKUP(C45,'1C'!W:W,'1C'!I:I,"",0),0),"")</f>
        <v>100% хлопок</v>
      </c>
      <c r="R45" s="101"/>
      <c r="S45" s="102" t="str">
        <f>_xlfn.LET(_xlpm.RES,IF(A45&lt;&gt;"",_xlfn.XLOOKUP(A45,'1C'!A:A,'1C'!N:N,_xlfn.XLOOKUP(C45,'1C'!W:W,'1C'!N:N,"",0),0),""),IF(_xlpm.RES=0,"",_xlpm.RES))</f>
        <v>хлопковые</v>
      </c>
      <c r="T45" s="103" t="str">
        <f>IF(S45&lt;&gt;"",IFERROR(VLOOKUP(S45,MaterialsTypes!F:G,2,0),IFERROR(VLOOKUP(Q45,MaterialsTypes100,2,0),"")),IFERROR(VLOOKUP(Q45,MaterialsTypes100,2,0),""))</f>
        <v>Текстиль, ткань</v>
      </c>
      <c r="U45" s="103" t="str">
        <f>IF(A45&lt;&gt;"",_xlfn.XLOOKUP(A45,'1C'!A:A,'1C'!K:K,_xlfn.XLOOKUP(C45,'1C'!W:W,'1C'!K:K,"",0),0),"")</f>
        <v>Унисекс</v>
      </c>
      <c r="V45" s="99">
        <v>10</v>
      </c>
      <c r="AT45" s="102">
        <f t="shared" si="11"/>
        <v>10</v>
      </c>
      <c r="AU45" s="140" t="str">
        <f>IF(A45&lt;&gt;"",_xlfn.XLOOKUP(_xlfn.XLOOKUP(A45,'1C'!A:A,'1C'!O:O,_xlfn.XLOOKUP(C45,'1C'!W:W,'1C'!O:O,"",0),0),Settings!N:N,Settings!O:O,"",0),"")</f>
        <v>CN</v>
      </c>
      <c r="AV45" s="102" t="str">
        <f t="shared" ca="1" si="12"/>
        <v>ERR</v>
      </c>
      <c r="AW45" s="103" t="str">
        <f t="shared" ca="1" si="13"/>
        <v>Китай</v>
      </c>
      <c r="AX45" s="105">
        <f t="shared" si="14"/>
        <v>0.1</v>
      </c>
      <c r="AY45" s="103">
        <f t="shared" si="15"/>
        <v>0.15000000000000002</v>
      </c>
      <c r="AZ45" s="103">
        <f t="shared" si="16"/>
        <v>1</v>
      </c>
      <c r="BA45" s="103">
        <f t="shared" si="17"/>
        <v>1.5000000000000002</v>
      </c>
      <c r="BB45" s="106">
        <v>1210.25</v>
      </c>
      <c r="BC45" s="141">
        <f t="shared" si="18"/>
        <v>12102.5</v>
      </c>
      <c r="BD45" s="98">
        <f>IF(A45&lt;&gt;"",IF(_xlfn.XLOOKUP(A45,'1C'!A:A,'1C'!A:A,0,0)&gt;0,1,0),"")</f>
        <v>1</v>
      </c>
      <c r="BE45" s="98">
        <f>IF(C45&lt;&gt;"",IF(_xlfn.XLOOKUP(TEXT(C45,"###"),'1C'!W:W,'1C'!D:D,0,0)&gt;0,0,1),"")</f>
        <v>0</v>
      </c>
      <c r="BF45" s="98">
        <f t="shared" si="19"/>
        <v>0</v>
      </c>
    </row>
    <row r="46" spans="1:58" ht="98.1" customHeight="1">
      <c r="A46" s="103" t="str">
        <f t="shared" si="10"/>
        <v>60222367NVY</v>
      </c>
      <c r="B46" s="98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96-209-16</v>
      </c>
      <c r="C46" s="104" t="s">
        <v>1787</v>
      </c>
      <c r="D46" s="103" t="str">
        <f>IF(A46&lt;&gt;"",_xlfn.XLOOKUP(C46,'1C'!W:W,'1C'!X:X,"",0),"")</f>
        <v>New York Yankees MLB</v>
      </c>
      <c r="E46" s="103" t="str">
        <f>IF(F46&lt;&gt;"",IFERROR(VLOOKUP(F46,Категории!A:B,2,0),""),"Требуется категория")</f>
        <v>Бейсболки</v>
      </c>
      <c r="F46" s="103" t="str">
        <f>IF(A46&lt;&gt;"",IF(BD46&gt;0,_xlfn.XLOOKUP(A46,'1C'!A:A,'1C'!J:J,"",0),_xlfn.XLOOKUP(C46,'1C'!W:W,'1C'!J:J,"",0)),"")</f>
        <v>Бейсболка с прямым козырьком</v>
      </c>
      <c r="G46" s="102" t="str">
        <f>IF(C46&lt;&gt;"",IF(BD46&gt;0,_xlfn.XLOOKUP(A46,'1C'!A:A,'1C'!L:L,"",0),_xlfn.XLOOKUP(C46,'1C'!W:W,'1C'!L:L,"",0)),"")</f>
        <v>New Era</v>
      </c>
      <c r="H46" s="103" t="str">
        <f>IF(A46&lt;&gt;"",_xlfn.XLOOKUP(A46,'1C'!A:A,'1C'!M:M,_xlfn.XLOOKUP(C46,'1C'!W:W,'1C'!M:M,"",0),0),"")</f>
        <v>всесезон</v>
      </c>
      <c r="I46" s="99" t="str">
        <f t="shared" si="20"/>
        <v>60222367 New York Yankees MLB</v>
      </c>
      <c r="J46" s="103" t="str">
        <f>_xlfn.LET(_xlpm.itemName,_xlfn.XLOOKUP(A46,'1C'!A:A,'1C'!D:D,"",0),IFERROR(MID(_xlpm.itemName,FIND(" ",_xlpm.itemName)+1,FIND("арт.",_xlpm.itemName)-(FIND(" ",_xlpm.itemName)+2)),""))</f>
        <v>NEW ERA</v>
      </c>
      <c r="K46" s="107" t="s">
        <v>1740</v>
      </c>
      <c r="L46" s="138" t="str">
        <f>IF(K46&lt;&gt;"",IFERROR(VLOOKUP(A46,'1C'!A:X,8,0),IFERROR(VLOOKUP(K46,Colors!D:E,2,0),"")),"")</f>
        <v>темно-синий</v>
      </c>
      <c r="M46" s="102" t="str">
        <f>IF(K46&lt;&gt;"",_xlfn.XLOOKUP(A46,'1C'!A:A,'1C'!R:R,"",0),"")</f>
        <v>синий</v>
      </c>
      <c r="N46" s="101"/>
      <c r="O46" s="102" t="str">
        <f>_xlfn.LET(_xlpm.RES,IF($A46&lt;&gt;"",_xlfn.XLOOKUP($A46,'1C'!$A:$A,'1C'!T:T,"",0),""),IF(_xlpm.RES=0,"",_xlpm.RES))</f>
        <v>MLB</v>
      </c>
      <c r="P46" s="102" t="str">
        <f>_xlfn.LET(_xlpm.RES,IF($A46&lt;&gt;"",_xlfn.XLOOKUP($A46,'1C'!$A:$A,'1C'!U:U,"",0),""),IF(_xlpm.RES=0,"",_xlpm.RES))</f>
        <v>New York Yankees</v>
      </c>
      <c r="Q46" s="137" t="str">
        <f>IF(A46&lt;&gt;"",_xlfn.XLOOKUP(A46,'1C'!A:A,'1C'!I:I,_xlfn.XLOOKUP(C46,'1C'!W:W,'1C'!I:I,"",0),0),"")</f>
        <v>100% полиэстер</v>
      </c>
      <c r="R46" s="101"/>
      <c r="S46" s="101"/>
      <c r="U46" s="103" t="str">
        <f>IF(A46&lt;&gt;"",_xlfn.XLOOKUP(A46,'1C'!A:A,'1C'!K:K,_xlfn.XLOOKUP(C46,'1C'!W:W,'1C'!K:K,"",0),0),"")</f>
        <v>Унисекс</v>
      </c>
      <c r="AB46" s="99">
        <v>6</v>
      </c>
      <c r="AD46" s="99">
        <v>6</v>
      </c>
      <c r="AF46" s="99">
        <v>8</v>
      </c>
      <c r="AT46" s="103">
        <f t="shared" si="11"/>
        <v>20</v>
      </c>
      <c r="AU46" s="140" t="str">
        <f>IF(A46&lt;&gt;"",_xlfn.XLOOKUP(_xlfn.XLOOKUP(A46,'1C'!A:A,'1C'!O:O,_xlfn.XLOOKUP(C46,'1C'!W:W,'1C'!O:O,"",0),0),Settings!N:N,Settings!O:O,"",0),"")</f>
        <v>BD</v>
      </c>
      <c r="AV46" s="102" t="str">
        <f t="shared" ca="1" si="12"/>
        <v>ERR</v>
      </c>
      <c r="AW46" s="103" t="str">
        <f t="shared" ca="1" si="13"/>
        <v>Бангладеш</v>
      </c>
      <c r="AX46" s="105">
        <f t="shared" si="14"/>
        <v>0.1</v>
      </c>
      <c r="AY46" s="103">
        <f t="shared" si="15"/>
        <v>0.15000000000000002</v>
      </c>
      <c r="AZ46" s="103">
        <f t="shared" si="16"/>
        <v>2</v>
      </c>
      <c r="BA46" s="103">
        <f t="shared" si="17"/>
        <v>3.0000000000000004</v>
      </c>
      <c r="BB46" s="106">
        <v>2502.35</v>
      </c>
      <c r="BC46" s="141">
        <f t="shared" si="18"/>
        <v>50047</v>
      </c>
      <c r="BD46" s="98">
        <f>IF(A46&lt;&gt;"",IF(_xlfn.XLOOKUP(A46,'1C'!A:A,'1C'!A:A,0,0)&gt;0,1,0),"")</f>
        <v>1</v>
      </c>
      <c r="BE46" s="98">
        <f>IF(C46&lt;&gt;"",IF(_xlfn.XLOOKUP(TEXT(C46,"###"),'1C'!W:W,'1C'!D:D,0,0)&gt;0,0,1),"")</f>
        <v>0</v>
      </c>
      <c r="BF46" s="98">
        <f t="shared" si="19"/>
        <v>0</v>
      </c>
    </row>
    <row r="47" spans="1:58" ht="98.1" customHeight="1">
      <c r="A47" s="103" t="str">
        <f t="shared" si="10"/>
        <v>60222424WHI</v>
      </c>
      <c r="B47" s="98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96-034-65</v>
      </c>
      <c r="C47" s="104" t="s">
        <v>1788</v>
      </c>
      <c r="D47" s="103" t="str">
        <f>IF(A47&lt;&gt;"",_xlfn.XLOOKUP(C47,'1C'!W:W,'1C'!X:X,"",0),"")</f>
        <v>New York Yankees</v>
      </c>
      <c r="E47" s="103" t="str">
        <f>IF(F47&lt;&gt;"",IFERROR(VLOOKUP(F47,Категории!A:B,2,0),""),"Требуется категория")</f>
        <v>Бейсболки</v>
      </c>
      <c r="F47" s="103" t="str">
        <f>IF(A47&lt;&gt;"",IF(BD47&gt;0,_xlfn.XLOOKUP(A47,'1C'!A:A,'1C'!J:J,"",0),_xlfn.XLOOKUP(C47,'1C'!W:W,'1C'!J:J,"",0)),"")</f>
        <v>Бейсболка с сеточкой</v>
      </c>
      <c r="G47" s="102" t="str">
        <f>IF(C47&lt;&gt;"",IF(BD47&gt;0,_xlfn.XLOOKUP(A47,'1C'!A:A,'1C'!L:L,"",0),_xlfn.XLOOKUP(C47,'1C'!W:W,'1C'!L:L,"",0)),"")</f>
        <v>New Era</v>
      </c>
      <c r="H47" s="103" t="str">
        <f>IF(A47&lt;&gt;"",_xlfn.XLOOKUP(A47,'1C'!A:A,'1C'!M:M,_xlfn.XLOOKUP(C47,'1C'!W:W,'1C'!M:M,"",0),0),"")</f>
        <v>всесезон</v>
      </c>
      <c r="I47" s="99" t="str">
        <f t="shared" si="20"/>
        <v>60222424 New York Yankees</v>
      </c>
      <c r="J47" s="103" t="str">
        <f>_xlfn.LET(_xlpm.itemName,_xlfn.XLOOKUP(A47,'1C'!A:A,'1C'!D:D,"",0),IFERROR(MID(_xlpm.itemName,FIND(" ",_xlpm.itemName)+1,FIND("арт.",_xlpm.itemName)-(FIND(" ",_xlpm.itemName)+2)),""))</f>
        <v>NEW ERA</v>
      </c>
      <c r="K47" s="107" t="s">
        <v>1745</v>
      </c>
      <c r="L47" s="139" t="str">
        <f>IF(K47&lt;&gt;"",IFERROR(VLOOKUP(A47,'1C'!A:X,8,0),IFERROR(VLOOKUP(K47,Colors!D:E,2,0),"")),"")</f>
        <v>темно-синий / белый</v>
      </c>
      <c r="M47" s="102" t="str">
        <f>IF(K47&lt;&gt;"",_xlfn.XLOOKUP(A47,'1C'!A:A,'1C'!R:R,"",0),"")</f>
        <v>синий</v>
      </c>
      <c r="N47" s="102" t="str">
        <f>_xlfn.LET(_xlpm.RES,IF($A47&lt;&gt;"",_xlfn.XLOOKUP($A47,'1C'!$A:$A,'1C'!S:S,"",0),""),IF(_xlpm.RES=0,"",_xlpm.RES))</f>
        <v>жесткая форма</v>
      </c>
      <c r="O47" s="102" t="str">
        <f>_xlfn.LET(_xlpm.RES,IF($A47&lt;&gt;"",_xlfn.XLOOKUP($A47,'1C'!$A:$A,'1C'!T:T,"",0),""),IF(_xlpm.RES=0,"",_xlpm.RES))</f>
        <v>MLB</v>
      </c>
      <c r="P47" s="102" t="str">
        <f>_xlfn.LET(_xlpm.RES,IF($A47&lt;&gt;"",_xlfn.XLOOKUP($A47,'1C'!$A:$A,'1C'!U:U,"",0),""),IF(_xlpm.RES=0,"",_xlpm.RES))</f>
        <v>New York Yankees</v>
      </c>
      <c r="Q47" s="137" t="str">
        <f>IF(A47&lt;&gt;"",_xlfn.XLOOKUP(A47,'1C'!A:A,'1C'!I:I,_xlfn.XLOOKUP(C47,'1C'!W:W,'1C'!I:I,"",0),0),"")</f>
        <v>100% полиэстер</v>
      </c>
      <c r="R47" s="101"/>
      <c r="S47" s="101"/>
      <c r="U47" s="103" t="str">
        <f>IF(A47&lt;&gt;"",_xlfn.XLOOKUP(A47,'1C'!A:A,'1C'!K:K,_xlfn.XLOOKUP(C47,'1C'!W:W,'1C'!K:K,"",0),0),"")</f>
        <v>Унисекс</v>
      </c>
      <c r="V47" s="99">
        <v>5</v>
      </c>
      <c r="AT47" s="103">
        <f t="shared" si="11"/>
        <v>5</v>
      </c>
      <c r="AU47" s="140" t="str">
        <f>IF(A47&lt;&gt;"",_xlfn.XLOOKUP(_xlfn.XLOOKUP(A47,'1C'!A:A,'1C'!O:O,_xlfn.XLOOKUP(C47,'1C'!W:W,'1C'!O:O,"",0),0),Settings!N:N,Settings!O:O,"",0),"")</f>
        <v>CN</v>
      </c>
      <c r="AV47" s="102" t="str">
        <f t="shared" ca="1" si="12"/>
        <v>ERR</v>
      </c>
      <c r="AW47" s="103" t="str">
        <f t="shared" ca="1" si="13"/>
        <v>Китай</v>
      </c>
      <c r="AX47" s="105">
        <f t="shared" si="14"/>
        <v>0.1</v>
      </c>
      <c r="AY47" s="103">
        <f t="shared" si="15"/>
        <v>0.15000000000000002</v>
      </c>
      <c r="AZ47" s="103">
        <f t="shared" si="16"/>
        <v>0.5</v>
      </c>
      <c r="BA47" s="103">
        <f t="shared" si="17"/>
        <v>0.75000000000000011</v>
      </c>
      <c r="BB47" s="106">
        <v>1978.48</v>
      </c>
      <c r="BC47" s="141">
        <f t="shared" si="18"/>
        <v>9892.4</v>
      </c>
      <c r="BD47" s="98">
        <f>IF(A47&lt;&gt;"",IF(_xlfn.XLOOKUP(A47,'1C'!A:A,'1C'!A:A,0,0)&gt;0,1,0),"")</f>
        <v>1</v>
      </c>
      <c r="BE47" s="98">
        <f>IF(C47&lt;&gt;"",IF(_xlfn.XLOOKUP(TEXT(C47,"###"),'1C'!W:W,'1C'!D:D,0,0)&gt;0,0,1),"")</f>
        <v>0</v>
      </c>
      <c r="BF47" s="98">
        <f t="shared" si="19"/>
        <v>0</v>
      </c>
    </row>
    <row r="48" spans="1:58" ht="98.1" customHeight="1">
      <c r="C48" s="104" t="s">
        <v>47</v>
      </c>
      <c r="G48" s="102"/>
      <c r="L48" s="117"/>
      <c r="M48" s="101"/>
      <c r="N48" s="101"/>
      <c r="O48" s="101"/>
      <c r="P48" s="101"/>
      <c r="Q48" s="116"/>
      <c r="R48" s="101"/>
      <c r="S48" s="101"/>
      <c r="AU48" s="114"/>
      <c r="AV48" s="102"/>
      <c r="BE48" s="100"/>
    </row>
    <row r="49" spans="3:57" ht="98.1" customHeight="1">
      <c r="C49" s="104"/>
      <c r="G49" s="102"/>
      <c r="L49" s="117"/>
      <c r="M49" s="101"/>
      <c r="N49" s="101"/>
      <c r="O49" s="101"/>
      <c r="P49" s="101"/>
      <c r="Q49" s="116"/>
      <c r="R49" s="101"/>
      <c r="S49" s="101"/>
      <c r="AU49" s="114"/>
      <c r="AV49" s="102"/>
      <c r="BE49" s="100"/>
    </row>
    <row r="50" spans="3:57" ht="98.1" customHeight="1">
      <c r="C50" s="104"/>
      <c r="G50" s="102"/>
      <c r="M50" s="101"/>
      <c r="N50" s="101"/>
      <c r="O50" s="101"/>
      <c r="P50" s="101"/>
      <c r="Q50" s="116"/>
      <c r="R50" s="101"/>
      <c r="S50" s="101"/>
      <c r="AU50" s="114"/>
      <c r="AV50" s="102"/>
      <c r="BE50" s="100"/>
    </row>
    <row r="51" spans="3:57" ht="98.1" customHeight="1">
      <c r="C51" s="104"/>
      <c r="G51" s="102"/>
      <c r="M51" s="101"/>
      <c r="N51" s="101"/>
      <c r="O51" s="101"/>
      <c r="P51" s="101"/>
      <c r="Q51" s="116"/>
      <c r="R51" s="101"/>
      <c r="S51" s="101"/>
      <c r="AU51" s="114"/>
      <c r="AV51" s="102"/>
      <c r="BE51" s="100"/>
    </row>
    <row r="52" spans="3:57" ht="98.1" customHeight="1">
      <c r="C52" s="104"/>
      <c r="G52" s="102"/>
      <c r="M52" s="101"/>
      <c r="N52" s="101"/>
      <c r="O52" s="101"/>
      <c r="P52" s="101"/>
      <c r="Q52" s="116"/>
      <c r="R52" s="101"/>
      <c r="S52" s="101"/>
      <c r="AU52" s="114"/>
      <c r="AV52" s="102"/>
      <c r="BE52" s="100"/>
    </row>
    <row r="53" spans="3:57" ht="98.1" customHeight="1">
      <c r="C53" s="104"/>
      <c r="G53" s="102"/>
      <c r="M53" s="114"/>
      <c r="N53" s="101"/>
      <c r="O53" s="101"/>
      <c r="P53" s="101"/>
      <c r="Q53" s="116"/>
      <c r="R53" s="101"/>
      <c r="S53" s="101"/>
      <c r="AU53" s="114"/>
      <c r="AV53" s="102"/>
      <c r="BE53" s="100"/>
    </row>
    <row r="54" spans="3:57" ht="98.1" customHeight="1">
      <c r="C54" s="104"/>
      <c r="G54" s="102"/>
      <c r="M54" s="114"/>
      <c r="N54" s="101"/>
      <c r="O54" s="101"/>
      <c r="P54" s="101"/>
      <c r="Q54" s="116"/>
      <c r="R54" s="101"/>
      <c r="S54" s="101"/>
      <c r="AU54" s="114"/>
      <c r="AV54" s="102"/>
      <c r="BE54" s="100"/>
    </row>
    <row r="55" spans="3:57" ht="98.1" customHeight="1">
      <c r="C55" s="104"/>
      <c r="G55" s="102"/>
      <c r="L55" s="117"/>
      <c r="M55" s="114"/>
      <c r="N55" s="101"/>
      <c r="O55" s="101"/>
      <c r="P55" s="101"/>
      <c r="Q55" s="116"/>
      <c r="R55" s="101"/>
      <c r="S55" s="101"/>
      <c r="AU55" s="114"/>
      <c r="AV55" s="102"/>
      <c r="BE55" s="100"/>
    </row>
    <row r="56" spans="3:57" ht="98.1" customHeight="1">
      <c r="C56" s="104"/>
      <c r="G56" s="102"/>
      <c r="L56" s="117"/>
      <c r="M56" s="114"/>
      <c r="N56" s="101"/>
      <c r="O56" s="101"/>
      <c r="P56" s="101"/>
      <c r="Q56" s="116"/>
      <c r="R56" s="101"/>
      <c r="S56" s="101"/>
      <c r="AU56" s="114"/>
      <c r="AV56" s="102"/>
      <c r="BE56" s="100"/>
    </row>
    <row r="57" spans="3:57" ht="98.1" customHeight="1">
      <c r="C57" s="104"/>
      <c r="G57" s="102"/>
      <c r="L57" s="117"/>
      <c r="M57" s="114"/>
      <c r="N57" s="101"/>
      <c r="O57" s="101"/>
      <c r="P57" s="101"/>
      <c r="Q57" s="116"/>
      <c r="R57" s="101"/>
      <c r="S57" s="101"/>
      <c r="AU57" s="114"/>
      <c r="AV57" s="102"/>
      <c r="BE57" s="100"/>
    </row>
    <row r="58" spans="3:57" ht="98.1" customHeight="1">
      <c r="C58" s="104"/>
      <c r="G58" s="102"/>
      <c r="L58" s="117"/>
      <c r="M58" s="114"/>
      <c r="N58" s="101"/>
      <c r="O58" s="101"/>
      <c r="P58" s="101"/>
      <c r="Q58" s="116"/>
      <c r="R58" s="101"/>
      <c r="S58" s="101"/>
      <c r="AU58" s="114"/>
      <c r="AV58" s="102"/>
      <c r="BE58" s="100"/>
    </row>
    <row r="59" spans="3:57" ht="98.1" customHeight="1">
      <c r="C59" s="104"/>
      <c r="G59" s="102"/>
      <c r="L59" s="117"/>
      <c r="M59" s="114"/>
      <c r="N59" s="101"/>
      <c r="O59" s="101"/>
      <c r="P59" s="101"/>
      <c r="Q59" s="116"/>
      <c r="R59" s="101"/>
      <c r="S59" s="101"/>
      <c r="AU59" s="114"/>
      <c r="AV59" s="102"/>
      <c r="BE59" s="100"/>
    </row>
    <row r="60" spans="3:57" ht="98.1" customHeight="1">
      <c r="C60" s="104"/>
      <c r="G60" s="102"/>
      <c r="M60" s="114"/>
      <c r="N60" s="101"/>
      <c r="O60" s="101"/>
      <c r="P60" s="101"/>
      <c r="Q60" s="116"/>
      <c r="R60" s="101"/>
      <c r="S60" s="101"/>
      <c r="AU60" s="114"/>
      <c r="AV60" s="102"/>
      <c r="BE60" s="100"/>
    </row>
    <row r="61" spans="3:57" ht="98.1" customHeight="1">
      <c r="C61" s="104"/>
      <c r="G61" s="102"/>
      <c r="M61" s="114"/>
      <c r="N61" s="101"/>
      <c r="O61" s="101"/>
      <c r="P61" s="101"/>
      <c r="Q61" s="116"/>
      <c r="R61" s="101"/>
      <c r="S61" s="101"/>
      <c r="AU61" s="114"/>
      <c r="AV61" s="102"/>
      <c r="BE61" s="100"/>
    </row>
    <row r="62" spans="3:57" ht="98.1" customHeight="1">
      <c r="C62" s="104"/>
      <c r="G62" s="102"/>
      <c r="M62" s="114"/>
      <c r="N62" s="101"/>
      <c r="O62" s="101"/>
      <c r="P62" s="101"/>
      <c r="Q62" s="116"/>
      <c r="R62" s="101"/>
      <c r="S62" s="101"/>
      <c r="AU62" s="114"/>
      <c r="AV62" s="102"/>
      <c r="BE62" s="100"/>
    </row>
    <row r="63" spans="3:57" ht="98.1" customHeight="1">
      <c r="C63" s="104"/>
      <c r="G63" s="102"/>
      <c r="M63" s="114"/>
      <c r="N63" s="101"/>
      <c r="O63" s="101"/>
      <c r="P63" s="101"/>
      <c r="Q63" s="116"/>
      <c r="R63" s="101"/>
      <c r="S63" s="101"/>
      <c r="AU63" s="114"/>
      <c r="AV63" s="102"/>
      <c r="BE63" s="100"/>
    </row>
    <row r="64" spans="3:57" ht="98.1" customHeight="1">
      <c r="C64" s="104"/>
      <c r="G64" s="102"/>
      <c r="M64" s="114"/>
      <c r="N64" s="101"/>
      <c r="O64" s="101"/>
      <c r="P64" s="101"/>
      <c r="Q64" s="116"/>
      <c r="R64" s="101"/>
      <c r="S64" s="101"/>
      <c r="AU64" s="114"/>
      <c r="AV64" s="102"/>
      <c r="BE64" s="100"/>
    </row>
    <row r="65" spans="3:57" ht="98.1" customHeight="1">
      <c r="C65" s="104"/>
      <c r="G65" s="102"/>
      <c r="L65" s="117"/>
      <c r="M65" s="114"/>
      <c r="N65" s="101"/>
      <c r="O65" s="101"/>
      <c r="P65" s="101"/>
      <c r="Q65" s="116"/>
      <c r="R65" s="101"/>
      <c r="S65" s="101"/>
      <c r="AU65" s="114"/>
      <c r="AV65" s="102"/>
      <c r="BE65" s="100"/>
    </row>
    <row r="66" spans="3:57" ht="98.1" customHeight="1">
      <c r="C66" s="104"/>
      <c r="G66" s="102"/>
      <c r="L66" s="117"/>
      <c r="M66" s="114"/>
      <c r="N66" s="101"/>
      <c r="O66" s="101"/>
      <c r="P66" s="101"/>
      <c r="Q66" s="116"/>
      <c r="R66" s="101"/>
      <c r="S66" s="101"/>
      <c r="AU66" s="114"/>
      <c r="AV66" s="102"/>
      <c r="BE66" s="100"/>
    </row>
    <row r="67" spans="3:57" ht="98.1" customHeight="1">
      <c r="C67" s="104"/>
      <c r="G67" s="102"/>
      <c r="L67" s="117"/>
      <c r="M67" s="114"/>
      <c r="N67" s="101"/>
      <c r="O67" s="101"/>
      <c r="P67" s="101"/>
      <c r="Q67" s="116"/>
      <c r="R67" s="101"/>
      <c r="S67" s="101"/>
      <c r="AU67" s="114"/>
      <c r="AV67" s="102"/>
      <c r="BE67" s="100"/>
    </row>
    <row r="68" spans="3:57" ht="98.1" customHeight="1">
      <c r="C68" s="104"/>
      <c r="G68" s="102"/>
      <c r="L68" s="117"/>
      <c r="M68" s="114"/>
      <c r="N68" s="101"/>
      <c r="O68" s="101"/>
      <c r="P68" s="101"/>
      <c r="Q68" s="116"/>
      <c r="R68" s="101"/>
      <c r="S68" s="101"/>
      <c r="AU68" s="114"/>
      <c r="AV68" s="102"/>
      <c r="BE68" s="100"/>
    </row>
    <row r="69" spans="3:57" ht="98.1" customHeight="1">
      <c r="C69" s="104"/>
      <c r="G69" s="102"/>
      <c r="L69" s="117"/>
      <c r="M69" s="114"/>
      <c r="N69" s="101"/>
      <c r="O69" s="101"/>
      <c r="P69" s="101"/>
      <c r="Q69" s="116"/>
      <c r="R69" s="101"/>
      <c r="S69" s="101"/>
      <c r="AU69" s="114"/>
      <c r="AV69" s="102"/>
      <c r="BE69" s="100"/>
    </row>
    <row r="70" spans="3:57" ht="98.1" customHeight="1">
      <c r="C70" s="104"/>
      <c r="G70" s="102"/>
      <c r="L70" s="117"/>
      <c r="M70" s="114"/>
      <c r="N70" s="101"/>
      <c r="O70" s="101"/>
      <c r="P70" s="101"/>
      <c r="Q70" s="116"/>
      <c r="R70" s="101"/>
      <c r="S70" s="101"/>
      <c r="AU70" s="114"/>
      <c r="AV70" s="102"/>
      <c r="BE70" s="100"/>
    </row>
    <row r="71" spans="3:57" ht="98.1" customHeight="1">
      <c r="C71" s="104"/>
      <c r="G71" s="102"/>
      <c r="L71" s="117"/>
      <c r="M71" s="114"/>
      <c r="N71" s="101"/>
      <c r="O71" s="101"/>
      <c r="P71" s="101"/>
      <c r="Q71" s="116"/>
      <c r="R71" s="101"/>
      <c r="S71" s="101"/>
      <c r="AU71" s="114"/>
      <c r="AV71" s="102"/>
      <c r="BE71" s="100"/>
    </row>
    <row r="72" spans="3:57" ht="98.1" customHeight="1">
      <c r="C72" s="104"/>
      <c r="G72" s="102"/>
      <c r="M72" s="114"/>
      <c r="N72" s="101"/>
      <c r="O72" s="101"/>
      <c r="P72" s="101"/>
      <c r="Q72" s="116"/>
      <c r="R72" s="101"/>
      <c r="S72" s="101"/>
      <c r="AU72" s="114"/>
      <c r="AV72" s="102"/>
      <c r="BE72" s="100"/>
    </row>
    <row r="73" spans="3:57" ht="98.1" customHeight="1">
      <c r="C73" s="104"/>
      <c r="G73" s="102"/>
      <c r="M73" s="114"/>
      <c r="N73" s="101"/>
      <c r="O73" s="101"/>
      <c r="P73" s="101"/>
      <c r="Q73" s="116"/>
      <c r="R73" s="101"/>
      <c r="S73" s="101"/>
      <c r="AU73" s="114"/>
      <c r="AV73" s="102"/>
      <c r="BE73" s="100"/>
    </row>
    <row r="74" spans="3:57" ht="98.1" customHeight="1">
      <c r="C74" s="104"/>
      <c r="G74" s="102"/>
      <c r="M74" s="114"/>
      <c r="N74" s="101"/>
      <c r="O74" s="101"/>
      <c r="P74" s="101"/>
      <c r="Q74" s="116"/>
      <c r="R74" s="101"/>
      <c r="S74" s="101"/>
      <c r="AU74" s="114"/>
      <c r="AV74" s="102"/>
      <c r="BE74" s="100"/>
    </row>
    <row r="75" spans="3:57" ht="98.1" customHeight="1">
      <c r="C75" s="104"/>
      <c r="G75" s="102"/>
      <c r="M75" s="114"/>
      <c r="N75" s="101"/>
      <c r="O75" s="101"/>
      <c r="P75" s="101"/>
      <c r="Q75" s="116"/>
      <c r="R75" s="101"/>
      <c r="S75" s="101"/>
      <c r="AU75" s="114"/>
      <c r="AV75" s="102"/>
      <c r="BE75" s="100"/>
    </row>
    <row r="76" spans="3:57" ht="98.1" customHeight="1">
      <c r="C76" s="104"/>
      <c r="G76" s="102"/>
      <c r="M76" s="114"/>
      <c r="N76" s="101"/>
      <c r="O76" s="101"/>
      <c r="P76" s="101"/>
      <c r="Q76" s="116"/>
      <c r="R76" s="101"/>
      <c r="S76" s="101"/>
      <c r="AU76" s="114"/>
      <c r="AV76" s="102"/>
      <c r="BE76" s="100"/>
    </row>
    <row r="77" spans="3:57" ht="98.1" customHeight="1">
      <c r="C77" s="104"/>
      <c r="G77" s="102"/>
      <c r="L77" s="117"/>
      <c r="M77" s="114"/>
      <c r="N77" s="101"/>
      <c r="O77" s="101"/>
      <c r="P77" s="101"/>
      <c r="Q77" s="116"/>
      <c r="R77" s="101"/>
      <c r="S77" s="101"/>
      <c r="AU77" s="114"/>
      <c r="AV77" s="102"/>
      <c r="BE77" s="100"/>
    </row>
    <row r="78" spans="3:57" ht="98.1" customHeight="1">
      <c r="C78" s="104"/>
      <c r="G78" s="102"/>
      <c r="M78" s="114"/>
      <c r="N78" s="101"/>
      <c r="O78" s="101"/>
      <c r="P78" s="101"/>
      <c r="Q78" s="116"/>
      <c r="R78" s="101"/>
      <c r="S78" s="101"/>
      <c r="AU78" s="114"/>
      <c r="AV78" s="102"/>
      <c r="BE78" s="100"/>
    </row>
    <row r="79" spans="3:57" ht="98.1" customHeight="1">
      <c r="C79" s="104"/>
      <c r="G79" s="102"/>
      <c r="M79" s="114"/>
      <c r="N79" s="101"/>
      <c r="O79" s="101"/>
      <c r="P79" s="101"/>
      <c r="Q79" s="116"/>
      <c r="R79" s="101"/>
      <c r="S79" s="101"/>
      <c r="AU79" s="114"/>
      <c r="AV79" s="102"/>
      <c r="BE79" s="100"/>
    </row>
    <row r="80" spans="3:57" ht="98.1" customHeight="1">
      <c r="C80" s="104"/>
      <c r="G80" s="102"/>
      <c r="M80" s="114"/>
      <c r="N80" s="101"/>
      <c r="O80" s="101"/>
      <c r="P80" s="101"/>
      <c r="Q80" s="116"/>
      <c r="R80" s="101"/>
      <c r="S80" s="101"/>
      <c r="AU80" s="114"/>
      <c r="AV80" s="102"/>
      <c r="BE80" s="100"/>
    </row>
    <row r="81" spans="3:57" ht="98.1" customHeight="1">
      <c r="C81" s="104"/>
      <c r="G81" s="102"/>
      <c r="M81" s="114"/>
      <c r="N81" s="101"/>
      <c r="O81" s="101"/>
      <c r="P81" s="101"/>
      <c r="Q81" s="116"/>
      <c r="R81" s="101"/>
      <c r="S81" s="101"/>
      <c r="AU81" s="114"/>
      <c r="AV81" s="102"/>
      <c r="BE81" s="100"/>
    </row>
    <row r="82" spans="3:57" ht="98.1" customHeight="1">
      <c r="C82" s="104"/>
      <c r="G82" s="102"/>
      <c r="M82" s="114"/>
      <c r="N82" s="101"/>
      <c r="O82" s="101"/>
      <c r="P82" s="101"/>
      <c r="Q82" s="116"/>
      <c r="R82" s="101"/>
      <c r="S82" s="101"/>
      <c r="AU82" s="114"/>
      <c r="AV82" s="102"/>
      <c r="BE82" s="100"/>
    </row>
    <row r="83" spans="3:57" ht="98.1" customHeight="1">
      <c r="C83" s="104"/>
      <c r="G83" s="102"/>
      <c r="M83" s="114"/>
      <c r="N83" s="101"/>
      <c r="O83" s="101"/>
      <c r="P83" s="101"/>
      <c r="Q83" s="116"/>
      <c r="R83" s="101"/>
      <c r="S83" s="101"/>
      <c r="AU83" s="114"/>
      <c r="AV83" s="102"/>
      <c r="BE83" s="100"/>
    </row>
    <row r="84" spans="3:57" ht="98.1" customHeight="1">
      <c r="C84" s="104"/>
      <c r="G84" s="102"/>
      <c r="M84" s="114"/>
      <c r="N84" s="101"/>
      <c r="O84" s="101"/>
      <c r="P84" s="101"/>
      <c r="Q84" s="116"/>
      <c r="R84" s="101"/>
      <c r="S84" s="101"/>
      <c r="AU84" s="114"/>
      <c r="AV84" s="102"/>
      <c r="BE84" s="100"/>
    </row>
    <row r="85" spans="3:57" ht="98.1" customHeight="1">
      <c r="C85" s="104"/>
      <c r="G85" s="102"/>
      <c r="M85" s="114"/>
      <c r="N85" s="101"/>
      <c r="O85" s="101"/>
      <c r="P85" s="101"/>
      <c r="Q85" s="116"/>
      <c r="R85" s="101"/>
      <c r="S85" s="101"/>
      <c r="AU85" s="114"/>
      <c r="AV85" s="102"/>
      <c r="BE85" s="100"/>
    </row>
    <row r="86" spans="3:57" ht="98.1" customHeight="1">
      <c r="C86" s="104"/>
      <c r="G86" s="102"/>
      <c r="L86" s="117"/>
      <c r="M86" s="114"/>
      <c r="N86" s="101"/>
      <c r="O86" s="101"/>
      <c r="P86" s="101"/>
      <c r="Q86" s="116"/>
      <c r="R86" s="101"/>
      <c r="S86" s="101"/>
      <c r="AU86" s="114"/>
      <c r="AV86" s="102"/>
      <c r="BE86" s="100"/>
    </row>
    <row r="87" spans="3:57" ht="98.1" customHeight="1">
      <c r="C87" s="104"/>
      <c r="G87" s="102"/>
      <c r="M87" s="114"/>
      <c r="N87" s="101"/>
      <c r="O87" s="101"/>
      <c r="P87" s="101"/>
      <c r="Q87" s="116"/>
      <c r="R87" s="101"/>
      <c r="S87" s="101"/>
      <c r="AU87" s="114"/>
      <c r="AV87" s="102"/>
      <c r="BE87" s="100"/>
    </row>
    <row r="88" spans="3:57" ht="98.1" customHeight="1">
      <c r="C88" s="104"/>
      <c r="G88" s="102"/>
      <c r="M88" s="114"/>
      <c r="N88" s="101"/>
      <c r="O88" s="101"/>
      <c r="P88" s="101"/>
      <c r="Q88" s="116"/>
      <c r="R88" s="101"/>
      <c r="S88" s="101"/>
      <c r="AU88" s="114"/>
      <c r="AV88" s="102"/>
      <c r="BE88" s="100"/>
    </row>
    <row r="89" spans="3:57" ht="98.1" customHeight="1">
      <c r="C89" s="104"/>
      <c r="G89" s="102"/>
      <c r="M89" s="114"/>
      <c r="N89" s="101"/>
      <c r="O89" s="101"/>
      <c r="P89" s="101"/>
      <c r="Q89" s="116"/>
      <c r="R89" s="101"/>
      <c r="S89" s="101"/>
      <c r="AV89" s="102"/>
      <c r="BE89" s="100"/>
    </row>
    <row r="90" spans="3:57" ht="98.1" customHeight="1">
      <c r="G90" s="102"/>
      <c r="M90" s="114"/>
      <c r="N90" s="101"/>
      <c r="O90" s="101"/>
      <c r="P90" s="101"/>
      <c r="Q90" s="116"/>
      <c r="R90" s="101"/>
      <c r="S90" s="101"/>
      <c r="AV90" s="102"/>
      <c r="BE90" s="100"/>
    </row>
    <row r="91" spans="3:57" ht="98.1" customHeight="1">
      <c r="G91" s="102"/>
      <c r="M91" s="114"/>
      <c r="N91" s="101"/>
      <c r="O91" s="101"/>
      <c r="P91" s="101"/>
      <c r="Q91" s="116"/>
      <c r="R91" s="101"/>
      <c r="S91" s="101"/>
      <c r="AV91" s="102"/>
      <c r="BE91" s="100"/>
    </row>
    <row r="92" spans="3:57" ht="98.1" customHeight="1">
      <c r="G92" s="102"/>
      <c r="M92" s="114"/>
      <c r="N92" s="101"/>
      <c r="O92" s="101"/>
      <c r="P92" s="101"/>
      <c r="Q92" s="116"/>
      <c r="R92" s="101"/>
      <c r="S92" s="101"/>
      <c r="AV92" s="102"/>
      <c r="BE92" s="100"/>
    </row>
    <row r="93" spans="3:57" ht="98.1" customHeight="1">
      <c r="G93" s="102"/>
      <c r="L93" s="117"/>
      <c r="M93" s="114"/>
      <c r="N93" s="101"/>
      <c r="O93" s="101"/>
      <c r="P93" s="101"/>
      <c r="Q93" s="116"/>
      <c r="R93" s="101"/>
      <c r="S93" s="101"/>
      <c r="AV93" s="102"/>
      <c r="BE93" s="100"/>
    </row>
    <row r="94" spans="3:57" ht="98.1" customHeight="1">
      <c r="G94" s="102"/>
      <c r="M94" s="114"/>
      <c r="N94" s="101"/>
      <c r="O94" s="101"/>
      <c r="P94" s="101"/>
      <c r="Q94" s="116"/>
      <c r="R94" s="101"/>
      <c r="S94" s="101"/>
      <c r="AV94" s="102"/>
      <c r="BE94" s="100"/>
    </row>
    <row r="95" spans="3:57" ht="98.1" customHeight="1">
      <c r="G95" s="102"/>
      <c r="L95" s="117"/>
      <c r="M95" s="114"/>
      <c r="N95" s="101"/>
      <c r="O95" s="101"/>
      <c r="P95" s="101"/>
      <c r="Q95" s="116"/>
      <c r="R95" s="101"/>
      <c r="S95" s="101"/>
      <c r="AV95" s="102"/>
      <c r="BE95" s="100"/>
    </row>
    <row r="96" spans="3:57" ht="98.1" customHeight="1">
      <c r="G96" s="102"/>
      <c r="M96" s="114"/>
      <c r="N96" s="101"/>
      <c r="O96" s="101"/>
      <c r="P96" s="101"/>
      <c r="Q96" s="116"/>
      <c r="R96" s="101"/>
      <c r="S96" s="101"/>
      <c r="AV96" s="102"/>
      <c r="BE96" s="100"/>
    </row>
    <row r="97" spans="7:57" ht="98.1" customHeight="1">
      <c r="G97" s="102"/>
      <c r="M97" s="114"/>
      <c r="N97" s="101"/>
      <c r="O97" s="101"/>
      <c r="P97" s="101"/>
      <c r="Q97" s="116"/>
      <c r="R97" s="101"/>
      <c r="S97" s="101"/>
      <c r="AV97" s="102"/>
      <c r="BE97" s="100"/>
    </row>
    <row r="98" spans="7:57" ht="98.1" customHeight="1">
      <c r="G98" s="102"/>
      <c r="L98" s="117"/>
      <c r="M98" s="114"/>
      <c r="N98" s="101"/>
      <c r="O98" s="101"/>
      <c r="P98" s="101"/>
      <c r="Q98" s="101"/>
      <c r="R98" s="101"/>
      <c r="S98" s="101"/>
      <c r="AV98" s="102"/>
      <c r="BE98" s="100"/>
    </row>
    <row r="99" spans="7:57" ht="98.1" customHeight="1">
      <c r="G99" s="102"/>
      <c r="L99" s="117"/>
      <c r="M99" s="114"/>
      <c r="N99" s="101"/>
      <c r="O99" s="101"/>
      <c r="P99" s="101"/>
      <c r="Q99" s="101"/>
      <c r="R99" s="101"/>
      <c r="S99" s="101"/>
      <c r="AV99" s="102"/>
      <c r="BE99" s="100"/>
    </row>
    <row r="100" spans="7:57" ht="98.1" customHeight="1">
      <c r="G100" s="102"/>
      <c r="M100" s="114"/>
      <c r="N100" s="101"/>
      <c r="O100" s="101"/>
      <c r="P100" s="101"/>
      <c r="R100" s="101"/>
      <c r="S100" s="101"/>
      <c r="AV100" s="102"/>
      <c r="BE100" s="100"/>
    </row>
    <row r="101" spans="7:57" ht="98.1" customHeight="1">
      <c r="G101" s="102"/>
      <c r="L101" s="117"/>
      <c r="M101" s="114"/>
      <c r="N101" s="101"/>
      <c r="O101" s="101"/>
      <c r="P101" s="101"/>
      <c r="Q101" s="116"/>
      <c r="R101" s="101"/>
      <c r="S101" s="101"/>
      <c r="AV101" s="102"/>
      <c r="BE101" s="100"/>
    </row>
    <row r="102" spans="7:57" ht="98.1" customHeight="1">
      <c r="G102" s="102"/>
      <c r="L102" s="117"/>
      <c r="M102" s="114"/>
      <c r="N102" s="101"/>
      <c r="O102" s="101"/>
      <c r="P102" s="101"/>
      <c r="Q102" s="101"/>
      <c r="R102" s="101"/>
      <c r="S102" s="101"/>
      <c r="AV102" s="102"/>
      <c r="BE102" s="100"/>
    </row>
    <row r="103" spans="7:57" ht="98.1" customHeight="1">
      <c r="G103" s="102"/>
      <c r="L103" s="117"/>
      <c r="M103" s="114"/>
      <c r="N103" s="101"/>
      <c r="O103" s="101"/>
      <c r="P103" s="101"/>
      <c r="Q103" s="116"/>
      <c r="R103" s="101"/>
      <c r="S103" s="101"/>
      <c r="AV103" s="102"/>
      <c r="BE103" s="100"/>
    </row>
    <row r="104" spans="7:57" ht="98.1" customHeight="1">
      <c r="G104" s="102"/>
      <c r="M104" s="114"/>
      <c r="N104" s="101"/>
      <c r="O104" s="101"/>
      <c r="P104" s="101"/>
      <c r="R104" s="101"/>
      <c r="S104" s="101"/>
      <c r="AV104" s="102"/>
      <c r="BE104" s="100"/>
    </row>
    <row r="105" spans="7:57" ht="98.1" customHeight="1">
      <c r="G105" s="102"/>
      <c r="M105" s="114"/>
      <c r="N105" s="101"/>
      <c r="O105" s="101"/>
      <c r="P105" s="101"/>
      <c r="Q105" s="116"/>
      <c r="R105" s="101"/>
      <c r="S105" s="101"/>
      <c r="AV105" s="102"/>
      <c r="BE105" s="100"/>
    </row>
    <row r="106" spans="7:57" ht="98.1" customHeight="1">
      <c r="G106" s="102"/>
      <c r="L106" s="117"/>
      <c r="M106" s="114"/>
      <c r="N106" s="101"/>
      <c r="O106" s="101"/>
      <c r="P106" s="101"/>
      <c r="Q106" s="116"/>
      <c r="R106" s="101"/>
      <c r="S106" s="101"/>
      <c r="AV106" s="102"/>
      <c r="BE106" s="100"/>
    </row>
    <row r="107" spans="7:57" ht="98.1" customHeight="1">
      <c r="G107" s="102"/>
      <c r="L107" s="117"/>
      <c r="M107" s="114"/>
      <c r="N107" s="101"/>
      <c r="O107" s="101"/>
      <c r="P107" s="101"/>
      <c r="Q107" s="116"/>
      <c r="R107" s="101"/>
      <c r="S107" s="101"/>
      <c r="AV107" s="102"/>
      <c r="BE107" s="100"/>
    </row>
    <row r="108" spans="7:57" ht="98.1" customHeight="1">
      <c r="G108" s="102"/>
      <c r="L108" s="117"/>
      <c r="M108" s="114"/>
      <c r="N108" s="101"/>
      <c r="O108" s="101"/>
      <c r="P108" s="101"/>
      <c r="Q108" s="116"/>
      <c r="R108" s="101"/>
      <c r="S108" s="101"/>
      <c r="AV108" s="102"/>
      <c r="BE108" s="100"/>
    </row>
    <row r="109" spans="7:57" ht="98.1" customHeight="1">
      <c r="G109" s="102"/>
      <c r="L109" s="117"/>
      <c r="M109" s="114"/>
      <c r="N109" s="101"/>
      <c r="O109" s="101"/>
      <c r="P109" s="101"/>
      <c r="Q109" s="116"/>
      <c r="R109" s="101"/>
      <c r="S109" s="101"/>
      <c r="AV109" s="102"/>
      <c r="BE109" s="100"/>
    </row>
    <row r="110" spans="7:57" ht="98.1" customHeight="1">
      <c r="G110" s="102"/>
      <c r="L110" s="117"/>
      <c r="M110" s="114"/>
      <c r="N110" s="101"/>
      <c r="O110" s="101"/>
      <c r="P110" s="101"/>
      <c r="Q110" s="116"/>
      <c r="R110" s="101"/>
      <c r="S110" s="101"/>
      <c r="AV110" s="102"/>
      <c r="BE110" s="100"/>
    </row>
    <row r="111" spans="7:57" ht="98.1" customHeight="1">
      <c r="G111" s="102"/>
      <c r="L111" s="117"/>
      <c r="M111" s="114"/>
      <c r="N111" s="101"/>
      <c r="O111" s="101"/>
      <c r="P111" s="101"/>
      <c r="Q111" s="116"/>
      <c r="R111" s="101"/>
      <c r="S111" s="101"/>
      <c r="AV111" s="102"/>
      <c r="BE111" s="100"/>
    </row>
    <row r="112" spans="7:57" ht="98.1" customHeight="1">
      <c r="G112" s="102"/>
      <c r="M112" s="114"/>
      <c r="N112" s="101"/>
      <c r="O112" s="101"/>
      <c r="P112" s="101"/>
      <c r="Q112" s="116"/>
      <c r="R112" s="101"/>
      <c r="S112" s="101"/>
      <c r="AV112" s="102"/>
      <c r="BE112" s="100"/>
    </row>
    <row r="113" spans="7:57" ht="98.1" customHeight="1">
      <c r="G113" s="102"/>
      <c r="M113" s="114"/>
      <c r="N113" s="101"/>
      <c r="O113" s="101"/>
      <c r="P113" s="101"/>
      <c r="Q113" s="116"/>
      <c r="R113" s="101"/>
      <c r="S113" s="101"/>
      <c r="AV113" s="102"/>
      <c r="BE113" s="100"/>
    </row>
    <row r="114" spans="7:57" ht="98.1" customHeight="1">
      <c r="G114" s="102"/>
      <c r="L114" s="117"/>
      <c r="M114" s="114"/>
      <c r="N114" s="101"/>
      <c r="O114" s="101"/>
      <c r="P114" s="101"/>
      <c r="Q114" s="116"/>
      <c r="R114" s="101"/>
      <c r="S114" s="101"/>
      <c r="AV114" s="102"/>
      <c r="BE114" s="100"/>
    </row>
    <row r="115" spans="7:57" ht="98.1" customHeight="1">
      <c r="G115" s="102"/>
      <c r="L115" s="117"/>
      <c r="M115" s="114"/>
      <c r="N115" s="101"/>
      <c r="O115" s="101"/>
      <c r="P115" s="101"/>
      <c r="Q115" s="116"/>
      <c r="R115" s="101"/>
      <c r="S115" s="101"/>
      <c r="AV115" s="102"/>
      <c r="BE115" s="100"/>
    </row>
    <row r="116" spans="7:57" ht="98.1" customHeight="1">
      <c r="G116" s="102"/>
      <c r="L116" s="117"/>
      <c r="M116" s="114"/>
      <c r="N116" s="101"/>
      <c r="O116" s="101"/>
      <c r="P116" s="101"/>
      <c r="Q116" s="116"/>
      <c r="R116" s="101"/>
      <c r="S116" s="101"/>
      <c r="AV116" s="102"/>
      <c r="BE116" s="100"/>
    </row>
    <row r="117" spans="7:57" ht="98.1" customHeight="1">
      <c r="G117" s="102"/>
      <c r="L117" s="117"/>
      <c r="M117" s="114"/>
      <c r="N117" s="101"/>
      <c r="O117" s="101"/>
      <c r="P117" s="101"/>
      <c r="Q117" s="116"/>
      <c r="R117" s="101"/>
      <c r="S117" s="101"/>
      <c r="AV117" s="102"/>
      <c r="BE117" s="100"/>
    </row>
    <row r="118" spans="7:57" ht="98.1" customHeight="1">
      <c r="G118" s="102"/>
      <c r="M118" s="114"/>
      <c r="N118" s="101"/>
      <c r="O118" s="101"/>
      <c r="P118" s="101"/>
      <c r="Q118" s="116"/>
      <c r="R118" s="101"/>
      <c r="S118" s="101"/>
      <c r="AV118" s="102"/>
      <c r="BE118" s="100"/>
    </row>
    <row r="119" spans="7:57" ht="98.1" customHeight="1">
      <c r="G119" s="102"/>
      <c r="M119" s="114"/>
      <c r="N119" s="101"/>
      <c r="O119" s="101"/>
      <c r="P119" s="101"/>
      <c r="Q119" s="116"/>
      <c r="R119" s="101"/>
      <c r="S119" s="101"/>
      <c r="AV119" s="102"/>
      <c r="BE119" s="100"/>
    </row>
    <row r="120" spans="7:57" ht="98.1" customHeight="1">
      <c r="G120" s="102"/>
      <c r="M120" s="114"/>
      <c r="N120" s="101"/>
      <c r="O120" s="101"/>
      <c r="P120" s="101"/>
      <c r="Q120" s="116"/>
      <c r="R120" s="101"/>
      <c r="S120" s="101"/>
      <c r="AV120" s="102"/>
      <c r="BE120" s="100"/>
    </row>
    <row r="121" spans="7:57" ht="98.1" customHeight="1">
      <c r="G121" s="102"/>
      <c r="M121" s="114"/>
      <c r="N121" s="101"/>
      <c r="O121" s="101"/>
      <c r="P121" s="101"/>
      <c r="Q121" s="116"/>
      <c r="R121" s="101"/>
      <c r="S121" s="101"/>
      <c r="AV121" s="102"/>
      <c r="BE121" s="100"/>
    </row>
    <row r="122" spans="7:57" ht="98.1" customHeight="1">
      <c r="G122" s="102"/>
      <c r="M122" s="114"/>
      <c r="N122" s="101"/>
      <c r="O122" s="101"/>
      <c r="P122" s="101"/>
      <c r="Q122" s="116"/>
      <c r="R122" s="101"/>
      <c r="S122" s="101"/>
      <c r="AV122" s="102"/>
      <c r="BE122" s="100"/>
    </row>
    <row r="123" spans="7:57" ht="98.1" customHeight="1">
      <c r="G123" s="102"/>
      <c r="M123" s="114"/>
      <c r="N123" s="101"/>
      <c r="O123" s="101"/>
      <c r="P123" s="101"/>
      <c r="Q123" s="116"/>
      <c r="R123" s="101"/>
      <c r="S123" s="101"/>
      <c r="AV123" s="102"/>
      <c r="BE123" s="100"/>
    </row>
    <row r="124" spans="7:57" ht="98.1" customHeight="1">
      <c r="G124" s="102"/>
      <c r="M124" s="114"/>
      <c r="N124" s="101"/>
      <c r="O124" s="101"/>
      <c r="P124" s="101"/>
      <c r="Q124" s="116"/>
      <c r="R124" s="101"/>
      <c r="S124" s="101"/>
      <c r="AV124" s="102"/>
      <c r="BE124" s="100"/>
    </row>
    <row r="125" spans="7:57" ht="98.1" customHeight="1">
      <c r="G125" s="102"/>
      <c r="M125" s="114"/>
      <c r="N125" s="101"/>
      <c r="O125" s="101"/>
      <c r="P125" s="101"/>
      <c r="Q125" s="116"/>
      <c r="R125" s="101"/>
      <c r="S125" s="101"/>
      <c r="AV125" s="102"/>
      <c r="BE125" s="100"/>
    </row>
    <row r="126" spans="7:57" ht="98.1" customHeight="1">
      <c r="G126" s="102"/>
      <c r="L126" s="117"/>
      <c r="M126" s="114"/>
      <c r="N126" s="101"/>
      <c r="O126" s="101"/>
      <c r="P126" s="101"/>
      <c r="Q126" s="116"/>
      <c r="R126" s="101"/>
      <c r="S126" s="101"/>
      <c r="AV126" s="102"/>
      <c r="BE126" s="100"/>
    </row>
    <row r="127" spans="7:57" ht="98.1" customHeight="1">
      <c r="G127" s="102"/>
      <c r="M127" s="114"/>
      <c r="N127" s="101"/>
      <c r="O127" s="101"/>
      <c r="P127" s="101"/>
      <c r="Q127" s="116"/>
      <c r="R127" s="101"/>
      <c r="S127" s="101"/>
      <c r="AV127" s="102"/>
      <c r="BE127" s="100"/>
    </row>
    <row r="128" spans="7:57" ht="98.1" customHeight="1">
      <c r="G128" s="102"/>
      <c r="L128" s="117"/>
      <c r="M128" s="114"/>
      <c r="N128" s="101"/>
      <c r="O128" s="101"/>
      <c r="P128" s="101"/>
      <c r="Q128" s="116"/>
      <c r="R128" s="101"/>
      <c r="S128" s="101"/>
      <c r="AV128" s="102"/>
      <c r="BE128" s="100"/>
    </row>
    <row r="129" spans="7:57" ht="98.1" customHeight="1">
      <c r="G129" s="102"/>
      <c r="M129" s="114"/>
      <c r="N129" s="101"/>
      <c r="O129" s="101"/>
      <c r="P129" s="101"/>
      <c r="Q129" s="116"/>
      <c r="R129" s="101"/>
      <c r="S129" s="101"/>
      <c r="AV129" s="102"/>
      <c r="BE129" s="100"/>
    </row>
    <row r="130" spans="7:57" ht="98.1" customHeight="1">
      <c r="G130" s="102"/>
      <c r="M130" s="114"/>
      <c r="N130" s="101"/>
      <c r="O130" s="101"/>
      <c r="P130" s="101"/>
      <c r="Q130" s="116"/>
      <c r="R130" s="101"/>
      <c r="S130" s="101"/>
      <c r="AV130" s="102"/>
      <c r="BE130" s="100"/>
    </row>
    <row r="131" spans="7:57" ht="98.1" customHeight="1">
      <c r="G131" s="102"/>
      <c r="M131" s="114"/>
      <c r="N131" s="101"/>
      <c r="O131" s="101"/>
      <c r="P131" s="101"/>
      <c r="Q131" s="116"/>
      <c r="R131" s="101"/>
      <c r="S131" s="101"/>
      <c r="AV131" s="102"/>
      <c r="BE131" s="100"/>
    </row>
    <row r="132" spans="7:57" ht="98.1" customHeight="1">
      <c r="G132" s="102"/>
      <c r="M132" s="114"/>
      <c r="N132" s="101"/>
      <c r="O132" s="101"/>
      <c r="P132" s="101"/>
      <c r="Q132" s="116"/>
      <c r="R132" s="101"/>
      <c r="S132" s="101"/>
      <c r="AV132" s="102"/>
      <c r="BE132" s="100"/>
    </row>
    <row r="133" spans="7:57" ht="98.1" customHeight="1">
      <c r="G133" s="102"/>
      <c r="M133" s="114"/>
      <c r="N133" s="101"/>
      <c r="O133" s="101"/>
      <c r="P133" s="101"/>
      <c r="Q133" s="116"/>
      <c r="R133" s="101"/>
      <c r="S133" s="101"/>
      <c r="AV133" s="102"/>
      <c r="BE133" s="100"/>
    </row>
    <row r="134" spans="7:57" ht="98.1" customHeight="1">
      <c r="G134" s="102"/>
      <c r="M134" s="114"/>
      <c r="N134" s="101"/>
      <c r="O134" s="101"/>
      <c r="P134" s="101"/>
      <c r="Q134" s="116"/>
      <c r="R134" s="101"/>
      <c r="S134" s="101"/>
      <c r="AV134" s="102"/>
      <c r="BE134" s="100"/>
    </row>
    <row r="135" spans="7:57" ht="98.1" customHeight="1">
      <c r="G135" s="102"/>
      <c r="L135" s="117"/>
      <c r="M135" s="114"/>
      <c r="N135" s="101"/>
      <c r="O135" s="101"/>
      <c r="P135" s="101"/>
      <c r="Q135" s="116"/>
      <c r="R135" s="101"/>
      <c r="S135" s="101"/>
      <c r="AV135" s="102"/>
      <c r="BE135" s="100"/>
    </row>
    <row r="136" spans="7:57" ht="98.1" customHeight="1">
      <c r="G136" s="102"/>
      <c r="L136" s="117"/>
      <c r="M136" s="114"/>
      <c r="N136" s="101"/>
      <c r="O136" s="101"/>
      <c r="P136" s="101"/>
      <c r="Q136" s="116"/>
      <c r="R136" s="101"/>
      <c r="S136" s="101"/>
      <c r="AV136" s="102"/>
      <c r="BE136" s="100"/>
    </row>
    <row r="137" spans="7:57" ht="98.1" customHeight="1">
      <c r="G137" s="102"/>
      <c r="L137" s="117"/>
      <c r="M137" s="114"/>
      <c r="N137" s="101"/>
      <c r="O137" s="101"/>
      <c r="P137" s="101"/>
      <c r="Q137" s="101"/>
      <c r="R137" s="101"/>
      <c r="S137" s="101"/>
      <c r="AV137" s="102"/>
      <c r="BE137" s="100"/>
    </row>
    <row r="138" spans="7:57" ht="98.1" customHeight="1">
      <c r="G138" s="102"/>
      <c r="M138" s="114"/>
      <c r="N138" s="101"/>
      <c r="O138" s="101"/>
      <c r="P138" s="101"/>
      <c r="Q138" s="116"/>
      <c r="R138" s="101"/>
      <c r="S138" s="101"/>
      <c r="AV138" s="102"/>
      <c r="BE138" s="100"/>
    </row>
    <row r="139" spans="7:57" ht="98.1" customHeight="1">
      <c r="G139" s="102"/>
      <c r="L139" s="117"/>
      <c r="M139" s="114"/>
      <c r="N139" s="101"/>
      <c r="O139" s="101"/>
      <c r="P139" s="101"/>
      <c r="Q139" s="116"/>
      <c r="R139" s="101"/>
      <c r="S139" s="101"/>
      <c r="AV139" s="102"/>
      <c r="BE139" s="100"/>
    </row>
    <row r="140" spans="7:57" ht="98.1" customHeight="1">
      <c r="G140" s="102"/>
      <c r="L140" s="117"/>
      <c r="M140" s="114"/>
      <c r="N140" s="101"/>
      <c r="O140" s="101"/>
      <c r="P140" s="101"/>
      <c r="Q140" s="116"/>
      <c r="R140" s="101"/>
      <c r="S140" s="101"/>
      <c r="AV140" s="102"/>
      <c r="BE140" s="100"/>
    </row>
    <row r="141" spans="7:57" ht="98.1" customHeight="1">
      <c r="G141" s="102"/>
      <c r="M141" s="114"/>
      <c r="N141" s="101"/>
      <c r="O141" s="101"/>
      <c r="P141" s="101"/>
      <c r="Q141" s="116"/>
      <c r="R141" s="101"/>
      <c r="S141" s="101"/>
      <c r="AV141" s="102"/>
      <c r="BE141" s="100"/>
    </row>
    <row r="142" spans="7:57" ht="98.1" customHeight="1">
      <c r="G142" s="102"/>
      <c r="M142" s="114"/>
      <c r="N142" s="101"/>
      <c r="O142" s="101"/>
      <c r="P142" s="101"/>
      <c r="Q142" s="116"/>
      <c r="R142" s="101"/>
      <c r="S142" s="101"/>
      <c r="AV142" s="102"/>
      <c r="BE142" s="100"/>
    </row>
    <row r="143" spans="7:57" ht="98.1" customHeight="1">
      <c r="G143" s="102"/>
      <c r="M143" s="114"/>
      <c r="N143" s="101"/>
      <c r="O143" s="101"/>
      <c r="P143" s="101"/>
      <c r="Q143" s="116"/>
      <c r="R143" s="101"/>
      <c r="S143" s="101"/>
      <c r="AV143" s="102"/>
      <c r="BE143" s="100"/>
    </row>
    <row r="144" spans="7:57" ht="98.1" customHeight="1">
      <c r="M144" s="114"/>
      <c r="N144" s="101"/>
      <c r="O144" s="101"/>
      <c r="P144" s="101"/>
      <c r="Q144" s="116"/>
      <c r="R144" s="101"/>
      <c r="S144" s="101"/>
      <c r="AV144" s="102"/>
      <c r="BE144" s="100"/>
    </row>
    <row r="145" spans="13:57" ht="98.1" customHeight="1">
      <c r="M145" s="114"/>
      <c r="N145" s="101"/>
      <c r="O145" s="101"/>
      <c r="P145" s="101"/>
      <c r="Q145" s="116"/>
      <c r="R145" s="101"/>
      <c r="S145" s="101"/>
      <c r="AV145" s="102"/>
      <c r="BE145" s="100"/>
    </row>
    <row r="146" spans="13:57" ht="98.1" customHeight="1">
      <c r="M146" s="114"/>
      <c r="N146" s="101"/>
      <c r="O146" s="101"/>
      <c r="P146" s="101"/>
      <c r="Q146" s="116"/>
      <c r="R146" s="101"/>
      <c r="S146" s="101"/>
      <c r="AV146" s="102"/>
      <c r="BE146" s="100"/>
    </row>
    <row r="147" spans="13:57" ht="98.1" customHeight="1">
      <c r="M147" s="114"/>
      <c r="N147" s="101"/>
      <c r="O147" s="101"/>
      <c r="P147" s="101"/>
      <c r="Q147" s="116"/>
      <c r="R147" s="101"/>
      <c r="S147" s="101"/>
      <c r="AV147" s="102"/>
      <c r="BE147" s="100"/>
    </row>
    <row r="148" spans="13:57" ht="98.1" customHeight="1">
      <c r="M148" s="114"/>
      <c r="N148" s="101"/>
      <c r="O148" s="101"/>
      <c r="P148" s="101"/>
      <c r="Q148" s="116"/>
      <c r="R148" s="101"/>
      <c r="S148" s="101"/>
      <c r="AV148" s="102"/>
      <c r="BE148" s="100"/>
    </row>
    <row r="149" spans="13:57" ht="98.1" customHeight="1">
      <c r="M149" s="114"/>
      <c r="N149" s="101"/>
      <c r="O149" s="101"/>
      <c r="P149" s="101"/>
      <c r="Q149" s="116"/>
      <c r="R149" s="101"/>
      <c r="S149" s="101"/>
      <c r="AV149" s="102"/>
      <c r="BE149" s="100"/>
    </row>
    <row r="150" spans="13:57" ht="98.1" customHeight="1">
      <c r="M150" s="114"/>
      <c r="N150" s="101"/>
      <c r="O150" s="101"/>
      <c r="P150" s="101"/>
      <c r="Q150" s="116"/>
      <c r="R150" s="101"/>
      <c r="S150" s="101"/>
      <c r="AV150" s="102"/>
      <c r="BE150" s="100"/>
    </row>
    <row r="151" spans="13:57" ht="98.1" customHeight="1">
      <c r="M151" s="114"/>
      <c r="N151" s="101"/>
      <c r="O151" s="101"/>
      <c r="P151" s="101"/>
      <c r="Q151" s="116"/>
      <c r="R151" s="101"/>
      <c r="S151" s="101"/>
      <c r="AV151" s="102"/>
      <c r="BE151" s="100"/>
    </row>
    <row r="152" spans="13:57" ht="98.1" customHeight="1">
      <c r="M152" s="114"/>
      <c r="N152" s="101"/>
      <c r="O152" s="101"/>
      <c r="P152" s="101"/>
      <c r="Q152" s="116"/>
      <c r="R152" s="101"/>
      <c r="S152" s="101"/>
      <c r="AV152" s="102"/>
      <c r="BE152" s="100"/>
    </row>
    <row r="153" spans="13:57" ht="98.1" customHeight="1">
      <c r="M153" s="114"/>
      <c r="N153" s="101"/>
      <c r="O153" s="101"/>
      <c r="P153" s="101"/>
      <c r="Q153" s="116"/>
      <c r="R153" s="101"/>
      <c r="S153" s="101"/>
      <c r="AV153" s="102"/>
      <c r="BE153" s="100"/>
    </row>
    <row r="154" spans="13:57" ht="98.1" customHeight="1">
      <c r="N154" s="101"/>
      <c r="O154" s="101"/>
      <c r="P154" s="101"/>
      <c r="Q154" s="116"/>
      <c r="S154" s="101"/>
      <c r="AV154" s="102"/>
      <c r="BE154" s="100"/>
    </row>
    <row r="155" spans="13:57" ht="98.1" customHeight="1">
      <c r="N155" s="101"/>
      <c r="O155" s="101"/>
      <c r="P155" s="101"/>
      <c r="Q155" s="116"/>
      <c r="S155" s="101"/>
      <c r="AV155" s="102"/>
      <c r="BE155" s="100"/>
    </row>
    <row r="156" spans="13:57" ht="98.1" customHeight="1">
      <c r="N156" s="101"/>
      <c r="O156" s="101"/>
      <c r="P156" s="101"/>
      <c r="Q156" s="116"/>
      <c r="S156" s="101"/>
      <c r="AV156" s="102"/>
      <c r="BE156" s="100"/>
    </row>
    <row r="157" spans="13:57" ht="98.1" customHeight="1">
      <c r="N157" s="101"/>
      <c r="O157" s="101"/>
      <c r="P157" s="101"/>
      <c r="Q157" s="116"/>
      <c r="S157" s="101"/>
      <c r="AV157" s="102"/>
      <c r="BE157" s="100"/>
    </row>
    <row r="158" spans="13:57" ht="98.1" customHeight="1">
      <c r="N158" s="101"/>
      <c r="O158" s="101"/>
      <c r="P158" s="101"/>
      <c r="Q158" s="116"/>
      <c r="S158" s="101"/>
      <c r="AV158" s="102"/>
      <c r="BE158" s="100"/>
    </row>
    <row r="159" spans="13:57" ht="98.1" customHeight="1">
      <c r="N159" s="101"/>
      <c r="O159" s="101"/>
      <c r="P159" s="101"/>
      <c r="S159" s="101"/>
      <c r="AV159" s="102"/>
      <c r="BE159" s="100"/>
    </row>
    <row r="160" spans="13:57" ht="98.1" customHeight="1">
      <c r="N160" s="101"/>
      <c r="O160" s="101"/>
      <c r="P160" s="101"/>
      <c r="S160" s="101"/>
      <c r="AV160" s="102"/>
      <c r="BE160" s="100"/>
    </row>
    <row r="161" spans="14:57" ht="98.1" customHeight="1">
      <c r="N161" s="101"/>
      <c r="O161" s="101"/>
      <c r="P161" s="101"/>
      <c r="S161" s="101"/>
      <c r="AV161" s="102"/>
      <c r="BE161" s="100"/>
    </row>
    <row r="162" spans="14:57" ht="98.1" customHeight="1">
      <c r="N162" s="101"/>
      <c r="O162" s="101"/>
      <c r="P162" s="101"/>
      <c r="S162" s="101"/>
      <c r="AV162" s="102"/>
      <c r="BE162" s="100"/>
    </row>
    <row r="163" spans="14:57" ht="98.1" customHeight="1">
      <c r="N163" s="101"/>
      <c r="O163" s="101"/>
      <c r="P163" s="101"/>
      <c r="Q163" s="116"/>
      <c r="S163" s="101"/>
      <c r="AV163" s="102"/>
      <c r="BE163" s="100"/>
    </row>
    <row r="164" spans="14:57" ht="98.1" customHeight="1">
      <c r="N164" s="101"/>
      <c r="O164" s="101"/>
      <c r="P164" s="101"/>
      <c r="Q164" s="116"/>
      <c r="S164" s="101"/>
      <c r="AV164" s="102"/>
      <c r="BE164" s="100"/>
    </row>
    <row r="165" spans="14:57" ht="98.1" customHeight="1">
      <c r="N165" s="101"/>
      <c r="O165" s="101"/>
      <c r="P165" s="101"/>
      <c r="Q165" s="116"/>
      <c r="S165" s="101"/>
      <c r="AV165" s="102"/>
      <c r="BE165" s="100"/>
    </row>
    <row r="166" spans="14:57" ht="98.1" customHeight="1">
      <c r="N166" s="101"/>
      <c r="O166" s="101"/>
      <c r="P166" s="101"/>
      <c r="S166" s="101"/>
      <c r="AV166" s="102"/>
      <c r="BE166" s="100"/>
    </row>
    <row r="167" spans="14:57" ht="98.1" customHeight="1">
      <c r="N167" s="101"/>
      <c r="O167" s="101"/>
      <c r="P167" s="101"/>
      <c r="Q167" s="116"/>
      <c r="S167" s="101"/>
      <c r="AV167" s="102"/>
      <c r="BE167" s="100"/>
    </row>
    <row r="168" spans="14:57" ht="98.1" customHeight="1">
      <c r="N168" s="101"/>
      <c r="O168" s="101"/>
      <c r="P168" s="101"/>
      <c r="Q168" s="116"/>
      <c r="S168" s="101"/>
      <c r="AV168" s="102"/>
      <c r="BE168" s="100"/>
    </row>
    <row r="169" spans="14:57" ht="98.1" customHeight="1">
      <c r="N169" s="101"/>
      <c r="O169" s="101"/>
      <c r="P169" s="101"/>
      <c r="Q169" s="116"/>
      <c r="S169" s="101"/>
      <c r="AV169" s="102"/>
      <c r="BE169" s="100"/>
    </row>
    <row r="170" spans="14:57" ht="98.1" customHeight="1">
      <c r="N170" s="101"/>
      <c r="O170" s="101"/>
      <c r="P170" s="101"/>
      <c r="S170" s="101"/>
      <c r="AV170" s="102"/>
      <c r="BE170" s="100"/>
    </row>
    <row r="171" spans="14:57" ht="98.1" customHeight="1">
      <c r="N171" s="101"/>
      <c r="O171" s="101"/>
      <c r="P171" s="101"/>
      <c r="Q171" s="116"/>
      <c r="S171" s="101"/>
      <c r="AV171" s="102"/>
      <c r="BE171" s="100"/>
    </row>
    <row r="172" spans="14:57" ht="98.1" customHeight="1">
      <c r="N172" s="101"/>
      <c r="O172" s="101"/>
      <c r="P172" s="101"/>
      <c r="Q172" s="116"/>
      <c r="S172" s="101"/>
      <c r="AV172" s="102"/>
      <c r="BE172" s="100"/>
    </row>
    <row r="173" spans="14:57" ht="98.1" customHeight="1">
      <c r="N173" s="101"/>
      <c r="O173" s="101"/>
      <c r="P173" s="101"/>
      <c r="Q173" s="116"/>
      <c r="S173" s="101"/>
      <c r="AV173" s="102"/>
      <c r="BE173" s="100"/>
    </row>
    <row r="174" spans="14:57" ht="98.1" customHeight="1">
      <c r="N174" s="101"/>
      <c r="O174" s="101"/>
      <c r="P174" s="101"/>
      <c r="Q174" s="116"/>
      <c r="S174" s="101"/>
      <c r="AV174" s="102"/>
      <c r="BE174" s="100"/>
    </row>
    <row r="175" spans="14:57" ht="98.1" customHeight="1">
      <c r="N175" s="101"/>
      <c r="O175" s="101"/>
      <c r="P175" s="101"/>
      <c r="Q175" s="116"/>
      <c r="S175" s="101"/>
      <c r="AV175" s="102"/>
      <c r="BE175" s="100"/>
    </row>
    <row r="176" spans="14:57" ht="98.1" customHeight="1">
      <c r="N176" s="101"/>
      <c r="O176" s="101"/>
      <c r="P176" s="101"/>
      <c r="Q176" s="116"/>
      <c r="S176" s="101"/>
      <c r="AV176" s="102"/>
      <c r="BE176" s="100"/>
    </row>
    <row r="177" spans="14:57" ht="98.1" customHeight="1">
      <c r="N177" s="101"/>
      <c r="O177" s="101"/>
      <c r="P177" s="101"/>
      <c r="Q177" s="116"/>
      <c r="S177" s="101"/>
      <c r="AV177" s="102"/>
      <c r="BE177" s="100"/>
    </row>
    <row r="178" spans="14:57" ht="98.1" customHeight="1">
      <c r="N178" s="101"/>
      <c r="O178" s="101"/>
      <c r="P178" s="101"/>
      <c r="Q178" s="116"/>
      <c r="S178" s="101"/>
      <c r="AV178" s="102"/>
      <c r="BE178" s="100"/>
    </row>
    <row r="179" spans="14:57" ht="98.1" customHeight="1">
      <c r="N179" s="101"/>
      <c r="O179" s="101"/>
      <c r="P179" s="101"/>
      <c r="Q179" s="116"/>
      <c r="S179" s="101"/>
      <c r="AV179" s="102"/>
      <c r="BE179" s="100"/>
    </row>
    <row r="180" spans="14:57" ht="98.1" customHeight="1">
      <c r="N180" s="101"/>
      <c r="O180" s="101"/>
      <c r="P180" s="101"/>
      <c r="Q180" s="116"/>
      <c r="S180" s="101"/>
      <c r="AV180" s="102"/>
      <c r="BE180" s="100"/>
    </row>
    <row r="181" spans="14:57" ht="98.1" customHeight="1">
      <c r="N181" s="101"/>
      <c r="O181" s="101"/>
      <c r="P181" s="101"/>
      <c r="Q181" s="116"/>
      <c r="S181" s="101"/>
      <c r="AV181" s="102"/>
      <c r="BE181" s="100"/>
    </row>
    <row r="182" spans="14:57" ht="98.1" customHeight="1">
      <c r="N182" s="101"/>
      <c r="O182" s="101"/>
      <c r="P182" s="101"/>
      <c r="Q182" s="116"/>
      <c r="S182" s="101"/>
      <c r="AV182" s="102"/>
      <c r="BE182" s="100"/>
    </row>
    <row r="183" spans="14:57" ht="98.1" customHeight="1">
      <c r="N183" s="101"/>
      <c r="O183" s="101"/>
      <c r="P183" s="101"/>
      <c r="Q183" s="116"/>
      <c r="S183" s="101"/>
      <c r="AV183" s="102"/>
      <c r="BE183" s="100"/>
    </row>
    <row r="184" spans="14:57" ht="98.1" customHeight="1">
      <c r="N184" s="101"/>
      <c r="O184" s="101"/>
      <c r="P184" s="101"/>
      <c r="Q184" s="116"/>
      <c r="S184" s="101"/>
      <c r="AV184" s="102"/>
      <c r="BE184" s="100"/>
    </row>
    <row r="185" spans="14:57" ht="98.1" customHeight="1">
      <c r="N185" s="101"/>
      <c r="O185" s="101"/>
      <c r="P185" s="101"/>
      <c r="Q185" s="116"/>
      <c r="S185" s="101"/>
      <c r="AV185" s="102"/>
      <c r="BE185" s="100"/>
    </row>
    <row r="186" spans="14:57" ht="98.1" customHeight="1">
      <c r="N186" s="101"/>
      <c r="O186" s="101"/>
      <c r="P186" s="101"/>
      <c r="Q186" s="116"/>
      <c r="S186" s="101"/>
      <c r="AV186" s="102"/>
      <c r="BE186" s="100"/>
    </row>
    <row r="187" spans="14:57" ht="98.1" customHeight="1">
      <c r="N187" s="101"/>
      <c r="O187" s="101"/>
      <c r="P187" s="101"/>
      <c r="Q187" s="116"/>
      <c r="S187" s="101"/>
      <c r="AV187" s="102"/>
      <c r="BE187" s="100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T2:BD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N3:O187 B3:B187 A1:O2 J3:M3 P1:BD356 A48:O356 A3:H47 J4:O47">
    <cfRule type="expression" dxfId="25" priority="16">
      <formula>IF(УФ_Переключатель=1,IFERROR(TEXT(RIGHT(A1,255),"###"),TRUE))</formula>
    </cfRule>
  </conditionalFormatting>
  <conditionalFormatting sqref="M3:O52 N3:O187 B3:B187 A1:O2 J3:M3 P1:BF356 A48:O356 A3:H47 J4:O4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28" bestFit="1" customWidth="1"/>
    <col min="2" max="2" width="15.28515625" style="128" bestFit="1" customWidth="1"/>
    <col min="3" max="3" width="37" style="128" bestFit="1" customWidth="1"/>
    <col min="4" max="16384" width="9.140625" style="129"/>
  </cols>
  <sheetData>
    <row r="1" spans="1:5" s="127" customFormat="1" ht="15.75">
      <c r="A1" s="124" t="s">
        <v>922</v>
      </c>
      <c r="B1" s="124" t="s">
        <v>474</v>
      </c>
      <c r="C1" s="124" t="s">
        <v>923</v>
      </c>
      <c r="D1" s="125" t="s">
        <v>924</v>
      </c>
      <c r="E1" s="126">
        <v>0</v>
      </c>
    </row>
    <row r="2" spans="1:5">
      <c r="A2" s="128" t="s">
        <v>925</v>
      </c>
      <c r="B2" s="128" t="s">
        <v>926</v>
      </c>
      <c r="C2" s="128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28" t="s">
        <v>925</v>
      </c>
      <c r="B3" s="128" t="s">
        <v>926</v>
      </c>
      <c r="C3" s="128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28" t="s">
        <v>927</v>
      </c>
      <c r="B4" s="128" t="s">
        <v>928</v>
      </c>
      <c r="C4" s="128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28" t="s">
        <v>929</v>
      </c>
      <c r="B5" s="128" t="s">
        <v>928</v>
      </c>
      <c r="C5" s="128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28" t="s">
        <v>930</v>
      </c>
      <c r="B6" s="128" t="s">
        <v>931</v>
      </c>
      <c r="C6" s="128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28" t="s">
        <v>932</v>
      </c>
      <c r="B7" s="128" t="s">
        <v>933</v>
      </c>
      <c r="C7" s="128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28" t="s">
        <v>932</v>
      </c>
      <c r="B8" s="128" t="s">
        <v>933</v>
      </c>
      <c r="C8" s="128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28" t="s">
        <v>934</v>
      </c>
      <c r="B9" s="128" t="s">
        <v>935</v>
      </c>
      <c r="C9" s="128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28" t="s">
        <v>936</v>
      </c>
      <c r="B10" s="128" t="s">
        <v>935</v>
      </c>
      <c r="C10" s="128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28" t="s">
        <v>937</v>
      </c>
      <c r="B11" s="128" t="s">
        <v>938</v>
      </c>
      <c r="C11" s="128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28" t="s">
        <v>939</v>
      </c>
      <c r="B12" s="128" t="s">
        <v>940</v>
      </c>
      <c r="C12" s="128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28" t="s">
        <v>941</v>
      </c>
      <c r="B13" s="128" t="s">
        <v>942</v>
      </c>
      <c r="C13" s="128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28" t="s">
        <v>943</v>
      </c>
      <c r="B14" s="128" t="s">
        <v>944</v>
      </c>
      <c r="C14" s="128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28" t="s">
        <v>943</v>
      </c>
      <c r="B15" s="128" t="s">
        <v>944</v>
      </c>
      <c r="C15" s="128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28" t="s">
        <v>943</v>
      </c>
      <c r="B16" s="128" t="s">
        <v>944</v>
      </c>
      <c r="C16" s="128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28" t="s">
        <v>945</v>
      </c>
      <c r="B17" s="128" t="s">
        <v>944</v>
      </c>
      <c r="C17" s="128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28" t="s">
        <v>945</v>
      </c>
      <c r="B18" s="128" t="s">
        <v>944</v>
      </c>
      <c r="C18" s="128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28" t="s">
        <v>946</v>
      </c>
      <c r="B19" s="128" t="s">
        <v>944</v>
      </c>
      <c r="C19" s="128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28" t="s">
        <v>946</v>
      </c>
      <c r="B20" s="128" t="s">
        <v>944</v>
      </c>
      <c r="C20" s="128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28" t="s">
        <v>946</v>
      </c>
      <c r="B21" s="128" t="s">
        <v>944</v>
      </c>
      <c r="C21" s="128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28" t="s">
        <v>946</v>
      </c>
      <c r="B22" s="128" t="s">
        <v>944</v>
      </c>
      <c r="C22" s="128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28" t="s">
        <v>947</v>
      </c>
      <c r="B23" s="128" t="s">
        <v>948</v>
      </c>
      <c r="C23" s="128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28" t="s">
        <v>947</v>
      </c>
      <c r="B24" s="128" t="s">
        <v>948</v>
      </c>
      <c r="C24" s="128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28" t="s">
        <v>949</v>
      </c>
      <c r="B25" s="128" t="s">
        <v>948</v>
      </c>
      <c r="C25" s="128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28" t="s">
        <v>949</v>
      </c>
      <c r="B26" s="128" t="s">
        <v>948</v>
      </c>
      <c r="C26" s="128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28" t="s">
        <v>947</v>
      </c>
      <c r="B27" s="128" t="s">
        <v>948</v>
      </c>
      <c r="C27" s="128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28" t="s">
        <v>947</v>
      </c>
      <c r="B28" s="128" t="s">
        <v>948</v>
      </c>
      <c r="C28" s="128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28" t="s">
        <v>947</v>
      </c>
      <c r="B29" s="128" t="s">
        <v>948</v>
      </c>
      <c r="C29" s="128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28" t="s">
        <v>950</v>
      </c>
      <c r="B30" s="128" t="s">
        <v>951</v>
      </c>
      <c r="C30" s="128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28" t="s">
        <v>950</v>
      </c>
      <c r="B31" s="128" t="s">
        <v>951</v>
      </c>
      <c r="C31" s="128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28" t="s">
        <v>952</v>
      </c>
      <c r="B32" s="128" t="s">
        <v>953</v>
      </c>
      <c r="C32" s="128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28" t="s">
        <v>952</v>
      </c>
      <c r="B33" s="128" t="s">
        <v>953</v>
      </c>
      <c r="C33" s="128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28" t="s">
        <v>952</v>
      </c>
      <c r="B34" s="128" t="s">
        <v>953</v>
      </c>
      <c r="C34" s="128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28" t="s">
        <v>952</v>
      </c>
      <c r="B35" s="128" t="s">
        <v>953</v>
      </c>
      <c r="C35" s="128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28" t="s">
        <v>952</v>
      </c>
      <c r="B36" s="128" t="s">
        <v>953</v>
      </c>
      <c r="C36" s="128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28" t="s">
        <v>954</v>
      </c>
      <c r="B37" s="128" t="s">
        <v>955</v>
      </c>
      <c r="C37" s="128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28" t="s">
        <v>954</v>
      </c>
      <c r="B38" s="128" t="s">
        <v>955</v>
      </c>
      <c r="C38" s="128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28" t="s">
        <v>954</v>
      </c>
      <c r="B39" s="128" t="s">
        <v>955</v>
      </c>
      <c r="C39" s="128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28" t="s">
        <v>956</v>
      </c>
      <c r="B40" s="128" t="s">
        <v>957</v>
      </c>
      <c r="C40" s="128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28" t="s">
        <v>956</v>
      </c>
      <c r="B41" s="128" t="s">
        <v>957</v>
      </c>
      <c r="C41" s="128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28" t="s">
        <v>958</v>
      </c>
      <c r="B42" s="128" t="s">
        <v>957</v>
      </c>
      <c r="C42" s="128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28" t="s">
        <v>958</v>
      </c>
      <c r="B43" s="128" t="s">
        <v>957</v>
      </c>
      <c r="C43" s="128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28" t="s">
        <v>959</v>
      </c>
      <c r="B44" s="128" t="s">
        <v>960</v>
      </c>
      <c r="C44" s="128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28" t="s">
        <v>959</v>
      </c>
      <c r="B45" s="128" t="s">
        <v>960</v>
      </c>
      <c r="C45" s="128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28" t="s">
        <v>959</v>
      </c>
      <c r="B46" s="128" t="s">
        <v>960</v>
      </c>
      <c r="C46" s="128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28" t="s">
        <v>961</v>
      </c>
      <c r="B47" s="128" t="s">
        <v>960</v>
      </c>
      <c r="C47" s="128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28" t="s">
        <v>961</v>
      </c>
      <c r="B48" s="128" t="s">
        <v>960</v>
      </c>
      <c r="C48" s="128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28" t="s">
        <v>962</v>
      </c>
      <c r="B49" s="128" t="s">
        <v>963</v>
      </c>
      <c r="C49" s="128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28" t="s">
        <v>962</v>
      </c>
      <c r="B50" s="128" t="s">
        <v>963</v>
      </c>
      <c r="C50" s="128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28" t="s">
        <v>964</v>
      </c>
      <c r="B51" s="128" t="s">
        <v>965</v>
      </c>
      <c r="C51" s="128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28" t="s">
        <v>966</v>
      </c>
      <c r="B52" s="128" t="s">
        <v>967</v>
      </c>
      <c r="C52" s="128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28" t="s">
        <v>968</v>
      </c>
      <c r="B53" s="128" t="s">
        <v>969</v>
      </c>
      <c r="C53" s="128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28" t="s">
        <v>970</v>
      </c>
      <c r="B54" s="128" t="s">
        <v>971</v>
      </c>
      <c r="C54" s="128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28" t="s">
        <v>972</v>
      </c>
      <c r="B55" s="128" t="s">
        <v>973</v>
      </c>
      <c r="C55" s="128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28" t="s">
        <v>974</v>
      </c>
      <c r="B56" s="128" t="s">
        <v>975</v>
      </c>
      <c r="C56" s="128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28" t="s">
        <v>974</v>
      </c>
      <c r="B57" s="128" t="s">
        <v>975</v>
      </c>
      <c r="C57" s="128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 t="s">
        <v>865</v>
      </c>
      <c r="F2" s="87" t="str">
        <v>Buffalo leather</v>
      </c>
      <c r="G2" s="88" t="str">
        <v>кожа</v>
      </c>
      <c r="H2" s="95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0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0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0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899</v>
      </c>
      <c r="C38" s="120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900</v>
      </c>
      <c r="C39" s="120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901</v>
      </c>
      <c r="C40" s="120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902</v>
      </c>
      <c r="C41" s="120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903</v>
      </c>
      <c r="C42" s="120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904</v>
      </c>
      <c r="C43" s="120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905</v>
      </c>
      <c r="C44" s="120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906</v>
      </c>
      <c r="C45" s="120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907</v>
      </c>
      <c r="C46" s="120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869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870</v>
      </c>
      <c r="B831" s="76" t="s">
        <v>598</v>
      </c>
    </row>
    <row r="832" spans="1:2">
      <c r="A832" s="75" t="s">
        <v>871</v>
      </c>
      <c r="B832" s="76" t="s">
        <v>605</v>
      </c>
    </row>
    <row r="833" spans="1:2">
      <c r="A833" s="75" t="s">
        <v>872</v>
      </c>
      <c r="B833" s="76" t="s">
        <v>604</v>
      </c>
    </row>
    <row r="834" spans="1:2">
      <c r="A834" s="75" t="s">
        <v>873</v>
      </c>
      <c r="B834" s="76" t="s">
        <v>603</v>
      </c>
    </row>
    <row r="835" spans="1:2">
      <c r="A835" s="75" t="s">
        <v>874</v>
      </c>
      <c r="B835" s="76" t="s">
        <v>602</v>
      </c>
    </row>
    <row r="836" spans="1:2">
      <c r="A836" s="75" t="s">
        <v>875</v>
      </c>
      <c r="B836" s="76" t="s">
        <v>598</v>
      </c>
    </row>
    <row r="837" spans="1:2">
      <c r="A837" s="75" t="s">
        <v>876</v>
      </c>
      <c r="B837" s="76" t="s">
        <v>600</v>
      </c>
    </row>
    <row r="838" spans="1:2">
      <c r="A838" s="75" t="s">
        <v>877</v>
      </c>
      <c r="B838" s="76" t="s">
        <v>599</v>
      </c>
    </row>
    <row r="839" spans="1:2">
      <c r="A839" s="75" t="s">
        <v>878</v>
      </c>
      <c r="B839" s="76" t="s">
        <v>638</v>
      </c>
    </row>
    <row r="840" spans="1:2">
      <c r="A840" s="75" t="s">
        <v>879</v>
      </c>
      <c r="B840" s="76" t="s">
        <v>779</v>
      </c>
    </row>
    <row r="841" spans="1:2">
      <c r="A841" s="75" t="s">
        <v>880</v>
      </c>
      <c r="B841" s="76" t="s">
        <v>661</v>
      </c>
    </row>
    <row r="842" spans="1:2">
      <c r="A842" s="75" t="s">
        <v>881</v>
      </c>
      <c r="B842" s="76" t="s">
        <v>686</v>
      </c>
    </row>
    <row r="843" spans="1:2">
      <c r="A843" s="75" t="s">
        <v>882</v>
      </c>
      <c r="B843" s="76" t="s">
        <v>644</v>
      </c>
    </row>
    <row r="844" spans="1:2">
      <c r="A844" s="75" t="s">
        <v>883</v>
      </c>
      <c r="B844" s="76" t="s">
        <v>764</v>
      </c>
    </row>
    <row r="845" spans="1:2">
      <c r="A845" s="75" t="s">
        <v>884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03" activePane="bottomLeft" state="frozen"/>
      <selection pane="bottomLeft" activeCell="L192" sqref="A192:L197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1" t="s">
        <v>368</v>
      </c>
      <c r="F1" s="122" t="s">
        <v>369</v>
      </c>
      <c r="G1" s="123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868</v>
      </c>
      <c r="AB1" s="55" t="s">
        <v>557</v>
      </c>
      <c r="AC1" s="53">
        <f>MAX(AC2:AC10000)</f>
        <v>96</v>
      </c>
      <c r="AD1" s="53"/>
      <c r="AE1" s="53" t="str">
        <f>RIGHT(TEXT(MAX(AE2:AE10000),"###"),3)</f>
        <v>248</v>
      </c>
      <c r="AF1" s="54" t="str">
        <f>RIGHT("000"&amp;AC1,2)&amp;"-"&amp;RIGHT("000"&amp;AE1,3)</f>
        <v>96-248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96-249-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60112610tofwhi</v>
      </c>
      <c r="B2" s="59" t="str">
        <f>IF(C2&lt;&gt;"",LEFT(C2,9),"")</f>
        <v>96-013-80</v>
      </c>
      <c r="C2" s="69" t="s">
        <v>976</v>
      </c>
      <c r="D2" s="69" t="s">
        <v>977</v>
      </c>
      <c r="E2" s="69" t="s">
        <v>909</v>
      </c>
      <c r="F2" s="70">
        <v>0</v>
      </c>
      <c r="G2" s="70" t="s">
        <v>978</v>
      </c>
      <c r="H2" s="69" t="s">
        <v>217</v>
      </c>
      <c r="I2" s="69" t="s">
        <v>910</v>
      </c>
      <c r="J2" s="69" t="s">
        <v>327</v>
      </c>
      <c r="K2" s="69" t="s">
        <v>382</v>
      </c>
      <c r="L2" s="69" t="s">
        <v>887</v>
      </c>
      <c r="M2" s="69" t="s">
        <v>388</v>
      </c>
      <c r="N2" s="69" t="s">
        <v>43</v>
      </c>
      <c r="O2" s="69" t="s">
        <v>541</v>
      </c>
      <c r="P2" s="69" t="s">
        <v>979</v>
      </c>
      <c r="Q2" s="69" t="s">
        <v>980</v>
      </c>
      <c r="R2" s="69" t="s">
        <v>86</v>
      </c>
      <c r="T2" s="69" t="s">
        <v>911</v>
      </c>
      <c r="U2" s="69" t="s">
        <v>912</v>
      </c>
      <c r="V2" s="59" t="str">
        <f>W2&amp;H2</f>
        <v>60112610рыжий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59" t="str">
        <f>IF(A2&lt;&gt;"",IFERROR(IF(FIND(" ",G2)&gt;=1,MID(G2,FIND(" ",G2)+1,LEN(G2)),""),""),"")</f>
        <v>New York Yankees MLB</v>
      </c>
      <c r="AC2" s="50">
        <f>IFERROR(VALUE(MID($C2,1,2)),0)</f>
        <v>96</v>
      </c>
      <c r="AD2" s="43">
        <f t="shared" ref="AD2:AD66" si="1">IFERROR(VALUE(MID($C2,4,3)),0)</f>
        <v>13</v>
      </c>
      <c r="AE2" s="50">
        <f>VALUE(RIGHT("00"&amp;AC2,2)&amp;RIGHT("000"&amp;AD2,3))</f>
        <v>96013</v>
      </c>
    </row>
    <row r="3" spans="1:38">
      <c r="A3" s="59" t="str">
        <f t="shared" ref="A3:A66" si="2">IF(G3&amp;Q3&lt;&gt;"",W3&amp;Q3,"")</f>
        <v>80489231grapnk</v>
      </c>
      <c r="B3" s="59" t="str">
        <f t="shared" ref="B3:B66" si="3">IF(C3&lt;&gt;"",LEFT(C3,9),"")</f>
        <v>96-012-80</v>
      </c>
      <c r="C3" s="69" t="s">
        <v>981</v>
      </c>
      <c r="D3" s="69" t="s">
        <v>982</v>
      </c>
      <c r="E3" s="69" t="s">
        <v>909</v>
      </c>
      <c r="F3" s="70">
        <v>0</v>
      </c>
      <c r="G3" s="70" t="s">
        <v>983</v>
      </c>
      <c r="H3" s="69" t="s">
        <v>244</v>
      </c>
      <c r="I3" s="69" t="s">
        <v>918</v>
      </c>
      <c r="J3" s="69" t="s">
        <v>327</v>
      </c>
      <c r="K3" s="69" t="s">
        <v>387</v>
      </c>
      <c r="L3" s="69" t="s">
        <v>887</v>
      </c>
      <c r="M3" s="69" t="s">
        <v>388</v>
      </c>
      <c r="O3" s="69" t="s">
        <v>386</v>
      </c>
      <c r="P3" s="69" t="s">
        <v>979</v>
      </c>
      <c r="Q3" s="69" t="s">
        <v>984</v>
      </c>
      <c r="R3" s="69" t="s">
        <v>83</v>
      </c>
      <c r="T3" s="69" t="s">
        <v>911</v>
      </c>
      <c r="U3" s="69" t="s">
        <v>912</v>
      </c>
      <c r="V3" s="59" t="str">
        <f t="shared" ref="V3:V66" si="4">W3&amp;H3</f>
        <v>80489231серый / розовый</v>
      </c>
      <c r="W3" s="59" t="str">
        <f t="shared" si="0"/>
        <v>80489231</v>
      </c>
      <c r="X3" s="59" t="str">
        <f t="shared" ref="X3:X66" si="5">IF(A3&lt;&gt;"",IFERROR(IF(FIND(" ",G3)&gt;=1,MID(G3,FIND(" ",G3)+1,LEN(G3)),""),""),"")</f>
        <v>New York Yankees MLB</v>
      </c>
      <c r="AC3" s="50">
        <f t="shared" ref="AC3:AC66" si="6">IFERROR(VALUE(MID($C3,1,2)),0)</f>
        <v>96</v>
      </c>
      <c r="AD3" s="43">
        <f t="shared" si="1"/>
        <v>12</v>
      </c>
      <c r="AE3" s="50">
        <f t="shared" ref="AE3:AE66" si="7">VALUE(RIGHT("00"&amp;AC3,2)&amp;RIGHT("000"&amp;AD3,3))</f>
        <v>96012</v>
      </c>
    </row>
    <row r="4" spans="1:38">
      <c r="A4" s="59" t="str">
        <f t="shared" si="2"/>
        <v>60222546nov</v>
      </c>
      <c r="B4" s="59" t="str">
        <f t="shared" si="3"/>
        <v>96-011-03</v>
      </c>
      <c r="C4" s="69" t="s">
        <v>985</v>
      </c>
      <c r="D4" s="69" t="s">
        <v>986</v>
      </c>
      <c r="E4" s="69" t="s">
        <v>909</v>
      </c>
      <c r="F4" s="70">
        <v>0</v>
      </c>
      <c r="G4" s="70" t="s">
        <v>987</v>
      </c>
      <c r="H4" s="69" t="s">
        <v>195</v>
      </c>
      <c r="I4" s="69" t="s">
        <v>910</v>
      </c>
      <c r="J4" s="69" t="s">
        <v>356</v>
      </c>
      <c r="K4" s="69" t="s">
        <v>382</v>
      </c>
      <c r="L4" s="69" t="s">
        <v>887</v>
      </c>
      <c r="M4" s="69" t="s">
        <v>388</v>
      </c>
      <c r="N4" s="69" t="s">
        <v>43</v>
      </c>
      <c r="O4" s="69" t="s">
        <v>541</v>
      </c>
      <c r="P4" s="69" t="s">
        <v>979</v>
      </c>
      <c r="Q4" s="69" t="s">
        <v>988</v>
      </c>
      <c r="R4" s="69" t="s">
        <v>195</v>
      </c>
      <c r="T4" s="69" t="s">
        <v>911</v>
      </c>
      <c r="U4" s="69" t="s">
        <v>914</v>
      </c>
      <c r="V4" s="59" t="str">
        <f t="shared" si="4"/>
        <v>60222546оливковый</v>
      </c>
      <c r="W4" s="59" t="str">
        <f t="shared" si="0"/>
        <v>60222546</v>
      </c>
      <c r="X4" s="59" t="str">
        <f t="shared" si="5"/>
        <v>New York Yankees MLB</v>
      </c>
      <c r="AC4" s="50">
        <f t="shared" si="6"/>
        <v>96</v>
      </c>
      <c r="AD4" s="43">
        <f t="shared" si="1"/>
        <v>11</v>
      </c>
      <c r="AE4" s="50">
        <f t="shared" si="7"/>
        <v>96011</v>
      </c>
    </row>
    <row r="5" spans="1:38">
      <c r="A5" s="59" t="str">
        <f t="shared" si="2"/>
        <v>60222525pnk</v>
      </c>
      <c r="B5" s="59" t="str">
        <f t="shared" si="3"/>
        <v>96-010-34</v>
      </c>
      <c r="C5" s="69" t="s">
        <v>989</v>
      </c>
      <c r="D5" s="69" t="s">
        <v>990</v>
      </c>
      <c r="E5" s="69" t="s">
        <v>909</v>
      </c>
      <c r="F5" s="70">
        <v>0</v>
      </c>
      <c r="G5" s="70" t="s">
        <v>991</v>
      </c>
      <c r="H5" s="69" t="s">
        <v>307</v>
      </c>
      <c r="I5" s="69" t="s">
        <v>910</v>
      </c>
      <c r="J5" s="69" t="s">
        <v>327</v>
      </c>
      <c r="K5" s="69" t="s">
        <v>387</v>
      </c>
      <c r="L5" s="69" t="s">
        <v>887</v>
      </c>
      <c r="M5" s="69" t="s">
        <v>388</v>
      </c>
      <c r="N5" s="69" t="s">
        <v>43</v>
      </c>
      <c r="O5" s="69" t="s">
        <v>541</v>
      </c>
      <c r="P5" s="69" t="s">
        <v>979</v>
      </c>
      <c r="Q5" s="69" t="s">
        <v>992</v>
      </c>
      <c r="R5" s="69" t="s">
        <v>53</v>
      </c>
      <c r="T5" s="69" t="s">
        <v>911</v>
      </c>
      <c r="U5" s="69" t="s">
        <v>912</v>
      </c>
      <c r="V5" s="59" t="str">
        <f t="shared" si="4"/>
        <v>60222525черный / розовый</v>
      </c>
      <c r="W5" s="59" t="str">
        <f t="shared" si="0"/>
        <v>60222525</v>
      </c>
      <c r="X5" s="59" t="str">
        <f t="shared" si="5"/>
        <v>Los Angeles Dodgers MLB</v>
      </c>
      <c r="AC5" s="50">
        <f t="shared" si="6"/>
        <v>96</v>
      </c>
      <c r="AD5" s="43">
        <f t="shared" si="1"/>
        <v>10</v>
      </c>
      <c r="AE5" s="50">
        <f t="shared" si="7"/>
        <v>96010</v>
      </c>
    </row>
    <row r="6" spans="1:38">
      <c r="A6" s="59" t="str">
        <f t="shared" si="2"/>
        <v>60222523whi</v>
      </c>
      <c r="B6" s="59" t="str">
        <f t="shared" si="3"/>
        <v>96-009-17</v>
      </c>
      <c r="C6" s="69" t="s">
        <v>993</v>
      </c>
      <c r="D6" s="69" t="s">
        <v>994</v>
      </c>
      <c r="E6" s="69" t="s">
        <v>909</v>
      </c>
      <c r="F6" s="70">
        <v>0</v>
      </c>
      <c r="G6" s="70" t="s">
        <v>995</v>
      </c>
      <c r="H6" s="69" t="s">
        <v>231</v>
      </c>
      <c r="I6" s="69" t="s">
        <v>910</v>
      </c>
      <c r="J6" s="69" t="s">
        <v>327</v>
      </c>
      <c r="K6" s="69" t="s">
        <v>387</v>
      </c>
      <c r="L6" s="69" t="s">
        <v>887</v>
      </c>
      <c r="M6" s="69" t="s">
        <v>388</v>
      </c>
      <c r="N6" s="69" t="s">
        <v>43</v>
      </c>
      <c r="O6" s="69" t="s">
        <v>541</v>
      </c>
      <c r="P6" s="69" t="s">
        <v>979</v>
      </c>
      <c r="Q6" s="69" t="s">
        <v>996</v>
      </c>
      <c r="R6" s="69" t="s">
        <v>83</v>
      </c>
      <c r="T6" s="69" t="s">
        <v>911</v>
      </c>
      <c r="U6" s="69" t="s">
        <v>914</v>
      </c>
      <c r="V6" s="59" t="str">
        <f t="shared" si="4"/>
        <v>60222523светло-серый</v>
      </c>
      <c r="W6" s="59" t="str">
        <f t="shared" si="0"/>
        <v>60222523</v>
      </c>
      <c r="X6" s="59" t="str">
        <f t="shared" si="5"/>
        <v>New York Yankees MLB</v>
      </c>
      <c r="AC6" s="50">
        <f t="shared" si="6"/>
        <v>96</v>
      </c>
      <c r="AD6" s="43">
        <f t="shared" si="1"/>
        <v>9</v>
      </c>
      <c r="AE6" s="50">
        <f t="shared" si="7"/>
        <v>96009</v>
      </c>
    </row>
    <row r="7" spans="1:38">
      <c r="A7" s="59" t="str">
        <f t="shared" si="2"/>
        <v>60222457rgd</v>
      </c>
      <c r="B7" s="59" t="str">
        <f t="shared" si="3"/>
        <v>96-008-13</v>
      </c>
      <c r="C7" s="69" t="s">
        <v>997</v>
      </c>
      <c r="D7" s="69" t="s">
        <v>998</v>
      </c>
      <c r="E7" s="69" t="s">
        <v>909</v>
      </c>
      <c r="F7" s="70">
        <v>0</v>
      </c>
      <c r="G7" s="70" t="s">
        <v>999</v>
      </c>
      <c r="H7" s="69" t="s">
        <v>199</v>
      </c>
      <c r="I7" s="69" t="s">
        <v>910</v>
      </c>
      <c r="J7" s="69" t="s">
        <v>356</v>
      </c>
      <c r="K7" s="69" t="s">
        <v>382</v>
      </c>
      <c r="L7" s="69" t="s">
        <v>887</v>
      </c>
      <c r="M7" s="69" t="s">
        <v>388</v>
      </c>
      <c r="N7" s="69" t="s">
        <v>43</v>
      </c>
      <c r="O7" s="69" t="s">
        <v>541</v>
      </c>
      <c r="P7" s="69" t="s">
        <v>979</v>
      </c>
      <c r="Q7" s="69" t="s">
        <v>1000</v>
      </c>
      <c r="R7" s="69" t="s">
        <v>199</v>
      </c>
      <c r="T7" s="69" t="s">
        <v>911</v>
      </c>
      <c r="U7" s="69" t="s">
        <v>914</v>
      </c>
      <c r="V7" s="59" t="str">
        <f t="shared" si="4"/>
        <v>60222457оранжевый</v>
      </c>
      <c r="W7" s="59" t="str">
        <f t="shared" si="0"/>
        <v>60222457</v>
      </c>
      <c r="X7" s="59" t="str">
        <f t="shared" si="5"/>
        <v>New York Yankees MLB</v>
      </c>
      <c r="AC7" s="50">
        <f t="shared" si="6"/>
        <v>96</v>
      </c>
      <c r="AD7" s="43">
        <f t="shared" si="1"/>
        <v>8</v>
      </c>
      <c r="AE7" s="50">
        <f t="shared" si="7"/>
        <v>96008</v>
      </c>
    </row>
    <row r="8" spans="1:38">
      <c r="A8" s="59" t="str">
        <f t="shared" si="2"/>
        <v>60222456irf</v>
      </c>
      <c r="B8" s="59" t="str">
        <f t="shared" si="3"/>
        <v>96-007-06</v>
      </c>
      <c r="C8" s="69" t="s">
        <v>1001</v>
      </c>
      <c r="D8" s="69" t="s">
        <v>1002</v>
      </c>
      <c r="E8" s="69" t="s">
        <v>909</v>
      </c>
      <c r="F8" s="70">
        <v>0</v>
      </c>
      <c r="G8" s="70" t="s">
        <v>1003</v>
      </c>
      <c r="H8" s="69" t="s">
        <v>71</v>
      </c>
      <c r="I8" s="69" t="s">
        <v>910</v>
      </c>
      <c r="J8" s="69" t="s">
        <v>356</v>
      </c>
      <c r="K8" s="69" t="s">
        <v>382</v>
      </c>
      <c r="L8" s="69" t="s">
        <v>887</v>
      </c>
      <c r="M8" s="69" t="s">
        <v>388</v>
      </c>
      <c r="N8" s="69" t="s">
        <v>43</v>
      </c>
      <c r="O8" s="69" t="s">
        <v>541</v>
      </c>
      <c r="P8" s="69" t="s">
        <v>979</v>
      </c>
      <c r="Q8" s="69" t="s">
        <v>1004</v>
      </c>
      <c r="R8" s="69" t="s">
        <v>71</v>
      </c>
      <c r="T8" s="69" t="s">
        <v>911</v>
      </c>
      <c r="U8" s="69" t="s">
        <v>914</v>
      </c>
      <c r="V8" s="59" t="str">
        <f t="shared" si="4"/>
        <v>60222456синий</v>
      </c>
      <c r="W8" s="59" t="str">
        <f t="shared" si="0"/>
        <v>60222456</v>
      </c>
      <c r="X8" s="59" t="str">
        <f t="shared" si="5"/>
        <v>New York Yankees MLB</v>
      </c>
      <c r="AC8" s="50">
        <f t="shared" si="6"/>
        <v>96</v>
      </c>
      <c r="AD8" s="43">
        <f t="shared" si="1"/>
        <v>7</v>
      </c>
      <c r="AE8" s="50">
        <f t="shared" si="7"/>
        <v>96007</v>
      </c>
    </row>
    <row r="9" spans="1:38">
      <c r="A9" s="59" t="str">
        <f t="shared" si="2"/>
        <v>60222444blk</v>
      </c>
      <c r="B9" s="59" t="str">
        <f t="shared" si="3"/>
        <v>96-006-09</v>
      </c>
      <c r="C9" s="69" t="s">
        <v>1005</v>
      </c>
      <c r="D9" s="69" t="s">
        <v>1006</v>
      </c>
      <c r="E9" s="69" t="s">
        <v>909</v>
      </c>
      <c r="F9" s="70">
        <v>0</v>
      </c>
      <c r="G9" s="70" t="s">
        <v>1007</v>
      </c>
      <c r="H9" s="69" t="s">
        <v>53</v>
      </c>
      <c r="I9" s="69" t="s">
        <v>918</v>
      </c>
      <c r="J9" s="69" t="s">
        <v>327</v>
      </c>
      <c r="K9" s="69" t="s">
        <v>382</v>
      </c>
      <c r="L9" s="69" t="s">
        <v>887</v>
      </c>
      <c r="M9" s="69" t="s">
        <v>388</v>
      </c>
      <c r="O9" s="69" t="s">
        <v>541</v>
      </c>
      <c r="P9" s="69" t="s">
        <v>979</v>
      </c>
      <c r="Q9" s="69" t="s">
        <v>1008</v>
      </c>
      <c r="R9" s="69" t="s">
        <v>53</v>
      </c>
      <c r="T9" s="69" t="s">
        <v>911</v>
      </c>
      <c r="U9" s="69" t="s">
        <v>914</v>
      </c>
      <c r="V9" s="59" t="str">
        <f t="shared" si="4"/>
        <v>60222444черный</v>
      </c>
      <c r="W9" s="59" t="str">
        <f t="shared" si="0"/>
        <v>60222444</v>
      </c>
      <c r="X9" s="59" t="str">
        <f t="shared" si="5"/>
        <v>New York Yankees MLB</v>
      </c>
      <c r="AC9" s="50">
        <f t="shared" si="6"/>
        <v>96</v>
      </c>
      <c r="AD9" s="43">
        <f t="shared" si="1"/>
        <v>6</v>
      </c>
      <c r="AE9" s="50">
        <f t="shared" si="7"/>
        <v>96006</v>
      </c>
    </row>
    <row r="10" spans="1:38">
      <c r="A10" s="59" t="str">
        <f t="shared" si="2"/>
        <v>60222351whi</v>
      </c>
      <c r="B10" s="59" t="str">
        <f t="shared" si="3"/>
        <v>96-005-17</v>
      </c>
      <c r="C10" s="69" t="s">
        <v>1009</v>
      </c>
      <c r="D10" s="69" t="s">
        <v>1010</v>
      </c>
      <c r="E10" s="69" t="s">
        <v>909</v>
      </c>
      <c r="F10" s="70">
        <v>0</v>
      </c>
      <c r="G10" s="70" t="s">
        <v>1011</v>
      </c>
      <c r="H10" s="69" t="s">
        <v>120</v>
      </c>
      <c r="I10" s="69" t="s">
        <v>910</v>
      </c>
      <c r="J10" s="69" t="s">
        <v>327</v>
      </c>
      <c r="K10" s="69" t="s">
        <v>387</v>
      </c>
      <c r="L10" s="69" t="s">
        <v>887</v>
      </c>
      <c r="M10" s="69" t="s">
        <v>388</v>
      </c>
      <c r="N10" s="69" t="s">
        <v>43</v>
      </c>
      <c r="O10" s="69" t="s">
        <v>541</v>
      </c>
      <c r="P10" s="69" t="s">
        <v>979</v>
      </c>
      <c r="Q10" s="69" t="s">
        <v>996</v>
      </c>
      <c r="R10" s="69" t="s">
        <v>91</v>
      </c>
      <c r="T10" s="69" t="s">
        <v>911</v>
      </c>
      <c r="U10" s="69" t="s">
        <v>914</v>
      </c>
      <c r="V10" s="59" t="str">
        <f t="shared" si="4"/>
        <v>60222351бирюзовый</v>
      </c>
      <c r="W10" s="59" t="str">
        <f t="shared" si="0"/>
        <v>60222351</v>
      </c>
      <c r="X10" s="59" t="str">
        <f t="shared" si="5"/>
        <v>New York Yankees MLB</v>
      </c>
      <c r="AC10" s="50">
        <f t="shared" si="6"/>
        <v>96</v>
      </c>
      <c r="AD10" s="43">
        <f t="shared" si="1"/>
        <v>5</v>
      </c>
      <c r="AE10" s="50">
        <f t="shared" si="7"/>
        <v>96005</v>
      </c>
    </row>
    <row r="11" spans="1:38">
      <c r="A11" s="59" t="str">
        <f t="shared" si="2"/>
        <v>60222348nvy</v>
      </c>
      <c r="B11" s="59" t="str">
        <f t="shared" si="3"/>
        <v>96-004-06</v>
      </c>
      <c r="C11" s="69" t="s">
        <v>1012</v>
      </c>
      <c r="D11" s="69" t="s">
        <v>1013</v>
      </c>
      <c r="E11" s="69" t="s">
        <v>909</v>
      </c>
      <c r="F11" s="70">
        <v>0</v>
      </c>
      <c r="G11" s="70" t="s">
        <v>1014</v>
      </c>
      <c r="H11" s="69" t="s">
        <v>55</v>
      </c>
      <c r="I11" s="69" t="s">
        <v>918</v>
      </c>
      <c r="J11" s="69" t="s">
        <v>327</v>
      </c>
      <c r="K11" s="69" t="s">
        <v>382</v>
      </c>
      <c r="L11" s="69" t="s">
        <v>887</v>
      </c>
      <c r="M11" s="69" t="s">
        <v>388</v>
      </c>
      <c r="O11" s="69" t="s">
        <v>541</v>
      </c>
      <c r="P11" s="69" t="s">
        <v>979</v>
      </c>
      <c r="Q11" s="69" t="s">
        <v>1015</v>
      </c>
      <c r="R11" s="69" t="s">
        <v>71</v>
      </c>
      <c r="T11" s="69" t="s">
        <v>911</v>
      </c>
      <c r="U11" s="69" t="s">
        <v>912</v>
      </c>
      <c r="V11" s="59" t="str">
        <f t="shared" si="4"/>
        <v>60222348темно-синий</v>
      </c>
      <c r="W11" s="59" t="str">
        <f t="shared" si="0"/>
        <v>60222348</v>
      </c>
      <c r="X11" s="59" t="str">
        <f t="shared" si="5"/>
        <v>Los Angeles Dodgers MLB</v>
      </c>
      <c r="AC11" s="50">
        <f t="shared" si="6"/>
        <v>96</v>
      </c>
      <c r="AD11" s="43">
        <f t="shared" si="1"/>
        <v>4</v>
      </c>
      <c r="AE11" s="50">
        <f t="shared" si="7"/>
        <v>96004</v>
      </c>
    </row>
    <row r="12" spans="1:38">
      <c r="A12" s="59" t="str">
        <f t="shared" si="2"/>
        <v>60222321tof</v>
      </c>
      <c r="B12" s="59" t="str">
        <f t="shared" si="3"/>
        <v>96-003-14</v>
      </c>
      <c r="C12" s="69" t="s">
        <v>1016</v>
      </c>
      <c r="D12" s="69" t="s">
        <v>1017</v>
      </c>
      <c r="E12" s="69" t="s">
        <v>909</v>
      </c>
      <c r="F12" s="70">
        <v>0</v>
      </c>
      <c r="G12" s="70" t="s">
        <v>1018</v>
      </c>
      <c r="H12" s="69" t="s">
        <v>301</v>
      </c>
      <c r="I12" s="69" t="s">
        <v>910</v>
      </c>
      <c r="J12" s="69" t="s">
        <v>327</v>
      </c>
      <c r="K12" s="69" t="s">
        <v>382</v>
      </c>
      <c r="L12" s="69" t="s">
        <v>887</v>
      </c>
      <c r="M12" s="69" t="s">
        <v>388</v>
      </c>
      <c r="N12" s="69" t="s">
        <v>43</v>
      </c>
      <c r="O12" s="69" t="s">
        <v>541</v>
      </c>
      <c r="P12" s="69" t="s">
        <v>979</v>
      </c>
      <c r="Q12" s="69" t="s">
        <v>1019</v>
      </c>
      <c r="R12" s="69" t="s">
        <v>53</v>
      </c>
      <c r="T12" s="69" t="s">
        <v>911</v>
      </c>
      <c r="U12" s="69" t="s">
        <v>914</v>
      </c>
      <c r="V12" s="59" t="str">
        <f t="shared" si="4"/>
        <v>60222321черный / коричневый</v>
      </c>
      <c r="W12" s="59" t="str">
        <f t="shared" si="0"/>
        <v>60222321</v>
      </c>
      <c r="X12" s="59" t="str">
        <f t="shared" si="5"/>
        <v>New York Yankees MLB</v>
      </c>
      <c r="AC12" s="50">
        <f t="shared" si="6"/>
        <v>96</v>
      </c>
      <c r="AD12" s="43">
        <f t="shared" si="1"/>
        <v>3</v>
      </c>
      <c r="AE12" s="50">
        <f t="shared" si="7"/>
        <v>96003</v>
      </c>
    </row>
    <row r="13" spans="1:38">
      <c r="A13" s="59" t="str">
        <f t="shared" si="2"/>
        <v>60222282irf</v>
      </c>
      <c r="B13" s="59" t="str">
        <f t="shared" si="3"/>
        <v>96-002-06</v>
      </c>
      <c r="C13" s="69" t="s">
        <v>1020</v>
      </c>
      <c r="D13" s="69" t="s">
        <v>1021</v>
      </c>
      <c r="E13" s="69" t="s">
        <v>909</v>
      </c>
      <c r="F13" s="70">
        <v>0</v>
      </c>
      <c r="G13" s="70" t="s">
        <v>1022</v>
      </c>
      <c r="H13" s="69" t="s">
        <v>71</v>
      </c>
      <c r="I13" s="69" t="s">
        <v>910</v>
      </c>
      <c r="J13" s="69" t="s">
        <v>327</v>
      </c>
      <c r="K13" s="69" t="s">
        <v>382</v>
      </c>
      <c r="L13" s="69" t="s">
        <v>887</v>
      </c>
      <c r="M13" s="69" t="s">
        <v>388</v>
      </c>
      <c r="N13" s="69" t="s">
        <v>43</v>
      </c>
      <c r="O13" s="69" t="s">
        <v>541</v>
      </c>
      <c r="P13" s="69" t="s">
        <v>979</v>
      </c>
      <c r="Q13" s="69" t="s">
        <v>1004</v>
      </c>
      <c r="R13" s="69" t="s">
        <v>71</v>
      </c>
      <c r="T13" s="69" t="s">
        <v>911</v>
      </c>
      <c r="U13" s="69" t="s">
        <v>912</v>
      </c>
      <c r="V13" s="59" t="str">
        <f t="shared" si="4"/>
        <v>60222282синий</v>
      </c>
      <c r="W13" s="59" t="str">
        <f t="shared" si="0"/>
        <v>60222282</v>
      </c>
      <c r="X13" s="59" t="str">
        <f t="shared" si="5"/>
        <v>Los Angeles Dodgers MLB</v>
      </c>
      <c r="AC13" s="50">
        <f t="shared" si="6"/>
        <v>96</v>
      </c>
      <c r="AD13" s="43">
        <f t="shared" si="1"/>
        <v>2</v>
      </c>
      <c r="AE13" s="50">
        <f t="shared" si="7"/>
        <v>96002</v>
      </c>
    </row>
    <row r="14" spans="1:38">
      <c r="A14" s="59" t="str">
        <f t="shared" si="2"/>
        <v>10531954team</v>
      </c>
      <c r="B14" s="59" t="str">
        <f t="shared" si="3"/>
        <v>96-001-18</v>
      </c>
      <c r="C14" s="69" t="s">
        <v>1023</v>
      </c>
      <c r="D14" s="69" t="s">
        <v>1024</v>
      </c>
      <c r="E14" s="69" t="s">
        <v>1025</v>
      </c>
      <c r="F14" s="70">
        <v>58</v>
      </c>
      <c r="G14" s="70" t="s">
        <v>1026</v>
      </c>
      <c r="H14" s="69" t="s">
        <v>71</v>
      </c>
      <c r="I14" s="69" t="s">
        <v>910</v>
      </c>
      <c r="J14" s="69" t="s">
        <v>783</v>
      </c>
      <c r="K14" s="69" t="s">
        <v>382</v>
      </c>
      <c r="L14" s="69" t="s">
        <v>887</v>
      </c>
      <c r="M14" s="69" t="s">
        <v>388</v>
      </c>
      <c r="N14" s="69" t="s">
        <v>43</v>
      </c>
      <c r="O14" s="69" t="s">
        <v>541</v>
      </c>
      <c r="P14" s="69" t="s">
        <v>979</v>
      </c>
      <c r="Q14" s="69" t="s">
        <v>1027</v>
      </c>
      <c r="R14" s="69" t="s">
        <v>71</v>
      </c>
      <c r="T14" s="69" t="s">
        <v>911</v>
      </c>
      <c r="U14" s="69" t="s">
        <v>912</v>
      </c>
      <c r="V14" s="59" t="str">
        <f t="shared" si="4"/>
        <v>10531954синий</v>
      </c>
      <c r="W14" s="59" t="str">
        <f t="shared" si="0"/>
        <v>10531954</v>
      </c>
      <c r="X14" s="59" t="str">
        <f t="shared" si="5"/>
        <v>Los Angeles Dodgers MLB</v>
      </c>
      <c r="AC14" s="50">
        <f t="shared" si="6"/>
        <v>96</v>
      </c>
      <c r="AD14" s="43">
        <f t="shared" si="1"/>
        <v>1</v>
      </c>
      <c r="AE14" s="50">
        <f t="shared" si="7"/>
        <v>96001</v>
      </c>
    </row>
    <row r="15" spans="1:38">
      <c r="A15" s="59" t="str">
        <f t="shared" si="2"/>
        <v>10531954team</v>
      </c>
      <c r="B15" s="59" t="str">
        <f t="shared" si="3"/>
        <v>96-001-18</v>
      </c>
      <c r="C15" s="69" t="s">
        <v>1028</v>
      </c>
      <c r="D15" s="69" t="s">
        <v>1024</v>
      </c>
      <c r="E15" s="69" t="s">
        <v>1029</v>
      </c>
      <c r="F15" s="70">
        <v>56</v>
      </c>
      <c r="G15" s="70" t="s">
        <v>1026</v>
      </c>
      <c r="H15" s="69" t="s">
        <v>71</v>
      </c>
      <c r="I15" s="69" t="s">
        <v>910</v>
      </c>
      <c r="J15" s="69" t="s">
        <v>783</v>
      </c>
      <c r="K15" s="69" t="s">
        <v>382</v>
      </c>
      <c r="L15" s="69" t="s">
        <v>887</v>
      </c>
      <c r="M15" s="69" t="s">
        <v>388</v>
      </c>
      <c r="N15" s="69" t="s">
        <v>43</v>
      </c>
      <c r="O15" s="69" t="s">
        <v>541</v>
      </c>
      <c r="P15" s="69" t="s">
        <v>979</v>
      </c>
      <c r="Q15" s="69" t="s">
        <v>1027</v>
      </c>
      <c r="R15" s="69" t="s">
        <v>71</v>
      </c>
      <c r="T15" s="69" t="s">
        <v>911</v>
      </c>
      <c r="U15" s="69" t="s">
        <v>912</v>
      </c>
      <c r="V15" s="59" t="str">
        <f t="shared" si="4"/>
        <v>10531954синий</v>
      </c>
      <c r="W15" s="59" t="str">
        <f t="shared" si="0"/>
        <v>10531954</v>
      </c>
      <c r="X15" s="59" t="str">
        <f t="shared" si="5"/>
        <v>Los Angeles Dodgers MLB</v>
      </c>
      <c r="AC15" s="50">
        <f t="shared" si="6"/>
        <v>96</v>
      </c>
      <c r="AD15" s="43">
        <f t="shared" si="1"/>
        <v>1</v>
      </c>
      <c r="AE15" s="50">
        <f t="shared" si="7"/>
        <v>96001</v>
      </c>
    </row>
    <row r="16" spans="1:38">
      <c r="A16" s="59" t="str">
        <f t="shared" si="2"/>
        <v>11405493blkwhi</v>
      </c>
      <c r="B16" s="59" t="str">
        <f t="shared" si="3"/>
        <v>96-020-72</v>
      </c>
      <c r="C16" s="69" t="s">
        <v>1030</v>
      </c>
      <c r="D16" s="69" t="s">
        <v>1031</v>
      </c>
      <c r="E16" s="69" t="s">
        <v>909</v>
      </c>
      <c r="F16" s="70">
        <v>0</v>
      </c>
      <c r="G16" s="70" t="s">
        <v>1032</v>
      </c>
      <c r="H16" s="69" t="s">
        <v>53</v>
      </c>
      <c r="I16" s="69" t="s">
        <v>910</v>
      </c>
      <c r="J16" s="69" t="s">
        <v>327</v>
      </c>
      <c r="K16" s="69" t="s">
        <v>382</v>
      </c>
      <c r="L16" s="69" t="s">
        <v>887</v>
      </c>
      <c r="M16" s="69" t="s">
        <v>388</v>
      </c>
      <c r="N16" s="69" t="s">
        <v>43</v>
      </c>
      <c r="O16" s="69" t="s">
        <v>386</v>
      </c>
      <c r="P16" s="69" t="s">
        <v>979</v>
      </c>
      <c r="Q16" s="69" t="s">
        <v>1033</v>
      </c>
      <c r="R16" s="69" t="s">
        <v>53</v>
      </c>
      <c r="S16" s="69" t="s">
        <v>913</v>
      </c>
      <c r="T16" s="69" t="s">
        <v>911</v>
      </c>
      <c r="U16" s="69" t="s">
        <v>912</v>
      </c>
      <c r="V16" s="59" t="str">
        <f t="shared" si="4"/>
        <v>11405493черный</v>
      </c>
      <c r="W16" s="59" t="str">
        <f t="shared" si="0"/>
        <v>11405493</v>
      </c>
      <c r="X16" s="59" t="str">
        <f t="shared" si="5"/>
        <v>Los Angeles Dodgers MLB</v>
      </c>
      <c r="AC16" s="50">
        <f t="shared" si="6"/>
        <v>96</v>
      </c>
      <c r="AD16" s="43">
        <f t="shared" si="1"/>
        <v>20</v>
      </c>
      <c r="AE16" s="50">
        <f t="shared" si="7"/>
        <v>96020</v>
      </c>
    </row>
    <row r="17" spans="1:31">
      <c r="A17" s="59" t="str">
        <f t="shared" si="2"/>
        <v>11579474blk</v>
      </c>
      <c r="B17" s="59" t="str">
        <f t="shared" si="3"/>
        <v>96-019-09</v>
      </c>
      <c r="C17" s="69" t="s">
        <v>1034</v>
      </c>
      <c r="D17" s="69" t="s">
        <v>1035</v>
      </c>
      <c r="E17" s="69" t="s">
        <v>909</v>
      </c>
      <c r="F17" s="70">
        <v>0</v>
      </c>
      <c r="G17" s="70" t="s">
        <v>1036</v>
      </c>
      <c r="H17" s="69" t="s">
        <v>53</v>
      </c>
      <c r="I17" s="69" t="s">
        <v>910</v>
      </c>
      <c r="J17" s="69" t="s">
        <v>356</v>
      </c>
      <c r="K17" s="69" t="s">
        <v>382</v>
      </c>
      <c r="L17" s="69" t="s">
        <v>887</v>
      </c>
      <c r="M17" s="69" t="s">
        <v>388</v>
      </c>
      <c r="N17" s="69" t="s">
        <v>43</v>
      </c>
      <c r="O17" s="69" t="s">
        <v>386</v>
      </c>
      <c r="P17" s="69" t="s">
        <v>979</v>
      </c>
      <c r="Q17" s="69" t="s">
        <v>1008</v>
      </c>
      <c r="R17" s="69" t="s">
        <v>53</v>
      </c>
      <c r="S17" s="69" t="s">
        <v>913</v>
      </c>
      <c r="T17" s="69" t="s">
        <v>911</v>
      </c>
      <c r="U17" s="69" t="s">
        <v>914</v>
      </c>
      <c r="V17" s="59" t="str">
        <f t="shared" si="4"/>
        <v>11579474черный</v>
      </c>
      <c r="W17" s="59" t="str">
        <f t="shared" si="0"/>
        <v>11579474</v>
      </c>
      <c r="X17" s="59" t="str">
        <f t="shared" si="5"/>
        <v>New York Yankees MLB</v>
      </c>
      <c r="AC17" s="50">
        <f t="shared" si="6"/>
        <v>96</v>
      </c>
      <c r="AD17" s="43">
        <f t="shared" si="1"/>
        <v>19</v>
      </c>
      <c r="AE17" s="50">
        <f t="shared" si="7"/>
        <v>96019</v>
      </c>
    </row>
    <row r="18" spans="1:31">
      <c r="A18" s="59" t="str">
        <f t="shared" si="2"/>
        <v>80636010nov</v>
      </c>
      <c r="B18" s="59" t="str">
        <f t="shared" si="3"/>
        <v>96-018-03</v>
      </c>
      <c r="C18" s="69" t="s">
        <v>1037</v>
      </c>
      <c r="D18" s="69" t="s">
        <v>1038</v>
      </c>
      <c r="E18" s="69" t="s">
        <v>909</v>
      </c>
      <c r="F18" s="70">
        <v>0</v>
      </c>
      <c r="G18" s="70" t="s">
        <v>1039</v>
      </c>
      <c r="H18" s="69" t="s">
        <v>195</v>
      </c>
      <c r="I18" s="69" t="s">
        <v>910</v>
      </c>
      <c r="J18" s="69" t="s">
        <v>327</v>
      </c>
      <c r="K18" s="69" t="s">
        <v>382</v>
      </c>
      <c r="L18" s="69" t="s">
        <v>887</v>
      </c>
      <c r="M18" s="69" t="s">
        <v>388</v>
      </c>
      <c r="N18" s="69" t="s">
        <v>43</v>
      </c>
      <c r="O18" s="69" t="s">
        <v>386</v>
      </c>
      <c r="P18" s="69" t="s">
        <v>979</v>
      </c>
      <c r="Q18" s="69" t="s">
        <v>988</v>
      </c>
      <c r="R18" s="69" t="s">
        <v>195</v>
      </c>
      <c r="S18" s="69" t="s">
        <v>913</v>
      </c>
      <c r="T18" s="69" t="s">
        <v>911</v>
      </c>
      <c r="U18" s="69" t="s">
        <v>914</v>
      </c>
      <c r="V18" s="59" t="str">
        <f t="shared" si="4"/>
        <v>80636010оливковый</v>
      </c>
      <c r="W18" s="59" t="str">
        <f t="shared" si="0"/>
        <v>80636010</v>
      </c>
      <c r="X18" s="59" t="str">
        <f t="shared" si="5"/>
        <v>New York Yankees MLB</v>
      </c>
      <c r="AC18" s="50">
        <f t="shared" si="6"/>
        <v>96</v>
      </c>
      <c r="AD18" s="43">
        <f t="shared" si="1"/>
        <v>18</v>
      </c>
      <c r="AE18" s="50">
        <f t="shared" si="7"/>
        <v>96018</v>
      </c>
    </row>
    <row r="19" spans="1:31">
      <c r="A19" s="59" t="str">
        <f t="shared" si="2"/>
        <v>80489299plm</v>
      </c>
      <c r="B19" s="59" t="str">
        <f t="shared" si="3"/>
        <v>96-017-94</v>
      </c>
      <c r="C19" s="69" t="s">
        <v>1040</v>
      </c>
      <c r="D19" s="69" t="s">
        <v>1041</v>
      </c>
      <c r="E19" s="69" t="s">
        <v>909</v>
      </c>
      <c r="F19" s="70">
        <v>0</v>
      </c>
      <c r="G19" s="70" t="s">
        <v>1042</v>
      </c>
      <c r="H19" s="69" t="s">
        <v>68</v>
      </c>
      <c r="I19" s="69" t="s">
        <v>910</v>
      </c>
      <c r="J19" s="69" t="s">
        <v>327</v>
      </c>
      <c r="K19" s="69" t="s">
        <v>382</v>
      </c>
      <c r="L19" s="69" t="s">
        <v>887</v>
      </c>
      <c r="M19" s="69" t="s">
        <v>388</v>
      </c>
      <c r="N19" s="69" t="s">
        <v>43</v>
      </c>
      <c r="O19" s="69" t="s">
        <v>386</v>
      </c>
      <c r="P19" s="69" t="s">
        <v>979</v>
      </c>
      <c r="Q19" s="69" t="s">
        <v>1043</v>
      </c>
      <c r="R19" s="69" t="s">
        <v>68</v>
      </c>
      <c r="S19" s="69" t="s">
        <v>913</v>
      </c>
      <c r="T19" s="69" t="s">
        <v>911</v>
      </c>
      <c r="U19" s="69" t="s">
        <v>914</v>
      </c>
      <c r="V19" s="59" t="str">
        <f t="shared" si="4"/>
        <v>80489299розовый</v>
      </c>
      <c r="W19" s="59" t="str">
        <f t="shared" si="0"/>
        <v>80489299</v>
      </c>
      <c r="X19" s="59" t="str">
        <f t="shared" si="5"/>
        <v>New York Yankees MLB</v>
      </c>
      <c r="AC19" s="50">
        <f t="shared" si="6"/>
        <v>96</v>
      </c>
      <c r="AD19" s="43">
        <f t="shared" si="1"/>
        <v>17</v>
      </c>
      <c r="AE19" s="50">
        <f t="shared" si="7"/>
        <v>96017</v>
      </c>
    </row>
    <row r="20" spans="1:31">
      <c r="A20" s="59" t="str">
        <f t="shared" si="2"/>
        <v>12523913blkblk</v>
      </c>
      <c r="B20" s="59" t="str">
        <f t="shared" si="3"/>
        <v>96-016-10</v>
      </c>
      <c r="C20" s="69" t="s">
        <v>1044</v>
      </c>
      <c r="D20" s="69" t="s">
        <v>1045</v>
      </c>
      <c r="E20" s="69" t="s">
        <v>909</v>
      </c>
      <c r="F20" s="70">
        <v>0</v>
      </c>
      <c r="G20" s="70" t="s">
        <v>1046</v>
      </c>
      <c r="H20" s="69" t="s">
        <v>53</v>
      </c>
      <c r="I20" s="69" t="s">
        <v>910</v>
      </c>
      <c r="J20" s="69" t="s">
        <v>356</v>
      </c>
      <c r="K20" s="69" t="s">
        <v>382</v>
      </c>
      <c r="L20" s="69" t="s">
        <v>887</v>
      </c>
      <c r="M20" s="69" t="s">
        <v>388</v>
      </c>
      <c r="N20" s="69" t="s">
        <v>43</v>
      </c>
      <c r="O20" s="69" t="s">
        <v>386</v>
      </c>
      <c r="P20" s="69" t="s">
        <v>979</v>
      </c>
      <c r="Q20" s="69" t="s">
        <v>1049</v>
      </c>
      <c r="R20" s="69" t="s">
        <v>53</v>
      </c>
      <c r="S20" s="69" t="s">
        <v>913</v>
      </c>
      <c r="T20" s="69" t="s">
        <v>1047</v>
      </c>
      <c r="U20" s="69" t="s">
        <v>1048</v>
      </c>
      <c r="V20" s="59" t="str">
        <f t="shared" si="4"/>
        <v>12523913черный</v>
      </c>
      <c r="W20" s="59" t="str">
        <f t="shared" si="0"/>
        <v>12523913</v>
      </c>
      <c r="X20" s="59" t="str">
        <f t="shared" si="5"/>
        <v>Chicago Bulls NBA</v>
      </c>
      <c r="AC20" s="50">
        <f t="shared" si="6"/>
        <v>96</v>
      </c>
      <c r="AD20" s="43">
        <f t="shared" si="1"/>
        <v>16</v>
      </c>
      <c r="AE20" s="50">
        <f t="shared" si="7"/>
        <v>96016</v>
      </c>
    </row>
    <row r="21" spans="1:31">
      <c r="A21" s="59" t="str">
        <f t="shared" si="2"/>
        <v>12523911blkblk</v>
      </c>
      <c r="B21" s="59" t="str">
        <f t="shared" si="3"/>
        <v>96-015-10</v>
      </c>
      <c r="C21" s="69" t="s">
        <v>1050</v>
      </c>
      <c r="D21" s="69" t="s">
        <v>1051</v>
      </c>
      <c r="E21" s="69" t="s">
        <v>909</v>
      </c>
      <c r="F21" s="70">
        <v>0</v>
      </c>
      <c r="G21" s="70" t="s">
        <v>1052</v>
      </c>
      <c r="H21" s="69" t="s">
        <v>53</v>
      </c>
      <c r="I21" s="69" t="s">
        <v>910</v>
      </c>
      <c r="J21" s="69" t="s">
        <v>356</v>
      </c>
      <c r="K21" s="69" t="s">
        <v>382</v>
      </c>
      <c r="L21" s="69" t="s">
        <v>887</v>
      </c>
      <c r="M21" s="69" t="s">
        <v>388</v>
      </c>
      <c r="N21" s="69" t="s">
        <v>43</v>
      </c>
      <c r="O21" s="69" t="s">
        <v>386</v>
      </c>
      <c r="P21" s="69" t="s">
        <v>979</v>
      </c>
      <c r="Q21" s="69" t="s">
        <v>1049</v>
      </c>
      <c r="R21" s="69" t="s">
        <v>53</v>
      </c>
      <c r="S21" s="69" t="s">
        <v>913</v>
      </c>
      <c r="T21" s="69" t="s">
        <v>1047</v>
      </c>
      <c r="U21" s="69" t="s">
        <v>1053</v>
      </c>
      <c r="V21" s="59" t="str">
        <f t="shared" si="4"/>
        <v>12523911черный</v>
      </c>
      <c r="W21" s="59" t="str">
        <f t="shared" si="0"/>
        <v>12523911</v>
      </c>
      <c r="X21" s="59" t="str">
        <f t="shared" si="5"/>
        <v>Los Angeles Lakers NBA</v>
      </c>
      <c r="AC21" s="50">
        <f t="shared" si="6"/>
        <v>96</v>
      </c>
      <c r="AD21" s="43">
        <f t="shared" si="1"/>
        <v>15</v>
      </c>
      <c r="AE21" s="50">
        <f t="shared" si="7"/>
        <v>96015</v>
      </c>
    </row>
    <row r="22" spans="1:31">
      <c r="A22" s="59" t="str">
        <f t="shared" si="2"/>
        <v>10531938scawhi</v>
      </c>
      <c r="B22" s="59" t="str">
        <f t="shared" si="3"/>
        <v>96-014-18</v>
      </c>
      <c r="C22" s="69" t="s">
        <v>1054</v>
      </c>
      <c r="D22" s="69" t="s">
        <v>1055</v>
      </c>
      <c r="E22" s="69" t="s">
        <v>909</v>
      </c>
      <c r="F22" s="70">
        <v>0</v>
      </c>
      <c r="G22" s="70" t="s">
        <v>1056</v>
      </c>
      <c r="H22" s="69" t="s">
        <v>78</v>
      </c>
      <c r="I22" s="69" t="s">
        <v>910</v>
      </c>
      <c r="J22" s="69" t="s">
        <v>327</v>
      </c>
      <c r="K22" s="69" t="s">
        <v>382</v>
      </c>
      <c r="L22" s="69" t="s">
        <v>887</v>
      </c>
      <c r="M22" s="69" t="s">
        <v>388</v>
      </c>
      <c r="N22" s="69" t="s">
        <v>43</v>
      </c>
      <c r="O22" s="69" t="s">
        <v>386</v>
      </c>
      <c r="P22" s="69" t="s">
        <v>979</v>
      </c>
      <c r="Q22" s="69" t="s">
        <v>1057</v>
      </c>
      <c r="R22" s="69" t="s">
        <v>78</v>
      </c>
      <c r="S22" s="69" t="s">
        <v>913</v>
      </c>
      <c r="T22" s="69" t="s">
        <v>911</v>
      </c>
      <c r="U22" s="69" t="s">
        <v>914</v>
      </c>
      <c r="V22" s="59" t="str">
        <f t="shared" si="4"/>
        <v>10531938красный</v>
      </c>
      <c r="W22" s="59" t="str">
        <f t="shared" si="0"/>
        <v>10531938</v>
      </c>
      <c r="X22" s="59" t="str">
        <f t="shared" si="5"/>
        <v>New York Yankees MLB</v>
      </c>
      <c r="AC22" s="50">
        <f t="shared" si="6"/>
        <v>96</v>
      </c>
      <c r="AD22" s="43">
        <f t="shared" si="1"/>
        <v>14</v>
      </c>
      <c r="AE22" s="50">
        <f t="shared" si="7"/>
        <v>96014</v>
      </c>
    </row>
    <row r="23" spans="1:31">
      <c r="A23" s="59" t="str">
        <f t="shared" si="2"/>
        <v>60112702blk</v>
      </c>
      <c r="B23" s="59" t="str">
        <f t="shared" si="3"/>
        <v>96-046-09</v>
      </c>
      <c r="C23" s="69" t="s">
        <v>1058</v>
      </c>
      <c r="D23" s="69" t="s">
        <v>1059</v>
      </c>
      <c r="E23" s="69" t="s">
        <v>909</v>
      </c>
      <c r="F23" s="70">
        <v>0</v>
      </c>
      <c r="G23" s="70" t="s">
        <v>1060</v>
      </c>
      <c r="H23" s="69" t="s">
        <v>53</v>
      </c>
      <c r="I23" s="69" t="s">
        <v>910</v>
      </c>
      <c r="J23" s="69" t="s">
        <v>356</v>
      </c>
      <c r="K23" s="69" t="s">
        <v>382</v>
      </c>
      <c r="L23" s="69" t="s">
        <v>887</v>
      </c>
      <c r="M23" s="69" t="s">
        <v>388</v>
      </c>
      <c r="N23" s="69" t="s">
        <v>43</v>
      </c>
      <c r="O23" s="69" t="s">
        <v>541</v>
      </c>
      <c r="P23" s="69" t="s">
        <v>979</v>
      </c>
      <c r="Q23" s="69" t="s">
        <v>1008</v>
      </c>
      <c r="R23" s="69" t="s">
        <v>53</v>
      </c>
      <c r="S23" s="69" t="s">
        <v>913</v>
      </c>
      <c r="T23" s="69" t="s">
        <v>911</v>
      </c>
      <c r="U23" s="69" t="s">
        <v>915</v>
      </c>
      <c r="V23" s="59" t="str">
        <f t="shared" si="4"/>
        <v>60112702черный</v>
      </c>
      <c r="W23" s="59" t="str">
        <f t="shared" si="0"/>
        <v>60112702</v>
      </c>
      <c r="X23" s="59" t="str">
        <f t="shared" si="5"/>
        <v>Boston Red Sox</v>
      </c>
      <c r="AC23" s="50">
        <f t="shared" si="6"/>
        <v>96</v>
      </c>
      <c r="AD23" s="43">
        <f t="shared" si="1"/>
        <v>46</v>
      </c>
      <c r="AE23" s="50">
        <f t="shared" si="7"/>
        <v>96046</v>
      </c>
    </row>
    <row r="24" spans="1:31">
      <c r="A24" s="59" t="str">
        <f t="shared" si="2"/>
        <v>60222526whi</v>
      </c>
      <c r="B24" s="59" t="str">
        <f t="shared" si="3"/>
        <v>96-045-35</v>
      </c>
      <c r="C24" s="69" t="s">
        <v>1061</v>
      </c>
      <c r="D24" s="69" t="s">
        <v>1062</v>
      </c>
      <c r="E24" s="69" t="s">
        <v>909</v>
      </c>
      <c r="F24" s="70">
        <v>0</v>
      </c>
      <c r="G24" s="70" t="s">
        <v>1063</v>
      </c>
      <c r="H24" s="69" t="s">
        <v>1064</v>
      </c>
      <c r="I24" s="69" t="s">
        <v>910</v>
      </c>
      <c r="J24" s="69" t="s">
        <v>327</v>
      </c>
      <c r="K24" s="69" t="s">
        <v>387</v>
      </c>
      <c r="L24" s="69" t="s">
        <v>887</v>
      </c>
      <c r="M24" s="69" t="s">
        <v>388</v>
      </c>
      <c r="N24" s="69" t="s">
        <v>43</v>
      </c>
      <c r="O24" s="69" t="s">
        <v>541</v>
      </c>
      <c r="P24" s="69" t="s">
        <v>979</v>
      </c>
      <c r="Q24" s="69" t="s">
        <v>996</v>
      </c>
      <c r="R24" s="69" t="s">
        <v>68</v>
      </c>
      <c r="S24" s="69" t="s">
        <v>913</v>
      </c>
      <c r="T24" s="69" t="s">
        <v>911</v>
      </c>
      <c r="U24" s="69" t="s">
        <v>914</v>
      </c>
      <c r="V24" s="59" t="str">
        <f t="shared" si="4"/>
        <v>60222526персиковый / белый</v>
      </c>
      <c r="W24" s="59" t="str">
        <f t="shared" si="0"/>
        <v>60222526</v>
      </c>
      <c r="X24" s="59" t="str">
        <f t="shared" si="5"/>
        <v>New York Yankees</v>
      </c>
      <c r="AC24" s="50">
        <f t="shared" si="6"/>
        <v>96</v>
      </c>
      <c r="AD24" s="43">
        <f t="shared" si="1"/>
        <v>45</v>
      </c>
      <c r="AE24" s="50">
        <f t="shared" si="7"/>
        <v>96045</v>
      </c>
    </row>
    <row r="25" spans="1:31">
      <c r="A25" s="59" t="str">
        <f t="shared" si="2"/>
        <v>60222524whi</v>
      </c>
      <c r="B25" s="59" t="str">
        <f t="shared" si="3"/>
        <v>96-044-32</v>
      </c>
      <c r="C25" s="69" t="s">
        <v>1065</v>
      </c>
      <c r="D25" s="69" t="s">
        <v>1066</v>
      </c>
      <c r="E25" s="69" t="s">
        <v>909</v>
      </c>
      <c r="F25" s="70">
        <v>0</v>
      </c>
      <c r="G25" s="70" t="s">
        <v>1067</v>
      </c>
      <c r="H25" s="69" t="s">
        <v>1068</v>
      </c>
      <c r="I25" s="69" t="s">
        <v>910</v>
      </c>
      <c r="J25" s="69" t="s">
        <v>327</v>
      </c>
      <c r="K25" s="69" t="s">
        <v>387</v>
      </c>
      <c r="L25" s="69" t="s">
        <v>887</v>
      </c>
      <c r="M25" s="69" t="s">
        <v>388</v>
      </c>
      <c r="N25" s="69" t="s">
        <v>43</v>
      </c>
      <c r="O25" s="69" t="s">
        <v>541</v>
      </c>
      <c r="P25" s="69" t="s">
        <v>979</v>
      </c>
      <c r="Q25" s="69" t="s">
        <v>996</v>
      </c>
      <c r="R25" s="69" t="s">
        <v>286</v>
      </c>
      <c r="S25" s="69" t="s">
        <v>913</v>
      </c>
      <c r="T25" s="69" t="s">
        <v>911</v>
      </c>
      <c r="U25" s="69" t="s">
        <v>914</v>
      </c>
      <c r="V25" s="59" t="str">
        <f t="shared" si="4"/>
        <v>60222524сиреневый / белый</v>
      </c>
      <c r="W25" s="59" t="str">
        <f t="shared" si="0"/>
        <v>60222524</v>
      </c>
      <c r="X25" s="59" t="str">
        <f t="shared" si="5"/>
        <v>New York Yankees</v>
      </c>
      <c r="AC25" s="50">
        <f t="shared" si="6"/>
        <v>96</v>
      </c>
      <c r="AD25" s="43">
        <f t="shared" si="1"/>
        <v>44</v>
      </c>
      <c r="AE25" s="50">
        <f t="shared" si="7"/>
        <v>96044</v>
      </c>
    </row>
    <row r="26" spans="1:31">
      <c r="A26" s="59" t="str">
        <f t="shared" si="2"/>
        <v>60222496blk</v>
      </c>
      <c r="B26" s="59" t="str">
        <f t="shared" si="3"/>
        <v>96-043-72</v>
      </c>
      <c r="C26" s="69" t="s">
        <v>1069</v>
      </c>
      <c r="D26" s="69" t="s">
        <v>1070</v>
      </c>
      <c r="E26" s="69" t="s">
        <v>909</v>
      </c>
      <c r="F26" s="70">
        <v>0</v>
      </c>
      <c r="G26" s="70" t="s">
        <v>1071</v>
      </c>
      <c r="H26" s="69" t="s">
        <v>293</v>
      </c>
      <c r="I26" s="69" t="s">
        <v>918</v>
      </c>
      <c r="J26" s="69" t="s">
        <v>327</v>
      </c>
      <c r="K26" s="69" t="s">
        <v>382</v>
      </c>
      <c r="L26" s="69" t="s">
        <v>887</v>
      </c>
      <c r="M26" s="69" t="s">
        <v>388</v>
      </c>
      <c r="O26" s="69" t="s">
        <v>386</v>
      </c>
      <c r="P26" s="69" t="s">
        <v>979</v>
      </c>
      <c r="Q26" s="69" t="s">
        <v>1008</v>
      </c>
      <c r="R26" s="69" t="s">
        <v>53</v>
      </c>
      <c r="S26" s="69" t="s">
        <v>913</v>
      </c>
      <c r="T26" s="69" t="s">
        <v>911</v>
      </c>
      <c r="U26" s="69" t="s">
        <v>912</v>
      </c>
      <c r="V26" s="59" t="str">
        <f t="shared" si="4"/>
        <v>60222496черный / белый</v>
      </c>
      <c r="W26" s="59" t="str">
        <f t="shared" si="0"/>
        <v>60222496</v>
      </c>
      <c r="X26" s="59" t="str">
        <f t="shared" si="5"/>
        <v>Los Angeles Dodgers</v>
      </c>
      <c r="AC26" s="50">
        <f t="shared" si="6"/>
        <v>96</v>
      </c>
      <c r="AD26" s="43">
        <f t="shared" si="1"/>
        <v>43</v>
      </c>
      <c r="AE26" s="50">
        <f t="shared" si="7"/>
        <v>96043</v>
      </c>
    </row>
    <row r="27" spans="1:31">
      <c r="A27" s="59" t="str">
        <f t="shared" si="2"/>
        <v>60222493blk</v>
      </c>
      <c r="B27" s="59" t="str">
        <f t="shared" si="3"/>
        <v>96-042-72</v>
      </c>
      <c r="C27" s="69" t="s">
        <v>1072</v>
      </c>
      <c r="D27" s="69" t="s">
        <v>1073</v>
      </c>
      <c r="E27" s="69" t="s">
        <v>909</v>
      </c>
      <c r="F27" s="70">
        <v>0</v>
      </c>
      <c r="G27" s="70" t="s">
        <v>1074</v>
      </c>
      <c r="H27" s="69" t="s">
        <v>293</v>
      </c>
      <c r="I27" s="69" t="s">
        <v>918</v>
      </c>
      <c r="J27" s="69" t="s">
        <v>327</v>
      </c>
      <c r="K27" s="69" t="s">
        <v>382</v>
      </c>
      <c r="L27" s="69" t="s">
        <v>887</v>
      </c>
      <c r="M27" s="69" t="s">
        <v>388</v>
      </c>
      <c r="O27" s="69" t="s">
        <v>386</v>
      </c>
      <c r="P27" s="69" t="s">
        <v>979</v>
      </c>
      <c r="Q27" s="69" t="s">
        <v>1008</v>
      </c>
      <c r="R27" s="69" t="s">
        <v>53</v>
      </c>
      <c r="S27" s="69" t="s">
        <v>913</v>
      </c>
      <c r="T27" s="69" t="s">
        <v>1047</v>
      </c>
      <c r="U27" s="69" t="s">
        <v>1053</v>
      </c>
      <c r="V27" s="59" t="str">
        <f t="shared" si="4"/>
        <v>60222493черный / белый</v>
      </c>
      <c r="W27" s="59" t="str">
        <f t="shared" si="0"/>
        <v>60222493</v>
      </c>
      <c r="X27" s="59" t="str">
        <f t="shared" si="5"/>
        <v>Los Angeles Lakers</v>
      </c>
      <c r="AC27" s="50">
        <f t="shared" si="6"/>
        <v>96</v>
      </c>
      <c r="AD27" s="43">
        <f t="shared" si="1"/>
        <v>42</v>
      </c>
      <c r="AE27" s="50">
        <f t="shared" si="7"/>
        <v>96042</v>
      </c>
    </row>
    <row r="28" spans="1:31">
      <c r="A28" s="59" t="str">
        <f t="shared" si="2"/>
        <v>60222486blk</v>
      </c>
      <c r="B28" s="59" t="str">
        <f t="shared" si="3"/>
        <v>96-041-72</v>
      </c>
      <c r="C28" s="69" t="s">
        <v>1075</v>
      </c>
      <c r="D28" s="69" t="s">
        <v>1076</v>
      </c>
      <c r="E28" s="69" t="s">
        <v>909</v>
      </c>
      <c r="F28" s="70">
        <v>0</v>
      </c>
      <c r="G28" s="70" t="s">
        <v>1077</v>
      </c>
      <c r="H28" s="69" t="s">
        <v>293</v>
      </c>
      <c r="I28" s="69" t="s">
        <v>918</v>
      </c>
      <c r="J28" s="69" t="s">
        <v>327</v>
      </c>
      <c r="K28" s="69" t="s">
        <v>382</v>
      </c>
      <c r="L28" s="69" t="s">
        <v>887</v>
      </c>
      <c r="M28" s="69" t="s">
        <v>388</v>
      </c>
      <c r="O28" s="69" t="s">
        <v>386</v>
      </c>
      <c r="P28" s="69" t="s">
        <v>979</v>
      </c>
      <c r="Q28" s="69" t="s">
        <v>1008</v>
      </c>
      <c r="R28" s="69" t="s">
        <v>53</v>
      </c>
      <c r="S28" s="69" t="s">
        <v>913</v>
      </c>
      <c r="T28" s="69" t="s">
        <v>1047</v>
      </c>
      <c r="U28" s="69" t="s">
        <v>1048</v>
      </c>
      <c r="V28" s="59" t="str">
        <f t="shared" si="4"/>
        <v>60222486черный / белый</v>
      </c>
      <c r="W28" s="59" t="str">
        <f t="shared" si="0"/>
        <v>60222486</v>
      </c>
      <c r="X28" s="59" t="str">
        <f t="shared" si="5"/>
        <v>Chicago Bulls</v>
      </c>
      <c r="AC28" s="50">
        <f t="shared" si="6"/>
        <v>96</v>
      </c>
      <c r="AD28" s="43">
        <f t="shared" si="1"/>
        <v>41</v>
      </c>
      <c r="AE28" s="50">
        <f t="shared" si="7"/>
        <v>96041</v>
      </c>
    </row>
    <row r="29" spans="1:31">
      <c r="A29" s="59" t="str">
        <f t="shared" si="2"/>
        <v>60222480atbirf</v>
      </c>
      <c r="B29" s="59" t="str">
        <f t="shared" si="3"/>
        <v>96-040-06</v>
      </c>
      <c r="C29" s="69" t="s">
        <v>1078</v>
      </c>
      <c r="D29" s="69" t="s">
        <v>1079</v>
      </c>
      <c r="E29" s="69" t="s">
        <v>909</v>
      </c>
      <c r="F29" s="70">
        <v>0</v>
      </c>
      <c r="G29" s="70" t="s">
        <v>1080</v>
      </c>
      <c r="H29" s="69" t="s">
        <v>71</v>
      </c>
      <c r="I29" s="69" t="s">
        <v>910</v>
      </c>
      <c r="J29" s="69" t="s">
        <v>327</v>
      </c>
      <c r="K29" s="69" t="s">
        <v>382</v>
      </c>
      <c r="L29" s="69" t="s">
        <v>887</v>
      </c>
      <c r="M29" s="69" t="s">
        <v>388</v>
      </c>
      <c r="N29" s="69" t="s">
        <v>43</v>
      </c>
      <c r="O29" s="69" t="s">
        <v>541</v>
      </c>
      <c r="P29" s="69" t="s">
        <v>979</v>
      </c>
      <c r="Q29" s="69" t="s">
        <v>1081</v>
      </c>
      <c r="R29" s="69" t="s">
        <v>71</v>
      </c>
      <c r="S29" s="69" t="s">
        <v>913</v>
      </c>
      <c r="T29" s="69" t="s">
        <v>911</v>
      </c>
      <c r="U29" s="69" t="s">
        <v>914</v>
      </c>
      <c r="V29" s="59" t="str">
        <f t="shared" si="4"/>
        <v>60222480синий</v>
      </c>
      <c r="W29" s="59" t="str">
        <f t="shared" si="0"/>
        <v>60222480</v>
      </c>
      <c r="X29" s="59" t="str">
        <f t="shared" si="5"/>
        <v>New York Yankees</v>
      </c>
      <c r="AC29" s="50">
        <f t="shared" si="6"/>
        <v>96</v>
      </c>
      <c r="AD29" s="43">
        <f t="shared" si="1"/>
        <v>40</v>
      </c>
      <c r="AE29" s="50">
        <f t="shared" si="7"/>
        <v>96040</v>
      </c>
    </row>
    <row r="30" spans="1:31">
      <c r="A30" s="59" t="str">
        <f t="shared" si="2"/>
        <v>60222459blt</v>
      </c>
      <c r="B30" s="59" t="str">
        <f t="shared" si="3"/>
        <v>96-039-11</v>
      </c>
      <c r="C30" s="69" t="s">
        <v>1082</v>
      </c>
      <c r="D30" s="69" t="s">
        <v>1083</v>
      </c>
      <c r="E30" s="69" t="s">
        <v>909</v>
      </c>
      <c r="F30" s="70">
        <v>0</v>
      </c>
      <c r="G30" s="70" t="s">
        <v>1084</v>
      </c>
      <c r="H30" s="69" t="s">
        <v>149</v>
      </c>
      <c r="I30" s="69" t="s">
        <v>1085</v>
      </c>
      <c r="J30" s="69" t="s">
        <v>327</v>
      </c>
      <c r="K30" s="69" t="s">
        <v>387</v>
      </c>
      <c r="L30" s="69" t="s">
        <v>887</v>
      </c>
      <c r="M30" s="69" t="s">
        <v>388</v>
      </c>
      <c r="N30" s="69" t="s">
        <v>43</v>
      </c>
      <c r="O30" s="69" t="s">
        <v>386</v>
      </c>
      <c r="P30" s="69" t="s">
        <v>979</v>
      </c>
      <c r="Q30" s="69" t="s">
        <v>1086</v>
      </c>
      <c r="R30" s="69" t="s">
        <v>60</v>
      </c>
      <c r="S30" s="69" t="s">
        <v>913</v>
      </c>
      <c r="T30" s="69" t="s">
        <v>911</v>
      </c>
      <c r="U30" s="69" t="s">
        <v>914</v>
      </c>
      <c r="V30" s="59" t="str">
        <f t="shared" si="4"/>
        <v>60222459зеленый / белый</v>
      </c>
      <c r="W30" s="59" t="str">
        <f t="shared" si="0"/>
        <v>60222459</v>
      </c>
      <c r="X30" s="59" t="str">
        <f t="shared" si="5"/>
        <v>New York Yankees</v>
      </c>
      <c r="AC30" s="50">
        <f t="shared" si="6"/>
        <v>96</v>
      </c>
      <c r="AD30" s="43">
        <f t="shared" si="1"/>
        <v>39</v>
      </c>
      <c r="AE30" s="50">
        <f t="shared" si="7"/>
        <v>96039</v>
      </c>
    </row>
    <row r="31" spans="1:31">
      <c r="A31" s="59" t="str">
        <f t="shared" si="2"/>
        <v>60222458gra</v>
      </c>
      <c r="B31" s="59" t="str">
        <f t="shared" si="3"/>
        <v>96-038-50</v>
      </c>
      <c r="C31" s="69" t="s">
        <v>1087</v>
      </c>
      <c r="D31" s="69" t="s">
        <v>1088</v>
      </c>
      <c r="E31" s="69" t="s">
        <v>909</v>
      </c>
      <c r="F31" s="70">
        <v>0</v>
      </c>
      <c r="G31" s="70" t="s">
        <v>1089</v>
      </c>
      <c r="H31" s="69" t="s">
        <v>237</v>
      </c>
      <c r="I31" s="69" t="s">
        <v>1085</v>
      </c>
      <c r="J31" s="69" t="s">
        <v>327</v>
      </c>
      <c r="K31" s="69" t="s">
        <v>387</v>
      </c>
      <c r="L31" s="69" t="s">
        <v>887</v>
      </c>
      <c r="M31" s="69" t="s">
        <v>388</v>
      </c>
      <c r="N31" s="69" t="s">
        <v>43</v>
      </c>
      <c r="O31" s="69" t="s">
        <v>386</v>
      </c>
      <c r="P31" s="69" t="s">
        <v>979</v>
      </c>
      <c r="Q31" s="69" t="s">
        <v>1090</v>
      </c>
      <c r="R31" s="69" t="s">
        <v>83</v>
      </c>
      <c r="S31" s="69" t="s">
        <v>913</v>
      </c>
      <c r="T31" s="69" t="s">
        <v>911</v>
      </c>
      <c r="U31" s="69" t="s">
        <v>914</v>
      </c>
      <c r="V31" s="59" t="str">
        <f t="shared" si="4"/>
        <v>60222458серый / белый</v>
      </c>
      <c r="W31" s="59" t="str">
        <f t="shared" si="0"/>
        <v>60222458</v>
      </c>
      <c r="X31" s="59" t="str">
        <f t="shared" si="5"/>
        <v>New York Yankees</v>
      </c>
      <c r="AC31" s="50">
        <f t="shared" si="6"/>
        <v>96</v>
      </c>
      <c r="AD31" s="43">
        <f t="shared" si="1"/>
        <v>38</v>
      </c>
      <c r="AE31" s="50">
        <f t="shared" si="7"/>
        <v>96038</v>
      </c>
    </row>
    <row r="32" spans="1:31">
      <c r="A32" s="59" t="str">
        <f t="shared" si="2"/>
        <v>60222441wht</v>
      </c>
      <c r="B32" s="59" t="str">
        <f t="shared" si="3"/>
        <v>96-037-12</v>
      </c>
      <c r="C32" s="69" t="s">
        <v>1091</v>
      </c>
      <c r="D32" s="69" t="s">
        <v>1092</v>
      </c>
      <c r="E32" s="69" t="s">
        <v>909</v>
      </c>
      <c r="F32" s="70">
        <v>0</v>
      </c>
      <c r="G32" s="70" t="s">
        <v>1093</v>
      </c>
      <c r="H32" s="69" t="s">
        <v>1094</v>
      </c>
      <c r="I32" s="69" t="s">
        <v>910</v>
      </c>
      <c r="J32" s="69" t="s">
        <v>327</v>
      </c>
      <c r="K32" s="69" t="s">
        <v>382</v>
      </c>
      <c r="L32" s="69" t="s">
        <v>887</v>
      </c>
      <c r="M32" s="69" t="s">
        <v>388</v>
      </c>
      <c r="N32" s="69" t="s">
        <v>43</v>
      </c>
      <c r="O32" s="69" t="s">
        <v>386</v>
      </c>
      <c r="P32" s="69" t="s">
        <v>979</v>
      </c>
      <c r="Q32" s="69" t="s">
        <v>1095</v>
      </c>
      <c r="R32" s="69" t="s">
        <v>60</v>
      </c>
      <c r="S32" s="69" t="s">
        <v>913</v>
      </c>
      <c r="T32" s="69" t="s">
        <v>911</v>
      </c>
      <c r="U32" s="69" t="s">
        <v>914</v>
      </c>
      <c r="V32" s="59" t="str">
        <f t="shared" si="4"/>
        <v>60222441зеленый / камуфляж</v>
      </c>
      <c r="W32" s="59" t="str">
        <f t="shared" si="0"/>
        <v>60222441</v>
      </c>
      <c r="X32" s="59" t="str">
        <f t="shared" si="5"/>
        <v>New York Yankees</v>
      </c>
      <c r="AC32" s="50">
        <f t="shared" si="6"/>
        <v>96</v>
      </c>
      <c r="AD32" s="43">
        <f t="shared" si="1"/>
        <v>37</v>
      </c>
      <c r="AE32" s="50">
        <f t="shared" si="7"/>
        <v>96037</v>
      </c>
    </row>
    <row r="33" spans="1:31">
      <c r="A33" s="59" t="str">
        <f t="shared" si="2"/>
        <v>60222436atb</v>
      </c>
      <c r="B33" s="59" t="str">
        <f t="shared" si="3"/>
        <v>96-036-95</v>
      </c>
      <c r="C33" s="69" t="s">
        <v>1096</v>
      </c>
      <c r="D33" s="69" t="s">
        <v>1097</v>
      </c>
      <c r="E33" s="69" t="s">
        <v>909</v>
      </c>
      <c r="F33" s="70">
        <v>0</v>
      </c>
      <c r="G33" s="70" t="s">
        <v>1098</v>
      </c>
      <c r="H33" s="69" t="s">
        <v>248</v>
      </c>
      <c r="I33" s="69" t="s">
        <v>1099</v>
      </c>
      <c r="J33" s="69" t="s">
        <v>356</v>
      </c>
      <c r="K33" s="69" t="s">
        <v>382</v>
      </c>
      <c r="L33" s="69" t="s">
        <v>887</v>
      </c>
      <c r="M33" s="69" t="s">
        <v>388</v>
      </c>
      <c r="N33" s="69" t="s">
        <v>43</v>
      </c>
      <c r="O33" s="69" t="s">
        <v>541</v>
      </c>
      <c r="P33" s="69" t="s">
        <v>979</v>
      </c>
      <c r="Q33" s="69" t="s">
        <v>1100</v>
      </c>
      <c r="R33" s="69" t="s">
        <v>71</v>
      </c>
      <c r="S33" s="69" t="s">
        <v>913</v>
      </c>
      <c r="T33" s="69" t="s">
        <v>911</v>
      </c>
      <c r="U33" s="69" t="s">
        <v>912</v>
      </c>
      <c r="V33" s="59" t="str">
        <f t="shared" si="4"/>
        <v>60222436синий / белый</v>
      </c>
      <c r="W33" s="59" t="str">
        <f t="shared" si="0"/>
        <v>60222436</v>
      </c>
      <c r="X33" s="59" t="str">
        <f t="shared" si="5"/>
        <v>Los Angeles Dodgers</v>
      </c>
      <c r="AC33" s="50">
        <f t="shared" si="6"/>
        <v>96</v>
      </c>
      <c r="AD33" s="43">
        <f t="shared" si="1"/>
        <v>36</v>
      </c>
      <c r="AE33" s="50">
        <f t="shared" si="7"/>
        <v>96036</v>
      </c>
    </row>
    <row r="34" spans="1:31">
      <c r="A34" s="59" t="str">
        <f t="shared" si="2"/>
        <v>60222426tof</v>
      </c>
      <c r="B34" s="59" t="str">
        <f t="shared" si="3"/>
        <v>96-035-15</v>
      </c>
      <c r="C34" s="69" t="s">
        <v>1101</v>
      </c>
      <c r="D34" s="69" t="s">
        <v>1102</v>
      </c>
      <c r="E34" s="69" t="s">
        <v>909</v>
      </c>
      <c r="F34" s="70">
        <v>0</v>
      </c>
      <c r="G34" s="70" t="s">
        <v>1103</v>
      </c>
      <c r="H34" s="69" t="s">
        <v>1104</v>
      </c>
      <c r="I34" s="69" t="s">
        <v>910</v>
      </c>
      <c r="J34" s="69" t="s">
        <v>327</v>
      </c>
      <c r="K34" s="69" t="s">
        <v>382</v>
      </c>
      <c r="L34" s="69" t="s">
        <v>887</v>
      </c>
      <c r="M34" s="69" t="s">
        <v>388</v>
      </c>
      <c r="N34" s="69" t="s">
        <v>43</v>
      </c>
      <c r="O34" s="69" t="s">
        <v>386</v>
      </c>
      <c r="P34" s="69" t="s">
        <v>979</v>
      </c>
      <c r="Q34" s="69" t="s">
        <v>1019</v>
      </c>
      <c r="R34" s="69" t="s">
        <v>86</v>
      </c>
      <c r="S34" s="69" t="s">
        <v>913</v>
      </c>
      <c r="T34" s="69" t="s">
        <v>911</v>
      </c>
      <c r="U34" s="69" t="s">
        <v>912</v>
      </c>
      <c r="V34" s="59" t="str">
        <f t="shared" si="4"/>
        <v>60222426рыжий / камуфляж</v>
      </c>
      <c r="W34" s="59" t="str">
        <f t="shared" si="0"/>
        <v>60222426</v>
      </c>
      <c r="X34" s="59" t="str">
        <f t="shared" si="5"/>
        <v>Los Angeles Dodgers</v>
      </c>
      <c r="AC34" s="50">
        <f t="shared" si="6"/>
        <v>96</v>
      </c>
      <c r="AD34" s="43">
        <f t="shared" si="1"/>
        <v>35</v>
      </c>
      <c r="AE34" s="50">
        <f t="shared" si="7"/>
        <v>96035</v>
      </c>
    </row>
    <row r="35" spans="1:31">
      <c r="A35" s="59" t="str">
        <f t="shared" si="2"/>
        <v>60222424whi</v>
      </c>
      <c r="B35" s="59" t="str">
        <f t="shared" si="3"/>
        <v>96-034-65</v>
      </c>
      <c r="C35" s="69" t="s">
        <v>1105</v>
      </c>
      <c r="D35" s="69" t="s">
        <v>1106</v>
      </c>
      <c r="E35" s="69" t="s">
        <v>909</v>
      </c>
      <c r="F35" s="70">
        <v>0</v>
      </c>
      <c r="G35" s="70" t="s">
        <v>1107</v>
      </c>
      <c r="H35" s="69" t="s">
        <v>678</v>
      </c>
      <c r="I35" s="69" t="s">
        <v>918</v>
      </c>
      <c r="J35" s="69" t="s">
        <v>356</v>
      </c>
      <c r="K35" s="69" t="s">
        <v>382</v>
      </c>
      <c r="L35" s="69" t="s">
        <v>887</v>
      </c>
      <c r="M35" s="69" t="s">
        <v>388</v>
      </c>
      <c r="O35" s="69" t="s">
        <v>386</v>
      </c>
      <c r="P35" s="69" t="s">
        <v>979</v>
      </c>
      <c r="Q35" s="69" t="s">
        <v>996</v>
      </c>
      <c r="R35" s="69" t="s">
        <v>71</v>
      </c>
      <c r="S35" s="69" t="s">
        <v>913</v>
      </c>
      <c r="T35" s="69" t="s">
        <v>911</v>
      </c>
      <c r="U35" s="69" t="s">
        <v>914</v>
      </c>
      <c r="V35" s="59" t="str">
        <f t="shared" si="4"/>
        <v>60222424темно-синий / белый</v>
      </c>
      <c r="W35" s="59" t="str">
        <f t="shared" si="0"/>
        <v>60222424</v>
      </c>
      <c r="X35" s="59" t="str">
        <f t="shared" si="5"/>
        <v>New York Yankees</v>
      </c>
      <c r="AC35" s="50">
        <f t="shared" si="6"/>
        <v>96</v>
      </c>
      <c r="AD35" s="43">
        <f t="shared" si="1"/>
        <v>34</v>
      </c>
      <c r="AE35" s="50">
        <f t="shared" si="7"/>
        <v>96034</v>
      </c>
    </row>
    <row r="36" spans="1:31">
      <c r="A36" s="59" t="str">
        <f t="shared" si="2"/>
        <v>60222423sgr</v>
      </c>
      <c r="B36" s="59" t="str">
        <f t="shared" si="3"/>
        <v>96-033-47</v>
      </c>
      <c r="C36" s="69" t="s">
        <v>1108</v>
      </c>
      <c r="D36" s="69" t="s">
        <v>1109</v>
      </c>
      <c r="E36" s="69" t="s">
        <v>909</v>
      </c>
      <c r="F36" s="70">
        <v>0</v>
      </c>
      <c r="G36" s="70" t="s">
        <v>1110</v>
      </c>
      <c r="H36" s="69" t="s">
        <v>246</v>
      </c>
      <c r="I36" s="69" t="s">
        <v>918</v>
      </c>
      <c r="J36" s="69" t="s">
        <v>356</v>
      </c>
      <c r="K36" s="69" t="s">
        <v>382</v>
      </c>
      <c r="L36" s="69" t="s">
        <v>887</v>
      </c>
      <c r="M36" s="69" t="s">
        <v>388</v>
      </c>
      <c r="O36" s="69" t="s">
        <v>386</v>
      </c>
      <c r="P36" s="69" t="s">
        <v>979</v>
      </c>
      <c r="Q36" s="69" t="s">
        <v>1113</v>
      </c>
      <c r="R36" s="69" t="s">
        <v>83</v>
      </c>
      <c r="S36" s="69" t="s">
        <v>913</v>
      </c>
      <c r="T36" s="69" t="s">
        <v>1111</v>
      </c>
      <c r="U36" s="69" t="s">
        <v>1112</v>
      </c>
      <c r="V36" s="59" t="str">
        <f t="shared" si="4"/>
        <v>60222423серый / черный</v>
      </c>
      <c r="W36" s="59" t="str">
        <f t="shared" si="0"/>
        <v>60222423</v>
      </c>
      <c r="X36" s="59" t="str">
        <f t="shared" si="5"/>
        <v>Las Vegas Raiders</v>
      </c>
      <c r="AC36" s="50">
        <f t="shared" si="6"/>
        <v>96</v>
      </c>
      <c r="AD36" s="43">
        <f t="shared" si="1"/>
        <v>33</v>
      </c>
      <c r="AE36" s="50">
        <f t="shared" si="7"/>
        <v>96033</v>
      </c>
    </row>
    <row r="37" spans="1:31">
      <c r="A37" s="59" t="str">
        <f t="shared" si="2"/>
        <v>60222402tof</v>
      </c>
      <c r="B37" s="59" t="str">
        <f t="shared" si="3"/>
        <v>96-032-13</v>
      </c>
      <c r="C37" s="69" t="s">
        <v>1114</v>
      </c>
      <c r="D37" s="69" t="s">
        <v>1115</v>
      </c>
      <c r="E37" s="69" t="s">
        <v>909</v>
      </c>
      <c r="F37" s="70">
        <v>0</v>
      </c>
      <c r="G37" s="70" t="s">
        <v>1116</v>
      </c>
      <c r="H37" s="69" t="s">
        <v>769</v>
      </c>
      <c r="I37" s="69" t="s">
        <v>910</v>
      </c>
      <c r="J37" s="69" t="s">
        <v>356</v>
      </c>
      <c r="K37" s="69" t="s">
        <v>382</v>
      </c>
      <c r="L37" s="69" t="s">
        <v>887</v>
      </c>
      <c r="M37" s="69" t="s">
        <v>388</v>
      </c>
      <c r="N37" s="69" t="s">
        <v>43</v>
      </c>
      <c r="O37" s="69" t="s">
        <v>541</v>
      </c>
      <c r="P37" s="69" t="s">
        <v>979</v>
      </c>
      <c r="Q37" s="69" t="s">
        <v>1019</v>
      </c>
      <c r="R37" s="69" t="s">
        <v>86</v>
      </c>
      <c r="S37" s="69" t="s">
        <v>913</v>
      </c>
      <c r="T37" s="69" t="s">
        <v>911</v>
      </c>
      <c r="U37" s="69" t="s">
        <v>914</v>
      </c>
      <c r="V37" s="59" t="str">
        <f t="shared" si="4"/>
        <v>60222402рыжий / белый</v>
      </c>
      <c r="W37" s="59" t="str">
        <f t="shared" si="0"/>
        <v>60222402</v>
      </c>
      <c r="X37" s="59" t="str">
        <f t="shared" si="5"/>
        <v>New York Yankees</v>
      </c>
      <c r="AC37" s="50">
        <f t="shared" si="6"/>
        <v>96</v>
      </c>
      <c r="AD37" s="43">
        <f t="shared" si="1"/>
        <v>32</v>
      </c>
      <c r="AE37" s="50">
        <f t="shared" si="7"/>
        <v>96032</v>
      </c>
    </row>
    <row r="38" spans="1:31">
      <c r="A38" s="59" t="str">
        <f t="shared" si="2"/>
        <v>60222361nvymnc</v>
      </c>
      <c r="B38" s="59" t="str">
        <f t="shared" si="3"/>
        <v>96-031-75</v>
      </c>
      <c r="C38" s="69" t="s">
        <v>1117</v>
      </c>
      <c r="D38" s="69" t="s">
        <v>1118</v>
      </c>
      <c r="E38" s="69" t="s">
        <v>909</v>
      </c>
      <c r="F38" s="70">
        <v>0</v>
      </c>
      <c r="G38" s="70" t="s">
        <v>1119</v>
      </c>
      <c r="H38" s="69" t="s">
        <v>690</v>
      </c>
      <c r="I38" s="69" t="s">
        <v>910</v>
      </c>
      <c r="J38" s="69" t="s">
        <v>327</v>
      </c>
      <c r="K38" s="69" t="s">
        <v>382</v>
      </c>
      <c r="L38" s="69" t="s">
        <v>887</v>
      </c>
      <c r="M38" s="69" t="s">
        <v>388</v>
      </c>
      <c r="N38" s="69" t="s">
        <v>43</v>
      </c>
      <c r="O38" s="69" t="s">
        <v>386</v>
      </c>
      <c r="P38" s="69" t="s">
        <v>979</v>
      </c>
      <c r="Q38" s="69" t="s">
        <v>1120</v>
      </c>
      <c r="R38" s="69" t="s">
        <v>53</v>
      </c>
      <c r="S38" s="69" t="s">
        <v>913</v>
      </c>
      <c r="T38" s="69" t="s">
        <v>911</v>
      </c>
      <c r="U38" s="69" t="s">
        <v>915</v>
      </c>
      <c r="V38" s="59" t="str">
        <f t="shared" si="4"/>
        <v>60222361черный / камуфляж</v>
      </c>
      <c r="W38" s="59" t="str">
        <f t="shared" si="0"/>
        <v>60222361</v>
      </c>
      <c r="X38" s="59" t="str">
        <f t="shared" si="5"/>
        <v>Boston Red Sox</v>
      </c>
      <c r="AC38" s="50">
        <f t="shared" si="6"/>
        <v>96</v>
      </c>
      <c r="AD38" s="43">
        <f t="shared" si="1"/>
        <v>31</v>
      </c>
      <c r="AE38" s="50">
        <f t="shared" si="7"/>
        <v>96031</v>
      </c>
    </row>
    <row r="39" spans="1:31">
      <c r="A39" s="59" t="str">
        <f t="shared" si="2"/>
        <v>60222360pnk</v>
      </c>
      <c r="B39" s="59" t="str">
        <f t="shared" si="3"/>
        <v>96-030-34</v>
      </c>
      <c r="C39" s="69" t="s">
        <v>1121</v>
      </c>
      <c r="D39" s="69" t="s">
        <v>1122</v>
      </c>
      <c r="E39" s="69" t="s">
        <v>909</v>
      </c>
      <c r="F39" s="70">
        <v>0</v>
      </c>
      <c r="G39" s="70" t="s">
        <v>1123</v>
      </c>
      <c r="H39" s="69" t="s">
        <v>212</v>
      </c>
      <c r="I39" s="69" t="s">
        <v>1085</v>
      </c>
      <c r="J39" s="69" t="s">
        <v>327</v>
      </c>
      <c r="K39" s="69" t="s">
        <v>387</v>
      </c>
      <c r="L39" s="69" t="s">
        <v>887</v>
      </c>
      <c r="M39" s="69" t="s">
        <v>388</v>
      </c>
      <c r="O39" s="69" t="s">
        <v>386</v>
      </c>
      <c r="P39" s="69" t="s">
        <v>979</v>
      </c>
      <c r="Q39" s="69" t="s">
        <v>992</v>
      </c>
      <c r="R39" s="69" t="s">
        <v>68</v>
      </c>
      <c r="S39" s="69" t="s">
        <v>913</v>
      </c>
      <c r="T39" s="69" t="s">
        <v>911</v>
      </c>
      <c r="U39" s="69" t="s">
        <v>914</v>
      </c>
      <c r="V39" s="59" t="str">
        <f t="shared" si="4"/>
        <v>60222360розовый / белый</v>
      </c>
      <c r="W39" s="59" t="str">
        <f t="shared" si="0"/>
        <v>60222360</v>
      </c>
      <c r="X39" s="59" t="str">
        <f t="shared" si="5"/>
        <v>New York Yankees</v>
      </c>
      <c r="AC39" s="50">
        <f t="shared" si="6"/>
        <v>96</v>
      </c>
      <c r="AD39" s="43">
        <f t="shared" si="1"/>
        <v>30</v>
      </c>
      <c r="AE39" s="50">
        <f t="shared" si="7"/>
        <v>96030</v>
      </c>
    </row>
    <row r="40" spans="1:31">
      <c r="A40" s="59" t="str">
        <f t="shared" si="2"/>
        <v>60222329ilg</v>
      </c>
      <c r="B40" s="59" t="str">
        <f t="shared" si="3"/>
        <v>96-029-11</v>
      </c>
      <c r="C40" s="69" t="s">
        <v>1124</v>
      </c>
      <c r="D40" s="69" t="s">
        <v>1125</v>
      </c>
      <c r="E40" s="69" t="s">
        <v>909</v>
      </c>
      <c r="F40" s="70">
        <v>0</v>
      </c>
      <c r="G40" s="70" t="s">
        <v>1126</v>
      </c>
      <c r="H40" s="69" t="s">
        <v>149</v>
      </c>
      <c r="I40" s="69" t="s">
        <v>910</v>
      </c>
      <c r="J40" s="69" t="s">
        <v>356</v>
      </c>
      <c r="K40" s="69" t="s">
        <v>382</v>
      </c>
      <c r="L40" s="69" t="s">
        <v>887</v>
      </c>
      <c r="M40" s="69" t="s">
        <v>388</v>
      </c>
      <c r="N40" s="69" t="s">
        <v>43</v>
      </c>
      <c r="O40" s="69" t="s">
        <v>541</v>
      </c>
      <c r="P40" s="69" t="s">
        <v>979</v>
      </c>
      <c r="Q40" s="69" t="s">
        <v>1127</v>
      </c>
      <c r="R40" s="69" t="s">
        <v>60</v>
      </c>
      <c r="S40" s="69" t="s">
        <v>913</v>
      </c>
      <c r="T40" s="69" t="s">
        <v>911</v>
      </c>
      <c r="U40" s="69" t="s">
        <v>914</v>
      </c>
      <c r="V40" s="59" t="str">
        <f t="shared" si="4"/>
        <v>60222329зеленый / белый</v>
      </c>
      <c r="W40" s="59" t="str">
        <f t="shared" si="0"/>
        <v>60222329</v>
      </c>
      <c r="X40" s="59" t="str">
        <f t="shared" si="5"/>
        <v>New York Yankees</v>
      </c>
      <c r="AC40" s="50">
        <f t="shared" si="6"/>
        <v>96</v>
      </c>
      <c r="AD40" s="43">
        <f t="shared" si="1"/>
        <v>29</v>
      </c>
      <c r="AE40" s="50">
        <f t="shared" si="7"/>
        <v>96029</v>
      </c>
    </row>
    <row r="41" spans="1:31">
      <c r="A41" s="59" t="str">
        <f t="shared" si="2"/>
        <v>60222308blk</v>
      </c>
      <c r="B41" s="59" t="str">
        <f t="shared" si="3"/>
        <v>96-028-09</v>
      </c>
      <c r="C41" s="69" t="s">
        <v>1128</v>
      </c>
      <c r="D41" s="69" t="s">
        <v>1129</v>
      </c>
      <c r="E41" s="69" t="s">
        <v>909</v>
      </c>
      <c r="F41" s="70">
        <v>0</v>
      </c>
      <c r="G41" s="70" t="s">
        <v>1130</v>
      </c>
      <c r="H41" s="69" t="s">
        <v>53</v>
      </c>
      <c r="I41" s="69" t="s">
        <v>910</v>
      </c>
      <c r="J41" s="69" t="s">
        <v>327</v>
      </c>
      <c r="K41" s="69" t="s">
        <v>382</v>
      </c>
      <c r="L41" s="69" t="s">
        <v>887</v>
      </c>
      <c r="M41" s="69" t="s">
        <v>388</v>
      </c>
      <c r="N41" s="69" t="s">
        <v>43</v>
      </c>
      <c r="O41" s="69" t="s">
        <v>386</v>
      </c>
      <c r="P41" s="69" t="s">
        <v>979</v>
      </c>
      <c r="Q41" s="69" t="s">
        <v>1008</v>
      </c>
      <c r="R41" s="69" t="s">
        <v>53</v>
      </c>
      <c r="S41" s="69" t="s">
        <v>913</v>
      </c>
      <c r="T41" s="69" t="s">
        <v>911</v>
      </c>
      <c r="U41" s="69" t="s">
        <v>914</v>
      </c>
      <c r="V41" s="59" t="str">
        <f t="shared" si="4"/>
        <v>60222308черный</v>
      </c>
      <c r="W41" s="59" t="str">
        <f t="shared" si="0"/>
        <v>60222308</v>
      </c>
      <c r="X41" s="59" t="str">
        <f t="shared" si="5"/>
        <v>New York Yankees</v>
      </c>
      <c r="AC41" s="50">
        <f t="shared" si="6"/>
        <v>96</v>
      </c>
      <c r="AD41" s="43">
        <f t="shared" si="1"/>
        <v>28</v>
      </c>
      <c r="AE41" s="50">
        <f t="shared" si="7"/>
        <v>96028</v>
      </c>
    </row>
    <row r="42" spans="1:31">
      <c r="A42" s="59" t="str">
        <f t="shared" si="2"/>
        <v>60222306lry</v>
      </c>
      <c r="B42" s="59" t="str">
        <f t="shared" si="3"/>
        <v>96-027-06</v>
      </c>
      <c r="C42" s="69" t="s">
        <v>1131</v>
      </c>
      <c r="D42" s="69" t="s">
        <v>1132</v>
      </c>
      <c r="E42" s="69" t="s">
        <v>909</v>
      </c>
      <c r="F42" s="70">
        <v>0</v>
      </c>
      <c r="G42" s="70" t="s">
        <v>1133</v>
      </c>
      <c r="H42" s="69" t="s">
        <v>71</v>
      </c>
      <c r="I42" s="69" t="s">
        <v>918</v>
      </c>
      <c r="J42" s="69" t="s">
        <v>356</v>
      </c>
      <c r="K42" s="69" t="s">
        <v>382</v>
      </c>
      <c r="L42" s="69" t="s">
        <v>887</v>
      </c>
      <c r="M42" s="69" t="s">
        <v>388</v>
      </c>
      <c r="O42" s="69" t="s">
        <v>386</v>
      </c>
      <c r="P42" s="69" t="s">
        <v>979</v>
      </c>
      <c r="Q42" s="69" t="s">
        <v>1134</v>
      </c>
      <c r="R42" s="69" t="s">
        <v>71</v>
      </c>
      <c r="S42" s="69" t="s">
        <v>913</v>
      </c>
      <c r="T42" s="69" t="s">
        <v>911</v>
      </c>
      <c r="U42" s="69" t="s">
        <v>912</v>
      </c>
      <c r="V42" s="59" t="str">
        <f t="shared" si="4"/>
        <v>60222306синий</v>
      </c>
      <c r="W42" s="59" t="str">
        <f t="shared" si="0"/>
        <v>60222306</v>
      </c>
      <c r="X42" s="59" t="str">
        <f t="shared" si="5"/>
        <v>Los Angeles Dodgers</v>
      </c>
      <c r="AC42" s="50">
        <f t="shared" si="6"/>
        <v>96</v>
      </c>
      <c r="AD42" s="43">
        <f t="shared" si="1"/>
        <v>27</v>
      </c>
      <c r="AE42" s="50">
        <f t="shared" si="7"/>
        <v>96027</v>
      </c>
    </row>
    <row r="43" spans="1:31">
      <c r="A43" s="59" t="str">
        <f t="shared" si="2"/>
        <v>60222284brr</v>
      </c>
      <c r="B43" s="59" t="str">
        <f t="shared" si="3"/>
        <v>96-026-40</v>
      </c>
      <c r="C43" s="69" t="s">
        <v>1135</v>
      </c>
      <c r="D43" s="69" t="s">
        <v>1136</v>
      </c>
      <c r="E43" s="69" t="s">
        <v>909</v>
      </c>
      <c r="F43" s="70">
        <v>0</v>
      </c>
      <c r="G43" s="70" t="s">
        <v>1137</v>
      </c>
      <c r="H43" s="69" t="s">
        <v>307</v>
      </c>
      <c r="I43" s="69" t="s">
        <v>910</v>
      </c>
      <c r="J43" s="69" t="s">
        <v>327</v>
      </c>
      <c r="K43" s="69" t="s">
        <v>382</v>
      </c>
      <c r="L43" s="69" t="s">
        <v>887</v>
      </c>
      <c r="M43" s="69" t="s">
        <v>388</v>
      </c>
      <c r="N43" s="69" t="s">
        <v>43</v>
      </c>
      <c r="O43" s="69" t="s">
        <v>541</v>
      </c>
      <c r="P43" s="69" t="s">
        <v>979</v>
      </c>
      <c r="Q43" s="69" t="s">
        <v>1138</v>
      </c>
      <c r="R43" s="69" t="s">
        <v>53</v>
      </c>
      <c r="S43" s="69" t="s">
        <v>913</v>
      </c>
      <c r="T43" s="69" t="s">
        <v>911</v>
      </c>
      <c r="U43" s="69" t="s">
        <v>912</v>
      </c>
      <c r="V43" s="59" t="str">
        <f t="shared" si="4"/>
        <v>60222284черный / розовый</v>
      </c>
      <c r="W43" s="59" t="str">
        <f t="shared" si="0"/>
        <v>60222284</v>
      </c>
      <c r="X43" s="59" t="str">
        <f t="shared" si="5"/>
        <v>Los Angeles Dodgers</v>
      </c>
      <c r="AC43" s="50">
        <f t="shared" si="6"/>
        <v>96</v>
      </c>
      <c r="AD43" s="43">
        <f t="shared" si="1"/>
        <v>26</v>
      </c>
      <c r="AE43" s="50">
        <f t="shared" si="7"/>
        <v>96026</v>
      </c>
    </row>
    <row r="44" spans="1:31">
      <c r="A44" s="59" t="str">
        <f t="shared" si="2"/>
        <v>60222283tof</v>
      </c>
      <c r="B44" s="59" t="str">
        <f t="shared" si="3"/>
        <v>96-025-16</v>
      </c>
      <c r="C44" s="69" t="s">
        <v>1139</v>
      </c>
      <c r="D44" s="69" t="s">
        <v>1140</v>
      </c>
      <c r="E44" s="69" t="s">
        <v>909</v>
      </c>
      <c r="F44" s="70">
        <v>0</v>
      </c>
      <c r="G44" s="70" t="s">
        <v>1141</v>
      </c>
      <c r="H44" s="69" t="s">
        <v>594</v>
      </c>
      <c r="I44" s="69" t="s">
        <v>910</v>
      </c>
      <c r="J44" s="69" t="s">
        <v>327</v>
      </c>
      <c r="K44" s="69" t="s">
        <v>382</v>
      </c>
      <c r="L44" s="69" t="s">
        <v>887</v>
      </c>
      <c r="M44" s="69" t="s">
        <v>388</v>
      </c>
      <c r="N44" s="69" t="s">
        <v>43</v>
      </c>
      <c r="O44" s="69" t="s">
        <v>541</v>
      </c>
      <c r="P44" s="69" t="s">
        <v>979</v>
      </c>
      <c r="Q44" s="69" t="s">
        <v>1019</v>
      </c>
      <c r="R44" s="69" t="s">
        <v>71</v>
      </c>
      <c r="S44" s="69" t="s">
        <v>913</v>
      </c>
      <c r="T44" s="69" t="s">
        <v>911</v>
      </c>
      <c r="U44" s="69" t="s">
        <v>915</v>
      </c>
      <c r="V44" s="59" t="str">
        <f t="shared" si="4"/>
        <v>60222283темно-синий / рыжий</v>
      </c>
      <c r="W44" s="59" t="str">
        <f t="shared" si="0"/>
        <v>60222283</v>
      </c>
      <c r="X44" s="59" t="str">
        <f t="shared" si="5"/>
        <v>Boston Red Sox</v>
      </c>
      <c r="AC44" s="50">
        <f t="shared" si="6"/>
        <v>96</v>
      </c>
      <c r="AD44" s="43">
        <f t="shared" si="1"/>
        <v>25</v>
      </c>
      <c r="AE44" s="50">
        <f t="shared" si="7"/>
        <v>96025</v>
      </c>
    </row>
    <row r="45" spans="1:31">
      <c r="A45" s="59" t="str">
        <f t="shared" si="2"/>
        <v>60222271fdr</v>
      </c>
      <c r="B45" s="59" t="str">
        <f t="shared" si="3"/>
        <v>96-024-72</v>
      </c>
      <c r="C45" s="69" t="s">
        <v>1142</v>
      </c>
      <c r="D45" s="69" t="s">
        <v>1143</v>
      </c>
      <c r="E45" s="69" t="s">
        <v>909</v>
      </c>
      <c r="F45" s="70">
        <v>0</v>
      </c>
      <c r="G45" s="70" t="s">
        <v>1144</v>
      </c>
      <c r="H45" s="69" t="s">
        <v>302</v>
      </c>
      <c r="I45" s="69" t="s">
        <v>918</v>
      </c>
      <c r="J45" s="69" t="s">
        <v>356</v>
      </c>
      <c r="K45" s="69" t="s">
        <v>382</v>
      </c>
      <c r="L45" s="69" t="s">
        <v>887</v>
      </c>
      <c r="M45" s="69" t="s">
        <v>388</v>
      </c>
      <c r="O45" s="69" t="s">
        <v>386</v>
      </c>
      <c r="P45" s="69" t="s">
        <v>979</v>
      </c>
      <c r="Q45" s="69" t="s">
        <v>1145</v>
      </c>
      <c r="R45" s="69" t="s">
        <v>53</v>
      </c>
      <c r="S45" s="69" t="s">
        <v>913</v>
      </c>
      <c r="T45" s="69" t="s">
        <v>1047</v>
      </c>
      <c r="U45" s="69" t="s">
        <v>1048</v>
      </c>
      <c r="V45" s="59" t="str">
        <f t="shared" si="4"/>
        <v>60222271черный / красный</v>
      </c>
      <c r="W45" s="59" t="str">
        <f t="shared" si="0"/>
        <v>60222271</v>
      </c>
      <c r="X45" s="59" t="str">
        <f t="shared" si="5"/>
        <v>Chicago Bulls</v>
      </c>
      <c r="AC45" s="50">
        <f t="shared" si="6"/>
        <v>96</v>
      </c>
      <c r="AD45" s="43">
        <f t="shared" si="1"/>
        <v>24</v>
      </c>
      <c r="AE45" s="50">
        <f t="shared" si="7"/>
        <v>96024</v>
      </c>
    </row>
    <row r="46" spans="1:31">
      <c r="A46" s="59" t="str">
        <f t="shared" si="2"/>
        <v>60222240grh</v>
      </c>
      <c r="B46" s="59" t="str">
        <f t="shared" si="3"/>
        <v>96-023-00</v>
      </c>
      <c r="C46" s="69" t="s">
        <v>1146</v>
      </c>
      <c r="D46" s="69" t="s">
        <v>1147</v>
      </c>
      <c r="E46" s="69" t="s">
        <v>909</v>
      </c>
      <c r="F46" s="70">
        <v>0</v>
      </c>
      <c r="G46" s="70" t="s">
        <v>1148</v>
      </c>
      <c r="H46" s="69" t="s">
        <v>847</v>
      </c>
      <c r="I46" s="69" t="s">
        <v>910</v>
      </c>
      <c r="J46" s="69" t="s">
        <v>327</v>
      </c>
      <c r="K46" s="69" t="s">
        <v>382</v>
      </c>
      <c r="L46" s="69" t="s">
        <v>887</v>
      </c>
      <c r="M46" s="69" t="s">
        <v>388</v>
      </c>
      <c r="N46" s="69" t="s">
        <v>43</v>
      </c>
      <c r="O46" s="69" t="s">
        <v>386</v>
      </c>
      <c r="P46" s="69" t="s">
        <v>979</v>
      </c>
      <c r="Q46" s="69" t="s">
        <v>1149</v>
      </c>
      <c r="R46" s="69" t="s">
        <v>60</v>
      </c>
      <c r="S46" s="69" t="s">
        <v>913</v>
      </c>
      <c r="T46" s="69" t="s">
        <v>911</v>
      </c>
      <c r="U46" s="69" t="s">
        <v>914</v>
      </c>
      <c r="V46" s="59" t="str">
        <f t="shared" si="4"/>
        <v>60222240камуфляж / белый</v>
      </c>
      <c r="W46" s="59" t="str">
        <f t="shared" si="0"/>
        <v>60222240</v>
      </c>
      <c r="X46" s="59" t="str">
        <f t="shared" si="5"/>
        <v>New York Yankees</v>
      </c>
      <c r="AC46" s="50">
        <f t="shared" si="6"/>
        <v>96</v>
      </c>
      <c r="AD46" s="43">
        <f t="shared" si="1"/>
        <v>23</v>
      </c>
      <c r="AE46" s="50">
        <f t="shared" si="7"/>
        <v>96023</v>
      </c>
    </row>
    <row r="47" spans="1:31">
      <c r="A47" s="59" t="str">
        <f t="shared" si="2"/>
        <v>60222238rgd</v>
      </c>
      <c r="B47" s="59" t="str">
        <f t="shared" si="3"/>
        <v>96-022-09</v>
      </c>
      <c r="C47" s="69" t="s">
        <v>1150</v>
      </c>
      <c r="D47" s="69" t="s">
        <v>1151</v>
      </c>
      <c r="E47" s="69" t="s">
        <v>909</v>
      </c>
      <c r="F47" s="70">
        <v>0</v>
      </c>
      <c r="G47" s="70" t="s">
        <v>1152</v>
      </c>
      <c r="H47" s="69" t="s">
        <v>298</v>
      </c>
      <c r="I47" s="69" t="s">
        <v>918</v>
      </c>
      <c r="J47" s="69" t="s">
        <v>327</v>
      </c>
      <c r="K47" s="69" t="s">
        <v>382</v>
      </c>
      <c r="L47" s="69" t="s">
        <v>887</v>
      </c>
      <c r="M47" s="69" t="s">
        <v>388</v>
      </c>
      <c r="O47" s="69" t="s">
        <v>541</v>
      </c>
      <c r="P47" s="69" t="s">
        <v>979</v>
      </c>
      <c r="Q47" s="69" t="s">
        <v>1000</v>
      </c>
      <c r="R47" s="69" t="s">
        <v>53</v>
      </c>
      <c r="S47" s="69" t="s">
        <v>913</v>
      </c>
      <c r="T47" s="69" t="s">
        <v>911</v>
      </c>
      <c r="U47" s="69" t="s">
        <v>914</v>
      </c>
      <c r="V47" s="59" t="str">
        <f t="shared" si="4"/>
        <v>60222238черный / желтый</v>
      </c>
      <c r="W47" s="59" t="str">
        <f t="shared" si="0"/>
        <v>60222238</v>
      </c>
      <c r="X47" s="59" t="str">
        <f t="shared" si="5"/>
        <v>New York Yankees</v>
      </c>
      <c r="AC47" s="50">
        <f t="shared" si="6"/>
        <v>96</v>
      </c>
      <c r="AD47" s="43">
        <f t="shared" si="1"/>
        <v>22</v>
      </c>
      <c r="AE47" s="50">
        <f t="shared" si="7"/>
        <v>96022</v>
      </c>
    </row>
    <row r="48" spans="1:31">
      <c r="A48" s="59" t="str">
        <f t="shared" si="2"/>
        <v>60222230tof</v>
      </c>
      <c r="B48" s="59" t="str">
        <f t="shared" si="3"/>
        <v>96-021-13</v>
      </c>
      <c r="C48" s="69" t="s">
        <v>1153</v>
      </c>
      <c r="D48" s="69" t="s">
        <v>1154</v>
      </c>
      <c r="E48" s="69" t="s">
        <v>909</v>
      </c>
      <c r="F48" s="70">
        <v>0</v>
      </c>
      <c r="G48" s="70" t="s">
        <v>1155</v>
      </c>
      <c r="H48" s="69" t="s">
        <v>769</v>
      </c>
      <c r="I48" s="69" t="s">
        <v>910</v>
      </c>
      <c r="J48" s="69" t="s">
        <v>327</v>
      </c>
      <c r="K48" s="69" t="s">
        <v>382</v>
      </c>
      <c r="L48" s="69" t="s">
        <v>887</v>
      </c>
      <c r="M48" s="69" t="s">
        <v>388</v>
      </c>
      <c r="N48" s="69" t="s">
        <v>43</v>
      </c>
      <c r="O48" s="69" t="s">
        <v>541</v>
      </c>
      <c r="P48" s="69" t="s">
        <v>979</v>
      </c>
      <c r="Q48" s="69" t="s">
        <v>1019</v>
      </c>
      <c r="R48" s="69" t="s">
        <v>86</v>
      </c>
      <c r="S48" s="69" t="s">
        <v>913</v>
      </c>
      <c r="T48" s="69" t="s">
        <v>911</v>
      </c>
      <c r="U48" s="69" t="s">
        <v>914</v>
      </c>
      <c r="V48" s="59" t="str">
        <f t="shared" si="4"/>
        <v>60222230рыжий / белый</v>
      </c>
      <c r="W48" s="59" t="str">
        <f t="shared" si="0"/>
        <v>60222230</v>
      </c>
      <c r="X48" s="59" t="str">
        <f t="shared" si="5"/>
        <v>New York Yankees</v>
      </c>
      <c r="AC48" s="50">
        <f t="shared" si="6"/>
        <v>96</v>
      </c>
      <c r="AD48" s="43">
        <f t="shared" si="1"/>
        <v>21</v>
      </c>
      <c r="AE48" s="50">
        <f t="shared" si="7"/>
        <v>96021</v>
      </c>
    </row>
    <row r="49" spans="1:31">
      <c r="A49" s="59" t="str">
        <f t="shared" si="2"/>
        <v>60222553irf</v>
      </c>
      <c r="B49" s="59" t="str">
        <f t="shared" si="3"/>
        <v>96-146-19</v>
      </c>
      <c r="C49" s="69" t="s">
        <v>1156</v>
      </c>
      <c r="D49" s="69" t="s">
        <v>1157</v>
      </c>
      <c r="E49" s="69" t="s">
        <v>1158</v>
      </c>
      <c r="F49" s="70">
        <v>59</v>
      </c>
      <c r="G49" s="70">
        <v>60222553</v>
      </c>
      <c r="H49" s="69" t="s">
        <v>233</v>
      </c>
      <c r="I49" s="69" t="s">
        <v>910</v>
      </c>
      <c r="J49" s="69" t="s">
        <v>325</v>
      </c>
      <c r="K49" s="69" t="s">
        <v>387</v>
      </c>
      <c r="L49" s="69" t="s">
        <v>887</v>
      </c>
      <c r="M49" s="69" t="s">
        <v>388</v>
      </c>
      <c r="N49" s="69" t="s">
        <v>43</v>
      </c>
      <c r="O49" s="69" t="s">
        <v>541</v>
      </c>
      <c r="P49" s="69" t="s">
        <v>979</v>
      </c>
      <c r="Q49" s="69" t="s">
        <v>1004</v>
      </c>
      <c r="R49" s="69" t="s">
        <v>71</v>
      </c>
      <c r="V49" s="59" t="str">
        <f t="shared" si="4"/>
        <v>60222553светло-синий</v>
      </c>
      <c r="W49" s="59" t="str">
        <f t="shared" si="0"/>
        <v>60222553</v>
      </c>
      <c r="X49" s="59" t="str">
        <f t="shared" si="5"/>
        <v/>
      </c>
      <c r="AC49" s="50">
        <f t="shared" si="6"/>
        <v>96</v>
      </c>
      <c r="AD49" s="43">
        <f t="shared" si="1"/>
        <v>146</v>
      </c>
      <c r="AE49" s="50">
        <f t="shared" si="7"/>
        <v>96146</v>
      </c>
    </row>
    <row r="50" spans="1:31">
      <c r="A50" s="59" t="str">
        <f t="shared" si="2"/>
        <v>60222553irf</v>
      </c>
      <c r="B50" s="59" t="str">
        <f t="shared" si="3"/>
        <v>96-146-19</v>
      </c>
      <c r="C50" s="69" t="s">
        <v>1159</v>
      </c>
      <c r="D50" s="69" t="s">
        <v>1157</v>
      </c>
      <c r="E50" s="69" t="s">
        <v>1160</v>
      </c>
      <c r="F50" s="70">
        <v>57</v>
      </c>
      <c r="G50" s="70">
        <v>60222553</v>
      </c>
      <c r="H50" s="69" t="s">
        <v>233</v>
      </c>
      <c r="I50" s="69" t="s">
        <v>910</v>
      </c>
      <c r="J50" s="69" t="s">
        <v>325</v>
      </c>
      <c r="K50" s="69" t="s">
        <v>387</v>
      </c>
      <c r="L50" s="69" t="s">
        <v>887</v>
      </c>
      <c r="M50" s="69" t="s">
        <v>388</v>
      </c>
      <c r="N50" s="69" t="s">
        <v>43</v>
      </c>
      <c r="O50" s="69" t="s">
        <v>541</v>
      </c>
      <c r="P50" s="69" t="s">
        <v>979</v>
      </c>
      <c r="Q50" s="69" t="s">
        <v>1004</v>
      </c>
      <c r="R50" s="69" t="s">
        <v>71</v>
      </c>
      <c r="V50" s="59" t="str">
        <f t="shared" si="4"/>
        <v>60222553светло-синий</v>
      </c>
      <c r="W50" s="59" t="str">
        <f t="shared" si="0"/>
        <v>60222553</v>
      </c>
      <c r="X50" s="59" t="str">
        <f t="shared" si="5"/>
        <v/>
      </c>
      <c r="AC50" s="50">
        <f t="shared" si="6"/>
        <v>96</v>
      </c>
      <c r="AD50" s="43">
        <f t="shared" si="1"/>
        <v>146</v>
      </c>
      <c r="AE50" s="50">
        <f t="shared" si="7"/>
        <v>96146</v>
      </c>
    </row>
    <row r="51" spans="1:31">
      <c r="A51" s="59" t="str">
        <f t="shared" si="2"/>
        <v>60222551blk</v>
      </c>
      <c r="B51" s="59" t="str">
        <f t="shared" si="3"/>
        <v>96-145-09</v>
      </c>
      <c r="C51" s="69" t="s">
        <v>1161</v>
      </c>
      <c r="D51" s="69" t="s">
        <v>1162</v>
      </c>
      <c r="E51" s="69" t="s">
        <v>909</v>
      </c>
      <c r="F51" s="70">
        <v>0</v>
      </c>
      <c r="G51" s="70">
        <v>60222551</v>
      </c>
      <c r="H51" s="69" t="s">
        <v>53</v>
      </c>
      <c r="I51" s="69" t="s">
        <v>910</v>
      </c>
      <c r="J51" s="69" t="s">
        <v>327</v>
      </c>
      <c r="K51" s="69" t="s">
        <v>382</v>
      </c>
      <c r="L51" s="69" t="s">
        <v>887</v>
      </c>
      <c r="M51" s="69" t="s">
        <v>388</v>
      </c>
      <c r="N51" s="69" t="s">
        <v>43</v>
      </c>
      <c r="O51" s="69" t="s">
        <v>541</v>
      </c>
      <c r="P51" s="69" t="s">
        <v>979</v>
      </c>
      <c r="Q51" s="69" t="s">
        <v>1008</v>
      </c>
      <c r="R51" s="69" t="s">
        <v>53</v>
      </c>
      <c r="V51" s="59" t="str">
        <f t="shared" si="4"/>
        <v>60222551черный</v>
      </c>
      <c r="W51" s="59" t="str">
        <f t="shared" si="0"/>
        <v>60222551</v>
      </c>
      <c r="X51" s="59" t="str">
        <f t="shared" si="5"/>
        <v/>
      </c>
      <c r="AC51" s="50">
        <f t="shared" si="6"/>
        <v>96</v>
      </c>
      <c r="AD51" s="43">
        <f t="shared" si="1"/>
        <v>145</v>
      </c>
      <c r="AE51" s="50">
        <f t="shared" si="7"/>
        <v>96145</v>
      </c>
    </row>
    <row r="52" spans="1:31">
      <c r="A52" s="59" t="str">
        <f t="shared" si="2"/>
        <v>60222506gra</v>
      </c>
      <c r="B52" s="59" t="str">
        <f t="shared" si="3"/>
        <v>96-144-01</v>
      </c>
      <c r="C52" s="69" t="s">
        <v>1163</v>
      </c>
      <c r="D52" s="69" t="s">
        <v>1164</v>
      </c>
      <c r="E52" s="69" t="s">
        <v>1158</v>
      </c>
      <c r="F52" s="70">
        <v>59</v>
      </c>
      <c r="G52" s="70" t="s">
        <v>1165</v>
      </c>
      <c r="H52" s="69" t="s">
        <v>231</v>
      </c>
      <c r="I52" s="69" t="s">
        <v>910</v>
      </c>
      <c r="J52" s="69" t="s">
        <v>325</v>
      </c>
      <c r="K52" s="69" t="s">
        <v>382</v>
      </c>
      <c r="L52" s="69" t="s">
        <v>887</v>
      </c>
      <c r="M52" s="69" t="s">
        <v>388</v>
      </c>
      <c r="N52" s="69" t="s">
        <v>43</v>
      </c>
      <c r="O52" s="69" t="s">
        <v>541</v>
      </c>
      <c r="P52" s="69" t="s">
        <v>979</v>
      </c>
      <c r="Q52" s="69" t="s">
        <v>1090</v>
      </c>
      <c r="R52" s="69" t="s">
        <v>83</v>
      </c>
      <c r="T52" s="69" t="s">
        <v>911</v>
      </c>
      <c r="U52" s="69" t="s">
        <v>914</v>
      </c>
      <c r="V52" s="59" t="str">
        <f t="shared" si="4"/>
        <v>60222506светло-серый</v>
      </c>
      <c r="W52" s="59" t="str">
        <f t="shared" si="0"/>
        <v>60222506</v>
      </c>
      <c r="X52" s="59" t="str">
        <f t="shared" si="5"/>
        <v>New York Yankees</v>
      </c>
      <c r="AC52" s="50">
        <f t="shared" si="6"/>
        <v>96</v>
      </c>
      <c r="AD52" s="43">
        <f t="shared" si="1"/>
        <v>144</v>
      </c>
      <c r="AE52" s="50">
        <f t="shared" si="7"/>
        <v>96144</v>
      </c>
    </row>
    <row r="53" spans="1:31">
      <c r="A53" s="59" t="str">
        <f t="shared" si="2"/>
        <v>60222506gra</v>
      </c>
      <c r="B53" s="59" t="str">
        <f t="shared" si="3"/>
        <v>96-144-01</v>
      </c>
      <c r="C53" s="69" t="s">
        <v>1166</v>
      </c>
      <c r="D53" s="69" t="s">
        <v>1164</v>
      </c>
      <c r="E53" s="69" t="s">
        <v>1167</v>
      </c>
      <c r="F53" s="70">
        <v>55</v>
      </c>
      <c r="G53" s="70" t="s">
        <v>1165</v>
      </c>
      <c r="H53" s="69" t="s">
        <v>231</v>
      </c>
      <c r="I53" s="69" t="s">
        <v>910</v>
      </c>
      <c r="J53" s="69" t="s">
        <v>325</v>
      </c>
      <c r="K53" s="69" t="s">
        <v>382</v>
      </c>
      <c r="L53" s="69" t="s">
        <v>887</v>
      </c>
      <c r="M53" s="69" t="s">
        <v>388</v>
      </c>
      <c r="N53" s="69" t="s">
        <v>43</v>
      </c>
      <c r="O53" s="69" t="s">
        <v>541</v>
      </c>
      <c r="P53" s="69" t="s">
        <v>979</v>
      </c>
      <c r="Q53" s="69" t="s">
        <v>1090</v>
      </c>
      <c r="R53" s="69" t="s">
        <v>83</v>
      </c>
      <c r="T53" s="69" t="s">
        <v>911</v>
      </c>
      <c r="U53" s="69" t="s">
        <v>914</v>
      </c>
      <c r="V53" s="59" t="str">
        <f t="shared" si="4"/>
        <v>60222506светло-серый</v>
      </c>
      <c r="W53" s="59" t="str">
        <f t="shared" si="0"/>
        <v>60222506</v>
      </c>
      <c r="X53" s="59" t="str">
        <f t="shared" si="5"/>
        <v>New York Yankees</v>
      </c>
      <c r="AC53" s="50">
        <f t="shared" si="6"/>
        <v>96</v>
      </c>
      <c r="AD53" s="43">
        <f t="shared" si="1"/>
        <v>144</v>
      </c>
      <c r="AE53" s="50">
        <f t="shared" si="7"/>
        <v>96144</v>
      </c>
    </row>
    <row r="54" spans="1:31">
      <c r="A54" s="59" t="str">
        <f t="shared" si="2"/>
        <v>60222505blk</v>
      </c>
      <c r="B54" s="59" t="str">
        <f t="shared" si="3"/>
        <v>96-143-09</v>
      </c>
      <c r="C54" s="69" t="s">
        <v>1168</v>
      </c>
      <c r="D54" s="69" t="s">
        <v>1169</v>
      </c>
      <c r="E54" s="69" t="s">
        <v>1158</v>
      </c>
      <c r="F54" s="70">
        <v>59</v>
      </c>
      <c r="G54" s="70" t="s">
        <v>1170</v>
      </c>
      <c r="H54" s="69" t="s">
        <v>53</v>
      </c>
      <c r="I54" s="69" t="s">
        <v>910</v>
      </c>
      <c r="J54" s="69" t="s">
        <v>325</v>
      </c>
      <c r="K54" s="69" t="s">
        <v>382</v>
      </c>
      <c r="L54" s="69" t="s">
        <v>887</v>
      </c>
      <c r="M54" s="69" t="s">
        <v>388</v>
      </c>
      <c r="N54" s="69" t="s">
        <v>43</v>
      </c>
      <c r="O54" s="69" t="s">
        <v>541</v>
      </c>
      <c r="P54" s="69" t="s">
        <v>979</v>
      </c>
      <c r="Q54" s="69" t="s">
        <v>1008</v>
      </c>
      <c r="R54" s="69" t="s">
        <v>53</v>
      </c>
      <c r="T54" s="69" t="s">
        <v>1047</v>
      </c>
      <c r="U54" s="69" t="s">
        <v>1048</v>
      </c>
      <c r="V54" s="59" t="str">
        <f t="shared" si="4"/>
        <v>60222505черный</v>
      </c>
      <c r="W54" s="59" t="str">
        <f t="shared" si="0"/>
        <v>60222505</v>
      </c>
      <c r="X54" s="59" t="str">
        <f t="shared" si="5"/>
        <v>Chicago Bulls</v>
      </c>
      <c r="AC54" s="50">
        <f t="shared" si="6"/>
        <v>96</v>
      </c>
      <c r="AD54" s="43">
        <f t="shared" si="1"/>
        <v>143</v>
      </c>
      <c r="AE54" s="50">
        <f t="shared" si="7"/>
        <v>96143</v>
      </c>
    </row>
    <row r="55" spans="1:31">
      <c r="A55" s="59" t="str">
        <f t="shared" si="2"/>
        <v>60222498bsk</v>
      </c>
      <c r="B55" s="59" t="str">
        <f t="shared" si="3"/>
        <v>96-142-34</v>
      </c>
      <c r="C55" s="69" t="s">
        <v>1171</v>
      </c>
      <c r="D55" s="69" t="s">
        <v>1172</v>
      </c>
      <c r="E55" s="69" t="s">
        <v>1158</v>
      </c>
      <c r="F55" s="70">
        <v>59</v>
      </c>
      <c r="G55" s="70">
        <v>60222498</v>
      </c>
      <c r="H55" s="69" t="s">
        <v>68</v>
      </c>
      <c r="I55" s="69" t="s">
        <v>910</v>
      </c>
      <c r="J55" s="69" t="s">
        <v>325</v>
      </c>
      <c r="K55" s="69" t="s">
        <v>387</v>
      </c>
      <c r="L55" s="69" t="s">
        <v>887</v>
      </c>
      <c r="M55" s="69" t="s">
        <v>388</v>
      </c>
      <c r="N55" s="69" t="s">
        <v>43</v>
      </c>
      <c r="O55" s="69" t="s">
        <v>541</v>
      </c>
      <c r="P55" s="69" t="s">
        <v>979</v>
      </c>
      <c r="Q55" s="69" t="s">
        <v>1173</v>
      </c>
      <c r="R55" s="69" t="s">
        <v>68</v>
      </c>
      <c r="V55" s="59" t="str">
        <f t="shared" si="4"/>
        <v>60222498розовый</v>
      </c>
      <c r="W55" s="59" t="str">
        <f t="shared" si="0"/>
        <v>60222498</v>
      </c>
      <c r="X55" s="59" t="str">
        <f t="shared" si="5"/>
        <v/>
      </c>
      <c r="AC55" s="50">
        <f t="shared" si="6"/>
        <v>96</v>
      </c>
      <c r="AD55" s="43">
        <f t="shared" si="1"/>
        <v>142</v>
      </c>
      <c r="AE55" s="50">
        <f t="shared" si="7"/>
        <v>96142</v>
      </c>
    </row>
    <row r="56" spans="1:31">
      <c r="A56" s="59" t="str">
        <f t="shared" si="2"/>
        <v>60222498bsk</v>
      </c>
      <c r="B56" s="59" t="str">
        <f t="shared" si="3"/>
        <v>96-142-34</v>
      </c>
      <c r="C56" s="69" t="s">
        <v>1174</v>
      </c>
      <c r="D56" s="69" t="s">
        <v>1172</v>
      </c>
      <c r="E56" s="69" t="s">
        <v>1160</v>
      </c>
      <c r="F56" s="70">
        <v>57</v>
      </c>
      <c r="G56" s="70">
        <v>60222498</v>
      </c>
      <c r="H56" s="69" t="s">
        <v>68</v>
      </c>
      <c r="I56" s="69" t="s">
        <v>910</v>
      </c>
      <c r="J56" s="69" t="s">
        <v>325</v>
      </c>
      <c r="K56" s="69" t="s">
        <v>387</v>
      </c>
      <c r="L56" s="69" t="s">
        <v>887</v>
      </c>
      <c r="M56" s="69" t="s">
        <v>388</v>
      </c>
      <c r="N56" s="69" t="s">
        <v>43</v>
      </c>
      <c r="O56" s="69" t="s">
        <v>541</v>
      </c>
      <c r="P56" s="69" t="s">
        <v>979</v>
      </c>
      <c r="Q56" s="69" t="s">
        <v>1173</v>
      </c>
      <c r="R56" s="69" t="s">
        <v>68</v>
      </c>
      <c r="V56" s="59" t="str">
        <f t="shared" si="4"/>
        <v>60222498розовый</v>
      </c>
      <c r="W56" s="59" t="str">
        <f t="shared" si="0"/>
        <v>60222498</v>
      </c>
      <c r="X56" s="59" t="str">
        <f t="shared" si="5"/>
        <v/>
      </c>
      <c r="AC56" s="50">
        <f t="shared" si="6"/>
        <v>96</v>
      </c>
      <c r="AD56" s="43">
        <f t="shared" si="1"/>
        <v>142</v>
      </c>
      <c r="AE56" s="50">
        <f t="shared" si="7"/>
        <v>96142</v>
      </c>
    </row>
    <row r="57" spans="1:31">
      <c r="A57" s="59" t="str">
        <f t="shared" si="2"/>
        <v>60222489gra</v>
      </c>
      <c r="B57" s="59" t="str">
        <f t="shared" si="3"/>
        <v>96-141-80</v>
      </c>
      <c r="C57" s="69" t="s">
        <v>1175</v>
      </c>
      <c r="D57" s="69" t="s">
        <v>1176</v>
      </c>
      <c r="E57" s="69" t="s">
        <v>909</v>
      </c>
      <c r="F57" s="70">
        <v>0</v>
      </c>
      <c r="G57" s="70" t="s">
        <v>1177</v>
      </c>
      <c r="H57" s="69" t="s">
        <v>83</v>
      </c>
      <c r="I57" s="69" t="s">
        <v>910</v>
      </c>
      <c r="J57" s="69" t="s">
        <v>356</v>
      </c>
      <c r="K57" s="69" t="s">
        <v>382</v>
      </c>
      <c r="L57" s="69" t="s">
        <v>887</v>
      </c>
      <c r="M57" s="69" t="s">
        <v>388</v>
      </c>
      <c r="N57" s="69" t="s">
        <v>43</v>
      </c>
      <c r="O57" s="69" t="s">
        <v>386</v>
      </c>
      <c r="P57" s="69" t="s">
        <v>979</v>
      </c>
      <c r="Q57" s="69" t="s">
        <v>1090</v>
      </c>
      <c r="R57" s="69" t="s">
        <v>83</v>
      </c>
      <c r="T57" s="69" t="s">
        <v>1047</v>
      </c>
      <c r="U57" s="69" t="s">
        <v>1053</v>
      </c>
      <c r="V57" s="59" t="str">
        <f t="shared" si="4"/>
        <v>60222489серый</v>
      </c>
      <c r="W57" s="59" t="str">
        <f t="shared" si="0"/>
        <v>60222489</v>
      </c>
      <c r="X57" s="59" t="str">
        <f t="shared" si="5"/>
        <v>Los Angeles Lakers</v>
      </c>
      <c r="AC57" s="50">
        <f t="shared" si="6"/>
        <v>96</v>
      </c>
      <c r="AD57" s="43">
        <f t="shared" si="1"/>
        <v>141</v>
      </c>
      <c r="AE57" s="50">
        <f t="shared" si="7"/>
        <v>96141</v>
      </c>
    </row>
    <row r="58" spans="1:31">
      <c r="A58" s="59" t="str">
        <f t="shared" si="2"/>
        <v>60222488nvy</v>
      </c>
      <c r="B58" s="59" t="str">
        <f t="shared" si="3"/>
        <v>96-140-09</v>
      </c>
      <c r="C58" s="69" t="s">
        <v>1178</v>
      </c>
      <c r="D58" s="69" t="s">
        <v>1179</v>
      </c>
      <c r="E58" s="69" t="s">
        <v>909</v>
      </c>
      <c r="F58" s="70">
        <v>0</v>
      </c>
      <c r="G58" s="70" t="s">
        <v>1180</v>
      </c>
      <c r="H58" s="69" t="s">
        <v>53</v>
      </c>
      <c r="I58" s="69" t="s">
        <v>910</v>
      </c>
      <c r="J58" s="69" t="s">
        <v>356</v>
      </c>
      <c r="K58" s="69" t="s">
        <v>382</v>
      </c>
      <c r="L58" s="69" t="s">
        <v>887</v>
      </c>
      <c r="M58" s="69" t="s">
        <v>388</v>
      </c>
      <c r="N58" s="69" t="s">
        <v>43</v>
      </c>
      <c r="O58" s="69" t="s">
        <v>386</v>
      </c>
      <c r="P58" s="69" t="s">
        <v>979</v>
      </c>
      <c r="Q58" s="69" t="s">
        <v>1015</v>
      </c>
      <c r="R58" s="69" t="s">
        <v>53</v>
      </c>
      <c r="T58" s="69" t="s">
        <v>911</v>
      </c>
      <c r="U58" s="69" t="s">
        <v>914</v>
      </c>
      <c r="V58" s="59" t="str">
        <f t="shared" si="4"/>
        <v>60222488черный</v>
      </c>
      <c r="W58" s="59" t="str">
        <f t="shared" si="0"/>
        <v>60222488</v>
      </c>
      <c r="X58" s="59" t="str">
        <f t="shared" si="5"/>
        <v>New York Yankees</v>
      </c>
      <c r="AC58" s="50">
        <f t="shared" si="6"/>
        <v>96</v>
      </c>
      <c r="AD58" s="43">
        <f t="shared" si="1"/>
        <v>140</v>
      </c>
      <c r="AE58" s="50">
        <f t="shared" si="7"/>
        <v>96140</v>
      </c>
    </row>
    <row r="59" spans="1:31">
      <c r="A59" s="59" t="str">
        <f t="shared" si="2"/>
        <v>60222449pnk</v>
      </c>
      <c r="B59" s="59" t="str">
        <f t="shared" si="3"/>
        <v>96-139-34</v>
      </c>
      <c r="C59" s="69" t="s">
        <v>1181</v>
      </c>
      <c r="D59" s="69" t="s">
        <v>1182</v>
      </c>
      <c r="E59" s="69" t="s">
        <v>1158</v>
      </c>
      <c r="F59" s="70">
        <v>59</v>
      </c>
      <c r="G59" s="70">
        <v>60222449</v>
      </c>
      <c r="H59" s="69" t="s">
        <v>68</v>
      </c>
      <c r="I59" s="69" t="s">
        <v>910</v>
      </c>
      <c r="J59" s="69" t="s">
        <v>325</v>
      </c>
      <c r="K59" s="69" t="s">
        <v>387</v>
      </c>
      <c r="L59" s="69" t="s">
        <v>887</v>
      </c>
      <c r="M59" s="69" t="s">
        <v>388</v>
      </c>
      <c r="N59" s="69" t="s">
        <v>43</v>
      </c>
      <c r="O59" s="69" t="s">
        <v>386</v>
      </c>
      <c r="P59" s="69" t="s">
        <v>979</v>
      </c>
      <c r="Q59" s="69" t="s">
        <v>992</v>
      </c>
      <c r="R59" s="69" t="s">
        <v>68</v>
      </c>
      <c r="V59" s="59" t="str">
        <f t="shared" si="4"/>
        <v>60222449розовый</v>
      </c>
      <c r="W59" s="59" t="str">
        <f t="shared" si="0"/>
        <v>60222449</v>
      </c>
      <c r="X59" s="59" t="str">
        <f t="shared" si="5"/>
        <v/>
      </c>
      <c r="AC59" s="50">
        <f t="shared" si="6"/>
        <v>96</v>
      </c>
      <c r="AD59" s="43">
        <f t="shared" si="1"/>
        <v>139</v>
      </c>
      <c r="AE59" s="50">
        <f t="shared" si="7"/>
        <v>96139</v>
      </c>
    </row>
    <row r="60" spans="1:31">
      <c r="A60" s="59" t="str">
        <f t="shared" si="2"/>
        <v>60222449pnk</v>
      </c>
      <c r="B60" s="59" t="str">
        <f t="shared" si="3"/>
        <v>96-139-34</v>
      </c>
      <c r="C60" s="69" t="s">
        <v>1183</v>
      </c>
      <c r="D60" s="69" t="s">
        <v>1182</v>
      </c>
      <c r="E60" s="69" t="s">
        <v>1160</v>
      </c>
      <c r="F60" s="70">
        <v>57</v>
      </c>
      <c r="G60" s="70">
        <v>60222449</v>
      </c>
      <c r="H60" s="69" t="s">
        <v>68</v>
      </c>
      <c r="I60" s="69" t="s">
        <v>910</v>
      </c>
      <c r="J60" s="69" t="s">
        <v>325</v>
      </c>
      <c r="K60" s="69" t="s">
        <v>387</v>
      </c>
      <c r="L60" s="69" t="s">
        <v>887</v>
      </c>
      <c r="M60" s="69" t="s">
        <v>388</v>
      </c>
      <c r="N60" s="69" t="s">
        <v>43</v>
      </c>
      <c r="O60" s="69" t="s">
        <v>386</v>
      </c>
      <c r="P60" s="69" t="s">
        <v>979</v>
      </c>
      <c r="Q60" s="69" t="s">
        <v>992</v>
      </c>
      <c r="R60" s="69" t="s">
        <v>68</v>
      </c>
      <c r="V60" s="59" t="str">
        <f t="shared" si="4"/>
        <v>60222449розовый</v>
      </c>
      <c r="W60" s="59" t="str">
        <f t="shared" si="0"/>
        <v>60222449</v>
      </c>
      <c r="X60" s="59" t="str">
        <f t="shared" si="5"/>
        <v/>
      </c>
      <c r="AC60" s="50">
        <f t="shared" si="6"/>
        <v>96</v>
      </c>
      <c r="AD60" s="43">
        <f t="shared" si="1"/>
        <v>139</v>
      </c>
      <c r="AE60" s="50">
        <f t="shared" si="7"/>
        <v>96139</v>
      </c>
    </row>
    <row r="61" spans="1:31">
      <c r="A61" s="59" t="str">
        <f t="shared" si="2"/>
        <v>60222449pnk</v>
      </c>
      <c r="B61" s="59" t="str">
        <f t="shared" si="3"/>
        <v>96-139-34</v>
      </c>
      <c r="C61" s="69" t="s">
        <v>1184</v>
      </c>
      <c r="D61" s="69" t="s">
        <v>1182</v>
      </c>
      <c r="E61" s="69" t="s">
        <v>1167</v>
      </c>
      <c r="F61" s="70">
        <v>55</v>
      </c>
      <c r="G61" s="70">
        <v>60222449</v>
      </c>
      <c r="H61" s="69" t="s">
        <v>68</v>
      </c>
      <c r="I61" s="69" t="s">
        <v>910</v>
      </c>
      <c r="J61" s="69" t="s">
        <v>325</v>
      </c>
      <c r="K61" s="69" t="s">
        <v>387</v>
      </c>
      <c r="L61" s="69" t="s">
        <v>887</v>
      </c>
      <c r="M61" s="69" t="s">
        <v>388</v>
      </c>
      <c r="N61" s="69" t="s">
        <v>43</v>
      </c>
      <c r="O61" s="69" t="s">
        <v>386</v>
      </c>
      <c r="P61" s="69" t="s">
        <v>979</v>
      </c>
      <c r="Q61" s="69" t="s">
        <v>992</v>
      </c>
      <c r="R61" s="69" t="s">
        <v>68</v>
      </c>
      <c r="V61" s="59" t="str">
        <f t="shared" si="4"/>
        <v>60222449розовый</v>
      </c>
      <c r="W61" s="59" t="str">
        <f t="shared" si="0"/>
        <v>60222449</v>
      </c>
      <c r="X61" s="59" t="str">
        <f t="shared" si="5"/>
        <v/>
      </c>
      <c r="AC61" s="50">
        <f t="shared" si="6"/>
        <v>96</v>
      </c>
      <c r="AD61" s="43">
        <f t="shared" si="1"/>
        <v>139</v>
      </c>
      <c r="AE61" s="50">
        <f t="shared" si="7"/>
        <v>96139</v>
      </c>
    </row>
    <row r="62" spans="1:31">
      <c r="A62" s="59" t="str">
        <f t="shared" si="2"/>
        <v>60222405plm</v>
      </c>
      <c r="B62" s="59" t="str">
        <f t="shared" si="3"/>
        <v>96-138-34</v>
      </c>
      <c r="C62" s="69" t="s">
        <v>1185</v>
      </c>
      <c r="D62" s="69" t="s">
        <v>1186</v>
      </c>
      <c r="E62" s="69" t="s">
        <v>909</v>
      </c>
      <c r="F62" s="70">
        <v>0</v>
      </c>
      <c r="G62" s="70" t="s">
        <v>1187</v>
      </c>
      <c r="H62" s="69" t="s">
        <v>68</v>
      </c>
      <c r="I62" s="69" t="s">
        <v>910</v>
      </c>
      <c r="J62" s="69" t="s">
        <v>327</v>
      </c>
      <c r="K62" s="69" t="s">
        <v>387</v>
      </c>
      <c r="L62" s="69" t="s">
        <v>887</v>
      </c>
      <c r="M62" s="69" t="s">
        <v>388</v>
      </c>
      <c r="N62" s="69" t="s">
        <v>43</v>
      </c>
      <c r="O62" s="69" t="s">
        <v>386</v>
      </c>
      <c r="P62" s="69" t="s">
        <v>979</v>
      </c>
      <c r="Q62" s="69" t="s">
        <v>1043</v>
      </c>
      <c r="R62" s="69" t="s">
        <v>68</v>
      </c>
      <c r="T62" s="69" t="s">
        <v>911</v>
      </c>
      <c r="U62" s="69" t="s">
        <v>914</v>
      </c>
      <c r="V62" s="59" t="str">
        <f t="shared" si="4"/>
        <v>60222405розовый</v>
      </c>
      <c r="W62" s="59" t="str">
        <f t="shared" si="0"/>
        <v>60222405</v>
      </c>
      <c r="X62" s="59" t="str">
        <f t="shared" si="5"/>
        <v>New York Yankees</v>
      </c>
      <c r="AC62" s="50">
        <f t="shared" si="6"/>
        <v>96</v>
      </c>
      <c r="AD62" s="43">
        <f t="shared" si="1"/>
        <v>138</v>
      </c>
      <c r="AE62" s="50">
        <f t="shared" si="7"/>
        <v>96138</v>
      </c>
    </row>
    <row r="63" spans="1:31">
      <c r="A63" s="59" t="str">
        <f t="shared" si="2"/>
        <v>60222382grp</v>
      </c>
      <c r="B63" s="59" t="str">
        <f t="shared" si="3"/>
        <v>96-137-80</v>
      </c>
      <c r="C63" s="69" t="s">
        <v>1188</v>
      </c>
      <c r="D63" s="69" t="s">
        <v>1189</v>
      </c>
      <c r="E63" s="69" t="s">
        <v>1158</v>
      </c>
      <c r="F63" s="70">
        <v>59</v>
      </c>
      <c r="G63" s="70">
        <v>60222382</v>
      </c>
      <c r="H63" s="69" t="s">
        <v>83</v>
      </c>
      <c r="I63" s="69" t="s">
        <v>910</v>
      </c>
      <c r="J63" s="69" t="s">
        <v>325</v>
      </c>
      <c r="K63" s="69" t="s">
        <v>382</v>
      </c>
      <c r="L63" s="69" t="s">
        <v>887</v>
      </c>
      <c r="M63" s="69" t="s">
        <v>388</v>
      </c>
      <c r="N63" s="69" t="s">
        <v>43</v>
      </c>
      <c r="O63" s="69" t="s">
        <v>386</v>
      </c>
      <c r="P63" s="69" t="s">
        <v>979</v>
      </c>
      <c r="Q63" s="69" t="s">
        <v>1190</v>
      </c>
      <c r="R63" s="69" t="s">
        <v>83</v>
      </c>
      <c r="V63" s="59" t="str">
        <f t="shared" si="4"/>
        <v>60222382серый</v>
      </c>
      <c r="W63" s="59" t="str">
        <f t="shared" si="0"/>
        <v>60222382</v>
      </c>
      <c r="X63" s="59" t="str">
        <f t="shared" si="5"/>
        <v/>
      </c>
      <c r="AC63" s="50">
        <f t="shared" si="6"/>
        <v>96</v>
      </c>
      <c r="AD63" s="43">
        <f t="shared" si="1"/>
        <v>137</v>
      </c>
      <c r="AE63" s="50">
        <f t="shared" si="7"/>
        <v>96137</v>
      </c>
    </row>
    <row r="64" spans="1:31">
      <c r="A64" s="59" t="str">
        <f t="shared" si="2"/>
        <v>60222382grp</v>
      </c>
      <c r="B64" s="59" t="str">
        <f t="shared" si="3"/>
        <v>96-137-80</v>
      </c>
      <c r="C64" s="69" t="s">
        <v>1191</v>
      </c>
      <c r="D64" s="69" t="s">
        <v>1189</v>
      </c>
      <c r="E64" s="69" t="s">
        <v>1160</v>
      </c>
      <c r="F64" s="70">
        <v>57</v>
      </c>
      <c r="G64" s="70">
        <v>60222382</v>
      </c>
      <c r="H64" s="69" t="s">
        <v>83</v>
      </c>
      <c r="I64" s="69" t="s">
        <v>910</v>
      </c>
      <c r="J64" s="69" t="s">
        <v>325</v>
      </c>
      <c r="K64" s="69" t="s">
        <v>382</v>
      </c>
      <c r="L64" s="69" t="s">
        <v>887</v>
      </c>
      <c r="M64" s="69" t="s">
        <v>388</v>
      </c>
      <c r="N64" s="69" t="s">
        <v>43</v>
      </c>
      <c r="O64" s="69" t="s">
        <v>386</v>
      </c>
      <c r="P64" s="69" t="s">
        <v>979</v>
      </c>
      <c r="Q64" s="69" t="s">
        <v>1190</v>
      </c>
      <c r="R64" s="69" t="s">
        <v>83</v>
      </c>
      <c r="V64" s="59" t="str">
        <f t="shared" si="4"/>
        <v>60222382серый</v>
      </c>
      <c r="W64" s="59" t="str">
        <f t="shared" si="0"/>
        <v>60222382</v>
      </c>
      <c r="X64" s="59" t="str">
        <f t="shared" si="5"/>
        <v/>
      </c>
      <c r="AC64" s="50">
        <f t="shared" si="6"/>
        <v>96</v>
      </c>
      <c r="AD64" s="43">
        <f t="shared" si="1"/>
        <v>137</v>
      </c>
      <c r="AE64" s="50">
        <f t="shared" si="7"/>
        <v>96137</v>
      </c>
    </row>
    <row r="65" spans="1:31">
      <c r="A65" s="59" t="str">
        <f t="shared" si="2"/>
        <v>60222382grp</v>
      </c>
      <c r="B65" s="59" t="str">
        <f t="shared" si="3"/>
        <v>96-137-80</v>
      </c>
      <c r="C65" s="69" t="s">
        <v>1192</v>
      </c>
      <c r="D65" s="69" t="s">
        <v>1189</v>
      </c>
      <c r="E65" s="69" t="s">
        <v>1167</v>
      </c>
      <c r="F65" s="70">
        <v>55</v>
      </c>
      <c r="G65" s="70">
        <v>60222382</v>
      </c>
      <c r="H65" s="69" t="s">
        <v>83</v>
      </c>
      <c r="I65" s="69" t="s">
        <v>910</v>
      </c>
      <c r="J65" s="69" t="s">
        <v>325</v>
      </c>
      <c r="K65" s="69" t="s">
        <v>382</v>
      </c>
      <c r="L65" s="69" t="s">
        <v>887</v>
      </c>
      <c r="M65" s="69" t="s">
        <v>388</v>
      </c>
      <c r="N65" s="69" t="s">
        <v>43</v>
      </c>
      <c r="O65" s="69" t="s">
        <v>386</v>
      </c>
      <c r="P65" s="69" t="s">
        <v>979</v>
      </c>
      <c r="Q65" s="69" t="s">
        <v>1190</v>
      </c>
      <c r="R65" s="69" t="s">
        <v>83</v>
      </c>
      <c r="V65" s="59" t="str">
        <f t="shared" si="4"/>
        <v>60222382серый</v>
      </c>
      <c r="W65" s="59" t="str">
        <f t="shared" si="0"/>
        <v>60222382</v>
      </c>
      <c r="X65" s="59" t="str">
        <f t="shared" si="5"/>
        <v/>
      </c>
      <c r="AC65" s="50">
        <f t="shared" si="6"/>
        <v>96</v>
      </c>
      <c r="AD65" s="43">
        <f t="shared" si="1"/>
        <v>137</v>
      </c>
      <c r="AE65" s="50">
        <f t="shared" si="7"/>
        <v>96137</v>
      </c>
    </row>
    <row r="66" spans="1:31">
      <c r="A66" s="59" t="str">
        <f t="shared" si="2"/>
        <v>60222375car</v>
      </c>
      <c r="B66" s="59" t="str">
        <f t="shared" si="3"/>
        <v>96-136-18</v>
      </c>
      <c r="C66" s="69" t="s">
        <v>1193</v>
      </c>
      <c r="D66" s="69" t="s">
        <v>1194</v>
      </c>
      <c r="E66" s="69" t="s">
        <v>909</v>
      </c>
      <c r="F66" s="70">
        <v>0</v>
      </c>
      <c r="G66" s="70">
        <v>60222375</v>
      </c>
      <c r="H66" s="69" t="s">
        <v>78</v>
      </c>
      <c r="I66" s="69" t="s">
        <v>910</v>
      </c>
      <c r="J66" s="69" t="s">
        <v>327</v>
      </c>
      <c r="K66" s="69" t="s">
        <v>382</v>
      </c>
      <c r="L66" s="69" t="s">
        <v>887</v>
      </c>
      <c r="M66" s="69" t="s">
        <v>388</v>
      </c>
      <c r="N66" s="69" t="s">
        <v>43</v>
      </c>
      <c r="O66" s="69" t="s">
        <v>386</v>
      </c>
      <c r="P66" s="69" t="s">
        <v>979</v>
      </c>
      <c r="Q66" s="69" t="s">
        <v>1195</v>
      </c>
      <c r="R66" s="69" t="s">
        <v>78</v>
      </c>
      <c r="V66" s="59" t="str">
        <f t="shared" si="4"/>
        <v>60222375красный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60222375</v>
      </c>
      <c r="X66" s="59" t="str">
        <f t="shared" si="5"/>
        <v/>
      </c>
      <c r="AC66" s="50">
        <f t="shared" si="6"/>
        <v>96</v>
      </c>
      <c r="AD66" s="43">
        <f t="shared" si="1"/>
        <v>136</v>
      </c>
      <c r="AE66" s="50">
        <f t="shared" si="7"/>
        <v>96136</v>
      </c>
    </row>
    <row r="67" spans="1:31">
      <c r="A67" s="59" t="str">
        <f t="shared" ref="A67:A130" si="9">IF(G67&amp;Q67&lt;&gt;"",W67&amp;Q67,"")</f>
        <v>60222332blk</v>
      </c>
      <c r="B67" s="59" t="str">
        <f t="shared" ref="B67:B130" si="10">IF(C67&lt;&gt;"",LEFT(C67,9),"")</f>
        <v>96-135-09</v>
      </c>
      <c r="C67" s="69" t="s">
        <v>1196</v>
      </c>
      <c r="D67" s="69" t="s">
        <v>1197</v>
      </c>
      <c r="E67" s="69" t="s">
        <v>1158</v>
      </c>
      <c r="F67" s="70">
        <v>59</v>
      </c>
      <c r="G67" s="70">
        <v>60222332</v>
      </c>
      <c r="H67" s="69" t="s">
        <v>53</v>
      </c>
      <c r="I67" s="69" t="s">
        <v>918</v>
      </c>
      <c r="J67" s="69" t="s">
        <v>325</v>
      </c>
      <c r="K67" s="69" t="s">
        <v>382</v>
      </c>
      <c r="L67" s="69" t="s">
        <v>887</v>
      </c>
      <c r="M67" s="69" t="s">
        <v>388</v>
      </c>
      <c r="O67" s="69" t="s">
        <v>386</v>
      </c>
      <c r="P67" s="69" t="s">
        <v>979</v>
      </c>
      <c r="Q67" s="69" t="s">
        <v>1008</v>
      </c>
      <c r="R67" s="69" t="s">
        <v>53</v>
      </c>
      <c r="V67" s="59" t="str">
        <f t="shared" ref="V67:V130" si="11">W67&amp;H67</f>
        <v>60222332черный</v>
      </c>
      <c r="W67" s="59" t="str">
        <f t="shared" si="8"/>
        <v>60222332</v>
      </c>
      <c r="X67" s="59" t="str">
        <f t="shared" ref="X67:X130" si="12">IF(A67&lt;&gt;"",IFERROR(IF(FIND(" ",G67)&gt;=1,MID(G67,FIND(" ",G67)+1,LEN(G67)),""),""),"")</f>
        <v/>
      </c>
      <c r="AC67" s="50">
        <f t="shared" ref="AC67:AC130" si="13">IFERROR(VALUE(MID($C67,1,2)),0)</f>
        <v>96</v>
      </c>
      <c r="AD67" s="43">
        <f t="shared" ref="AD67:AD130" si="14">IFERROR(VALUE(MID($C67,4,3)),0)</f>
        <v>135</v>
      </c>
      <c r="AE67" s="50">
        <f t="shared" ref="AE67:AE130" si="15">VALUE(RIGHT("00"&amp;AC67,2)&amp;RIGHT("000"&amp;AD67,3))</f>
        <v>96135</v>
      </c>
    </row>
    <row r="68" spans="1:31">
      <c r="A68" s="59" t="str">
        <f t="shared" si="9"/>
        <v>60222332blk</v>
      </c>
      <c r="B68" s="59" t="str">
        <f t="shared" si="10"/>
        <v>96-135-09</v>
      </c>
      <c r="C68" s="69" t="s">
        <v>1198</v>
      </c>
      <c r="D68" s="69" t="s">
        <v>1197</v>
      </c>
      <c r="E68" s="69" t="s">
        <v>1160</v>
      </c>
      <c r="F68" s="70">
        <v>57</v>
      </c>
      <c r="G68" s="70">
        <v>60222332</v>
      </c>
      <c r="H68" s="69" t="s">
        <v>53</v>
      </c>
      <c r="I68" s="69" t="s">
        <v>918</v>
      </c>
      <c r="J68" s="69" t="s">
        <v>325</v>
      </c>
      <c r="K68" s="69" t="s">
        <v>382</v>
      </c>
      <c r="L68" s="69" t="s">
        <v>887</v>
      </c>
      <c r="M68" s="69" t="s">
        <v>388</v>
      </c>
      <c r="O68" s="69" t="s">
        <v>386</v>
      </c>
      <c r="P68" s="69" t="s">
        <v>979</v>
      </c>
      <c r="Q68" s="69" t="s">
        <v>1008</v>
      </c>
      <c r="R68" s="69" t="s">
        <v>53</v>
      </c>
      <c r="V68" s="59" t="str">
        <f t="shared" si="11"/>
        <v>60222332черный</v>
      </c>
      <c r="W68" s="59" t="str">
        <f t="shared" si="8"/>
        <v>60222332</v>
      </c>
      <c r="X68" s="59" t="str">
        <f t="shared" si="12"/>
        <v/>
      </c>
      <c r="AC68" s="50">
        <f t="shared" si="13"/>
        <v>96</v>
      </c>
      <c r="AD68" s="43">
        <f t="shared" si="14"/>
        <v>135</v>
      </c>
      <c r="AE68" s="50">
        <f t="shared" si="15"/>
        <v>96135</v>
      </c>
    </row>
    <row r="69" spans="1:31">
      <c r="A69" s="59" t="str">
        <f t="shared" si="9"/>
        <v>60222332blk</v>
      </c>
      <c r="B69" s="59" t="str">
        <f t="shared" si="10"/>
        <v>96-135-09</v>
      </c>
      <c r="C69" s="69" t="s">
        <v>1199</v>
      </c>
      <c r="D69" s="69" t="s">
        <v>1197</v>
      </c>
      <c r="E69" s="69" t="s">
        <v>1167</v>
      </c>
      <c r="F69" s="70">
        <v>55</v>
      </c>
      <c r="G69" s="70">
        <v>60222332</v>
      </c>
      <c r="H69" s="69" t="s">
        <v>53</v>
      </c>
      <c r="I69" s="69" t="s">
        <v>918</v>
      </c>
      <c r="J69" s="69" t="s">
        <v>325</v>
      </c>
      <c r="K69" s="69" t="s">
        <v>382</v>
      </c>
      <c r="L69" s="69" t="s">
        <v>887</v>
      </c>
      <c r="M69" s="69" t="s">
        <v>388</v>
      </c>
      <c r="O69" s="69" t="s">
        <v>386</v>
      </c>
      <c r="P69" s="69" t="s">
        <v>979</v>
      </c>
      <c r="Q69" s="69" t="s">
        <v>1008</v>
      </c>
      <c r="R69" s="69" t="s">
        <v>53</v>
      </c>
      <c r="V69" s="59" t="str">
        <f t="shared" si="11"/>
        <v>60222332черный</v>
      </c>
      <c r="W69" s="59" t="str">
        <f t="shared" si="8"/>
        <v>60222332</v>
      </c>
      <c r="X69" s="59" t="str">
        <f t="shared" si="12"/>
        <v/>
      </c>
      <c r="AC69" s="50">
        <f t="shared" si="13"/>
        <v>96</v>
      </c>
      <c r="AD69" s="43">
        <f t="shared" si="14"/>
        <v>135</v>
      </c>
      <c r="AE69" s="50">
        <f t="shared" si="15"/>
        <v>96135</v>
      </c>
    </row>
    <row r="70" spans="1:31">
      <c r="A70" s="59" t="str">
        <f t="shared" si="9"/>
        <v>60222327blk</v>
      </c>
      <c r="B70" s="59" t="str">
        <f t="shared" si="10"/>
        <v>96-134-09</v>
      </c>
      <c r="C70" s="69" t="s">
        <v>1200</v>
      </c>
      <c r="D70" s="69" t="s">
        <v>1201</v>
      </c>
      <c r="E70" s="69" t="s">
        <v>1160</v>
      </c>
      <c r="F70" s="70">
        <v>57</v>
      </c>
      <c r="G70" s="70">
        <v>60222327</v>
      </c>
      <c r="H70" s="69" t="s">
        <v>53</v>
      </c>
      <c r="I70" s="69" t="s">
        <v>910</v>
      </c>
      <c r="J70" s="69" t="s">
        <v>325</v>
      </c>
      <c r="K70" s="69" t="s">
        <v>382</v>
      </c>
      <c r="L70" s="69" t="s">
        <v>887</v>
      </c>
      <c r="M70" s="69" t="s">
        <v>388</v>
      </c>
      <c r="N70" s="69" t="s">
        <v>43</v>
      </c>
      <c r="O70" s="69" t="s">
        <v>541</v>
      </c>
      <c r="P70" s="69" t="s">
        <v>979</v>
      </c>
      <c r="Q70" s="69" t="s">
        <v>1008</v>
      </c>
      <c r="R70" s="69" t="s">
        <v>53</v>
      </c>
      <c r="V70" s="59" t="str">
        <f t="shared" si="11"/>
        <v>60222327черный</v>
      </c>
      <c r="W70" s="59" t="str">
        <f t="shared" si="8"/>
        <v>60222327</v>
      </c>
      <c r="X70" s="59" t="str">
        <f t="shared" si="12"/>
        <v/>
      </c>
      <c r="AC70" s="50">
        <f t="shared" si="13"/>
        <v>96</v>
      </c>
      <c r="AD70" s="43">
        <f t="shared" si="14"/>
        <v>134</v>
      </c>
      <c r="AE70" s="50">
        <f t="shared" si="15"/>
        <v>96134</v>
      </c>
    </row>
    <row r="71" spans="1:31">
      <c r="A71" s="59" t="str">
        <f t="shared" si="9"/>
        <v>60222310nvy</v>
      </c>
      <c r="B71" s="59" t="str">
        <f t="shared" si="10"/>
        <v>96-133-16</v>
      </c>
      <c r="C71" s="69" t="s">
        <v>1202</v>
      </c>
      <c r="D71" s="69" t="s">
        <v>1203</v>
      </c>
      <c r="E71" s="69" t="s">
        <v>1158</v>
      </c>
      <c r="F71" s="70">
        <v>59</v>
      </c>
      <c r="G71" s="70" t="s">
        <v>1204</v>
      </c>
      <c r="H71" s="69" t="s">
        <v>55</v>
      </c>
      <c r="I71" s="69" t="s">
        <v>910</v>
      </c>
      <c r="J71" s="69" t="s">
        <v>325</v>
      </c>
      <c r="K71" s="69" t="s">
        <v>382</v>
      </c>
      <c r="L71" s="69" t="s">
        <v>887</v>
      </c>
      <c r="M71" s="69" t="s">
        <v>388</v>
      </c>
      <c r="N71" s="69" t="s">
        <v>43</v>
      </c>
      <c r="O71" s="69" t="s">
        <v>541</v>
      </c>
      <c r="P71" s="69" t="s">
        <v>979</v>
      </c>
      <c r="Q71" s="69" t="s">
        <v>1015</v>
      </c>
      <c r="R71" s="69" t="s">
        <v>71</v>
      </c>
      <c r="T71" s="69" t="s">
        <v>911</v>
      </c>
      <c r="U71" s="69" t="s">
        <v>914</v>
      </c>
      <c r="V71" s="59" t="str">
        <f t="shared" si="11"/>
        <v>60222310темно-синий</v>
      </c>
      <c r="W71" s="59" t="str">
        <f t="shared" si="8"/>
        <v>60222310</v>
      </c>
      <c r="X71" s="59" t="str">
        <f t="shared" si="12"/>
        <v>New York Yankees</v>
      </c>
      <c r="AC71" s="50">
        <f t="shared" si="13"/>
        <v>96</v>
      </c>
      <c r="AD71" s="43">
        <f t="shared" si="14"/>
        <v>133</v>
      </c>
      <c r="AE71" s="50">
        <f t="shared" si="15"/>
        <v>96133</v>
      </c>
    </row>
    <row r="72" spans="1:31">
      <c r="A72" s="59" t="str">
        <f t="shared" si="9"/>
        <v>60222310nvy</v>
      </c>
      <c r="B72" s="59" t="str">
        <f t="shared" si="10"/>
        <v>96-133-16</v>
      </c>
      <c r="C72" s="69" t="s">
        <v>1205</v>
      </c>
      <c r="D72" s="69" t="s">
        <v>1203</v>
      </c>
      <c r="E72" s="69" t="s">
        <v>1167</v>
      </c>
      <c r="F72" s="70">
        <v>55</v>
      </c>
      <c r="G72" s="70" t="s">
        <v>1204</v>
      </c>
      <c r="H72" s="69" t="s">
        <v>55</v>
      </c>
      <c r="I72" s="69" t="s">
        <v>910</v>
      </c>
      <c r="J72" s="69" t="s">
        <v>325</v>
      </c>
      <c r="K72" s="69" t="s">
        <v>382</v>
      </c>
      <c r="L72" s="69" t="s">
        <v>887</v>
      </c>
      <c r="M72" s="69" t="s">
        <v>388</v>
      </c>
      <c r="N72" s="69" t="s">
        <v>43</v>
      </c>
      <c r="O72" s="69" t="s">
        <v>541</v>
      </c>
      <c r="P72" s="69" t="s">
        <v>979</v>
      </c>
      <c r="Q72" s="69" t="s">
        <v>1015</v>
      </c>
      <c r="R72" s="69" t="s">
        <v>71</v>
      </c>
      <c r="T72" s="69" t="s">
        <v>911</v>
      </c>
      <c r="U72" s="69" t="s">
        <v>914</v>
      </c>
      <c r="V72" s="59" t="str">
        <f t="shared" si="11"/>
        <v>60222310темно-синий</v>
      </c>
      <c r="W72" s="59" t="str">
        <f t="shared" si="8"/>
        <v>60222310</v>
      </c>
      <c r="X72" s="59" t="str">
        <f t="shared" si="12"/>
        <v>New York Yankees</v>
      </c>
      <c r="AC72" s="50">
        <f t="shared" si="13"/>
        <v>96</v>
      </c>
      <c r="AD72" s="43">
        <f t="shared" si="14"/>
        <v>133</v>
      </c>
      <c r="AE72" s="50">
        <f t="shared" si="15"/>
        <v>96133</v>
      </c>
    </row>
    <row r="73" spans="1:31">
      <c r="A73" s="59" t="str">
        <f t="shared" si="9"/>
        <v>60222258dkg</v>
      </c>
      <c r="B73" s="59" t="str">
        <f t="shared" si="10"/>
        <v>96-132-07</v>
      </c>
      <c r="C73" s="69" t="s">
        <v>1206</v>
      </c>
      <c r="D73" s="69" t="s">
        <v>1207</v>
      </c>
      <c r="E73" s="69" t="s">
        <v>909</v>
      </c>
      <c r="F73" s="70">
        <v>0</v>
      </c>
      <c r="G73" s="70">
        <v>60222258</v>
      </c>
      <c r="H73" s="69" t="s">
        <v>269</v>
      </c>
      <c r="I73" s="69" t="s">
        <v>910</v>
      </c>
      <c r="J73" s="69" t="s">
        <v>356</v>
      </c>
      <c r="K73" s="69" t="s">
        <v>382</v>
      </c>
      <c r="L73" s="69" t="s">
        <v>887</v>
      </c>
      <c r="M73" s="69" t="s">
        <v>388</v>
      </c>
      <c r="N73" s="69" t="s">
        <v>43</v>
      </c>
      <c r="O73" s="69" t="s">
        <v>386</v>
      </c>
      <c r="P73" s="69" t="s">
        <v>979</v>
      </c>
      <c r="Q73" s="69" t="s">
        <v>1208</v>
      </c>
      <c r="R73" s="69" t="s">
        <v>60</v>
      </c>
      <c r="V73" s="59" t="str">
        <f t="shared" si="11"/>
        <v>60222258темно-зеленый</v>
      </c>
      <c r="W73" s="59" t="str">
        <f t="shared" si="8"/>
        <v>60222258</v>
      </c>
      <c r="X73" s="59" t="str">
        <f t="shared" si="12"/>
        <v/>
      </c>
      <c r="AC73" s="50">
        <f t="shared" si="13"/>
        <v>96</v>
      </c>
      <c r="AD73" s="43">
        <f t="shared" si="14"/>
        <v>132</v>
      </c>
      <c r="AE73" s="50">
        <f t="shared" si="15"/>
        <v>96132</v>
      </c>
    </row>
    <row r="74" spans="1:31">
      <c r="A74" s="59" t="str">
        <f t="shared" si="9"/>
        <v>60222255urc</v>
      </c>
      <c r="B74" s="59" t="str">
        <f t="shared" si="10"/>
        <v>96-131-00</v>
      </c>
      <c r="C74" s="69" t="s">
        <v>1209</v>
      </c>
      <c r="D74" s="69" t="s">
        <v>1210</v>
      </c>
      <c r="E74" s="69" t="s">
        <v>1158</v>
      </c>
      <c r="F74" s="70">
        <v>59</v>
      </c>
      <c r="G74" s="70">
        <v>60222255</v>
      </c>
      <c r="H74" s="69" t="s">
        <v>847</v>
      </c>
      <c r="I74" s="69" t="s">
        <v>910</v>
      </c>
      <c r="J74" s="69" t="s">
        <v>325</v>
      </c>
      <c r="K74" s="69" t="s">
        <v>382</v>
      </c>
      <c r="L74" s="69" t="s">
        <v>887</v>
      </c>
      <c r="M74" s="69" t="s">
        <v>388</v>
      </c>
      <c r="N74" s="69" t="s">
        <v>43</v>
      </c>
      <c r="O74" s="69" t="s">
        <v>386</v>
      </c>
      <c r="P74" s="69" t="s">
        <v>979</v>
      </c>
      <c r="Q74" s="69" t="s">
        <v>1211</v>
      </c>
      <c r="R74" s="69" t="s">
        <v>60</v>
      </c>
      <c r="V74" s="59" t="str">
        <f t="shared" si="11"/>
        <v>60222255камуфляж / белый</v>
      </c>
      <c r="W74" s="59" t="str">
        <f t="shared" si="8"/>
        <v>60222255</v>
      </c>
      <c r="X74" s="59" t="str">
        <f t="shared" si="12"/>
        <v/>
      </c>
      <c r="AC74" s="50">
        <f t="shared" si="13"/>
        <v>96</v>
      </c>
      <c r="AD74" s="43">
        <f t="shared" si="14"/>
        <v>131</v>
      </c>
      <c r="AE74" s="50">
        <f t="shared" si="15"/>
        <v>96131</v>
      </c>
    </row>
    <row r="75" spans="1:31">
      <c r="A75" s="59" t="str">
        <f t="shared" si="9"/>
        <v>60222255urc</v>
      </c>
      <c r="B75" s="59" t="str">
        <f t="shared" si="10"/>
        <v>96-131-00</v>
      </c>
      <c r="C75" s="69" t="s">
        <v>1212</v>
      </c>
      <c r="D75" s="69" t="s">
        <v>1210</v>
      </c>
      <c r="E75" s="69" t="s">
        <v>1160</v>
      </c>
      <c r="F75" s="70">
        <v>57</v>
      </c>
      <c r="G75" s="70">
        <v>60222255</v>
      </c>
      <c r="H75" s="69" t="s">
        <v>847</v>
      </c>
      <c r="I75" s="69" t="s">
        <v>910</v>
      </c>
      <c r="J75" s="69" t="s">
        <v>325</v>
      </c>
      <c r="K75" s="69" t="s">
        <v>382</v>
      </c>
      <c r="L75" s="69" t="s">
        <v>887</v>
      </c>
      <c r="M75" s="69" t="s">
        <v>388</v>
      </c>
      <c r="N75" s="69" t="s">
        <v>43</v>
      </c>
      <c r="O75" s="69" t="s">
        <v>386</v>
      </c>
      <c r="P75" s="69" t="s">
        <v>979</v>
      </c>
      <c r="Q75" s="69" t="s">
        <v>1211</v>
      </c>
      <c r="R75" s="69" t="s">
        <v>60</v>
      </c>
      <c r="V75" s="59" t="str">
        <f t="shared" si="11"/>
        <v>60222255камуфляж / белый</v>
      </c>
      <c r="W75" s="59" t="str">
        <f t="shared" si="8"/>
        <v>60222255</v>
      </c>
      <c r="X75" s="59" t="str">
        <f t="shared" si="12"/>
        <v/>
      </c>
      <c r="AC75" s="50">
        <f t="shared" si="13"/>
        <v>96</v>
      </c>
      <c r="AD75" s="43">
        <f t="shared" si="14"/>
        <v>131</v>
      </c>
      <c r="AE75" s="50">
        <f t="shared" si="15"/>
        <v>96131</v>
      </c>
    </row>
    <row r="76" spans="1:31">
      <c r="A76" s="59" t="str">
        <f t="shared" si="9"/>
        <v>60222255urc</v>
      </c>
      <c r="B76" s="59" t="str">
        <f t="shared" si="10"/>
        <v>96-131-00</v>
      </c>
      <c r="C76" s="69" t="s">
        <v>1213</v>
      </c>
      <c r="D76" s="69" t="s">
        <v>1210</v>
      </c>
      <c r="E76" s="69" t="s">
        <v>1167</v>
      </c>
      <c r="F76" s="70">
        <v>55</v>
      </c>
      <c r="G76" s="70">
        <v>60222255</v>
      </c>
      <c r="H76" s="69" t="s">
        <v>847</v>
      </c>
      <c r="I76" s="69" t="s">
        <v>910</v>
      </c>
      <c r="J76" s="69" t="s">
        <v>325</v>
      </c>
      <c r="K76" s="69" t="s">
        <v>382</v>
      </c>
      <c r="L76" s="69" t="s">
        <v>887</v>
      </c>
      <c r="M76" s="69" t="s">
        <v>388</v>
      </c>
      <c r="N76" s="69" t="s">
        <v>43</v>
      </c>
      <c r="O76" s="69" t="s">
        <v>386</v>
      </c>
      <c r="P76" s="69" t="s">
        <v>979</v>
      </c>
      <c r="Q76" s="69" t="s">
        <v>1211</v>
      </c>
      <c r="R76" s="69" t="s">
        <v>60</v>
      </c>
      <c r="V76" s="59" t="str">
        <f t="shared" si="11"/>
        <v>60222255камуфляж / белый</v>
      </c>
      <c r="W76" s="59" t="str">
        <f t="shared" si="8"/>
        <v>60222255</v>
      </c>
      <c r="X76" s="59" t="str">
        <f t="shared" si="12"/>
        <v/>
      </c>
      <c r="AC76" s="50">
        <f t="shared" si="13"/>
        <v>96</v>
      </c>
      <c r="AD76" s="43">
        <f t="shared" si="14"/>
        <v>131</v>
      </c>
      <c r="AE76" s="50">
        <f t="shared" si="15"/>
        <v>96131</v>
      </c>
    </row>
    <row r="77" spans="1:31">
      <c r="A77" s="59" t="str">
        <f t="shared" si="9"/>
        <v>60222249atb</v>
      </c>
      <c r="B77" s="59" t="str">
        <f t="shared" si="10"/>
        <v>96-130-06</v>
      </c>
      <c r="C77" s="69" t="s">
        <v>1214</v>
      </c>
      <c r="D77" s="69" t="s">
        <v>1215</v>
      </c>
      <c r="E77" s="69" t="s">
        <v>1158</v>
      </c>
      <c r="F77" s="70">
        <v>59</v>
      </c>
      <c r="G77" s="70">
        <v>60222249</v>
      </c>
      <c r="H77" s="69" t="s">
        <v>71</v>
      </c>
      <c r="I77" s="69" t="s">
        <v>910</v>
      </c>
      <c r="J77" s="69" t="s">
        <v>325</v>
      </c>
      <c r="K77" s="69" t="s">
        <v>382</v>
      </c>
      <c r="L77" s="69" t="s">
        <v>887</v>
      </c>
      <c r="M77" s="69" t="s">
        <v>388</v>
      </c>
      <c r="N77" s="69" t="s">
        <v>43</v>
      </c>
      <c r="O77" s="69" t="s">
        <v>541</v>
      </c>
      <c r="P77" s="69" t="s">
        <v>979</v>
      </c>
      <c r="Q77" s="69" t="s">
        <v>1100</v>
      </c>
      <c r="R77" s="69" t="s">
        <v>71</v>
      </c>
      <c r="V77" s="59" t="str">
        <f t="shared" si="11"/>
        <v>60222249синий</v>
      </c>
      <c r="W77" s="59" t="str">
        <f t="shared" si="8"/>
        <v>60222249</v>
      </c>
      <c r="X77" s="59" t="str">
        <f t="shared" si="12"/>
        <v/>
      </c>
      <c r="AC77" s="50">
        <f t="shared" si="13"/>
        <v>96</v>
      </c>
      <c r="AD77" s="43">
        <f t="shared" si="14"/>
        <v>130</v>
      </c>
      <c r="AE77" s="50">
        <f t="shared" si="15"/>
        <v>96130</v>
      </c>
    </row>
    <row r="78" spans="1:31">
      <c r="A78" s="59" t="str">
        <f t="shared" si="9"/>
        <v>60222249atb</v>
      </c>
      <c r="B78" s="59" t="str">
        <f t="shared" si="10"/>
        <v>96-130-06</v>
      </c>
      <c r="C78" s="69" t="s">
        <v>1216</v>
      </c>
      <c r="D78" s="69" t="s">
        <v>1215</v>
      </c>
      <c r="E78" s="69" t="s">
        <v>1160</v>
      </c>
      <c r="F78" s="70">
        <v>57</v>
      </c>
      <c r="G78" s="70">
        <v>60222249</v>
      </c>
      <c r="H78" s="69" t="s">
        <v>71</v>
      </c>
      <c r="I78" s="69" t="s">
        <v>910</v>
      </c>
      <c r="J78" s="69" t="s">
        <v>325</v>
      </c>
      <c r="K78" s="69" t="s">
        <v>382</v>
      </c>
      <c r="L78" s="69" t="s">
        <v>887</v>
      </c>
      <c r="M78" s="69" t="s">
        <v>388</v>
      </c>
      <c r="N78" s="69" t="s">
        <v>43</v>
      </c>
      <c r="O78" s="69" t="s">
        <v>541</v>
      </c>
      <c r="P78" s="69" t="s">
        <v>979</v>
      </c>
      <c r="Q78" s="69" t="s">
        <v>1100</v>
      </c>
      <c r="R78" s="69" t="s">
        <v>71</v>
      </c>
      <c r="V78" s="59" t="str">
        <f t="shared" si="11"/>
        <v>60222249синий</v>
      </c>
      <c r="W78" s="59" t="str">
        <f t="shared" si="8"/>
        <v>60222249</v>
      </c>
      <c r="X78" s="59" t="str">
        <f t="shared" si="12"/>
        <v/>
      </c>
      <c r="AC78" s="50">
        <f t="shared" si="13"/>
        <v>96</v>
      </c>
      <c r="AD78" s="43">
        <f t="shared" si="14"/>
        <v>130</v>
      </c>
      <c r="AE78" s="50">
        <f t="shared" si="15"/>
        <v>96130</v>
      </c>
    </row>
    <row r="79" spans="1:31">
      <c r="A79" s="59" t="str">
        <f t="shared" si="9"/>
        <v>60222249atb</v>
      </c>
      <c r="B79" s="59" t="str">
        <f t="shared" si="10"/>
        <v>96-130-06</v>
      </c>
      <c r="C79" s="69" t="s">
        <v>1217</v>
      </c>
      <c r="D79" s="69" t="s">
        <v>1215</v>
      </c>
      <c r="E79" s="69" t="s">
        <v>1167</v>
      </c>
      <c r="F79" s="70">
        <v>55</v>
      </c>
      <c r="G79" s="70">
        <v>60222249</v>
      </c>
      <c r="H79" s="69" t="s">
        <v>71</v>
      </c>
      <c r="I79" s="69" t="s">
        <v>910</v>
      </c>
      <c r="J79" s="69" t="s">
        <v>325</v>
      </c>
      <c r="K79" s="69" t="s">
        <v>382</v>
      </c>
      <c r="L79" s="69" t="s">
        <v>887</v>
      </c>
      <c r="M79" s="69" t="s">
        <v>388</v>
      </c>
      <c r="N79" s="69" t="s">
        <v>43</v>
      </c>
      <c r="O79" s="69" t="s">
        <v>541</v>
      </c>
      <c r="P79" s="69" t="s">
        <v>979</v>
      </c>
      <c r="Q79" s="69" t="s">
        <v>1100</v>
      </c>
      <c r="R79" s="69" t="s">
        <v>71</v>
      </c>
      <c r="V79" s="59" t="str">
        <f t="shared" si="11"/>
        <v>60222249синий</v>
      </c>
      <c r="W79" s="59" t="str">
        <f t="shared" si="8"/>
        <v>60222249</v>
      </c>
      <c r="X79" s="59" t="str">
        <f t="shared" si="12"/>
        <v/>
      </c>
      <c r="AC79" s="50">
        <f t="shared" si="13"/>
        <v>96</v>
      </c>
      <c r="AD79" s="43">
        <f t="shared" si="14"/>
        <v>130</v>
      </c>
      <c r="AE79" s="50">
        <f t="shared" si="15"/>
        <v>96130</v>
      </c>
    </row>
    <row r="80" spans="1:31">
      <c r="A80" s="59" t="str">
        <f t="shared" si="9"/>
        <v>60222227stn</v>
      </c>
      <c r="B80" s="59" t="str">
        <f t="shared" si="10"/>
        <v>96-129-17</v>
      </c>
      <c r="C80" s="69" t="s">
        <v>1218</v>
      </c>
      <c r="D80" s="69" t="s">
        <v>1219</v>
      </c>
      <c r="E80" s="69" t="s">
        <v>1158</v>
      </c>
      <c r="F80" s="70">
        <v>59</v>
      </c>
      <c r="G80" s="70">
        <v>60222227</v>
      </c>
      <c r="H80" s="69" t="s">
        <v>57</v>
      </c>
      <c r="I80" s="69" t="s">
        <v>910</v>
      </c>
      <c r="J80" s="69" t="s">
        <v>325</v>
      </c>
      <c r="K80" s="69" t="s">
        <v>382</v>
      </c>
      <c r="L80" s="69" t="s">
        <v>887</v>
      </c>
      <c r="M80" s="69" t="s">
        <v>388</v>
      </c>
      <c r="N80" s="69" t="s">
        <v>43</v>
      </c>
      <c r="O80" s="69" t="s">
        <v>541</v>
      </c>
      <c r="P80" s="69" t="s">
        <v>979</v>
      </c>
      <c r="Q80" s="69" t="s">
        <v>1220</v>
      </c>
      <c r="R80" s="69" t="s">
        <v>57</v>
      </c>
      <c r="V80" s="59" t="str">
        <f t="shared" si="11"/>
        <v>60222227белый</v>
      </c>
      <c r="W80" s="59" t="str">
        <f t="shared" si="8"/>
        <v>60222227</v>
      </c>
      <c r="X80" s="59" t="str">
        <f t="shared" si="12"/>
        <v/>
      </c>
      <c r="AC80" s="50">
        <f t="shared" si="13"/>
        <v>96</v>
      </c>
      <c r="AD80" s="43">
        <f t="shared" si="14"/>
        <v>129</v>
      </c>
      <c r="AE80" s="50">
        <f t="shared" si="15"/>
        <v>96129</v>
      </c>
    </row>
    <row r="81" spans="1:31">
      <c r="A81" s="59" t="str">
        <f t="shared" si="9"/>
        <v>60222227stn</v>
      </c>
      <c r="B81" s="59" t="str">
        <f t="shared" si="10"/>
        <v>96-129-17</v>
      </c>
      <c r="C81" s="69" t="s">
        <v>1221</v>
      </c>
      <c r="D81" s="69" t="s">
        <v>1219</v>
      </c>
      <c r="E81" s="69" t="s">
        <v>1160</v>
      </c>
      <c r="F81" s="70">
        <v>57</v>
      </c>
      <c r="G81" s="70">
        <v>60222227</v>
      </c>
      <c r="H81" s="69" t="s">
        <v>57</v>
      </c>
      <c r="I81" s="69" t="s">
        <v>910</v>
      </c>
      <c r="J81" s="69" t="s">
        <v>325</v>
      </c>
      <c r="K81" s="69" t="s">
        <v>382</v>
      </c>
      <c r="L81" s="69" t="s">
        <v>887</v>
      </c>
      <c r="M81" s="69" t="s">
        <v>388</v>
      </c>
      <c r="N81" s="69" t="s">
        <v>43</v>
      </c>
      <c r="O81" s="69" t="s">
        <v>541</v>
      </c>
      <c r="P81" s="69" t="s">
        <v>979</v>
      </c>
      <c r="Q81" s="69" t="s">
        <v>1220</v>
      </c>
      <c r="R81" s="69" t="s">
        <v>57</v>
      </c>
      <c r="V81" s="59" t="str">
        <f t="shared" si="11"/>
        <v>60222227белый</v>
      </c>
      <c r="W81" s="59" t="str">
        <f t="shared" si="8"/>
        <v>60222227</v>
      </c>
      <c r="X81" s="59" t="str">
        <f t="shared" si="12"/>
        <v/>
      </c>
      <c r="AC81" s="50">
        <f t="shared" si="13"/>
        <v>96</v>
      </c>
      <c r="AD81" s="43">
        <f t="shared" si="14"/>
        <v>129</v>
      </c>
      <c r="AE81" s="50">
        <f t="shared" si="15"/>
        <v>96129</v>
      </c>
    </row>
    <row r="82" spans="1:31">
      <c r="A82" s="59" t="str">
        <f t="shared" si="9"/>
        <v>60222226nov</v>
      </c>
      <c r="B82" s="59" t="str">
        <f t="shared" si="10"/>
        <v>96-128-03</v>
      </c>
      <c r="C82" s="69" t="s">
        <v>1222</v>
      </c>
      <c r="D82" s="69" t="s">
        <v>1223</v>
      </c>
      <c r="E82" s="69" t="s">
        <v>1158</v>
      </c>
      <c r="F82" s="70">
        <v>59</v>
      </c>
      <c r="G82" s="70">
        <v>60222226</v>
      </c>
      <c r="H82" s="69" t="s">
        <v>195</v>
      </c>
      <c r="I82" s="69" t="s">
        <v>910</v>
      </c>
      <c r="J82" s="69" t="s">
        <v>325</v>
      </c>
      <c r="K82" s="69" t="s">
        <v>382</v>
      </c>
      <c r="L82" s="69" t="s">
        <v>887</v>
      </c>
      <c r="M82" s="69" t="s">
        <v>388</v>
      </c>
      <c r="N82" s="69" t="s">
        <v>43</v>
      </c>
      <c r="O82" s="69" t="s">
        <v>541</v>
      </c>
      <c r="P82" s="69" t="s">
        <v>979</v>
      </c>
      <c r="Q82" s="69" t="s">
        <v>988</v>
      </c>
      <c r="R82" s="69" t="s">
        <v>195</v>
      </c>
      <c r="V82" s="59" t="str">
        <f t="shared" si="11"/>
        <v>60222226оливковый</v>
      </c>
      <c r="W82" s="59" t="str">
        <f t="shared" si="8"/>
        <v>60222226</v>
      </c>
      <c r="X82" s="59" t="str">
        <f t="shared" si="12"/>
        <v/>
      </c>
      <c r="AC82" s="50">
        <f t="shared" si="13"/>
        <v>96</v>
      </c>
      <c r="AD82" s="43">
        <f t="shared" si="14"/>
        <v>128</v>
      </c>
      <c r="AE82" s="50">
        <f t="shared" si="15"/>
        <v>96128</v>
      </c>
    </row>
    <row r="83" spans="1:31">
      <c r="A83" s="59" t="str">
        <f t="shared" si="9"/>
        <v>60222226nov</v>
      </c>
      <c r="B83" s="59" t="str">
        <f t="shared" si="10"/>
        <v>96-128-03</v>
      </c>
      <c r="C83" s="69" t="s">
        <v>1224</v>
      </c>
      <c r="D83" s="69" t="s">
        <v>1223</v>
      </c>
      <c r="E83" s="69" t="s">
        <v>1160</v>
      </c>
      <c r="F83" s="70">
        <v>57</v>
      </c>
      <c r="G83" s="70">
        <v>60222226</v>
      </c>
      <c r="H83" s="69" t="s">
        <v>195</v>
      </c>
      <c r="I83" s="69" t="s">
        <v>910</v>
      </c>
      <c r="J83" s="69" t="s">
        <v>325</v>
      </c>
      <c r="K83" s="69" t="s">
        <v>382</v>
      </c>
      <c r="L83" s="69" t="s">
        <v>887</v>
      </c>
      <c r="M83" s="69" t="s">
        <v>388</v>
      </c>
      <c r="N83" s="69" t="s">
        <v>43</v>
      </c>
      <c r="O83" s="69" t="s">
        <v>541</v>
      </c>
      <c r="P83" s="69" t="s">
        <v>979</v>
      </c>
      <c r="Q83" s="69" t="s">
        <v>988</v>
      </c>
      <c r="R83" s="69" t="s">
        <v>195</v>
      </c>
      <c r="V83" s="59" t="str">
        <f t="shared" si="11"/>
        <v>60222226оливковый</v>
      </c>
      <c r="W83" s="59" t="str">
        <f t="shared" si="8"/>
        <v>60222226</v>
      </c>
      <c r="X83" s="59" t="str">
        <f t="shared" si="12"/>
        <v/>
      </c>
      <c r="AC83" s="50">
        <f t="shared" si="13"/>
        <v>96</v>
      </c>
      <c r="AD83" s="43">
        <f t="shared" si="14"/>
        <v>128</v>
      </c>
      <c r="AE83" s="50">
        <f t="shared" si="15"/>
        <v>96128</v>
      </c>
    </row>
    <row r="84" spans="1:31">
      <c r="A84" s="59" t="str">
        <f t="shared" si="9"/>
        <v>60222226nov</v>
      </c>
      <c r="B84" s="59" t="str">
        <f t="shared" si="10"/>
        <v>96-128-03</v>
      </c>
      <c r="C84" s="69" t="s">
        <v>1225</v>
      </c>
      <c r="D84" s="69" t="s">
        <v>1223</v>
      </c>
      <c r="E84" s="69" t="s">
        <v>1167</v>
      </c>
      <c r="F84" s="70">
        <v>55</v>
      </c>
      <c r="G84" s="70">
        <v>60222226</v>
      </c>
      <c r="H84" s="69" t="s">
        <v>195</v>
      </c>
      <c r="I84" s="69" t="s">
        <v>910</v>
      </c>
      <c r="J84" s="69" t="s">
        <v>325</v>
      </c>
      <c r="K84" s="69" t="s">
        <v>382</v>
      </c>
      <c r="L84" s="69" t="s">
        <v>887</v>
      </c>
      <c r="M84" s="69" t="s">
        <v>388</v>
      </c>
      <c r="N84" s="69" t="s">
        <v>43</v>
      </c>
      <c r="O84" s="69" t="s">
        <v>541</v>
      </c>
      <c r="P84" s="69" t="s">
        <v>979</v>
      </c>
      <c r="Q84" s="69" t="s">
        <v>988</v>
      </c>
      <c r="R84" s="69" t="s">
        <v>195</v>
      </c>
      <c r="V84" s="59" t="str">
        <f t="shared" si="11"/>
        <v>60222226оливковый</v>
      </c>
      <c r="W84" s="59" t="str">
        <f t="shared" si="8"/>
        <v>60222226</v>
      </c>
      <c r="X84" s="59" t="str">
        <f t="shared" si="12"/>
        <v/>
      </c>
      <c r="AC84" s="50">
        <f t="shared" si="13"/>
        <v>96</v>
      </c>
      <c r="AD84" s="43">
        <f t="shared" si="14"/>
        <v>128</v>
      </c>
      <c r="AE84" s="50">
        <f t="shared" si="15"/>
        <v>96128</v>
      </c>
    </row>
    <row r="85" spans="1:31">
      <c r="A85" s="59" t="str">
        <f t="shared" si="9"/>
        <v>60221462blk</v>
      </c>
      <c r="B85" s="59" t="str">
        <f t="shared" si="10"/>
        <v>96-127-09</v>
      </c>
      <c r="C85" s="69" t="s">
        <v>1226</v>
      </c>
      <c r="D85" s="69" t="s">
        <v>1227</v>
      </c>
      <c r="E85" s="69" t="s">
        <v>909</v>
      </c>
      <c r="F85" s="70">
        <v>0</v>
      </c>
      <c r="G85" s="70" t="s">
        <v>1228</v>
      </c>
      <c r="H85" s="69" t="s">
        <v>53</v>
      </c>
      <c r="I85" s="69" t="s">
        <v>910</v>
      </c>
      <c r="J85" s="69" t="s">
        <v>327</v>
      </c>
      <c r="K85" s="69" t="s">
        <v>382</v>
      </c>
      <c r="L85" s="69" t="s">
        <v>887</v>
      </c>
      <c r="M85" s="69" t="s">
        <v>388</v>
      </c>
      <c r="N85" s="69" t="s">
        <v>43</v>
      </c>
      <c r="O85" s="69" t="s">
        <v>541</v>
      </c>
      <c r="P85" s="69" t="s">
        <v>979</v>
      </c>
      <c r="Q85" s="69" t="s">
        <v>1008</v>
      </c>
      <c r="R85" s="69" t="s">
        <v>53</v>
      </c>
      <c r="T85" s="69" t="s">
        <v>921</v>
      </c>
      <c r="U85" s="69" t="s">
        <v>1229</v>
      </c>
      <c r="V85" s="59" t="str">
        <f t="shared" si="11"/>
        <v>60221462черный</v>
      </c>
      <c r="W85" s="59" t="str">
        <f t="shared" si="8"/>
        <v>60221462</v>
      </c>
      <c r="X85" s="59" t="str">
        <f t="shared" si="12"/>
        <v>Manchester United</v>
      </c>
      <c r="AC85" s="50">
        <f t="shared" si="13"/>
        <v>96</v>
      </c>
      <c r="AD85" s="43">
        <f t="shared" si="14"/>
        <v>127</v>
      </c>
      <c r="AE85" s="50">
        <f t="shared" si="15"/>
        <v>96127</v>
      </c>
    </row>
    <row r="86" spans="1:31">
      <c r="A86" s="59" t="str">
        <f t="shared" si="9"/>
        <v>60179011nvy</v>
      </c>
      <c r="B86" s="59" t="str">
        <f t="shared" si="10"/>
        <v>96-126-16</v>
      </c>
      <c r="C86" s="69" t="s">
        <v>1230</v>
      </c>
      <c r="D86" s="69" t="s">
        <v>1231</v>
      </c>
      <c r="E86" s="69" t="s">
        <v>909</v>
      </c>
      <c r="F86" s="70">
        <v>0</v>
      </c>
      <c r="G86" s="70" t="s">
        <v>1232</v>
      </c>
      <c r="H86" s="69" t="s">
        <v>55</v>
      </c>
      <c r="I86" s="69" t="s">
        <v>910</v>
      </c>
      <c r="J86" s="69" t="s">
        <v>327</v>
      </c>
      <c r="K86" s="69" t="s">
        <v>382</v>
      </c>
      <c r="L86" s="69" t="s">
        <v>887</v>
      </c>
      <c r="M86" s="69" t="s">
        <v>388</v>
      </c>
      <c r="N86" s="69" t="s">
        <v>43</v>
      </c>
      <c r="O86" s="69" t="s">
        <v>386</v>
      </c>
      <c r="P86" s="69" t="s">
        <v>979</v>
      </c>
      <c r="Q86" s="69" t="s">
        <v>1015</v>
      </c>
      <c r="R86" s="69" t="s">
        <v>71</v>
      </c>
      <c r="T86" s="69" t="s">
        <v>921</v>
      </c>
      <c r="U86" s="69" t="s">
        <v>1233</v>
      </c>
      <c r="V86" s="59" t="str">
        <f t="shared" si="11"/>
        <v>60179011темно-синий</v>
      </c>
      <c r="W86" s="59" t="str">
        <f t="shared" si="8"/>
        <v>60179011</v>
      </c>
      <c r="X86" s="59" t="str">
        <f t="shared" si="12"/>
        <v>Crystal Palace EPL</v>
      </c>
      <c r="AC86" s="50">
        <f t="shared" si="13"/>
        <v>96</v>
      </c>
      <c r="AD86" s="43">
        <f t="shared" si="14"/>
        <v>126</v>
      </c>
      <c r="AE86" s="50">
        <f t="shared" si="15"/>
        <v>96126</v>
      </c>
    </row>
    <row r="87" spans="1:31">
      <c r="A87" s="59" t="str">
        <f t="shared" si="9"/>
        <v>60144011grp</v>
      </c>
      <c r="B87" s="59" t="str">
        <f t="shared" si="10"/>
        <v>96-125-80</v>
      </c>
      <c r="C87" s="69" t="s">
        <v>1234</v>
      </c>
      <c r="D87" s="69" t="s">
        <v>1235</v>
      </c>
      <c r="E87" s="69" t="s">
        <v>909</v>
      </c>
      <c r="F87" s="70">
        <v>0</v>
      </c>
      <c r="G87" s="70">
        <v>60144011</v>
      </c>
      <c r="H87" s="69" t="s">
        <v>83</v>
      </c>
      <c r="I87" s="69" t="s">
        <v>1236</v>
      </c>
      <c r="J87" s="69" t="s">
        <v>340</v>
      </c>
      <c r="K87" s="69" t="s">
        <v>387</v>
      </c>
      <c r="L87" s="69" t="s">
        <v>887</v>
      </c>
      <c r="M87" s="69" t="s">
        <v>389</v>
      </c>
      <c r="O87" s="69" t="s">
        <v>386</v>
      </c>
      <c r="P87" s="69" t="s">
        <v>979</v>
      </c>
      <c r="Q87" s="69" t="s">
        <v>1190</v>
      </c>
      <c r="R87" s="69" t="s">
        <v>83</v>
      </c>
      <c r="V87" s="59" t="str">
        <f t="shared" si="11"/>
        <v>60144011серый</v>
      </c>
      <c r="W87" s="59" t="str">
        <f t="shared" si="8"/>
        <v>60144011</v>
      </c>
      <c r="X87" s="59" t="str">
        <f t="shared" si="12"/>
        <v/>
      </c>
      <c r="AC87" s="50">
        <f t="shared" si="13"/>
        <v>96</v>
      </c>
      <c r="AD87" s="43">
        <f t="shared" si="14"/>
        <v>125</v>
      </c>
      <c r="AE87" s="50">
        <f t="shared" si="15"/>
        <v>96125</v>
      </c>
    </row>
    <row r="88" spans="1:31">
      <c r="A88" s="59" t="str">
        <f t="shared" si="9"/>
        <v>60144009blu</v>
      </c>
      <c r="B88" s="59" t="str">
        <f t="shared" si="10"/>
        <v>96-124-01</v>
      </c>
      <c r="C88" s="69" t="s">
        <v>1237</v>
      </c>
      <c r="D88" s="69" t="s">
        <v>1238</v>
      </c>
      <c r="E88" s="69" t="s">
        <v>909</v>
      </c>
      <c r="F88" s="70">
        <v>0</v>
      </c>
      <c r="G88" s="70">
        <v>60144009</v>
      </c>
      <c r="H88" s="69" t="s">
        <v>120</v>
      </c>
      <c r="I88" s="69" t="s">
        <v>1236</v>
      </c>
      <c r="J88" s="69" t="s">
        <v>340</v>
      </c>
      <c r="K88" s="69" t="s">
        <v>387</v>
      </c>
      <c r="L88" s="69" t="s">
        <v>887</v>
      </c>
      <c r="M88" s="69" t="s">
        <v>389</v>
      </c>
      <c r="O88" s="69" t="s">
        <v>386</v>
      </c>
      <c r="P88" s="69" t="s">
        <v>979</v>
      </c>
      <c r="Q88" s="69" t="s">
        <v>1239</v>
      </c>
      <c r="R88" s="69" t="s">
        <v>91</v>
      </c>
      <c r="V88" s="59" t="str">
        <f t="shared" si="11"/>
        <v>60144009бирюзовый</v>
      </c>
      <c r="W88" s="59" t="str">
        <f t="shared" si="8"/>
        <v>60144009</v>
      </c>
      <c r="X88" s="59" t="str">
        <f t="shared" si="12"/>
        <v/>
      </c>
      <c r="AC88" s="50">
        <f t="shared" si="13"/>
        <v>96</v>
      </c>
      <c r="AD88" s="43">
        <f t="shared" si="14"/>
        <v>124</v>
      </c>
      <c r="AE88" s="50">
        <f t="shared" si="15"/>
        <v>96124</v>
      </c>
    </row>
    <row r="89" spans="1:31">
      <c r="A89" s="59" t="str">
        <f t="shared" si="9"/>
        <v>60143425lnv</v>
      </c>
      <c r="B89" s="59" t="str">
        <f t="shared" si="10"/>
        <v>96-123-16</v>
      </c>
      <c r="C89" s="69" t="s">
        <v>1240</v>
      </c>
      <c r="D89" s="69" t="s">
        <v>1241</v>
      </c>
      <c r="E89" s="69" t="s">
        <v>909</v>
      </c>
      <c r="F89" s="70">
        <v>0</v>
      </c>
      <c r="G89" s="70" t="s">
        <v>1242</v>
      </c>
      <c r="H89" s="69" t="s">
        <v>55</v>
      </c>
      <c r="I89" s="69" t="s">
        <v>1236</v>
      </c>
      <c r="J89" s="69" t="s">
        <v>340</v>
      </c>
      <c r="K89" s="69" t="s">
        <v>382</v>
      </c>
      <c r="L89" s="69" t="s">
        <v>887</v>
      </c>
      <c r="M89" s="69" t="s">
        <v>389</v>
      </c>
      <c r="O89" s="69" t="s">
        <v>386</v>
      </c>
      <c r="P89" s="69" t="s">
        <v>979</v>
      </c>
      <c r="Q89" s="69" t="s">
        <v>1244</v>
      </c>
      <c r="R89" s="69" t="s">
        <v>71</v>
      </c>
      <c r="T89" s="69" t="s">
        <v>921</v>
      </c>
      <c r="U89" s="69" t="s">
        <v>1243</v>
      </c>
      <c r="V89" s="59" t="str">
        <f t="shared" si="11"/>
        <v>60143425темно-синий</v>
      </c>
      <c r="W89" s="59" t="str">
        <f t="shared" si="8"/>
        <v>60143425</v>
      </c>
      <c r="X89" s="59" t="str">
        <f t="shared" si="12"/>
        <v>Tottenham Hotspur EPL</v>
      </c>
      <c r="AC89" s="50">
        <f t="shared" si="13"/>
        <v>96</v>
      </c>
      <c r="AD89" s="43">
        <f t="shared" si="14"/>
        <v>123</v>
      </c>
      <c r="AE89" s="50">
        <f t="shared" si="15"/>
        <v>96123</v>
      </c>
    </row>
    <row r="90" spans="1:31">
      <c r="A90" s="59" t="str">
        <f t="shared" si="9"/>
        <v>60143421whi</v>
      </c>
      <c r="B90" s="59" t="str">
        <f t="shared" si="10"/>
        <v>96-122-17</v>
      </c>
      <c r="C90" s="69" t="s">
        <v>1245</v>
      </c>
      <c r="D90" s="69" t="s">
        <v>1246</v>
      </c>
      <c r="E90" s="69" t="s">
        <v>909</v>
      </c>
      <c r="F90" s="70">
        <v>0</v>
      </c>
      <c r="G90" s="70" t="s">
        <v>1247</v>
      </c>
      <c r="H90" s="69" t="s">
        <v>57</v>
      </c>
      <c r="I90" s="69" t="s">
        <v>918</v>
      </c>
      <c r="J90" s="69" t="s">
        <v>327</v>
      </c>
      <c r="K90" s="69" t="s">
        <v>382</v>
      </c>
      <c r="L90" s="69" t="s">
        <v>887</v>
      </c>
      <c r="M90" s="69" t="s">
        <v>388</v>
      </c>
      <c r="O90" s="69" t="s">
        <v>386</v>
      </c>
      <c r="P90" s="69" t="s">
        <v>979</v>
      </c>
      <c r="Q90" s="69" t="s">
        <v>996</v>
      </c>
      <c r="R90" s="69" t="s">
        <v>57</v>
      </c>
      <c r="T90" s="69" t="s">
        <v>921</v>
      </c>
      <c r="U90" s="69" t="s">
        <v>1243</v>
      </c>
      <c r="V90" s="59" t="str">
        <f t="shared" si="11"/>
        <v>60143421белый</v>
      </c>
      <c r="W90" s="59" t="str">
        <f t="shared" si="8"/>
        <v>60143421</v>
      </c>
      <c r="X90" s="59" t="str">
        <f t="shared" si="12"/>
        <v>Tottenham Hotspur EPL</v>
      </c>
      <c r="AC90" s="50">
        <f t="shared" si="13"/>
        <v>96</v>
      </c>
      <c r="AD90" s="43">
        <f t="shared" si="14"/>
        <v>122</v>
      </c>
      <c r="AE90" s="50">
        <f t="shared" si="15"/>
        <v>96122</v>
      </c>
    </row>
    <row r="91" spans="1:31">
      <c r="A91" s="59" t="str">
        <f t="shared" si="9"/>
        <v>60143408blksca</v>
      </c>
      <c r="B91" s="59" t="str">
        <f t="shared" si="10"/>
        <v>96-121-72</v>
      </c>
      <c r="C91" s="69" t="s">
        <v>1248</v>
      </c>
      <c r="D91" s="69" t="s">
        <v>1249</v>
      </c>
      <c r="E91" s="69" t="s">
        <v>909</v>
      </c>
      <c r="F91" s="70">
        <v>0</v>
      </c>
      <c r="G91" s="70" t="s">
        <v>1250</v>
      </c>
      <c r="H91" s="69" t="s">
        <v>302</v>
      </c>
      <c r="I91" s="69" t="s">
        <v>1236</v>
      </c>
      <c r="J91" s="69" t="s">
        <v>342</v>
      </c>
      <c r="K91" s="69" t="s">
        <v>382</v>
      </c>
      <c r="L91" s="69" t="s">
        <v>887</v>
      </c>
      <c r="M91" s="69" t="s">
        <v>389</v>
      </c>
      <c r="O91" s="69" t="s">
        <v>386</v>
      </c>
      <c r="P91" s="69" t="s">
        <v>979</v>
      </c>
      <c r="Q91" s="69" t="s">
        <v>1251</v>
      </c>
      <c r="R91" s="69" t="s">
        <v>53</v>
      </c>
      <c r="T91" s="69" t="s">
        <v>921</v>
      </c>
      <c r="U91" s="69" t="s">
        <v>1229</v>
      </c>
      <c r="V91" s="59" t="str">
        <f t="shared" si="11"/>
        <v>60143408черный / красный</v>
      </c>
      <c r="W91" s="59" t="str">
        <f t="shared" si="8"/>
        <v>60143408</v>
      </c>
      <c r="X91" s="59" t="str">
        <f t="shared" si="12"/>
        <v>Manchester United</v>
      </c>
      <c r="AC91" s="50">
        <f t="shared" si="13"/>
        <v>96</v>
      </c>
      <c r="AD91" s="43">
        <f t="shared" si="14"/>
        <v>121</v>
      </c>
      <c r="AE91" s="50">
        <f t="shared" si="15"/>
        <v>96121</v>
      </c>
    </row>
    <row r="92" spans="1:31">
      <c r="A92" s="59" t="str">
        <f t="shared" si="9"/>
        <v>60143400nvy</v>
      </c>
      <c r="B92" s="59" t="str">
        <f t="shared" si="10"/>
        <v>96-120-72</v>
      </c>
      <c r="C92" s="69" t="s">
        <v>1252</v>
      </c>
      <c r="D92" s="69" t="s">
        <v>1253</v>
      </c>
      <c r="E92" s="69" t="s">
        <v>909</v>
      </c>
      <c r="F92" s="70">
        <v>0</v>
      </c>
      <c r="G92" s="70" t="s">
        <v>1254</v>
      </c>
      <c r="H92" s="69" t="s">
        <v>302</v>
      </c>
      <c r="I92" s="69" t="s">
        <v>910</v>
      </c>
      <c r="J92" s="69" t="s">
        <v>327</v>
      </c>
      <c r="K92" s="69" t="s">
        <v>382</v>
      </c>
      <c r="L92" s="69" t="s">
        <v>887</v>
      </c>
      <c r="M92" s="69" t="s">
        <v>388</v>
      </c>
      <c r="N92" s="69" t="s">
        <v>43</v>
      </c>
      <c r="O92" s="69" t="s">
        <v>386</v>
      </c>
      <c r="P92" s="69" t="s">
        <v>979</v>
      </c>
      <c r="Q92" s="69" t="s">
        <v>1015</v>
      </c>
      <c r="R92" s="69" t="s">
        <v>53</v>
      </c>
      <c r="T92" s="69" t="s">
        <v>921</v>
      </c>
      <c r="U92" s="69" t="s">
        <v>1229</v>
      </c>
      <c r="V92" s="59" t="str">
        <f t="shared" si="11"/>
        <v>60143400черный / красный</v>
      </c>
      <c r="W92" s="59" t="str">
        <f t="shared" si="8"/>
        <v>60143400</v>
      </c>
      <c r="X92" s="59" t="str">
        <f t="shared" si="12"/>
        <v>Manchester United</v>
      </c>
      <c r="AC92" s="50">
        <f t="shared" si="13"/>
        <v>96</v>
      </c>
      <c r="AD92" s="43">
        <f t="shared" si="14"/>
        <v>120</v>
      </c>
      <c r="AE92" s="50">
        <f t="shared" si="15"/>
        <v>96120</v>
      </c>
    </row>
    <row r="93" spans="1:31">
      <c r="A93" s="59" t="str">
        <f t="shared" si="9"/>
        <v>60143394blksca</v>
      </c>
      <c r="B93" s="59" t="str">
        <f t="shared" si="10"/>
        <v>96-119-18</v>
      </c>
      <c r="C93" s="69" t="s">
        <v>1255</v>
      </c>
      <c r="D93" s="69" t="s">
        <v>1256</v>
      </c>
      <c r="E93" s="69" t="s">
        <v>909</v>
      </c>
      <c r="F93" s="70">
        <v>0</v>
      </c>
      <c r="G93" s="70" t="s">
        <v>1257</v>
      </c>
      <c r="H93" s="69" t="s">
        <v>78</v>
      </c>
      <c r="I93" s="69" t="s">
        <v>1236</v>
      </c>
      <c r="J93" s="69" t="s">
        <v>340</v>
      </c>
      <c r="K93" s="69" t="s">
        <v>382</v>
      </c>
      <c r="L93" s="69" t="s">
        <v>887</v>
      </c>
      <c r="M93" s="69" t="s">
        <v>389</v>
      </c>
      <c r="O93" s="69" t="s">
        <v>386</v>
      </c>
      <c r="P93" s="69" t="s">
        <v>979</v>
      </c>
      <c r="Q93" s="69" t="s">
        <v>1251</v>
      </c>
      <c r="R93" s="69" t="s">
        <v>78</v>
      </c>
      <c r="T93" s="69" t="s">
        <v>921</v>
      </c>
      <c r="U93" s="69" t="s">
        <v>1229</v>
      </c>
      <c r="V93" s="59" t="str">
        <f t="shared" si="11"/>
        <v>60143394красный</v>
      </c>
      <c r="W93" s="59" t="str">
        <f t="shared" si="8"/>
        <v>60143394</v>
      </c>
      <c r="X93" s="59" t="str">
        <f t="shared" si="12"/>
        <v>Manchester United</v>
      </c>
      <c r="AC93" s="50">
        <f t="shared" si="13"/>
        <v>96</v>
      </c>
      <c r="AD93" s="43">
        <f t="shared" si="14"/>
        <v>119</v>
      </c>
      <c r="AE93" s="50">
        <f t="shared" si="15"/>
        <v>96119</v>
      </c>
    </row>
    <row r="94" spans="1:31">
      <c r="A94" s="59" t="str">
        <f t="shared" si="9"/>
        <v>60143393grablk</v>
      </c>
      <c r="B94" s="59" t="str">
        <f t="shared" si="10"/>
        <v>96-118-80</v>
      </c>
      <c r="C94" s="69" t="s">
        <v>1258</v>
      </c>
      <c r="D94" s="69" t="s">
        <v>1259</v>
      </c>
      <c r="E94" s="69" t="s">
        <v>909</v>
      </c>
      <c r="F94" s="70">
        <v>0</v>
      </c>
      <c r="G94" s="70" t="s">
        <v>1260</v>
      </c>
      <c r="H94" s="69" t="s">
        <v>83</v>
      </c>
      <c r="I94" s="69" t="s">
        <v>1236</v>
      </c>
      <c r="J94" s="69" t="s">
        <v>342</v>
      </c>
      <c r="K94" s="69" t="s">
        <v>382</v>
      </c>
      <c r="L94" s="69" t="s">
        <v>887</v>
      </c>
      <c r="M94" s="69" t="s">
        <v>389</v>
      </c>
      <c r="O94" s="69" t="s">
        <v>386</v>
      </c>
      <c r="P94" s="69" t="s">
        <v>979</v>
      </c>
      <c r="Q94" s="69" t="s">
        <v>1261</v>
      </c>
      <c r="R94" s="69" t="s">
        <v>83</v>
      </c>
      <c r="T94" s="69" t="s">
        <v>921</v>
      </c>
      <c r="U94" s="69" t="s">
        <v>1229</v>
      </c>
      <c r="V94" s="59" t="str">
        <f t="shared" si="11"/>
        <v>60143393серый</v>
      </c>
      <c r="W94" s="59" t="str">
        <f t="shared" si="8"/>
        <v>60143393</v>
      </c>
      <c r="X94" s="59" t="str">
        <f t="shared" si="12"/>
        <v>Manchester United</v>
      </c>
      <c r="AC94" s="50">
        <f t="shared" si="13"/>
        <v>96</v>
      </c>
      <c r="AD94" s="43">
        <f t="shared" si="14"/>
        <v>118</v>
      </c>
      <c r="AE94" s="50">
        <f t="shared" si="15"/>
        <v>96118</v>
      </c>
    </row>
    <row r="95" spans="1:31">
      <c r="A95" s="59" t="str">
        <f t="shared" si="9"/>
        <v>60143391sca</v>
      </c>
      <c r="B95" s="59" t="str">
        <f t="shared" si="10"/>
        <v>96-117-18</v>
      </c>
      <c r="C95" s="69" t="s">
        <v>1262</v>
      </c>
      <c r="D95" s="69" t="s">
        <v>1263</v>
      </c>
      <c r="E95" s="69" t="s">
        <v>909</v>
      </c>
      <c r="F95" s="70">
        <v>0</v>
      </c>
      <c r="G95" s="70" t="s">
        <v>1264</v>
      </c>
      <c r="H95" s="69" t="s">
        <v>78</v>
      </c>
      <c r="I95" s="69" t="s">
        <v>1265</v>
      </c>
      <c r="J95" s="69" t="s">
        <v>327</v>
      </c>
      <c r="K95" s="69" t="s">
        <v>382</v>
      </c>
      <c r="L95" s="69" t="s">
        <v>887</v>
      </c>
      <c r="M95" s="69" t="s">
        <v>388</v>
      </c>
      <c r="N95" s="69" t="s">
        <v>43</v>
      </c>
      <c r="O95" s="69" t="s">
        <v>386</v>
      </c>
      <c r="P95" s="69" t="s">
        <v>979</v>
      </c>
      <c r="Q95" s="69" t="s">
        <v>1266</v>
      </c>
      <c r="R95" s="69" t="s">
        <v>78</v>
      </c>
      <c r="T95" s="69" t="s">
        <v>921</v>
      </c>
      <c r="U95" s="69" t="s">
        <v>1229</v>
      </c>
      <c r="V95" s="59" t="str">
        <f t="shared" si="11"/>
        <v>60143391красный</v>
      </c>
      <c r="W95" s="59" t="str">
        <f t="shared" si="8"/>
        <v>60143391</v>
      </c>
      <c r="X95" s="59" t="str">
        <f t="shared" si="12"/>
        <v>Manchester United</v>
      </c>
      <c r="AC95" s="50">
        <f t="shared" si="13"/>
        <v>96</v>
      </c>
      <c r="AD95" s="43">
        <f t="shared" si="14"/>
        <v>117</v>
      </c>
      <c r="AE95" s="50">
        <f t="shared" si="15"/>
        <v>96117</v>
      </c>
    </row>
    <row r="96" spans="1:31">
      <c r="A96" s="59" t="str">
        <f t="shared" si="9"/>
        <v>60143388blk</v>
      </c>
      <c r="B96" s="59" t="str">
        <f t="shared" si="10"/>
        <v>96-116-09</v>
      </c>
      <c r="C96" s="69" t="s">
        <v>1267</v>
      </c>
      <c r="D96" s="69" t="s">
        <v>1268</v>
      </c>
      <c r="E96" s="69" t="s">
        <v>909</v>
      </c>
      <c r="F96" s="70">
        <v>0</v>
      </c>
      <c r="G96" s="70" t="s">
        <v>1269</v>
      </c>
      <c r="H96" s="69" t="s">
        <v>53</v>
      </c>
      <c r="I96" s="69" t="s">
        <v>910</v>
      </c>
      <c r="J96" s="69" t="s">
        <v>356</v>
      </c>
      <c r="K96" s="69" t="s">
        <v>382</v>
      </c>
      <c r="L96" s="69" t="s">
        <v>887</v>
      </c>
      <c r="M96" s="69" t="s">
        <v>388</v>
      </c>
      <c r="N96" s="69" t="s">
        <v>43</v>
      </c>
      <c r="O96" s="69" t="s">
        <v>386</v>
      </c>
      <c r="P96" s="69" t="s">
        <v>979</v>
      </c>
      <c r="Q96" s="69" t="s">
        <v>1008</v>
      </c>
      <c r="R96" s="69" t="s">
        <v>53</v>
      </c>
      <c r="T96" s="69" t="s">
        <v>921</v>
      </c>
      <c r="U96" s="69" t="s">
        <v>1229</v>
      </c>
      <c r="V96" s="59" t="str">
        <f t="shared" si="11"/>
        <v>60143388черный</v>
      </c>
      <c r="W96" s="59" t="str">
        <f t="shared" si="8"/>
        <v>60143388</v>
      </c>
      <c r="X96" s="59" t="str">
        <f t="shared" si="12"/>
        <v>Manchester United</v>
      </c>
      <c r="AC96" s="50">
        <f t="shared" si="13"/>
        <v>96</v>
      </c>
      <c r="AD96" s="43">
        <f t="shared" si="14"/>
        <v>116</v>
      </c>
      <c r="AE96" s="50">
        <f t="shared" si="15"/>
        <v>96116</v>
      </c>
    </row>
    <row r="97" spans="1:31">
      <c r="A97" s="59" t="str">
        <f t="shared" si="9"/>
        <v>60143387blk</v>
      </c>
      <c r="B97" s="59" t="str">
        <f t="shared" si="10"/>
        <v>96-115-09</v>
      </c>
      <c r="C97" s="69" t="s">
        <v>1270</v>
      </c>
      <c r="D97" s="69" t="s">
        <v>1271</v>
      </c>
      <c r="E97" s="69" t="s">
        <v>909</v>
      </c>
      <c r="F97" s="70">
        <v>0</v>
      </c>
      <c r="G97" s="70" t="s">
        <v>1272</v>
      </c>
      <c r="H97" s="69" t="s">
        <v>53</v>
      </c>
      <c r="I97" s="69" t="s">
        <v>918</v>
      </c>
      <c r="J97" s="69" t="s">
        <v>327</v>
      </c>
      <c r="K97" s="69" t="s">
        <v>382</v>
      </c>
      <c r="L97" s="69" t="s">
        <v>887</v>
      </c>
      <c r="M97" s="69" t="s">
        <v>388</v>
      </c>
      <c r="O97" s="69" t="s">
        <v>386</v>
      </c>
      <c r="P97" s="69" t="s">
        <v>979</v>
      </c>
      <c r="Q97" s="69" t="s">
        <v>1008</v>
      </c>
      <c r="R97" s="69" t="s">
        <v>53</v>
      </c>
      <c r="T97" s="69" t="s">
        <v>921</v>
      </c>
      <c r="U97" s="69" t="s">
        <v>1229</v>
      </c>
      <c r="V97" s="59" t="str">
        <f t="shared" si="11"/>
        <v>60143387черный</v>
      </c>
      <c r="W97" s="59" t="str">
        <f t="shared" si="8"/>
        <v>60143387</v>
      </c>
      <c r="X97" s="59" t="str">
        <f t="shared" si="12"/>
        <v>Manchester United</v>
      </c>
      <c r="AC97" s="50">
        <f t="shared" si="13"/>
        <v>96</v>
      </c>
      <c r="AD97" s="43">
        <f t="shared" si="14"/>
        <v>115</v>
      </c>
      <c r="AE97" s="50">
        <f t="shared" si="15"/>
        <v>96115</v>
      </c>
    </row>
    <row r="98" spans="1:31">
      <c r="A98" s="59" t="str">
        <f t="shared" si="9"/>
        <v>60143386sca</v>
      </c>
      <c r="B98" s="59" t="str">
        <f t="shared" si="10"/>
        <v>96-114-18</v>
      </c>
      <c r="C98" s="69" t="s">
        <v>1273</v>
      </c>
      <c r="D98" s="69" t="s">
        <v>1274</v>
      </c>
      <c r="E98" s="69" t="s">
        <v>909</v>
      </c>
      <c r="F98" s="70">
        <v>0</v>
      </c>
      <c r="G98" s="70" t="s">
        <v>1275</v>
      </c>
      <c r="H98" s="69" t="s">
        <v>78</v>
      </c>
      <c r="I98" s="69" t="s">
        <v>918</v>
      </c>
      <c r="J98" s="69" t="s">
        <v>327</v>
      </c>
      <c r="K98" s="69" t="s">
        <v>382</v>
      </c>
      <c r="L98" s="69" t="s">
        <v>887</v>
      </c>
      <c r="M98" s="69" t="s">
        <v>388</v>
      </c>
      <c r="O98" s="69" t="s">
        <v>386</v>
      </c>
      <c r="P98" s="69" t="s">
        <v>979</v>
      </c>
      <c r="Q98" s="69" t="s">
        <v>1266</v>
      </c>
      <c r="R98" s="69" t="s">
        <v>78</v>
      </c>
      <c r="T98" s="69" t="s">
        <v>921</v>
      </c>
      <c r="U98" s="69" t="s">
        <v>1229</v>
      </c>
      <c r="V98" s="59" t="str">
        <f t="shared" si="11"/>
        <v>60143386красный</v>
      </c>
      <c r="W98" s="59" t="str">
        <f t="shared" si="8"/>
        <v>60143386</v>
      </c>
      <c r="X98" s="59" t="str">
        <f t="shared" si="12"/>
        <v>Manchester United</v>
      </c>
      <c r="AC98" s="50">
        <f t="shared" si="13"/>
        <v>96</v>
      </c>
      <c r="AD98" s="43">
        <f t="shared" si="14"/>
        <v>114</v>
      </c>
      <c r="AE98" s="50">
        <f t="shared" si="15"/>
        <v>96114</v>
      </c>
    </row>
    <row r="99" spans="1:31">
      <c r="A99" s="59" t="str">
        <f t="shared" si="9"/>
        <v>60143379cab</v>
      </c>
      <c r="B99" s="59" t="str">
        <f t="shared" si="10"/>
        <v>96-113-06</v>
      </c>
      <c r="C99" s="69" t="s">
        <v>1276</v>
      </c>
      <c r="D99" s="69" t="s">
        <v>1277</v>
      </c>
      <c r="E99" s="69" t="s">
        <v>909</v>
      </c>
      <c r="F99" s="70">
        <v>0</v>
      </c>
      <c r="G99" s="70" t="s">
        <v>1278</v>
      </c>
      <c r="H99" s="69" t="s">
        <v>71</v>
      </c>
      <c r="I99" s="69" t="s">
        <v>910</v>
      </c>
      <c r="J99" s="69" t="s">
        <v>356</v>
      </c>
      <c r="K99" s="69" t="s">
        <v>382</v>
      </c>
      <c r="L99" s="69" t="s">
        <v>887</v>
      </c>
      <c r="M99" s="69" t="s">
        <v>388</v>
      </c>
      <c r="N99" s="69" t="s">
        <v>43</v>
      </c>
      <c r="O99" s="69" t="s">
        <v>386</v>
      </c>
      <c r="P99" s="69" t="s">
        <v>979</v>
      </c>
      <c r="Q99" s="69" t="s">
        <v>1280</v>
      </c>
      <c r="R99" s="69" t="s">
        <v>71</v>
      </c>
      <c r="T99" s="69" t="s">
        <v>921</v>
      </c>
      <c r="U99" s="69" t="s">
        <v>1279</v>
      </c>
      <c r="V99" s="59" t="str">
        <f t="shared" si="11"/>
        <v>60143379синий</v>
      </c>
      <c r="W99" s="59" t="str">
        <f t="shared" si="8"/>
        <v>60143379</v>
      </c>
      <c r="X99" s="59" t="str">
        <f t="shared" si="12"/>
        <v>Chelsea</v>
      </c>
      <c r="AC99" s="50">
        <f t="shared" si="13"/>
        <v>96</v>
      </c>
      <c r="AD99" s="43">
        <f t="shared" si="14"/>
        <v>113</v>
      </c>
      <c r="AE99" s="50">
        <f t="shared" si="15"/>
        <v>96113</v>
      </c>
    </row>
    <row r="100" spans="1:31">
      <c r="A100" s="59" t="str">
        <f t="shared" si="9"/>
        <v>60143369whi</v>
      </c>
      <c r="B100" s="59" t="str">
        <f t="shared" si="10"/>
        <v>96-112-06</v>
      </c>
      <c r="C100" s="69" t="s">
        <v>1281</v>
      </c>
      <c r="D100" s="69" t="s">
        <v>1282</v>
      </c>
      <c r="E100" s="69" t="s">
        <v>909</v>
      </c>
      <c r="F100" s="70">
        <v>0</v>
      </c>
      <c r="G100" s="70" t="s">
        <v>1283</v>
      </c>
      <c r="H100" s="69" t="s">
        <v>71</v>
      </c>
      <c r="I100" s="69" t="s">
        <v>918</v>
      </c>
      <c r="J100" s="69" t="s">
        <v>327</v>
      </c>
      <c r="K100" s="69" t="s">
        <v>382</v>
      </c>
      <c r="L100" s="69" t="s">
        <v>887</v>
      </c>
      <c r="M100" s="69" t="s">
        <v>388</v>
      </c>
      <c r="O100" s="69" t="s">
        <v>386</v>
      </c>
      <c r="P100" s="69" t="s">
        <v>979</v>
      </c>
      <c r="Q100" s="69" t="s">
        <v>996</v>
      </c>
      <c r="R100" s="69" t="s">
        <v>71</v>
      </c>
      <c r="T100" s="69" t="s">
        <v>921</v>
      </c>
      <c r="U100" s="69" t="s">
        <v>1279</v>
      </c>
      <c r="V100" s="59" t="str">
        <f t="shared" si="11"/>
        <v>60143369синий</v>
      </c>
      <c r="W100" s="59" t="str">
        <f t="shared" si="8"/>
        <v>60143369</v>
      </c>
      <c r="X100" s="59" t="str">
        <f t="shared" si="12"/>
        <v>Chelsea</v>
      </c>
      <c r="AC100" s="50">
        <f t="shared" si="13"/>
        <v>96</v>
      </c>
      <c r="AD100" s="43">
        <f t="shared" si="14"/>
        <v>112</v>
      </c>
      <c r="AE100" s="50">
        <f t="shared" si="15"/>
        <v>96112</v>
      </c>
    </row>
    <row r="101" spans="1:31">
      <c r="A101" s="59" t="str">
        <f t="shared" si="9"/>
        <v>60143365cab</v>
      </c>
      <c r="B101" s="59" t="str">
        <f t="shared" si="10"/>
        <v>96-111-06</v>
      </c>
      <c r="C101" s="69" t="s">
        <v>1284</v>
      </c>
      <c r="D101" s="69" t="s">
        <v>1285</v>
      </c>
      <c r="E101" s="69" t="s">
        <v>909</v>
      </c>
      <c r="F101" s="70">
        <v>0</v>
      </c>
      <c r="G101" s="70" t="s">
        <v>1286</v>
      </c>
      <c r="H101" s="69" t="s">
        <v>71</v>
      </c>
      <c r="I101" s="69" t="s">
        <v>1236</v>
      </c>
      <c r="J101" s="69" t="s">
        <v>340</v>
      </c>
      <c r="K101" s="69" t="s">
        <v>382</v>
      </c>
      <c r="L101" s="69" t="s">
        <v>887</v>
      </c>
      <c r="M101" s="69" t="s">
        <v>389</v>
      </c>
      <c r="O101" s="69" t="s">
        <v>386</v>
      </c>
      <c r="P101" s="69" t="s">
        <v>979</v>
      </c>
      <c r="Q101" s="69" t="s">
        <v>1280</v>
      </c>
      <c r="R101" s="69" t="s">
        <v>71</v>
      </c>
      <c r="T101" s="69" t="s">
        <v>921</v>
      </c>
      <c r="U101" s="69" t="s">
        <v>1279</v>
      </c>
      <c r="V101" s="59" t="str">
        <f t="shared" si="11"/>
        <v>60143365синий</v>
      </c>
      <c r="W101" s="59" t="str">
        <f t="shared" si="8"/>
        <v>60143365</v>
      </c>
      <c r="X101" s="59" t="str">
        <f t="shared" si="12"/>
        <v>Chelsea</v>
      </c>
      <c r="AC101" s="50">
        <f t="shared" si="13"/>
        <v>96</v>
      </c>
      <c r="AD101" s="43">
        <f t="shared" si="14"/>
        <v>111</v>
      </c>
      <c r="AE101" s="50">
        <f t="shared" si="15"/>
        <v>96111</v>
      </c>
    </row>
    <row r="102" spans="1:31">
      <c r="A102" s="59" t="str">
        <f t="shared" si="9"/>
        <v>60143362lnv</v>
      </c>
      <c r="B102" s="59" t="str">
        <f t="shared" si="10"/>
        <v>96-110-06</v>
      </c>
      <c r="C102" s="69" t="s">
        <v>1287</v>
      </c>
      <c r="D102" s="69" t="s">
        <v>1288</v>
      </c>
      <c r="E102" s="69" t="s">
        <v>909</v>
      </c>
      <c r="F102" s="70">
        <v>0</v>
      </c>
      <c r="G102" s="70" t="s">
        <v>1289</v>
      </c>
      <c r="H102" s="69" t="s">
        <v>71</v>
      </c>
      <c r="I102" s="69" t="s">
        <v>1236</v>
      </c>
      <c r="J102" s="69" t="s">
        <v>342</v>
      </c>
      <c r="K102" s="69" t="s">
        <v>382</v>
      </c>
      <c r="L102" s="69" t="s">
        <v>887</v>
      </c>
      <c r="M102" s="69" t="s">
        <v>389</v>
      </c>
      <c r="O102" s="69" t="s">
        <v>386</v>
      </c>
      <c r="P102" s="69" t="s">
        <v>979</v>
      </c>
      <c r="Q102" s="69" t="s">
        <v>1244</v>
      </c>
      <c r="R102" s="69" t="s">
        <v>71</v>
      </c>
      <c r="T102" s="69" t="s">
        <v>921</v>
      </c>
      <c r="U102" s="69" t="s">
        <v>1279</v>
      </c>
      <c r="V102" s="59" t="str">
        <f t="shared" si="11"/>
        <v>60143362синий</v>
      </c>
      <c r="W102" s="59" t="str">
        <f t="shared" si="8"/>
        <v>60143362</v>
      </c>
      <c r="X102" s="59" t="str">
        <f t="shared" si="12"/>
        <v>Chelsea</v>
      </c>
      <c r="AC102" s="50">
        <f t="shared" si="13"/>
        <v>96</v>
      </c>
      <c r="AD102" s="43">
        <f t="shared" si="14"/>
        <v>110</v>
      </c>
      <c r="AE102" s="50">
        <f t="shared" si="15"/>
        <v>96110</v>
      </c>
    </row>
    <row r="103" spans="1:31">
      <c r="A103" s="59" t="str">
        <f t="shared" si="9"/>
        <v>60142978ltckgr</v>
      </c>
      <c r="B103" s="59" t="str">
        <f t="shared" si="10"/>
        <v>96-109-11</v>
      </c>
      <c r="C103" s="69" t="s">
        <v>1290</v>
      </c>
      <c r="D103" s="69" t="s">
        <v>1291</v>
      </c>
      <c r="E103" s="69" t="s">
        <v>909</v>
      </c>
      <c r="F103" s="70">
        <v>0</v>
      </c>
      <c r="G103" s="70" t="s">
        <v>1292</v>
      </c>
      <c r="H103" s="69" t="s">
        <v>60</v>
      </c>
      <c r="I103" s="69" t="s">
        <v>910</v>
      </c>
      <c r="J103" s="69" t="s">
        <v>327</v>
      </c>
      <c r="K103" s="69" t="s">
        <v>382</v>
      </c>
      <c r="L103" s="69" t="s">
        <v>887</v>
      </c>
      <c r="M103" s="69" t="s">
        <v>388</v>
      </c>
      <c r="N103" s="69" t="s">
        <v>43</v>
      </c>
      <c r="O103" s="69" t="s">
        <v>386</v>
      </c>
      <c r="P103" s="69" t="s">
        <v>979</v>
      </c>
      <c r="Q103" s="69" t="s">
        <v>1295</v>
      </c>
      <c r="R103" s="69" t="s">
        <v>60</v>
      </c>
      <c r="T103" s="69" t="s">
        <v>1293</v>
      </c>
      <c r="U103" s="69" t="s">
        <v>1294</v>
      </c>
      <c r="V103" s="59" t="str">
        <f t="shared" si="11"/>
        <v>60142978зеленый</v>
      </c>
      <c r="W103" s="59" t="str">
        <f t="shared" si="8"/>
        <v>60142978</v>
      </c>
      <c r="X103" s="59" t="str">
        <f t="shared" si="12"/>
        <v>FA Ireland</v>
      </c>
      <c r="AC103" s="50">
        <f t="shared" si="13"/>
        <v>96</v>
      </c>
      <c r="AD103" s="43">
        <f t="shared" si="14"/>
        <v>109</v>
      </c>
      <c r="AE103" s="50">
        <f t="shared" si="15"/>
        <v>96109</v>
      </c>
    </row>
    <row r="104" spans="1:31">
      <c r="A104" s="59" t="str">
        <f t="shared" si="9"/>
        <v>60142926drywhi</v>
      </c>
      <c r="B104" s="59" t="str">
        <f t="shared" si="10"/>
        <v>96-108-06</v>
      </c>
      <c r="C104" s="69" t="s">
        <v>1296</v>
      </c>
      <c r="D104" s="69" t="s">
        <v>1297</v>
      </c>
      <c r="E104" s="69" t="s">
        <v>909</v>
      </c>
      <c r="F104" s="70">
        <v>0</v>
      </c>
      <c r="G104" s="70" t="s">
        <v>1298</v>
      </c>
      <c r="H104" s="69" t="s">
        <v>71</v>
      </c>
      <c r="I104" s="69" t="s">
        <v>910</v>
      </c>
      <c r="J104" s="69" t="s">
        <v>356</v>
      </c>
      <c r="K104" s="69" t="s">
        <v>382</v>
      </c>
      <c r="L104" s="69" t="s">
        <v>887</v>
      </c>
      <c r="M104" s="69" t="s">
        <v>388</v>
      </c>
      <c r="N104" s="69" t="s">
        <v>43</v>
      </c>
      <c r="O104" s="69" t="s">
        <v>386</v>
      </c>
      <c r="P104" s="69" t="s">
        <v>979</v>
      </c>
      <c r="Q104" s="69" t="s">
        <v>1301</v>
      </c>
      <c r="R104" s="69" t="s">
        <v>71</v>
      </c>
      <c r="T104" s="69" t="s">
        <v>1299</v>
      </c>
      <c r="U104" s="69" t="s">
        <v>1300</v>
      </c>
      <c r="V104" s="59" t="str">
        <f t="shared" si="11"/>
        <v>60142926синий</v>
      </c>
      <c r="W104" s="59" t="str">
        <f t="shared" si="8"/>
        <v>60142926</v>
      </c>
      <c r="X104" s="59" t="str">
        <f t="shared" si="12"/>
        <v>Atletico Madrid LaLiga</v>
      </c>
      <c r="AC104" s="50">
        <f t="shared" si="13"/>
        <v>96</v>
      </c>
      <c r="AD104" s="43">
        <f t="shared" si="14"/>
        <v>108</v>
      </c>
      <c r="AE104" s="50">
        <f t="shared" si="15"/>
        <v>96108</v>
      </c>
    </row>
    <row r="105" spans="1:31">
      <c r="A105" s="59" t="str">
        <f t="shared" si="9"/>
        <v>60141873wht</v>
      </c>
      <c r="B105" s="59" t="str">
        <f t="shared" si="10"/>
        <v>96-107-14</v>
      </c>
      <c r="C105" s="69" t="s">
        <v>1302</v>
      </c>
      <c r="D105" s="69" t="s">
        <v>1303</v>
      </c>
      <c r="E105" s="69" t="s">
        <v>909</v>
      </c>
      <c r="F105" s="70">
        <v>0</v>
      </c>
      <c r="G105" s="70" t="s">
        <v>1304</v>
      </c>
      <c r="H105" s="69" t="s">
        <v>86</v>
      </c>
      <c r="I105" s="69" t="s">
        <v>1236</v>
      </c>
      <c r="J105" s="69" t="s">
        <v>340</v>
      </c>
      <c r="K105" s="69" t="s">
        <v>382</v>
      </c>
      <c r="L105" s="69" t="s">
        <v>887</v>
      </c>
      <c r="M105" s="69" t="s">
        <v>389</v>
      </c>
      <c r="O105" s="69" t="s">
        <v>386</v>
      </c>
      <c r="P105" s="69" t="s">
        <v>979</v>
      </c>
      <c r="Q105" s="69" t="s">
        <v>1095</v>
      </c>
      <c r="R105" s="69" t="s">
        <v>86</v>
      </c>
      <c r="T105" s="69" t="s">
        <v>911</v>
      </c>
      <c r="U105" s="69" t="s">
        <v>914</v>
      </c>
      <c r="V105" s="59" t="str">
        <f t="shared" si="11"/>
        <v>60141873коричневый</v>
      </c>
      <c r="W105" s="59" t="str">
        <f t="shared" si="8"/>
        <v>60141873</v>
      </c>
      <c r="X105" s="59" t="str">
        <f t="shared" si="12"/>
        <v>New York Yankees</v>
      </c>
      <c r="AC105" s="50">
        <f t="shared" si="13"/>
        <v>96</v>
      </c>
      <c r="AD105" s="43">
        <f t="shared" si="14"/>
        <v>107</v>
      </c>
      <c r="AE105" s="50">
        <f t="shared" si="15"/>
        <v>96107</v>
      </c>
    </row>
    <row r="106" spans="1:31">
      <c r="A106" s="59" t="str">
        <f t="shared" si="9"/>
        <v>60141872mrn</v>
      </c>
      <c r="B106" s="59" t="str">
        <f t="shared" si="10"/>
        <v>96-106-12</v>
      </c>
      <c r="C106" s="69" t="s">
        <v>1305</v>
      </c>
      <c r="D106" s="69" t="s">
        <v>1306</v>
      </c>
      <c r="E106" s="69" t="s">
        <v>909</v>
      </c>
      <c r="F106" s="70">
        <v>0</v>
      </c>
      <c r="G106" s="70" t="s">
        <v>1307</v>
      </c>
      <c r="H106" s="69" t="s">
        <v>121</v>
      </c>
      <c r="I106" s="69" t="s">
        <v>1236</v>
      </c>
      <c r="J106" s="69" t="s">
        <v>340</v>
      </c>
      <c r="K106" s="69" t="s">
        <v>382</v>
      </c>
      <c r="L106" s="69" t="s">
        <v>887</v>
      </c>
      <c r="M106" s="69" t="s">
        <v>389</v>
      </c>
      <c r="O106" s="69" t="s">
        <v>386</v>
      </c>
      <c r="P106" s="69" t="s">
        <v>979</v>
      </c>
      <c r="Q106" s="69" t="s">
        <v>1308</v>
      </c>
      <c r="R106" s="69" t="s">
        <v>121</v>
      </c>
      <c r="T106" s="69" t="s">
        <v>911</v>
      </c>
      <c r="U106" s="69" t="s">
        <v>914</v>
      </c>
      <c r="V106" s="59" t="str">
        <f t="shared" si="11"/>
        <v>60141872бордовый</v>
      </c>
      <c r="W106" s="59" t="str">
        <f t="shared" si="8"/>
        <v>60141872</v>
      </c>
      <c r="X106" s="59" t="str">
        <f t="shared" si="12"/>
        <v>New York Yankees</v>
      </c>
      <c r="AC106" s="50">
        <f t="shared" si="13"/>
        <v>96</v>
      </c>
      <c r="AD106" s="43">
        <f t="shared" si="14"/>
        <v>106</v>
      </c>
      <c r="AE106" s="50">
        <f t="shared" si="15"/>
        <v>96106</v>
      </c>
    </row>
    <row r="107" spans="1:31">
      <c r="A107" s="59" t="str">
        <f t="shared" si="9"/>
        <v>60141714blktel</v>
      </c>
      <c r="B107" s="59" t="str">
        <f t="shared" si="10"/>
        <v>96-105-09</v>
      </c>
      <c r="C107" s="69" t="s">
        <v>1309</v>
      </c>
      <c r="D107" s="69" t="s">
        <v>1310</v>
      </c>
      <c r="E107" s="69" t="s">
        <v>909</v>
      </c>
      <c r="F107" s="70">
        <v>0</v>
      </c>
      <c r="G107" s="70" t="s">
        <v>1311</v>
      </c>
      <c r="H107" s="69" t="s">
        <v>53</v>
      </c>
      <c r="I107" s="69" t="s">
        <v>1236</v>
      </c>
      <c r="J107" s="69" t="s">
        <v>340</v>
      </c>
      <c r="K107" s="69" t="s">
        <v>382</v>
      </c>
      <c r="L107" s="69" t="s">
        <v>887</v>
      </c>
      <c r="M107" s="69" t="s">
        <v>389</v>
      </c>
      <c r="O107" s="69" t="s">
        <v>386</v>
      </c>
      <c r="P107" s="69" t="s">
        <v>979</v>
      </c>
      <c r="Q107" s="69" t="s">
        <v>1312</v>
      </c>
      <c r="R107" s="69" t="s">
        <v>53</v>
      </c>
      <c r="T107" s="69" t="s">
        <v>911</v>
      </c>
      <c r="U107" s="69" t="s">
        <v>914</v>
      </c>
      <c r="V107" s="59" t="str">
        <f t="shared" si="11"/>
        <v>60141714черный</v>
      </c>
      <c r="W107" s="59" t="str">
        <f t="shared" si="8"/>
        <v>60141714</v>
      </c>
      <c r="X107" s="59" t="str">
        <f t="shared" si="12"/>
        <v>New York Yankees</v>
      </c>
      <c r="AC107" s="50">
        <f t="shared" si="13"/>
        <v>96</v>
      </c>
      <c r="AD107" s="43">
        <f t="shared" si="14"/>
        <v>105</v>
      </c>
      <c r="AE107" s="50">
        <f t="shared" si="15"/>
        <v>96105</v>
      </c>
    </row>
    <row r="108" spans="1:31">
      <c r="A108" s="59" t="str">
        <f t="shared" si="9"/>
        <v>60141713blkfur</v>
      </c>
      <c r="B108" s="59" t="str">
        <f t="shared" si="10"/>
        <v>96-104-09</v>
      </c>
      <c r="C108" s="69" t="s">
        <v>1313</v>
      </c>
      <c r="D108" s="69" t="s">
        <v>1314</v>
      </c>
      <c r="E108" s="69" t="s">
        <v>909</v>
      </c>
      <c r="F108" s="70">
        <v>0</v>
      </c>
      <c r="G108" s="70" t="s">
        <v>1315</v>
      </c>
      <c r="H108" s="69" t="s">
        <v>53</v>
      </c>
      <c r="I108" s="69" t="s">
        <v>1236</v>
      </c>
      <c r="J108" s="69" t="s">
        <v>340</v>
      </c>
      <c r="K108" s="69" t="s">
        <v>382</v>
      </c>
      <c r="L108" s="69" t="s">
        <v>887</v>
      </c>
      <c r="M108" s="69" t="s">
        <v>389</v>
      </c>
      <c r="O108" s="69" t="s">
        <v>386</v>
      </c>
      <c r="P108" s="69" t="s">
        <v>979</v>
      </c>
      <c r="Q108" s="69" t="s">
        <v>1316</v>
      </c>
      <c r="R108" s="69" t="s">
        <v>53</v>
      </c>
      <c r="T108" s="69" t="s">
        <v>911</v>
      </c>
      <c r="U108" s="69" t="s">
        <v>914</v>
      </c>
      <c r="V108" s="59" t="str">
        <f t="shared" si="11"/>
        <v>60141713черный</v>
      </c>
      <c r="W108" s="59" t="str">
        <f t="shared" si="8"/>
        <v>60141713</v>
      </c>
      <c r="X108" s="59" t="str">
        <f t="shared" si="12"/>
        <v>New York Yankees</v>
      </c>
      <c r="AC108" s="50">
        <f t="shared" si="13"/>
        <v>96</v>
      </c>
      <c r="AD108" s="43">
        <f t="shared" si="14"/>
        <v>104</v>
      </c>
      <c r="AE108" s="50">
        <f t="shared" si="15"/>
        <v>96104</v>
      </c>
    </row>
    <row r="109" spans="1:31">
      <c r="A109" s="59" t="str">
        <f t="shared" si="9"/>
        <v>60141694stn</v>
      </c>
      <c r="B109" s="59" t="str">
        <f t="shared" si="10"/>
        <v>96-103-02</v>
      </c>
      <c r="C109" s="69" t="s">
        <v>1317</v>
      </c>
      <c r="D109" s="69" t="s">
        <v>1318</v>
      </c>
      <c r="E109" s="69" t="s">
        <v>909</v>
      </c>
      <c r="F109" s="70">
        <v>0</v>
      </c>
      <c r="G109" s="70" t="s">
        <v>1319</v>
      </c>
      <c r="H109" s="69" t="s">
        <v>205</v>
      </c>
      <c r="I109" s="69" t="s">
        <v>1236</v>
      </c>
      <c r="J109" s="69" t="s">
        <v>340</v>
      </c>
      <c r="K109" s="69" t="s">
        <v>382</v>
      </c>
      <c r="L109" s="69" t="s">
        <v>887</v>
      </c>
      <c r="M109" s="69" t="s">
        <v>389</v>
      </c>
      <c r="O109" s="69" t="s">
        <v>386</v>
      </c>
      <c r="P109" s="69" t="s">
        <v>979</v>
      </c>
      <c r="Q109" s="69" t="s">
        <v>1220</v>
      </c>
      <c r="R109" s="69" t="s">
        <v>63</v>
      </c>
      <c r="T109" s="69" t="s">
        <v>911</v>
      </c>
      <c r="U109" s="69" t="s">
        <v>914</v>
      </c>
      <c r="V109" s="59" t="str">
        <f t="shared" si="11"/>
        <v>60141694песочный</v>
      </c>
      <c r="W109" s="59" t="str">
        <f t="shared" si="8"/>
        <v>60141694</v>
      </c>
      <c r="X109" s="59" t="str">
        <f t="shared" si="12"/>
        <v>New York Yankees</v>
      </c>
      <c r="AC109" s="50">
        <f t="shared" si="13"/>
        <v>96</v>
      </c>
      <c r="AD109" s="43">
        <f t="shared" si="14"/>
        <v>103</v>
      </c>
      <c r="AE109" s="50">
        <f t="shared" si="15"/>
        <v>96103</v>
      </c>
    </row>
    <row r="110" spans="1:31">
      <c r="A110" s="59" t="str">
        <f t="shared" si="9"/>
        <v>60141650nov</v>
      </c>
      <c r="B110" s="59" t="str">
        <f t="shared" si="10"/>
        <v>96-102-03</v>
      </c>
      <c r="C110" s="69" t="s">
        <v>1320</v>
      </c>
      <c r="D110" s="69" t="s">
        <v>1321</v>
      </c>
      <c r="E110" s="69" t="s">
        <v>909</v>
      </c>
      <c r="F110" s="70">
        <v>0</v>
      </c>
      <c r="G110" s="70">
        <v>60141650</v>
      </c>
      <c r="H110" s="69" t="s">
        <v>195</v>
      </c>
      <c r="I110" s="69" t="s">
        <v>1236</v>
      </c>
      <c r="J110" s="69" t="s">
        <v>340</v>
      </c>
      <c r="K110" s="69" t="s">
        <v>382</v>
      </c>
      <c r="L110" s="69" t="s">
        <v>887</v>
      </c>
      <c r="M110" s="69" t="s">
        <v>389</v>
      </c>
      <c r="O110" s="69" t="s">
        <v>386</v>
      </c>
      <c r="P110" s="69" t="s">
        <v>979</v>
      </c>
      <c r="Q110" s="69" t="s">
        <v>988</v>
      </c>
      <c r="R110" s="69" t="s">
        <v>195</v>
      </c>
      <c r="V110" s="59" t="str">
        <f t="shared" si="11"/>
        <v>60141650оливковый</v>
      </c>
      <c r="W110" s="59" t="str">
        <f t="shared" si="8"/>
        <v>60141650</v>
      </c>
      <c r="X110" s="59" t="str">
        <f t="shared" si="12"/>
        <v/>
      </c>
      <c r="AC110" s="50">
        <f t="shared" si="13"/>
        <v>96</v>
      </c>
      <c r="AD110" s="43">
        <f t="shared" si="14"/>
        <v>102</v>
      </c>
      <c r="AE110" s="50">
        <f t="shared" si="15"/>
        <v>96102</v>
      </c>
    </row>
    <row r="111" spans="1:31">
      <c r="A111" s="59" t="str">
        <f t="shared" si="9"/>
        <v>60141649ind</v>
      </c>
      <c r="B111" s="59" t="str">
        <f t="shared" si="10"/>
        <v>96-101-06</v>
      </c>
      <c r="C111" s="69" t="s">
        <v>1322</v>
      </c>
      <c r="D111" s="69" t="s">
        <v>1323</v>
      </c>
      <c r="E111" s="69" t="s">
        <v>909</v>
      </c>
      <c r="F111" s="70">
        <v>0</v>
      </c>
      <c r="G111" s="70">
        <v>60141649</v>
      </c>
      <c r="H111" s="69" t="s">
        <v>71</v>
      </c>
      <c r="I111" s="69" t="s">
        <v>1236</v>
      </c>
      <c r="J111" s="69" t="s">
        <v>340</v>
      </c>
      <c r="K111" s="69" t="s">
        <v>382</v>
      </c>
      <c r="L111" s="69" t="s">
        <v>887</v>
      </c>
      <c r="M111" s="69" t="s">
        <v>389</v>
      </c>
      <c r="O111" s="69" t="s">
        <v>386</v>
      </c>
      <c r="P111" s="69" t="s">
        <v>979</v>
      </c>
      <c r="Q111" s="69" t="s">
        <v>1324</v>
      </c>
      <c r="R111" s="69" t="s">
        <v>71</v>
      </c>
      <c r="V111" s="59" t="str">
        <f t="shared" si="11"/>
        <v>60141649синий</v>
      </c>
      <c r="W111" s="59" t="str">
        <f t="shared" si="8"/>
        <v>60141649</v>
      </c>
      <c r="X111" s="59" t="str">
        <f t="shared" si="12"/>
        <v/>
      </c>
      <c r="AC111" s="50">
        <f t="shared" si="13"/>
        <v>96</v>
      </c>
      <c r="AD111" s="43">
        <f t="shared" si="14"/>
        <v>101</v>
      </c>
      <c r="AE111" s="50">
        <f t="shared" si="15"/>
        <v>96101</v>
      </c>
    </row>
    <row r="112" spans="1:31">
      <c r="A112" s="59" t="str">
        <f t="shared" si="9"/>
        <v>60141613org</v>
      </c>
      <c r="B112" s="59" t="str">
        <f t="shared" si="10"/>
        <v>96-100-13</v>
      </c>
      <c r="C112" s="69" t="s">
        <v>1325</v>
      </c>
      <c r="D112" s="69" t="s">
        <v>1326</v>
      </c>
      <c r="E112" s="69" t="s">
        <v>909</v>
      </c>
      <c r="F112" s="70">
        <v>0</v>
      </c>
      <c r="G112" s="70">
        <v>60141613</v>
      </c>
      <c r="H112" s="69" t="s">
        <v>199</v>
      </c>
      <c r="I112" s="69" t="s">
        <v>1236</v>
      </c>
      <c r="J112" s="69" t="s">
        <v>340</v>
      </c>
      <c r="K112" s="69" t="s">
        <v>382</v>
      </c>
      <c r="L112" s="69" t="s">
        <v>887</v>
      </c>
      <c r="M112" s="69" t="s">
        <v>389</v>
      </c>
      <c r="O112" s="69" t="s">
        <v>386</v>
      </c>
      <c r="P112" s="69" t="s">
        <v>979</v>
      </c>
      <c r="Q112" s="69" t="s">
        <v>1327</v>
      </c>
      <c r="R112" s="69" t="s">
        <v>199</v>
      </c>
      <c r="V112" s="59" t="str">
        <f t="shared" si="11"/>
        <v>60141613оранжевый</v>
      </c>
      <c r="W112" s="59" t="str">
        <f t="shared" si="8"/>
        <v>60141613</v>
      </c>
      <c r="X112" s="59" t="str">
        <f t="shared" si="12"/>
        <v/>
      </c>
      <c r="AC112" s="50">
        <f t="shared" si="13"/>
        <v>96</v>
      </c>
      <c r="AD112" s="43">
        <f t="shared" si="14"/>
        <v>100</v>
      </c>
      <c r="AE112" s="50">
        <f t="shared" si="15"/>
        <v>96100</v>
      </c>
    </row>
    <row r="113" spans="1:31">
      <c r="A113" s="59" t="str">
        <f t="shared" si="9"/>
        <v>60141518gra</v>
      </c>
      <c r="B113" s="59" t="str">
        <f t="shared" si="10"/>
        <v>96-099-80</v>
      </c>
      <c r="C113" s="69" t="s">
        <v>1328</v>
      </c>
      <c r="D113" s="69" t="s">
        <v>1329</v>
      </c>
      <c r="E113" s="69" t="s">
        <v>909</v>
      </c>
      <c r="F113" s="70">
        <v>0</v>
      </c>
      <c r="G113" s="70" t="s">
        <v>1330</v>
      </c>
      <c r="H113" s="69" t="s">
        <v>83</v>
      </c>
      <c r="I113" s="69" t="s">
        <v>1236</v>
      </c>
      <c r="J113" s="69" t="s">
        <v>340</v>
      </c>
      <c r="K113" s="69" t="s">
        <v>382</v>
      </c>
      <c r="L113" s="69" t="s">
        <v>887</v>
      </c>
      <c r="M113" s="69" t="s">
        <v>389</v>
      </c>
      <c r="O113" s="69" t="s">
        <v>386</v>
      </c>
      <c r="P113" s="69" t="s">
        <v>979</v>
      </c>
      <c r="Q113" s="69" t="s">
        <v>1090</v>
      </c>
      <c r="R113" s="69" t="s">
        <v>83</v>
      </c>
      <c r="T113" s="69" t="s">
        <v>1047</v>
      </c>
      <c r="U113" s="69" t="s">
        <v>1053</v>
      </c>
      <c r="V113" s="59" t="str">
        <f t="shared" si="11"/>
        <v>60141518серый</v>
      </c>
      <c r="W113" s="59" t="str">
        <f t="shared" si="8"/>
        <v>60141518</v>
      </c>
      <c r="X113" s="59" t="str">
        <f t="shared" si="12"/>
        <v>Los Angeles Lakers</v>
      </c>
      <c r="AC113" s="50">
        <f t="shared" si="13"/>
        <v>96</v>
      </c>
      <c r="AD113" s="43">
        <f t="shared" si="14"/>
        <v>99</v>
      </c>
      <c r="AE113" s="50">
        <f t="shared" si="15"/>
        <v>96099</v>
      </c>
    </row>
    <row r="114" spans="1:31">
      <c r="A114" s="59" t="str">
        <f t="shared" si="9"/>
        <v>60141477blk</v>
      </c>
      <c r="B114" s="59" t="str">
        <f t="shared" si="10"/>
        <v>96-098-09</v>
      </c>
      <c r="C114" s="69" t="s">
        <v>1331</v>
      </c>
      <c r="D114" s="69" t="s">
        <v>1332</v>
      </c>
      <c r="E114" s="69" t="s">
        <v>1158</v>
      </c>
      <c r="F114" s="70">
        <v>59</v>
      </c>
      <c r="G114" s="70">
        <v>60141477</v>
      </c>
      <c r="H114" s="69" t="s">
        <v>53</v>
      </c>
      <c r="I114" s="69" t="s">
        <v>910</v>
      </c>
      <c r="J114" s="69" t="s">
        <v>325</v>
      </c>
      <c r="K114" s="69" t="s">
        <v>382</v>
      </c>
      <c r="L114" s="69" t="s">
        <v>887</v>
      </c>
      <c r="M114" s="69" t="s">
        <v>388</v>
      </c>
      <c r="N114" s="69" t="s">
        <v>43</v>
      </c>
      <c r="O114" s="69" t="s">
        <v>386</v>
      </c>
      <c r="P114" s="69" t="s">
        <v>979</v>
      </c>
      <c r="Q114" s="69" t="s">
        <v>1008</v>
      </c>
      <c r="R114" s="69" t="s">
        <v>53</v>
      </c>
      <c r="V114" s="59" t="str">
        <f t="shared" si="11"/>
        <v>60141477черный</v>
      </c>
      <c r="W114" s="59" t="str">
        <f t="shared" si="8"/>
        <v>60141477</v>
      </c>
      <c r="X114" s="59" t="str">
        <f t="shared" si="12"/>
        <v/>
      </c>
      <c r="AC114" s="50">
        <f t="shared" si="13"/>
        <v>96</v>
      </c>
      <c r="AD114" s="43">
        <f t="shared" si="14"/>
        <v>98</v>
      </c>
      <c r="AE114" s="50">
        <f t="shared" si="15"/>
        <v>96098</v>
      </c>
    </row>
    <row r="115" spans="1:31">
      <c r="A115" s="59" t="str">
        <f t="shared" si="9"/>
        <v>60141477blk</v>
      </c>
      <c r="B115" s="59" t="str">
        <f t="shared" si="10"/>
        <v>96-098-09</v>
      </c>
      <c r="C115" s="69" t="s">
        <v>1333</v>
      </c>
      <c r="D115" s="69" t="s">
        <v>1332</v>
      </c>
      <c r="E115" s="69" t="s">
        <v>1160</v>
      </c>
      <c r="F115" s="70">
        <v>57</v>
      </c>
      <c r="G115" s="70">
        <v>60141477</v>
      </c>
      <c r="H115" s="69" t="s">
        <v>53</v>
      </c>
      <c r="I115" s="69" t="s">
        <v>910</v>
      </c>
      <c r="J115" s="69" t="s">
        <v>325</v>
      </c>
      <c r="K115" s="69" t="s">
        <v>382</v>
      </c>
      <c r="L115" s="69" t="s">
        <v>887</v>
      </c>
      <c r="M115" s="69" t="s">
        <v>388</v>
      </c>
      <c r="N115" s="69" t="s">
        <v>43</v>
      </c>
      <c r="O115" s="69" t="s">
        <v>386</v>
      </c>
      <c r="P115" s="69" t="s">
        <v>979</v>
      </c>
      <c r="Q115" s="69" t="s">
        <v>1008</v>
      </c>
      <c r="R115" s="69" t="s">
        <v>53</v>
      </c>
      <c r="V115" s="59" t="str">
        <f t="shared" si="11"/>
        <v>60141477черный</v>
      </c>
      <c r="W115" s="59" t="str">
        <f t="shared" si="8"/>
        <v>60141477</v>
      </c>
      <c r="X115" s="59" t="str">
        <f t="shared" si="12"/>
        <v/>
      </c>
      <c r="AC115" s="50">
        <f t="shared" si="13"/>
        <v>96</v>
      </c>
      <c r="AD115" s="43">
        <f t="shared" si="14"/>
        <v>98</v>
      </c>
      <c r="AE115" s="50">
        <f t="shared" si="15"/>
        <v>96098</v>
      </c>
    </row>
    <row r="116" spans="1:31">
      <c r="A116" s="59" t="str">
        <f t="shared" si="9"/>
        <v>60141477blk</v>
      </c>
      <c r="B116" s="59" t="str">
        <f t="shared" si="10"/>
        <v>96-098-09</v>
      </c>
      <c r="C116" s="69" t="s">
        <v>1334</v>
      </c>
      <c r="D116" s="69" t="s">
        <v>1332</v>
      </c>
      <c r="E116" s="69" t="s">
        <v>1167</v>
      </c>
      <c r="F116" s="70">
        <v>55</v>
      </c>
      <c r="G116" s="70">
        <v>60141477</v>
      </c>
      <c r="H116" s="69" t="s">
        <v>53</v>
      </c>
      <c r="I116" s="69" t="s">
        <v>910</v>
      </c>
      <c r="J116" s="69" t="s">
        <v>325</v>
      </c>
      <c r="K116" s="69" t="s">
        <v>382</v>
      </c>
      <c r="L116" s="69" t="s">
        <v>887</v>
      </c>
      <c r="M116" s="69" t="s">
        <v>388</v>
      </c>
      <c r="N116" s="69" t="s">
        <v>43</v>
      </c>
      <c r="O116" s="69" t="s">
        <v>386</v>
      </c>
      <c r="P116" s="69" t="s">
        <v>979</v>
      </c>
      <c r="Q116" s="69" t="s">
        <v>1008</v>
      </c>
      <c r="R116" s="69" t="s">
        <v>53</v>
      </c>
      <c r="V116" s="59" t="str">
        <f t="shared" si="11"/>
        <v>60141477черный</v>
      </c>
      <c r="W116" s="59" t="str">
        <f t="shared" si="8"/>
        <v>60141477</v>
      </c>
      <c r="X116" s="59" t="str">
        <f t="shared" si="12"/>
        <v/>
      </c>
      <c r="AC116" s="50">
        <f t="shared" si="13"/>
        <v>96</v>
      </c>
      <c r="AD116" s="43">
        <f t="shared" si="14"/>
        <v>98</v>
      </c>
      <c r="AE116" s="50">
        <f t="shared" si="15"/>
        <v>96098</v>
      </c>
    </row>
    <row r="117" spans="1:31">
      <c r="A117" s="59" t="str">
        <f t="shared" si="9"/>
        <v>60137572fdr</v>
      </c>
      <c r="B117" s="59" t="str">
        <f t="shared" si="10"/>
        <v>96-097-18</v>
      </c>
      <c r="C117" s="69" t="s">
        <v>1335</v>
      </c>
      <c r="D117" s="69" t="s">
        <v>1336</v>
      </c>
      <c r="E117" s="69" t="s">
        <v>1025</v>
      </c>
      <c r="F117" s="70">
        <v>58</v>
      </c>
      <c r="G117" s="70" t="s">
        <v>1337</v>
      </c>
      <c r="H117" s="69" t="s">
        <v>78</v>
      </c>
      <c r="I117" s="69" t="s">
        <v>1338</v>
      </c>
      <c r="J117" s="69" t="s">
        <v>327</v>
      </c>
      <c r="K117" s="69" t="s">
        <v>382</v>
      </c>
      <c r="L117" s="69" t="s">
        <v>887</v>
      </c>
      <c r="M117" s="69" t="s">
        <v>388</v>
      </c>
      <c r="N117" s="69" t="s">
        <v>43</v>
      </c>
      <c r="O117" s="69" t="s">
        <v>386</v>
      </c>
      <c r="P117" s="69" t="s">
        <v>979</v>
      </c>
      <c r="Q117" s="69" t="s">
        <v>1145</v>
      </c>
      <c r="R117" s="69" t="s">
        <v>78</v>
      </c>
      <c r="T117" s="69" t="s">
        <v>1047</v>
      </c>
      <c r="U117" s="69" t="s">
        <v>1048</v>
      </c>
      <c r="V117" s="59" t="str">
        <f t="shared" si="11"/>
        <v>60137572красный</v>
      </c>
      <c r="W117" s="59" t="str">
        <f t="shared" si="8"/>
        <v>60137572</v>
      </c>
      <c r="X117" s="59" t="str">
        <f t="shared" si="12"/>
        <v>Chicago Bulls</v>
      </c>
      <c r="AC117" s="50">
        <f t="shared" si="13"/>
        <v>96</v>
      </c>
      <c r="AD117" s="43">
        <f t="shared" si="14"/>
        <v>97</v>
      </c>
      <c r="AE117" s="50">
        <f t="shared" si="15"/>
        <v>96097</v>
      </c>
    </row>
    <row r="118" spans="1:31">
      <c r="A118" s="59" t="str">
        <f t="shared" si="9"/>
        <v>60137572fdr</v>
      </c>
      <c r="B118" s="59" t="str">
        <f t="shared" si="10"/>
        <v>96-097-18</v>
      </c>
      <c r="C118" s="69" t="s">
        <v>1339</v>
      </c>
      <c r="D118" s="69" t="s">
        <v>1336</v>
      </c>
      <c r="E118" s="69" t="s">
        <v>1029</v>
      </c>
      <c r="F118" s="70">
        <v>56</v>
      </c>
      <c r="G118" s="70" t="s">
        <v>1337</v>
      </c>
      <c r="H118" s="69" t="s">
        <v>78</v>
      </c>
      <c r="I118" s="69" t="s">
        <v>1338</v>
      </c>
      <c r="J118" s="69" t="s">
        <v>327</v>
      </c>
      <c r="K118" s="69" t="s">
        <v>382</v>
      </c>
      <c r="L118" s="69" t="s">
        <v>887</v>
      </c>
      <c r="M118" s="69" t="s">
        <v>388</v>
      </c>
      <c r="N118" s="69" t="s">
        <v>43</v>
      </c>
      <c r="O118" s="69" t="s">
        <v>386</v>
      </c>
      <c r="P118" s="69" t="s">
        <v>979</v>
      </c>
      <c r="Q118" s="69" t="s">
        <v>1145</v>
      </c>
      <c r="R118" s="69" t="s">
        <v>78</v>
      </c>
      <c r="T118" s="69" t="s">
        <v>1047</v>
      </c>
      <c r="U118" s="69" t="s">
        <v>1048</v>
      </c>
      <c r="V118" s="59" t="str">
        <f t="shared" si="11"/>
        <v>60137572красный</v>
      </c>
      <c r="W118" s="59" t="str">
        <f t="shared" si="8"/>
        <v>60137572</v>
      </c>
      <c r="X118" s="59" t="str">
        <f t="shared" si="12"/>
        <v>Chicago Bulls</v>
      </c>
      <c r="AC118" s="50">
        <f t="shared" si="13"/>
        <v>96</v>
      </c>
      <c r="AD118" s="43">
        <f t="shared" si="14"/>
        <v>97</v>
      </c>
      <c r="AE118" s="50">
        <f t="shared" si="15"/>
        <v>96097</v>
      </c>
    </row>
    <row r="119" spans="1:31">
      <c r="A119" s="59" t="str">
        <f t="shared" si="9"/>
        <v>60137571trp</v>
      </c>
      <c r="B119" s="59" t="str">
        <f t="shared" si="10"/>
        <v>96-096-41</v>
      </c>
      <c r="C119" s="69" t="s">
        <v>1340</v>
      </c>
      <c r="D119" s="69" t="s">
        <v>1341</v>
      </c>
      <c r="E119" s="69" t="s">
        <v>1025</v>
      </c>
      <c r="F119" s="70">
        <v>58</v>
      </c>
      <c r="G119" s="70" t="s">
        <v>1342</v>
      </c>
      <c r="H119" s="69" t="s">
        <v>286</v>
      </c>
      <c r="I119" s="69" t="s">
        <v>1338</v>
      </c>
      <c r="J119" s="69" t="s">
        <v>327</v>
      </c>
      <c r="K119" s="69" t="s">
        <v>382</v>
      </c>
      <c r="L119" s="69" t="s">
        <v>887</v>
      </c>
      <c r="M119" s="69" t="s">
        <v>388</v>
      </c>
      <c r="N119" s="69" t="s">
        <v>43</v>
      </c>
      <c r="O119" s="69" t="s">
        <v>386</v>
      </c>
      <c r="P119" s="69" t="s">
        <v>979</v>
      </c>
      <c r="Q119" s="69" t="s">
        <v>1343</v>
      </c>
      <c r="R119" s="69" t="s">
        <v>286</v>
      </c>
      <c r="T119" s="69" t="s">
        <v>1047</v>
      </c>
      <c r="U119" s="69" t="s">
        <v>1053</v>
      </c>
      <c r="V119" s="59" t="str">
        <f t="shared" si="11"/>
        <v>60137571фиолетовый</v>
      </c>
      <c r="W119" s="59" t="str">
        <f t="shared" si="8"/>
        <v>60137571</v>
      </c>
      <c r="X119" s="59" t="str">
        <f t="shared" si="12"/>
        <v>Los Angeles Lakers</v>
      </c>
      <c r="AC119" s="50">
        <f t="shared" si="13"/>
        <v>96</v>
      </c>
      <c r="AD119" s="43">
        <f t="shared" si="14"/>
        <v>96</v>
      </c>
      <c r="AE119" s="50">
        <f t="shared" si="15"/>
        <v>96096</v>
      </c>
    </row>
    <row r="120" spans="1:31">
      <c r="A120" s="59" t="str">
        <f t="shared" si="9"/>
        <v>60137571trp</v>
      </c>
      <c r="B120" s="59" t="str">
        <f t="shared" si="10"/>
        <v>96-096-41</v>
      </c>
      <c r="C120" s="69" t="s">
        <v>1344</v>
      </c>
      <c r="D120" s="69" t="s">
        <v>1341</v>
      </c>
      <c r="E120" s="69" t="s">
        <v>1029</v>
      </c>
      <c r="F120" s="70">
        <v>56</v>
      </c>
      <c r="G120" s="70" t="s">
        <v>1342</v>
      </c>
      <c r="H120" s="69" t="s">
        <v>286</v>
      </c>
      <c r="I120" s="69" t="s">
        <v>1338</v>
      </c>
      <c r="J120" s="69" t="s">
        <v>327</v>
      </c>
      <c r="K120" s="69" t="s">
        <v>382</v>
      </c>
      <c r="L120" s="69" t="s">
        <v>887</v>
      </c>
      <c r="M120" s="69" t="s">
        <v>388</v>
      </c>
      <c r="N120" s="69" t="s">
        <v>43</v>
      </c>
      <c r="O120" s="69" t="s">
        <v>386</v>
      </c>
      <c r="P120" s="69" t="s">
        <v>979</v>
      </c>
      <c r="Q120" s="69" t="s">
        <v>1343</v>
      </c>
      <c r="R120" s="69" t="s">
        <v>286</v>
      </c>
      <c r="T120" s="69" t="s">
        <v>1047</v>
      </c>
      <c r="U120" s="69" t="s">
        <v>1053</v>
      </c>
      <c r="V120" s="59" t="str">
        <f t="shared" si="11"/>
        <v>60137571фиолетовый</v>
      </c>
      <c r="W120" s="59" t="str">
        <f t="shared" si="8"/>
        <v>60137571</v>
      </c>
      <c r="X120" s="59" t="str">
        <f t="shared" si="12"/>
        <v>Los Angeles Lakers</v>
      </c>
      <c r="AC120" s="50">
        <f t="shared" si="13"/>
        <v>96</v>
      </c>
      <c r="AD120" s="43">
        <f t="shared" si="14"/>
        <v>96</v>
      </c>
      <c r="AE120" s="50">
        <f t="shared" si="15"/>
        <v>96096</v>
      </c>
    </row>
    <row r="121" spans="1:31">
      <c r="A121" s="59" t="str">
        <f t="shared" si="9"/>
        <v>60137527nvysca</v>
      </c>
      <c r="B121" s="59" t="str">
        <f t="shared" si="10"/>
        <v>96-095-09</v>
      </c>
      <c r="C121" s="69" t="s">
        <v>1345</v>
      </c>
      <c r="D121" s="69" t="s">
        <v>1346</v>
      </c>
      <c r="E121" s="69" t="s">
        <v>1347</v>
      </c>
      <c r="F121" s="70">
        <v>60</v>
      </c>
      <c r="G121" s="70" t="s">
        <v>1348</v>
      </c>
      <c r="H121" s="69" t="s">
        <v>53</v>
      </c>
      <c r="I121" s="69" t="s">
        <v>910</v>
      </c>
      <c r="J121" s="69" t="s">
        <v>783</v>
      </c>
      <c r="K121" s="69" t="s">
        <v>382</v>
      </c>
      <c r="L121" s="69" t="s">
        <v>887</v>
      </c>
      <c r="M121" s="69" t="s">
        <v>388</v>
      </c>
      <c r="N121" s="69" t="s">
        <v>43</v>
      </c>
      <c r="O121" s="69" t="s">
        <v>541</v>
      </c>
      <c r="P121" s="69" t="s">
        <v>979</v>
      </c>
      <c r="Q121" s="69" t="s">
        <v>1349</v>
      </c>
      <c r="R121" s="69" t="s">
        <v>53</v>
      </c>
      <c r="T121" s="69" t="s">
        <v>911</v>
      </c>
      <c r="U121" s="69" t="s">
        <v>914</v>
      </c>
      <c r="V121" s="59" t="str">
        <f t="shared" si="11"/>
        <v>60137527черный</v>
      </c>
      <c r="W121" s="59" t="str">
        <f t="shared" si="8"/>
        <v>60137527</v>
      </c>
      <c r="X121" s="59" t="str">
        <f t="shared" si="12"/>
        <v>New York Yankees</v>
      </c>
      <c r="AC121" s="50">
        <f t="shared" si="13"/>
        <v>96</v>
      </c>
      <c r="AD121" s="43">
        <f t="shared" si="14"/>
        <v>95</v>
      </c>
      <c r="AE121" s="50">
        <f t="shared" si="15"/>
        <v>96095</v>
      </c>
    </row>
    <row r="122" spans="1:31">
      <c r="A122" s="59" t="str">
        <f t="shared" si="9"/>
        <v>60137517blk</v>
      </c>
      <c r="B122" s="59" t="str">
        <f t="shared" si="10"/>
        <v>96-094-09</v>
      </c>
      <c r="C122" s="69" t="s">
        <v>1350</v>
      </c>
      <c r="D122" s="69" t="s">
        <v>1351</v>
      </c>
      <c r="E122" s="69" t="s">
        <v>1025</v>
      </c>
      <c r="F122" s="70">
        <v>58</v>
      </c>
      <c r="G122" s="70" t="s">
        <v>1352</v>
      </c>
      <c r="H122" s="69" t="s">
        <v>53</v>
      </c>
      <c r="I122" s="69" t="s">
        <v>1338</v>
      </c>
      <c r="J122" s="69" t="s">
        <v>327</v>
      </c>
      <c r="K122" s="69" t="s">
        <v>382</v>
      </c>
      <c r="L122" s="69" t="s">
        <v>887</v>
      </c>
      <c r="M122" s="69" t="s">
        <v>388</v>
      </c>
      <c r="N122" s="69" t="s">
        <v>43</v>
      </c>
      <c r="O122" s="69" t="s">
        <v>386</v>
      </c>
      <c r="P122" s="69" t="s">
        <v>979</v>
      </c>
      <c r="Q122" s="69" t="s">
        <v>1008</v>
      </c>
      <c r="R122" s="69" t="s">
        <v>53</v>
      </c>
      <c r="T122" s="69" t="s">
        <v>1111</v>
      </c>
      <c r="U122" s="69" t="s">
        <v>1112</v>
      </c>
      <c r="V122" s="59" t="str">
        <f t="shared" si="11"/>
        <v>60137517черный</v>
      </c>
      <c r="W122" s="59" t="str">
        <f t="shared" si="8"/>
        <v>60137517</v>
      </c>
      <c r="X122" s="59" t="str">
        <f t="shared" si="12"/>
        <v>Las Vegas Raiders</v>
      </c>
      <c r="AC122" s="50">
        <f t="shared" si="13"/>
        <v>96</v>
      </c>
      <c r="AD122" s="43">
        <f t="shared" si="14"/>
        <v>94</v>
      </c>
      <c r="AE122" s="50">
        <f t="shared" si="15"/>
        <v>96094</v>
      </c>
    </row>
    <row r="123" spans="1:31">
      <c r="A123" s="59" t="str">
        <f t="shared" si="9"/>
        <v>60137517blk</v>
      </c>
      <c r="B123" s="59" t="str">
        <f t="shared" si="10"/>
        <v>96-094-09</v>
      </c>
      <c r="C123" s="69" t="s">
        <v>1353</v>
      </c>
      <c r="D123" s="69" t="s">
        <v>1351</v>
      </c>
      <c r="E123" s="69" t="s">
        <v>1029</v>
      </c>
      <c r="F123" s="70">
        <v>56</v>
      </c>
      <c r="G123" s="70" t="s">
        <v>1352</v>
      </c>
      <c r="H123" s="69" t="s">
        <v>53</v>
      </c>
      <c r="I123" s="69" t="s">
        <v>1338</v>
      </c>
      <c r="J123" s="69" t="s">
        <v>327</v>
      </c>
      <c r="K123" s="69" t="s">
        <v>382</v>
      </c>
      <c r="L123" s="69" t="s">
        <v>887</v>
      </c>
      <c r="M123" s="69" t="s">
        <v>388</v>
      </c>
      <c r="N123" s="69" t="s">
        <v>43</v>
      </c>
      <c r="O123" s="69" t="s">
        <v>386</v>
      </c>
      <c r="P123" s="69" t="s">
        <v>979</v>
      </c>
      <c r="Q123" s="69" t="s">
        <v>1008</v>
      </c>
      <c r="R123" s="69" t="s">
        <v>53</v>
      </c>
      <c r="T123" s="69" t="s">
        <v>1111</v>
      </c>
      <c r="U123" s="69" t="s">
        <v>1112</v>
      </c>
      <c r="V123" s="59" t="str">
        <f t="shared" si="11"/>
        <v>60137517черный</v>
      </c>
      <c r="W123" s="59" t="str">
        <f t="shared" si="8"/>
        <v>60137517</v>
      </c>
      <c r="X123" s="59" t="str">
        <f t="shared" si="12"/>
        <v>Las Vegas Raiders</v>
      </c>
      <c r="AC123" s="50">
        <f t="shared" si="13"/>
        <v>96</v>
      </c>
      <c r="AD123" s="43">
        <f t="shared" si="14"/>
        <v>94</v>
      </c>
      <c r="AE123" s="50">
        <f t="shared" si="15"/>
        <v>96094</v>
      </c>
    </row>
    <row r="124" spans="1:31">
      <c r="A124" s="59" t="str">
        <f t="shared" si="9"/>
        <v>60137461cdt</v>
      </c>
      <c r="B124" s="59" t="str">
        <f t="shared" si="10"/>
        <v>96-093-06</v>
      </c>
      <c r="C124" s="69" t="s">
        <v>1354</v>
      </c>
      <c r="D124" s="69" t="s">
        <v>1355</v>
      </c>
      <c r="E124" s="69" t="s">
        <v>1025</v>
      </c>
      <c r="F124" s="70">
        <v>58</v>
      </c>
      <c r="G124" s="70" t="s">
        <v>1356</v>
      </c>
      <c r="H124" s="69" t="s">
        <v>71</v>
      </c>
      <c r="I124" s="69" t="s">
        <v>910</v>
      </c>
      <c r="J124" s="69" t="s">
        <v>783</v>
      </c>
      <c r="K124" s="69" t="s">
        <v>382</v>
      </c>
      <c r="L124" s="69" t="s">
        <v>887</v>
      </c>
      <c r="M124" s="69" t="s">
        <v>388</v>
      </c>
      <c r="N124" s="69" t="s">
        <v>43</v>
      </c>
      <c r="O124" s="69" t="s">
        <v>541</v>
      </c>
      <c r="P124" s="69" t="s">
        <v>979</v>
      </c>
      <c r="Q124" s="69" t="s">
        <v>1357</v>
      </c>
      <c r="R124" s="69" t="s">
        <v>71</v>
      </c>
      <c r="T124" s="69" t="s">
        <v>911</v>
      </c>
      <c r="U124" s="69" t="s">
        <v>912</v>
      </c>
      <c r="V124" s="59" t="str">
        <f t="shared" si="11"/>
        <v>60137461синий</v>
      </c>
      <c r="W124" s="59" t="str">
        <f t="shared" si="8"/>
        <v>60137461</v>
      </c>
      <c r="X124" s="59" t="str">
        <f t="shared" si="12"/>
        <v>Los Angeles Dodgers</v>
      </c>
      <c r="AC124" s="50">
        <f t="shared" si="13"/>
        <v>96</v>
      </c>
      <c r="AD124" s="43">
        <f t="shared" si="14"/>
        <v>93</v>
      </c>
      <c r="AE124" s="50">
        <f t="shared" si="15"/>
        <v>96093</v>
      </c>
    </row>
    <row r="125" spans="1:31">
      <c r="A125" s="59" t="str">
        <f t="shared" si="9"/>
        <v>60137461cdt</v>
      </c>
      <c r="B125" s="59" t="str">
        <f t="shared" si="10"/>
        <v>96-093-06</v>
      </c>
      <c r="C125" s="69" t="s">
        <v>1358</v>
      </c>
      <c r="D125" s="69" t="s">
        <v>1355</v>
      </c>
      <c r="E125" s="69" t="s">
        <v>1029</v>
      </c>
      <c r="F125" s="70">
        <v>56</v>
      </c>
      <c r="G125" s="70" t="s">
        <v>1356</v>
      </c>
      <c r="H125" s="69" t="s">
        <v>71</v>
      </c>
      <c r="I125" s="69" t="s">
        <v>910</v>
      </c>
      <c r="J125" s="69" t="s">
        <v>783</v>
      </c>
      <c r="K125" s="69" t="s">
        <v>382</v>
      </c>
      <c r="L125" s="69" t="s">
        <v>887</v>
      </c>
      <c r="M125" s="69" t="s">
        <v>388</v>
      </c>
      <c r="N125" s="69" t="s">
        <v>43</v>
      </c>
      <c r="O125" s="69" t="s">
        <v>541</v>
      </c>
      <c r="P125" s="69" t="s">
        <v>979</v>
      </c>
      <c r="Q125" s="69" t="s">
        <v>1357</v>
      </c>
      <c r="R125" s="69" t="s">
        <v>71</v>
      </c>
      <c r="T125" s="69" t="s">
        <v>911</v>
      </c>
      <c r="U125" s="69" t="s">
        <v>912</v>
      </c>
      <c r="V125" s="59" t="str">
        <f t="shared" si="11"/>
        <v>60137461синий</v>
      </c>
      <c r="W125" s="59" t="str">
        <f t="shared" si="8"/>
        <v>60137461</v>
      </c>
      <c r="X125" s="59" t="str">
        <f t="shared" si="12"/>
        <v>Los Angeles Dodgers</v>
      </c>
      <c r="AC125" s="50">
        <f t="shared" si="13"/>
        <v>96</v>
      </c>
      <c r="AD125" s="43">
        <f t="shared" si="14"/>
        <v>93</v>
      </c>
      <c r="AE125" s="50">
        <f t="shared" si="15"/>
        <v>96093</v>
      </c>
    </row>
    <row r="126" spans="1:31">
      <c r="A126" s="59" t="str">
        <f t="shared" si="9"/>
        <v>60102842otc</v>
      </c>
      <c r="B126" s="59" t="str">
        <f t="shared" si="10"/>
        <v>96-092-80</v>
      </c>
      <c r="C126" s="69" t="s">
        <v>1359</v>
      </c>
      <c r="D126" s="69" t="s">
        <v>1360</v>
      </c>
      <c r="E126" s="69" t="s">
        <v>909</v>
      </c>
      <c r="F126" s="70">
        <v>0</v>
      </c>
      <c r="G126" s="70" t="s">
        <v>1361</v>
      </c>
      <c r="H126" s="69" t="s">
        <v>83</v>
      </c>
      <c r="I126" s="69" t="s">
        <v>1236</v>
      </c>
      <c r="J126" s="69" t="s">
        <v>342</v>
      </c>
      <c r="K126" s="69" t="s">
        <v>382</v>
      </c>
      <c r="L126" s="69" t="s">
        <v>887</v>
      </c>
      <c r="M126" s="69" t="s">
        <v>389</v>
      </c>
      <c r="O126" s="69" t="s">
        <v>386</v>
      </c>
      <c r="P126" s="69" t="s">
        <v>979</v>
      </c>
      <c r="Q126" s="69" t="s">
        <v>1362</v>
      </c>
      <c r="R126" s="69" t="s">
        <v>83</v>
      </c>
      <c r="T126" s="69" t="s">
        <v>1047</v>
      </c>
      <c r="U126" s="69" t="s">
        <v>1048</v>
      </c>
      <c r="V126" s="59" t="str">
        <f t="shared" si="11"/>
        <v>60102842серый</v>
      </c>
      <c r="W126" s="59" t="str">
        <f t="shared" si="8"/>
        <v>60102842</v>
      </c>
      <c r="X126" s="59" t="str">
        <f t="shared" si="12"/>
        <v>Chicago Bulls</v>
      </c>
      <c r="AC126" s="50">
        <f t="shared" si="13"/>
        <v>96</v>
      </c>
      <c r="AD126" s="43">
        <f t="shared" si="14"/>
        <v>92</v>
      </c>
      <c r="AE126" s="50">
        <f t="shared" si="15"/>
        <v>96092</v>
      </c>
    </row>
    <row r="127" spans="1:31">
      <c r="A127" s="59" t="str">
        <f t="shared" si="9"/>
        <v>60102809otc</v>
      </c>
      <c r="B127" s="59" t="str">
        <f t="shared" si="10"/>
        <v>96-091-05</v>
      </c>
      <c r="C127" s="69" t="s">
        <v>1363</v>
      </c>
      <c r="D127" s="69" t="s">
        <v>1364</v>
      </c>
      <c r="E127" s="69" t="s">
        <v>909</v>
      </c>
      <c r="F127" s="70">
        <v>0</v>
      </c>
      <c r="G127" s="70" t="s">
        <v>1365</v>
      </c>
      <c r="H127" s="69" t="s">
        <v>277</v>
      </c>
      <c r="I127" s="69" t="s">
        <v>1236</v>
      </c>
      <c r="J127" s="69" t="s">
        <v>342</v>
      </c>
      <c r="K127" s="69" t="s">
        <v>382</v>
      </c>
      <c r="L127" s="69" t="s">
        <v>887</v>
      </c>
      <c r="M127" s="69" t="s">
        <v>389</v>
      </c>
      <c r="O127" s="69" t="s">
        <v>386</v>
      </c>
      <c r="P127" s="69" t="s">
        <v>979</v>
      </c>
      <c r="Q127" s="69" t="s">
        <v>1362</v>
      </c>
      <c r="R127" s="69" t="s">
        <v>83</v>
      </c>
      <c r="T127" s="69" t="s">
        <v>1047</v>
      </c>
      <c r="U127" s="69" t="s">
        <v>1366</v>
      </c>
      <c r="V127" s="59" t="str">
        <f t="shared" si="11"/>
        <v>60102809темно-серый</v>
      </c>
      <c r="W127" s="59" t="str">
        <f t="shared" si="8"/>
        <v>60102809</v>
      </c>
      <c r="X127" s="59" t="str">
        <f t="shared" si="12"/>
        <v>Miami Heat</v>
      </c>
      <c r="AC127" s="50">
        <f t="shared" si="13"/>
        <v>96</v>
      </c>
      <c r="AD127" s="43">
        <f t="shared" si="14"/>
        <v>91</v>
      </c>
      <c r="AE127" s="50">
        <f t="shared" si="15"/>
        <v>96091</v>
      </c>
    </row>
    <row r="128" spans="1:31">
      <c r="A128" s="59" t="str">
        <f t="shared" si="9"/>
        <v>60102707otc</v>
      </c>
      <c r="B128" s="59" t="str">
        <f t="shared" si="10"/>
        <v>96-090-80</v>
      </c>
      <c r="C128" s="69" t="s">
        <v>1367</v>
      </c>
      <c r="D128" s="69" t="s">
        <v>1368</v>
      </c>
      <c r="E128" s="69" t="s">
        <v>909</v>
      </c>
      <c r="F128" s="70">
        <v>0</v>
      </c>
      <c r="G128" s="70" t="s">
        <v>1369</v>
      </c>
      <c r="H128" s="69" t="s">
        <v>83</v>
      </c>
      <c r="I128" s="69" t="s">
        <v>1236</v>
      </c>
      <c r="J128" s="69" t="s">
        <v>342</v>
      </c>
      <c r="K128" s="69" t="s">
        <v>382</v>
      </c>
      <c r="L128" s="69" t="s">
        <v>887</v>
      </c>
      <c r="M128" s="69" t="s">
        <v>389</v>
      </c>
      <c r="O128" s="69" t="s">
        <v>386</v>
      </c>
      <c r="P128" s="69" t="s">
        <v>979</v>
      </c>
      <c r="Q128" s="69" t="s">
        <v>1362</v>
      </c>
      <c r="R128" s="69" t="s">
        <v>83</v>
      </c>
      <c r="T128" s="69" t="s">
        <v>1047</v>
      </c>
      <c r="U128" s="69" t="s">
        <v>1370</v>
      </c>
      <c r="V128" s="59" t="str">
        <f t="shared" si="11"/>
        <v>60102707серый</v>
      </c>
      <c r="W128" s="59" t="str">
        <f t="shared" si="8"/>
        <v>60102707</v>
      </c>
      <c r="X128" s="59" t="str">
        <f t="shared" si="12"/>
        <v>Brooklyn Nets</v>
      </c>
      <c r="AC128" s="50">
        <f t="shared" si="13"/>
        <v>96</v>
      </c>
      <c r="AD128" s="43">
        <f t="shared" si="14"/>
        <v>90</v>
      </c>
      <c r="AE128" s="50">
        <f t="shared" si="15"/>
        <v>96090</v>
      </c>
    </row>
    <row r="129" spans="1:31">
      <c r="A129" s="59" t="str">
        <f t="shared" si="9"/>
        <v>60102591otc</v>
      </c>
      <c r="B129" s="59" t="str">
        <f t="shared" si="10"/>
        <v>96-089-80</v>
      </c>
      <c r="C129" s="69" t="s">
        <v>1371</v>
      </c>
      <c r="D129" s="69" t="s">
        <v>1372</v>
      </c>
      <c r="E129" s="69" t="s">
        <v>909</v>
      </c>
      <c r="F129" s="70">
        <v>0</v>
      </c>
      <c r="G129" s="70" t="s">
        <v>1373</v>
      </c>
      <c r="H129" s="69" t="s">
        <v>53</v>
      </c>
      <c r="I129" s="69" t="s">
        <v>1236</v>
      </c>
      <c r="J129" s="69" t="s">
        <v>342</v>
      </c>
      <c r="K129" s="69" t="s">
        <v>382</v>
      </c>
      <c r="L129" s="69" t="s">
        <v>887</v>
      </c>
      <c r="M129" s="69" t="s">
        <v>389</v>
      </c>
      <c r="O129" s="69" t="s">
        <v>386</v>
      </c>
      <c r="P129" s="69" t="s">
        <v>979</v>
      </c>
      <c r="Q129" s="69" t="s">
        <v>1362</v>
      </c>
      <c r="R129" s="69" t="s">
        <v>53</v>
      </c>
      <c r="T129" s="69" t="s">
        <v>1047</v>
      </c>
      <c r="U129" s="69" t="s">
        <v>1374</v>
      </c>
      <c r="V129" s="59" t="str">
        <f t="shared" si="11"/>
        <v>60102591черный</v>
      </c>
      <c r="W129" s="59" t="str">
        <f t="shared" si="8"/>
        <v>60102591</v>
      </c>
      <c r="X129" s="59" t="str">
        <f t="shared" si="12"/>
        <v>Los Angeles Clippers</v>
      </c>
      <c r="AC129" s="50">
        <f t="shared" si="13"/>
        <v>96</v>
      </c>
      <c r="AD129" s="43">
        <f t="shared" si="14"/>
        <v>89</v>
      </c>
      <c r="AE129" s="50">
        <f t="shared" si="15"/>
        <v>96089</v>
      </c>
    </row>
    <row r="130" spans="1:31">
      <c r="A130" s="59" t="str">
        <f t="shared" si="9"/>
        <v>12881461blk</v>
      </c>
      <c r="B130" s="59" t="str">
        <f t="shared" si="10"/>
        <v>96-088-09</v>
      </c>
      <c r="C130" s="69" t="s">
        <v>1375</v>
      </c>
      <c r="D130" s="69" t="s">
        <v>1376</v>
      </c>
      <c r="E130" s="69" t="s">
        <v>909</v>
      </c>
      <c r="F130" s="70">
        <v>0</v>
      </c>
      <c r="G130" s="70">
        <v>12881461</v>
      </c>
      <c r="H130" s="69" t="s">
        <v>53</v>
      </c>
      <c r="I130" s="69" t="s">
        <v>918</v>
      </c>
      <c r="J130" s="69" t="s">
        <v>327</v>
      </c>
      <c r="K130" s="69" t="s">
        <v>382</v>
      </c>
      <c r="L130" s="69" t="s">
        <v>887</v>
      </c>
      <c r="M130" s="69" t="s">
        <v>388</v>
      </c>
      <c r="O130" s="69" t="s">
        <v>386</v>
      </c>
      <c r="P130" s="69" t="s">
        <v>979</v>
      </c>
      <c r="Q130" s="69" t="s">
        <v>1008</v>
      </c>
      <c r="R130" s="69" t="s">
        <v>53</v>
      </c>
      <c r="V130" s="59" t="str">
        <f t="shared" si="11"/>
        <v>12881461черный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12881461</v>
      </c>
      <c r="X130" s="59" t="str">
        <f t="shared" si="12"/>
        <v/>
      </c>
      <c r="AC130" s="50">
        <f t="shared" si="13"/>
        <v>96</v>
      </c>
      <c r="AD130" s="43">
        <f t="shared" si="14"/>
        <v>88</v>
      </c>
      <c r="AE130" s="50">
        <f t="shared" si="15"/>
        <v>96088</v>
      </c>
    </row>
    <row r="131" spans="1:31">
      <c r="A131" s="59" t="str">
        <f t="shared" ref="A131:A194" si="17">IF(G131&amp;Q131&lt;&gt;"",W131&amp;Q131,"")</f>
        <v>12573358whi</v>
      </c>
      <c r="B131" s="59" t="str">
        <f t="shared" ref="B131:B194" si="18">IF(C131&lt;&gt;"",LEFT(C131,9),"")</f>
        <v>96-087-17</v>
      </c>
      <c r="C131" s="69" t="s">
        <v>1377</v>
      </c>
      <c r="D131" s="69" t="s">
        <v>1378</v>
      </c>
      <c r="E131" s="69" t="s">
        <v>909</v>
      </c>
      <c r="F131" s="70">
        <v>0</v>
      </c>
      <c r="G131" s="70">
        <v>12573358</v>
      </c>
      <c r="H131" s="69" t="s">
        <v>57</v>
      </c>
      <c r="I131" s="69" t="s">
        <v>910</v>
      </c>
      <c r="J131" s="69" t="s">
        <v>356</v>
      </c>
      <c r="K131" s="69" t="s">
        <v>382</v>
      </c>
      <c r="L131" s="69" t="s">
        <v>887</v>
      </c>
      <c r="M131" s="69" t="s">
        <v>388</v>
      </c>
      <c r="N131" s="69" t="s">
        <v>43</v>
      </c>
      <c r="O131" s="69" t="s">
        <v>386</v>
      </c>
      <c r="P131" s="69" t="s">
        <v>979</v>
      </c>
      <c r="Q131" s="69" t="s">
        <v>996</v>
      </c>
      <c r="R131" s="69" t="s">
        <v>57</v>
      </c>
      <c r="V131" s="59" t="str">
        <f t="shared" ref="V131:V194" si="19">W131&amp;H131</f>
        <v>12573358белый</v>
      </c>
      <c r="W131" s="59" t="str">
        <f t="shared" si="16"/>
        <v>12573358</v>
      </c>
      <c r="X131" s="59" t="str">
        <f t="shared" ref="X131:X194" si="20">IF(A131&lt;&gt;"",IFERROR(IF(FIND(" ",G131)&gt;=1,MID(G131,FIND(" ",G131)+1,LEN(G131)),""),""),"")</f>
        <v/>
      </c>
      <c r="AC131" s="50">
        <f t="shared" ref="AC131:AC194" si="21">IFERROR(VALUE(MID($C131,1,2)),0)</f>
        <v>96</v>
      </c>
      <c r="AD131" s="43">
        <f t="shared" ref="AD131:AD194" si="22">IFERROR(VALUE(MID($C131,4,3)),0)</f>
        <v>87</v>
      </c>
      <c r="AE131" s="50">
        <f t="shared" ref="AE131:AE194" si="23">VALUE(RIGHT("00"&amp;AC131,2)&amp;RIGHT("000"&amp;AD131,3))</f>
        <v>96087</v>
      </c>
    </row>
    <row r="132" spans="1:31">
      <c r="A132" s="59" t="str">
        <f t="shared" si="17"/>
        <v>12523908mrnwhi</v>
      </c>
      <c r="B132" s="59" t="str">
        <f t="shared" si="18"/>
        <v>96-086-12</v>
      </c>
      <c r="C132" s="69" t="s">
        <v>1379</v>
      </c>
      <c r="D132" s="69" t="s">
        <v>1380</v>
      </c>
      <c r="E132" s="69" t="s">
        <v>1347</v>
      </c>
      <c r="F132" s="70">
        <v>60</v>
      </c>
      <c r="G132" s="70" t="s">
        <v>1381</v>
      </c>
      <c r="H132" s="69" t="s">
        <v>121</v>
      </c>
      <c r="I132" s="69" t="s">
        <v>918</v>
      </c>
      <c r="J132" s="69" t="s">
        <v>327</v>
      </c>
      <c r="K132" s="69" t="s">
        <v>382</v>
      </c>
      <c r="L132" s="69" t="s">
        <v>887</v>
      </c>
      <c r="M132" s="69" t="s">
        <v>388</v>
      </c>
      <c r="O132" s="69" t="s">
        <v>541</v>
      </c>
      <c r="P132" s="69" t="s">
        <v>979</v>
      </c>
      <c r="Q132" s="69" t="s">
        <v>1382</v>
      </c>
      <c r="R132" s="69" t="s">
        <v>121</v>
      </c>
      <c r="T132" s="69" t="s">
        <v>911</v>
      </c>
      <c r="U132" s="69" t="s">
        <v>914</v>
      </c>
      <c r="V132" s="59" t="str">
        <f t="shared" si="19"/>
        <v>12523908бордовый</v>
      </c>
      <c r="W132" s="59" t="str">
        <f t="shared" si="16"/>
        <v>12523908</v>
      </c>
      <c r="X132" s="59" t="str">
        <f t="shared" si="20"/>
        <v>New York Yankees</v>
      </c>
      <c r="AC132" s="50">
        <f t="shared" si="21"/>
        <v>96</v>
      </c>
      <c r="AD132" s="43">
        <f t="shared" si="22"/>
        <v>86</v>
      </c>
      <c r="AE132" s="50">
        <f t="shared" si="23"/>
        <v>96086</v>
      </c>
    </row>
    <row r="133" spans="1:31">
      <c r="A133" s="59" t="str">
        <f t="shared" si="17"/>
        <v>12523896grhwhi</v>
      </c>
      <c r="B133" s="59" t="str">
        <f t="shared" si="18"/>
        <v>96-085-80</v>
      </c>
      <c r="C133" s="69" t="s">
        <v>1383</v>
      </c>
      <c r="D133" s="69" t="s">
        <v>1384</v>
      </c>
      <c r="E133" s="69" t="s">
        <v>909</v>
      </c>
      <c r="F133" s="70">
        <v>0</v>
      </c>
      <c r="G133" s="70" t="s">
        <v>1385</v>
      </c>
      <c r="H133" s="69" t="s">
        <v>83</v>
      </c>
      <c r="I133" s="69" t="s">
        <v>910</v>
      </c>
      <c r="J133" s="69" t="s">
        <v>327</v>
      </c>
      <c r="K133" s="69" t="s">
        <v>382</v>
      </c>
      <c r="L133" s="69" t="s">
        <v>887</v>
      </c>
      <c r="M133" s="69" t="s">
        <v>388</v>
      </c>
      <c r="N133" s="69" t="s">
        <v>43</v>
      </c>
      <c r="O133" s="69" t="s">
        <v>386</v>
      </c>
      <c r="P133" s="69" t="s">
        <v>979</v>
      </c>
      <c r="Q133" s="69" t="s">
        <v>1386</v>
      </c>
      <c r="R133" s="69" t="s">
        <v>83</v>
      </c>
      <c r="T133" s="69" t="s">
        <v>911</v>
      </c>
      <c r="U133" s="69" t="s">
        <v>914</v>
      </c>
      <c r="V133" s="59" t="str">
        <f t="shared" si="19"/>
        <v>12523896серый</v>
      </c>
      <c r="W133" s="59" t="str">
        <f t="shared" si="16"/>
        <v>12523896</v>
      </c>
      <c r="X133" s="59" t="str">
        <f t="shared" si="20"/>
        <v>New York Yankees</v>
      </c>
      <c r="AC133" s="50">
        <f t="shared" si="21"/>
        <v>96</v>
      </c>
      <c r="AD133" s="43">
        <f t="shared" si="22"/>
        <v>85</v>
      </c>
      <c r="AE133" s="50">
        <f t="shared" si="23"/>
        <v>96085</v>
      </c>
    </row>
    <row r="134" spans="1:31">
      <c r="A134" s="59" t="str">
        <f t="shared" si="17"/>
        <v>12505780agd</v>
      </c>
      <c r="B134" s="59" t="str">
        <f t="shared" si="18"/>
        <v>96-084-20</v>
      </c>
      <c r="C134" s="69" t="s">
        <v>1387</v>
      </c>
      <c r="D134" s="69" t="s">
        <v>1388</v>
      </c>
      <c r="E134" s="69" t="s">
        <v>909</v>
      </c>
      <c r="F134" s="70">
        <v>0</v>
      </c>
      <c r="G134" s="70">
        <v>12505780</v>
      </c>
      <c r="H134" s="69" t="s">
        <v>65</v>
      </c>
      <c r="I134" s="69" t="s">
        <v>1236</v>
      </c>
      <c r="J134" s="69" t="s">
        <v>340</v>
      </c>
      <c r="K134" s="69" t="s">
        <v>382</v>
      </c>
      <c r="L134" s="69" t="s">
        <v>887</v>
      </c>
      <c r="M134" s="69" t="s">
        <v>389</v>
      </c>
      <c r="O134" s="69" t="s">
        <v>386</v>
      </c>
      <c r="P134" s="69" t="s">
        <v>979</v>
      </c>
      <c r="Q134" s="69" t="s">
        <v>1389</v>
      </c>
      <c r="R134" s="69" t="s">
        <v>65</v>
      </c>
      <c r="V134" s="59" t="str">
        <f t="shared" si="19"/>
        <v>12505780желтый</v>
      </c>
      <c r="W134" s="59" t="str">
        <f t="shared" si="16"/>
        <v>12505780</v>
      </c>
      <c r="X134" s="59" t="str">
        <f t="shared" si="20"/>
        <v/>
      </c>
      <c r="AC134" s="50">
        <f t="shared" si="21"/>
        <v>96</v>
      </c>
      <c r="AD134" s="43">
        <f t="shared" si="22"/>
        <v>84</v>
      </c>
      <c r="AE134" s="50">
        <f t="shared" si="23"/>
        <v>96084</v>
      </c>
    </row>
    <row r="135" spans="1:31">
      <c r="A135" s="59" t="str">
        <f t="shared" si="17"/>
        <v>12505779blk</v>
      </c>
      <c r="B135" s="59" t="str">
        <f t="shared" si="18"/>
        <v>96-083-09</v>
      </c>
      <c r="C135" s="69" t="s">
        <v>1390</v>
      </c>
      <c r="D135" s="69" t="s">
        <v>1391</v>
      </c>
      <c r="E135" s="69" t="s">
        <v>909</v>
      </c>
      <c r="F135" s="70">
        <v>0</v>
      </c>
      <c r="G135" s="70">
        <v>12505779</v>
      </c>
      <c r="H135" s="69" t="s">
        <v>53</v>
      </c>
      <c r="I135" s="69" t="s">
        <v>1236</v>
      </c>
      <c r="J135" s="69" t="s">
        <v>340</v>
      </c>
      <c r="K135" s="69" t="s">
        <v>382</v>
      </c>
      <c r="L135" s="69" t="s">
        <v>887</v>
      </c>
      <c r="M135" s="69" t="s">
        <v>389</v>
      </c>
      <c r="O135" s="69" t="s">
        <v>386</v>
      </c>
      <c r="P135" s="69" t="s">
        <v>979</v>
      </c>
      <c r="Q135" s="69" t="s">
        <v>1008</v>
      </c>
      <c r="R135" s="69" t="s">
        <v>53</v>
      </c>
      <c r="V135" s="59" t="str">
        <f t="shared" si="19"/>
        <v>12505779черный</v>
      </c>
      <c r="W135" s="59" t="str">
        <f t="shared" si="16"/>
        <v>12505779</v>
      </c>
      <c r="X135" s="59" t="str">
        <f t="shared" si="20"/>
        <v/>
      </c>
      <c r="AC135" s="50">
        <f t="shared" si="21"/>
        <v>96</v>
      </c>
      <c r="AD135" s="43">
        <f t="shared" si="22"/>
        <v>83</v>
      </c>
      <c r="AE135" s="50">
        <f t="shared" si="23"/>
        <v>96083</v>
      </c>
    </row>
    <row r="136" spans="1:31">
      <c r="A136" s="59" t="str">
        <f t="shared" si="17"/>
        <v>12505772mrn</v>
      </c>
      <c r="B136" s="59" t="str">
        <f t="shared" si="18"/>
        <v>96-082-12</v>
      </c>
      <c r="C136" s="69" t="s">
        <v>1392</v>
      </c>
      <c r="D136" s="69" t="s">
        <v>1393</v>
      </c>
      <c r="E136" s="69" t="s">
        <v>909</v>
      </c>
      <c r="F136" s="70">
        <v>0</v>
      </c>
      <c r="G136" s="70">
        <v>12505772</v>
      </c>
      <c r="H136" s="69" t="s">
        <v>121</v>
      </c>
      <c r="I136" s="69" t="s">
        <v>1394</v>
      </c>
      <c r="J136" s="69" t="s">
        <v>340</v>
      </c>
      <c r="K136" s="69" t="s">
        <v>382</v>
      </c>
      <c r="L136" s="69" t="s">
        <v>887</v>
      </c>
      <c r="M136" s="69" t="s">
        <v>389</v>
      </c>
      <c r="O136" s="69" t="s">
        <v>386</v>
      </c>
      <c r="P136" s="69" t="s">
        <v>979</v>
      </c>
      <c r="Q136" s="69" t="s">
        <v>1308</v>
      </c>
      <c r="R136" s="69" t="s">
        <v>121</v>
      </c>
      <c r="V136" s="59" t="str">
        <f t="shared" si="19"/>
        <v>12505772бордовый</v>
      </c>
      <c r="W136" s="59" t="str">
        <f t="shared" si="16"/>
        <v>12505772</v>
      </c>
      <c r="X136" s="59" t="str">
        <f t="shared" si="20"/>
        <v/>
      </c>
      <c r="AC136" s="50">
        <f t="shared" si="21"/>
        <v>96</v>
      </c>
      <c r="AD136" s="43">
        <f t="shared" si="22"/>
        <v>82</v>
      </c>
      <c r="AE136" s="50">
        <f t="shared" si="23"/>
        <v>96082</v>
      </c>
    </row>
    <row r="137" spans="1:31">
      <c r="A137" s="59" t="str">
        <f t="shared" si="17"/>
        <v>12505771nov</v>
      </c>
      <c r="B137" s="59" t="str">
        <f t="shared" si="18"/>
        <v>96-081-03</v>
      </c>
      <c r="C137" s="69" t="s">
        <v>1395</v>
      </c>
      <c r="D137" s="69" t="s">
        <v>1396</v>
      </c>
      <c r="E137" s="69" t="s">
        <v>909</v>
      </c>
      <c r="F137" s="70">
        <v>0</v>
      </c>
      <c r="G137" s="70">
        <v>12505771</v>
      </c>
      <c r="H137" s="69" t="s">
        <v>195</v>
      </c>
      <c r="I137" s="69" t="s">
        <v>1394</v>
      </c>
      <c r="J137" s="69" t="s">
        <v>340</v>
      </c>
      <c r="K137" s="69" t="s">
        <v>382</v>
      </c>
      <c r="L137" s="69" t="s">
        <v>887</v>
      </c>
      <c r="M137" s="69" t="s">
        <v>389</v>
      </c>
      <c r="O137" s="69" t="s">
        <v>386</v>
      </c>
      <c r="P137" s="69" t="s">
        <v>979</v>
      </c>
      <c r="Q137" s="69" t="s">
        <v>988</v>
      </c>
      <c r="R137" s="69" t="s">
        <v>195</v>
      </c>
      <c r="V137" s="59" t="str">
        <f t="shared" si="19"/>
        <v>12505771оливковый</v>
      </c>
      <c r="W137" s="59" t="str">
        <f t="shared" si="16"/>
        <v>12505771</v>
      </c>
      <c r="X137" s="59" t="str">
        <f t="shared" si="20"/>
        <v/>
      </c>
      <c r="AC137" s="50">
        <f t="shared" si="21"/>
        <v>96</v>
      </c>
      <c r="AD137" s="43">
        <f t="shared" si="22"/>
        <v>81</v>
      </c>
      <c r="AE137" s="50">
        <f t="shared" si="23"/>
        <v>96081</v>
      </c>
    </row>
    <row r="138" spans="1:31">
      <c r="A138" s="59" t="str">
        <f t="shared" si="17"/>
        <v>12505744nvysca</v>
      </c>
      <c r="B138" s="59" t="str">
        <f t="shared" si="18"/>
        <v>96-080-80</v>
      </c>
      <c r="C138" s="69" t="s">
        <v>1397</v>
      </c>
      <c r="D138" s="69" t="s">
        <v>1398</v>
      </c>
      <c r="E138" s="69" t="s">
        <v>909</v>
      </c>
      <c r="F138" s="70">
        <v>0</v>
      </c>
      <c r="G138" s="70" t="s">
        <v>1399</v>
      </c>
      <c r="H138" s="69" t="s">
        <v>252</v>
      </c>
      <c r="I138" s="69" t="s">
        <v>1236</v>
      </c>
      <c r="J138" s="69" t="s">
        <v>340</v>
      </c>
      <c r="K138" s="69" t="s">
        <v>382</v>
      </c>
      <c r="L138" s="69" t="s">
        <v>887</v>
      </c>
      <c r="M138" s="69" t="s">
        <v>389</v>
      </c>
      <c r="O138" s="69" t="s">
        <v>386</v>
      </c>
      <c r="P138" s="69" t="s">
        <v>979</v>
      </c>
      <c r="Q138" s="69" t="s">
        <v>1349</v>
      </c>
      <c r="R138" s="69" t="s">
        <v>71</v>
      </c>
      <c r="T138" s="69" t="s">
        <v>911</v>
      </c>
      <c r="U138" s="69" t="s">
        <v>915</v>
      </c>
      <c r="V138" s="59" t="str">
        <f t="shared" si="19"/>
        <v>12505744синий / красный</v>
      </c>
      <c r="W138" s="59" t="str">
        <f t="shared" si="16"/>
        <v>12505744</v>
      </c>
      <c r="X138" s="59" t="str">
        <f t="shared" si="20"/>
        <v>Boston Red Sox</v>
      </c>
      <c r="AC138" s="50">
        <f t="shared" si="21"/>
        <v>96</v>
      </c>
      <c r="AD138" s="43">
        <f t="shared" si="22"/>
        <v>80</v>
      </c>
      <c r="AE138" s="50">
        <f t="shared" si="23"/>
        <v>96080</v>
      </c>
    </row>
    <row r="139" spans="1:31">
      <c r="A139" s="59" t="str">
        <f t="shared" si="17"/>
        <v>12489461mrn</v>
      </c>
      <c r="B139" s="59" t="str">
        <f t="shared" si="18"/>
        <v>96-079-12</v>
      </c>
      <c r="C139" s="69" t="s">
        <v>1400</v>
      </c>
      <c r="D139" s="69" t="s">
        <v>1401</v>
      </c>
      <c r="E139" s="69" t="s">
        <v>909</v>
      </c>
      <c r="F139" s="70">
        <v>0</v>
      </c>
      <c r="G139" s="70" t="s">
        <v>1402</v>
      </c>
      <c r="H139" s="69" t="s">
        <v>121</v>
      </c>
      <c r="I139" s="69" t="s">
        <v>1236</v>
      </c>
      <c r="J139" s="69" t="s">
        <v>340</v>
      </c>
      <c r="K139" s="69" t="s">
        <v>382</v>
      </c>
      <c r="L139" s="69" t="s">
        <v>887</v>
      </c>
      <c r="M139" s="69" t="s">
        <v>389</v>
      </c>
      <c r="O139" s="69" t="s">
        <v>386</v>
      </c>
      <c r="P139" s="69" t="s">
        <v>979</v>
      </c>
      <c r="Q139" s="69" t="s">
        <v>1308</v>
      </c>
      <c r="R139" s="69" t="s">
        <v>121</v>
      </c>
      <c r="T139" s="69" t="s">
        <v>911</v>
      </c>
      <c r="U139" s="69" t="s">
        <v>912</v>
      </c>
      <c r="V139" s="59" t="str">
        <f t="shared" si="19"/>
        <v>12489461бордовый</v>
      </c>
      <c r="W139" s="59" t="str">
        <f t="shared" si="16"/>
        <v>12489461</v>
      </c>
      <c r="X139" s="59" t="str">
        <f t="shared" si="20"/>
        <v>Los Angeles Dodgers</v>
      </c>
      <c r="AC139" s="50">
        <f t="shared" si="21"/>
        <v>96</v>
      </c>
      <c r="AD139" s="43">
        <f t="shared" si="22"/>
        <v>79</v>
      </c>
      <c r="AE139" s="50">
        <f t="shared" si="23"/>
        <v>96079</v>
      </c>
    </row>
    <row r="140" spans="1:31">
      <c r="A140" s="59" t="str">
        <f t="shared" si="17"/>
        <v>12489460blk</v>
      </c>
      <c r="B140" s="59" t="str">
        <f t="shared" si="18"/>
        <v>96-078-09</v>
      </c>
      <c r="C140" s="69" t="s">
        <v>1403</v>
      </c>
      <c r="D140" s="69" t="s">
        <v>1404</v>
      </c>
      <c r="E140" s="69" t="s">
        <v>909</v>
      </c>
      <c r="F140" s="70">
        <v>0</v>
      </c>
      <c r="G140" s="70" t="s">
        <v>1405</v>
      </c>
      <c r="H140" s="69" t="s">
        <v>53</v>
      </c>
      <c r="I140" s="69" t="s">
        <v>1236</v>
      </c>
      <c r="J140" s="69" t="s">
        <v>340</v>
      </c>
      <c r="K140" s="69" t="s">
        <v>382</v>
      </c>
      <c r="L140" s="69" t="s">
        <v>887</v>
      </c>
      <c r="M140" s="69" t="s">
        <v>389</v>
      </c>
      <c r="O140" s="69" t="s">
        <v>386</v>
      </c>
      <c r="P140" s="69" t="s">
        <v>979</v>
      </c>
      <c r="Q140" s="69" t="s">
        <v>1008</v>
      </c>
      <c r="R140" s="69" t="s">
        <v>53</v>
      </c>
      <c r="T140" s="69" t="s">
        <v>911</v>
      </c>
      <c r="U140" s="69" t="s">
        <v>914</v>
      </c>
      <c r="V140" s="59" t="str">
        <f t="shared" si="19"/>
        <v>12489460черный</v>
      </c>
      <c r="W140" s="59" t="str">
        <f t="shared" si="16"/>
        <v>12489460</v>
      </c>
      <c r="X140" s="59" t="str">
        <f t="shared" si="20"/>
        <v>New York Yankees</v>
      </c>
      <c r="AC140" s="50">
        <f t="shared" si="21"/>
        <v>96</v>
      </c>
      <c r="AD140" s="43">
        <f t="shared" si="22"/>
        <v>78</v>
      </c>
      <c r="AE140" s="50">
        <f t="shared" si="23"/>
        <v>96078</v>
      </c>
    </row>
    <row r="141" spans="1:31">
      <c r="A141" s="59" t="str">
        <f t="shared" si="17"/>
        <v>12489459nvy</v>
      </c>
      <c r="B141" s="59" t="str">
        <f t="shared" si="18"/>
        <v>96-077-06</v>
      </c>
      <c r="C141" s="69" t="s">
        <v>1406</v>
      </c>
      <c r="D141" s="69" t="s">
        <v>1407</v>
      </c>
      <c r="E141" s="69" t="s">
        <v>909</v>
      </c>
      <c r="F141" s="70">
        <v>0</v>
      </c>
      <c r="G141" s="70" t="s">
        <v>1408</v>
      </c>
      <c r="H141" s="69" t="s">
        <v>71</v>
      </c>
      <c r="I141" s="69" t="s">
        <v>1236</v>
      </c>
      <c r="J141" s="69" t="s">
        <v>340</v>
      </c>
      <c r="K141" s="69" t="s">
        <v>382</v>
      </c>
      <c r="L141" s="69" t="s">
        <v>887</v>
      </c>
      <c r="M141" s="69" t="s">
        <v>389</v>
      </c>
      <c r="O141" s="69" t="s">
        <v>386</v>
      </c>
      <c r="P141" s="69" t="s">
        <v>979</v>
      </c>
      <c r="Q141" s="69" t="s">
        <v>1015</v>
      </c>
      <c r="R141" s="69" t="s">
        <v>71</v>
      </c>
      <c r="T141" s="69" t="s">
        <v>911</v>
      </c>
      <c r="U141" s="69" t="s">
        <v>914</v>
      </c>
      <c r="V141" s="59" t="str">
        <f t="shared" si="19"/>
        <v>12489459синий</v>
      </c>
      <c r="W141" s="59" t="str">
        <f t="shared" si="16"/>
        <v>12489459</v>
      </c>
      <c r="X141" s="59" t="str">
        <f t="shared" si="20"/>
        <v>New York Yankees</v>
      </c>
      <c r="AC141" s="50">
        <f t="shared" si="21"/>
        <v>96</v>
      </c>
      <c r="AD141" s="43">
        <f t="shared" si="22"/>
        <v>77</v>
      </c>
      <c r="AE141" s="50">
        <f t="shared" si="23"/>
        <v>96077</v>
      </c>
    </row>
    <row r="142" spans="1:31">
      <c r="A142" s="59" t="str">
        <f t="shared" si="17"/>
        <v>12489454nvy</v>
      </c>
      <c r="B142" s="59" t="str">
        <f t="shared" si="18"/>
        <v>96-076-06</v>
      </c>
      <c r="C142" s="69" t="s">
        <v>1409</v>
      </c>
      <c r="D142" s="69" t="s">
        <v>1410</v>
      </c>
      <c r="E142" s="69" t="s">
        <v>909</v>
      </c>
      <c r="F142" s="70">
        <v>0</v>
      </c>
      <c r="G142" s="70" t="s">
        <v>1411</v>
      </c>
      <c r="H142" s="69" t="s">
        <v>71</v>
      </c>
      <c r="I142" s="69" t="s">
        <v>1236</v>
      </c>
      <c r="J142" s="69" t="s">
        <v>340</v>
      </c>
      <c r="K142" s="69" t="s">
        <v>382</v>
      </c>
      <c r="L142" s="69" t="s">
        <v>887</v>
      </c>
      <c r="M142" s="69" t="s">
        <v>389</v>
      </c>
      <c r="O142" s="69" t="s">
        <v>386</v>
      </c>
      <c r="P142" s="69" t="s">
        <v>979</v>
      </c>
      <c r="Q142" s="69" t="s">
        <v>1015</v>
      </c>
      <c r="R142" s="69" t="s">
        <v>71</v>
      </c>
      <c r="T142" s="69" t="s">
        <v>911</v>
      </c>
      <c r="U142" s="69" t="s">
        <v>916</v>
      </c>
      <c r="V142" s="59" t="str">
        <f t="shared" si="19"/>
        <v>12489454синий</v>
      </c>
      <c r="W142" s="59" t="str">
        <f t="shared" si="16"/>
        <v>12489454</v>
      </c>
      <c r="X142" s="59" t="str">
        <f t="shared" si="20"/>
        <v>Oakland Athletics</v>
      </c>
      <c r="AC142" s="50">
        <f t="shared" si="21"/>
        <v>96</v>
      </c>
      <c r="AD142" s="43">
        <f t="shared" si="22"/>
        <v>76</v>
      </c>
      <c r="AE142" s="50">
        <f t="shared" si="23"/>
        <v>96076</v>
      </c>
    </row>
    <row r="143" spans="1:31">
      <c r="A143" s="59" t="str">
        <f t="shared" si="17"/>
        <v>12489441pnk</v>
      </c>
      <c r="B143" s="59" t="str">
        <f t="shared" si="18"/>
        <v>96-075-34</v>
      </c>
      <c r="C143" s="69" t="s">
        <v>1412</v>
      </c>
      <c r="D143" s="69" t="s">
        <v>1413</v>
      </c>
      <c r="E143" s="69" t="s">
        <v>909</v>
      </c>
      <c r="F143" s="70">
        <v>0</v>
      </c>
      <c r="G143" s="70">
        <v>12489441</v>
      </c>
      <c r="H143" s="69" t="s">
        <v>68</v>
      </c>
      <c r="I143" s="69" t="s">
        <v>1236</v>
      </c>
      <c r="J143" s="69" t="s">
        <v>340</v>
      </c>
      <c r="K143" s="69" t="s">
        <v>382</v>
      </c>
      <c r="L143" s="69" t="s">
        <v>887</v>
      </c>
      <c r="M143" s="69" t="s">
        <v>389</v>
      </c>
      <c r="O143" s="69" t="s">
        <v>386</v>
      </c>
      <c r="P143" s="69" t="s">
        <v>979</v>
      </c>
      <c r="Q143" s="69" t="s">
        <v>992</v>
      </c>
      <c r="R143" s="69" t="s">
        <v>68</v>
      </c>
      <c r="V143" s="59" t="str">
        <f t="shared" si="19"/>
        <v>12489441розовый</v>
      </c>
      <c r="W143" s="59" t="str">
        <f t="shared" si="16"/>
        <v>12489441</v>
      </c>
      <c r="X143" s="59" t="str">
        <f t="shared" si="20"/>
        <v/>
      </c>
      <c r="AC143" s="50">
        <f t="shared" si="21"/>
        <v>96</v>
      </c>
      <c r="AD143" s="43">
        <f t="shared" si="22"/>
        <v>75</v>
      </c>
      <c r="AE143" s="50">
        <f t="shared" si="23"/>
        <v>96075</v>
      </c>
    </row>
    <row r="144" spans="1:31">
      <c r="A144" s="59" t="str">
        <f t="shared" si="17"/>
        <v>12489435burwht</v>
      </c>
      <c r="B144" s="59" t="str">
        <f t="shared" si="18"/>
        <v>96-074-12</v>
      </c>
      <c r="C144" s="69" t="s">
        <v>1414</v>
      </c>
      <c r="D144" s="69" t="s">
        <v>1415</v>
      </c>
      <c r="E144" s="69" t="s">
        <v>909</v>
      </c>
      <c r="F144" s="70">
        <v>0</v>
      </c>
      <c r="G144" s="70">
        <v>12489435</v>
      </c>
      <c r="H144" s="69" t="s">
        <v>121</v>
      </c>
      <c r="I144" s="69" t="s">
        <v>1236</v>
      </c>
      <c r="J144" s="69" t="s">
        <v>340</v>
      </c>
      <c r="K144" s="69" t="s">
        <v>382</v>
      </c>
      <c r="L144" s="69" t="s">
        <v>887</v>
      </c>
      <c r="M144" s="69" t="s">
        <v>389</v>
      </c>
      <c r="O144" s="69" t="s">
        <v>386</v>
      </c>
      <c r="P144" s="69" t="s">
        <v>979</v>
      </c>
      <c r="Q144" s="69" t="s">
        <v>1416</v>
      </c>
      <c r="R144" s="69" t="s">
        <v>121</v>
      </c>
      <c r="V144" s="59" t="str">
        <f t="shared" si="19"/>
        <v>12489435бордовый</v>
      </c>
      <c r="W144" s="59" t="str">
        <f t="shared" si="16"/>
        <v>12489435</v>
      </c>
      <c r="X144" s="59" t="str">
        <f t="shared" si="20"/>
        <v/>
      </c>
      <c r="AC144" s="50">
        <f t="shared" si="21"/>
        <v>96</v>
      </c>
      <c r="AD144" s="43">
        <f t="shared" si="22"/>
        <v>74</v>
      </c>
      <c r="AE144" s="50">
        <f t="shared" si="23"/>
        <v>96074</v>
      </c>
    </row>
    <row r="145" spans="1:31">
      <c r="A145" s="59" t="str">
        <f t="shared" si="17"/>
        <v>12489434grawht</v>
      </c>
      <c r="B145" s="59" t="str">
        <f t="shared" si="18"/>
        <v>96-073-05</v>
      </c>
      <c r="C145" s="69" t="s">
        <v>1417</v>
      </c>
      <c r="D145" s="69" t="s">
        <v>1418</v>
      </c>
      <c r="E145" s="69" t="s">
        <v>909</v>
      </c>
      <c r="F145" s="70">
        <v>0</v>
      </c>
      <c r="G145" s="70">
        <v>12489434</v>
      </c>
      <c r="H145" s="69" t="s">
        <v>277</v>
      </c>
      <c r="I145" s="69" t="s">
        <v>1236</v>
      </c>
      <c r="J145" s="69" t="s">
        <v>340</v>
      </c>
      <c r="K145" s="69" t="s">
        <v>382</v>
      </c>
      <c r="L145" s="69" t="s">
        <v>887</v>
      </c>
      <c r="M145" s="69" t="s">
        <v>389</v>
      </c>
      <c r="O145" s="69" t="s">
        <v>386</v>
      </c>
      <c r="P145" s="69" t="s">
        <v>979</v>
      </c>
      <c r="Q145" s="69" t="s">
        <v>1419</v>
      </c>
      <c r="R145" s="69" t="s">
        <v>83</v>
      </c>
      <c r="V145" s="59" t="str">
        <f t="shared" si="19"/>
        <v>12489434темно-серый</v>
      </c>
      <c r="W145" s="59" t="str">
        <f t="shared" si="16"/>
        <v>12489434</v>
      </c>
      <c r="X145" s="59" t="str">
        <f t="shared" si="20"/>
        <v/>
      </c>
      <c r="AC145" s="50">
        <f t="shared" si="21"/>
        <v>96</v>
      </c>
      <c r="AD145" s="43">
        <f t="shared" si="22"/>
        <v>73</v>
      </c>
      <c r="AE145" s="50">
        <f t="shared" si="23"/>
        <v>96073</v>
      </c>
    </row>
    <row r="146" spans="1:31">
      <c r="A146" s="59" t="str">
        <f t="shared" si="17"/>
        <v>12309046nol</v>
      </c>
      <c r="B146" s="59" t="str">
        <f t="shared" si="18"/>
        <v>96-072-00</v>
      </c>
      <c r="C146" s="69" t="s">
        <v>1420</v>
      </c>
      <c r="D146" s="69" t="s">
        <v>1421</v>
      </c>
      <c r="E146" s="69" t="s">
        <v>909</v>
      </c>
      <c r="F146" s="70">
        <v>0</v>
      </c>
      <c r="G146" s="70">
        <v>12309046</v>
      </c>
      <c r="H146" s="69" t="s">
        <v>158</v>
      </c>
      <c r="I146" s="69" t="s">
        <v>910</v>
      </c>
      <c r="J146" s="69" t="s">
        <v>356</v>
      </c>
      <c r="K146" s="69" t="s">
        <v>382</v>
      </c>
      <c r="L146" s="69" t="s">
        <v>887</v>
      </c>
      <c r="M146" s="69" t="s">
        <v>388</v>
      </c>
      <c r="N146" s="69" t="s">
        <v>43</v>
      </c>
      <c r="O146" s="69" t="s">
        <v>386</v>
      </c>
      <c r="P146" s="69" t="s">
        <v>979</v>
      </c>
      <c r="Q146" s="69" t="s">
        <v>1422</v>
      </c>
      <c r="R146" s="69" t="s">
        <v>60</v>
      </c>
      <c r="V146" s="59" t="str">
        <f t="shared" si="19"/>
        <v>12309046камуфляж</v>
      </c>
      <c r="W146" s="59" t="str">
        <f t="shared" si="16"/>
        <v>12309046</v>
      </c>
      <c r="X146" s="59" t="str">
        <f t="shared" si="20"/>
        <v/>
      </c>
      <c r="AC146" s="50">
        <f t="shared" si="21"/>
        <v>96</v>
      </c>
      <c r="AD146" s="43">
        <f t="shared" si="22"/>
        <v>72</v>
      </c>
      <c r="AE146" s="50">
        <f t="shared" si="23"/>
        <v>96072</v>
      </c>
    </row>
    <row r="147" spans="1:31">
      <c r="A147" s="59" t="str">
        <f t="shared" si="17"/>
        <v>12292586blk</v>
      </c>
      <c r="B147" s="59" t="str">
        <f t="shared" si="18"/>
        <v>96-071-09</v>
      </c>
      <c r="C147" s="69" t="s">
        <v>1423</v>
      </c>
      <c r="D147" s="69" t="s">
        <v>1424</v>
      </c>
      <c r="E147" s="69" t="s">
        <v>909</v>
      </c>
      <c r="F147" s="70">
        <v>0</v>
      </c>
      <c r="G147" s="70" t="s">
        <v>1425</v>
      </c>
      <c r="H147" s="69" t="s">
        <v>53</v>
      </c>
      <c r="I147" s="69" t="s">
        <v>910</v>
      </c>
      <c r="J147" s="69" t="s">
        <v>327</v>
      </c>
      <c r="K147" s="69" t="s">
        <v>382</v>
      </c>
      <c r="L147" s="69" t="s">
        <v>887</v>
      </c>
      <c r="M147" s="69" t="s">
        <v>388</v>
      </c>
      <c r="N147" s="69" t="s">
        <v>43</v>
      </c>
      <c r="O147" s="69" t="s">
        <v>386</v>
      </c>
      <c r="P147" s="69" t="s">
        <v>979</v>
      </c>
      <c r="Q147" s="69" t="s">
        <v>1008</v>
      </c>
      <c r="R147" s="69" t="s">
        <v>53</v>
      </c>
      <c r="T147" s="69" t="s">
        <v>1047</v>
      </c>
      <c r="U147" s="69" t="s">
        <v>1048</v>
      </c>
      <c r="V147" s="59" t="str">
        <f t="shared" si="19"/>
        <v>12292586черный</v>
      </c>
      <c r="W147" s="59" t="str">
        <f t="shared" si="16"/>
        <v>12292586</v>
      </c>
      <c r="X147" s="59" t="str">
        <f t="shared" si="20"/>
        <v>Chicago Bulls</v>
      </c>
      <c r="AC147" s="50">
        <f t="shared" si="21"/>
        <v>96</v>
      </c>
      <c r="AD147" s="43">
        <f t="shared" si="22"/>
        <v>71</v>
      </c>
      <c r="AE147" s="50">
        <f t="shared" si="23"/>
        <v>96071</v>
      </c>
    </row>
    <row r="148" spans="1:31">
      <c r="A148" s="59" t="str">
        <f t="shared" si="17"/>
        <v>12292584blk</v>
      </c>
      <c r="B148" s="59" t="str">
        <f t="shared" si="18"/>
        <v>96-070-09</v>
      </c>
      <c r="C148" s="69" t="s">
        <v>1426</v>
      </c>
      <c r="D148" s="69" t="s">
        <v>1427</v>
      </c>
      <c r="E148" s="69" t="s">
        <v>909</v>
      </c>
      <c r="F148" s="70">
        <v>0</v>
      </c>
      <c r="G148" s="70" t="s">
        <v>1428</v>
      </c>
      <c r="H148" s="69" t="s">
        <v>53</v>
      </c>
      <c r="I148" s="69" t="s">
        <v>910</v>
      </c>
      <c r="J148" s="69" t="s">
        <v>327</v>
      </c>
      <c r="K148" s="69" t="s">
        <v>382</v>
      </c>
      <c r="L148" s="69" t="s">
        <v>887</v>
      </c>
      <c r="M148" s="69" t="s">
        <v>388</v>
      </c>
      <c r="N148" s="69" t="s">
        <v>43</v>
      </c>
      <c r="O148" s="69" t="s">
        <v>386</v>
      </c>
      <c r="P148" s="69" t="s">
        <v>979</v>
      </c>
      <c r="Q148" s="69" t="s">
        <v>1008</v>
      </c>
      <c r="R148" s="69" t="s">
        <v>53</v>
      </c>
      <c r="T148" s="69" t="s">
        <v>1047</v>
      </c>
      <c r="U148" s="69" t="s">
        <v>1053</v>
      </c>
      <c r="V148" s="59" t="str">
        <f t="shared" si="19"/>
        <v>12292584черный</v>
      </c>
      <c r="W148" s="59" t="str">
        <f t="shared" si="16"/>
        <v>12292584</v>
      </c>
      <c r="X148" s="59" t="str">
        <f t="shared" si="20"/>
        <v>Los Angeles Lakers</v>
      </c>
      <c r="AC148" s="50">
        <f t="shared" si="21"/>
        <v>96</v>
      </c>
      <c r="AD148" s="43">
        <f t="shared" si="22"/>
        <v>70</v>
      </c>
      <c r="AE148" s="50">
        <f t="shared" si="23"/>
        <v>96070</v>
      </c>
    </row>
    <row r="149" spans="1:31">
      <c r="A149" s="59" t="str">
        <f t="shared" si="17"/>
        <v>12285245blk</v>
      </c>
      <c r="B149" s="59" t="str">
        <f t="shared" si="18"/>
        <v>96-069-09</v>
      </c>
      <c r="C149" s="69" t="s">
        <v>1429</v>
      </c>
      <c r="D149" s="69" t="s">
        <v>1430</v>
      </c>
      <c r="E149" s="69" t="s">
        <v>1029</v>
      </c>
      <c r="F149" s="70">
        <v>56</v>
      </c>
      <c r="G149" s="70" t="s">
        <v>1431</v>
      </c>
      <c r="H149" s="69" t="s">
        <v>53</v>
      </c>
      <c r="I149" s="69" t="s">
        <v>1338</v>
      </c>
      <c r="J149" s="69" t="s">
        <v>327</v>
      </c>
      <c r="K149" s="69" t="s">
        <v>382</v>
      </c>
      <c r="L149" s="69" t="s">
        <v>887</v>
      </c>
      <c r="M149" s="69" t="s">
        <v>388</v>
      </c>
      <c r="N149" s="69" t="s">
        <v>43</v>
      </c>
      <c r="O149" s="69" t="s">
        <v>386</v>
      </c>
      <c r="P149" s="69" t="s">
        <v>979</v>
      </c>
      <c r="Q149" s="69" t="s">
        <v>1008</v>
      </c>
      <c r="R149" s="69" t="s">
        <v>53</v>
      </c>
      <c r="T149" s="69" t="s">
        <v>1047</v>
      </c>
      <c r="U149" s="69" t="s">
        <v>1048</v>
      </c>
      <c r="V149" s="59" t="str">
        <f t="shared" si="19"/>
        <v>12285245черный</v>
      </c>
      <c r="W149" s="59" t="str">
        <f t="shared" si="16"/>
        <v>12285245</v>
      </c>
      <c r="X149" s="59" t="str">
        <f t="shared" si="20"/>
        <v>Chicago Bulls</v>
      </c>
      <c r="AC149" s="50">
        <f t="shared" si="21"/>
        <v>96</v>
      </c>
      <c r="AD149" s="43">
        <f t="shared" si="22"/>
        <v>69</v>
      </c>
      <c r="AE149" s="50">
        <f t="shared" si="23"/>
        <v>96069</v>
      </c>
    </row>
    <row r="150" spans="1:31">
      <c r="A150" s="59" t="str">
        <f t="shared" si="17"/>
        <v>12162668blk</v>
      </c>
      <c r="B150" s="59" t="str">
        <f t="shared" si="18"/>
        <v>96-068-09</v>
      </c>
      <c r="C150" s="69" t="s">
        <v>1432</v>
      </c>
      <c r="D150" s="69" t="s">
        <v>1433</v>
      </c>
      <c r="E150" s="69" t="s">
        <v>909</v>
      </c>
      <c r="F150" s="70">
        <v>0</v>
      </c>
      <c r="G150" s="70">
        <v>12162668</v>
      </c>
      <c r="H150" s="69" t="s">
        <v>53</v>
      </c>
      <c r="I150" s="69" t="s">
        <v>910</v>
      </c>
      <c r="J150" s="69" t="s">
        <v>356</v>
      </c>
      <c r="K150" s="69" t="s">
        <v>382</v>
      </c>
      <c r="L150" s="69" t="s">
        <v>887</v>
      </c>
      <c r="M150" s="69" t="s">
        <v>388</v>
      </c>
      <c r="N150" s="69" t="s">
        <v>43</v>
      </c>
      <c r="O150" s="69" t="s">
        <v>386</v>
      </c>
      <c r="P150" s="69" t="s">
        <v>979</v>
      </c>
      <c r="Q150" s="69" t="s">
        <v>1008</v>
      </c>
      <c r="R150" s="69" t="s">
        <v>53</v>
      </c>
      <c r="V150" s="59" t="str">
        <f t="shared" si="19"/>
        <v>12162668черный</v>
      </c>
      <c r="W150" s="59" t="str">
        <f t="shared" si="16"/>
        <v>12162668</v>
      </c>
      <c r="X150" s="59" t="str">
        <f t="shared" si="20"/>
        <v/>
      </c>
      <c r="AC150" s="50">
        <f t="shared" si="21"/>
        <v>96</v>
      </c>
      <c r="AD150" s="43">
        <f t="shared" si="22"/>
        <v>68</v>
      </c>
      <c r="AE150" s="50">
        <f t="shared" si="23"/>
        <v>96068</v>
      </c>
    </row>
    <row r="151" spans="1:31">
      <c r="A151" s="59" t="str">
        <f t="shared" si="17"/>
        <v>12156075otc</v>
      </c>
      <c r="B151" s="59" t="str">
        <f t="shared" si="18"/>
        <v>96-067-09</v>
      </c>
      <c r="C151" s="69" t="s">
        <v>1434</v>
      </c>
      <c r="D151" s="69" t="s">
        <v>1435</v>
      </c>
      <c r="E151" s="69" t="s">
        <v>909</v>
      </c>
      <c r="F151" s="70">
        <v>0</v>
      </c>
      <c r="G151" s="70" t="s">
        <v>1436</v>
      </c>
      <c r="H151" s="69" t="s">
        <v>53</v>
      </c>
      <c r="I151" s="69" t="s">
        <v>1236</v>
      </c>
      <c r="J151" s="69" t="s">
        <v>340</v>
      </c>
      <c r="K151" s="69" t="s">
        <v>382</v>
      </c>
      <c r="L151" s="69" t="s">
        <v>887</v>
      </c>
      <c r="M151" s="69" t="s">
        <v>389</v>
      </c>
      <c r="O151" s="69" t="s">
        <v>386</v>
      </c>
      <c r="P151" s="69" t="s">
        <v>979</v>
      </c>
      <c r="Q151" s="69" t="s">
        <v>1362</v>
      </c>
      <c r="R151" s="69" t="s">
        <v>53</v>
      </c>
      <c r="T151" s="69" t="s">
        <v>1047</v>
      </c>
      <c r="U151" s="69" t="s">
        <v>1048</v>
      </c>
      <c r="V151" s="59" t="str">
        <f t="shared" si="19"/>
        <v>12156075черный</v>
      </c>
      <c r="W151" s="59" t="str">
        <f t="shared" si="16"/>
        <v>12156075</v>
      </c>
      <c r="X151" s="59" t="str">
        <f t="shared" si="20"/>
        <v>Chicago Bulls</v>
      </c>
      <c r="AC151" s="50">
        <f t="shared" si="21"/>
        <v>96</v>
      </c>
      <c r="AD151" s="43">
        <f t="shared" si="22"/>
        <v>67</v>
      </c>
      <c r="AE151" s="50">
        <f t="shared" si="23"/>
        <v>96067</v>
      </c>
    </row>
    <row r="152" spans="1:31">
      <c r="A152" s="59" t="str">
        <f t="shared" si="17"/>
        <v>12122729blkblk</v>
      </c>
      <c r="B152" s="59" t="str">
        <f t="shared" si="18"/>
        <v>96-066-09</v>
      </c>
      <c r="C152" s="69" t="s">
        <v>1437</v>
      </c>
      <c r="D152" s="69" t="s">
        <v>1438</v>
      </c>
      <c r="E152" s="69" t="s">
        <v>909</v>
      </c>
      <c r="F152" s="70">
        <v>0</v>
      </c>
      <c r="G152" s="70" t="s">
        <v>1439</v>
      </c>
      <c r="H152" s="69" t="s">
        <v>53</v>
      </c>
      <c r="I152" s="69" t="s">
        <v>1236</v>
      </c>
      <c r="J152" s="69" t="s">
        <v>340</v>
      </c>
      <c r="K152" s="69" t="s">
        <v>382</v>
      </c>
      <c r="L152" s="69" t="s">
        <v>887</v>
      </c>
      <c r="M152" s="69" t="s">
        <v>389</v>
      </c>
      <c r="O152" s="69" t="s">
        <v>386</v>
      </c>
      <c r="P152" s="69" t="s">
        <v>979</v>
      </c>
      <c r="Q152" s="69" t="s">
        <v>1049</v>
      </c>
      <c r="R152" s="69" t="s">
        <v>53</v>
      </c>
      <c r="T152" s="69" t="s">
        <v>911</v>
      </c>
      <c r="U152" s="69" t="s">
        <v>914</v>
      </c>
      <c r="V152" s="59" t="str">
        <f t="shared" si="19"/>
        <v>12122729черный</v>
      </c>
      <c r="W152" s="59" t="str">
        <f t="shared" si="16"/>
        <v>12122729</v>
      </c>
      <c r="X152" s="59" t="str">
        <f t="shared" si="20"/>
        <v>New York Yankees</v>
      </c>
      <c r="AC152" s="50">
        <f t="shared" si="21"/>
        <v>96</v>
      </c>
      <c r="AD152" s="43">
        <f t="shared" si="22"/>
        <v>66</v>
      </c>
      <c r="AE152" s="50">
        <f t="shared" si="23"/>
        <v>96066</v>
      </c>
    </row>
    <row r="153" spans="1:31">
      <c r="A153" s="59" t="str">
        <f t="shared" si="17"/>
        <v>12033266losdod</v>
      </c>
      <c r="B153" s="59" t="str">
        <f t="shared" si="18"/>
        <v>96-065-06</v>
      </c>
      <c r="C153" s="69" t="s">
        <v>1440</v>
      </c>
      <c r="D153" s="69" t="s">
        <v>1441</v>
      </c>
      <c r="E153" s="69" t="s">
        <v>909</v>
      </c>
      <c r="F153" s="70">
        <v>0</v>
      </c>
      <c r="G153" s="70" t="s">
        <v>1442</v>
      </c>
      <c r="H153" s="69" t="s">
        <v>71</v>
      </c>
      <c r="I153" s="69" t="s">
        <v>1236</v>
      </c>
      <c r="J153" s="69" t="s">
        <v>340</v>
      </c>
      <c r="K153" s="69" t="s">
        <v>382</v>
      </c>
      <c r="L153" s="69" t="s">
        <v>887</v>
      </c>
      <c r="M153" s="69" t="s">
        <v>389</v>
      </c>
      <c r="O153" s="69" t="s">
        <v>386</v>
      </c>
      <c r="P153" s="69" t="s">
        <v>979</v>
      </c>
      <c r="Q153" s="69" t="s">
        <v>1443</v>
      </c>
      <c r="R153" s="69" t="s">
        <v>71</v>
      </c>
      <c r="T153" s="69" t="s">
        <v>911</v>
      </c>
      <c r="U153" s="69" t="s">
        <v>912</v>
      </c>
      <c r="V153" s="59" t="str">
        <f t="shared" si="19"/>
        <v>12033266синий</v>
      </c>
      <c r="W153" s="59" t="str">
        <f t="shared" si="16"/>
        <v>12033266</v>
      </c>
      <c r="X153" s="59" t="str">
        <f t="shared" si="20"/>
        <v>Los Angeles Dodgers</v>
      </c>
      <c r="AC153" s="50">
        <f t="shared" si="21"/>
        <v>96</v>
      </c>
      <c r="AD153" s="43">
        <f t="shared" si="22"/>
        <v>65</v>
      </c>
      <c r="AE153" s="50">
        <f t="shared" si="23"/>
        <v>96065</v>
      </c>
    </row>
    <row r="154" spans="1:31">
      <c r="A154" s="59" t="str">
        <f t="shared" si="17"/>
        <v>12033128blk</v>
      </c>
      <c r="B154" s="59" t="str">
        <f t="shared" si="18"/>
        <v>96-064-09</v>
      </c>
      <c r="C154" s="69" t="s">
        <v>1444</v>
      </c>
      <c r="D154" s="69" t="s">
        <v>1445</v>
      </c>
      <c r="E154" s="69" t="s">
        <v>909</v>
      </c>
      <c r="F154" s="70">
        <v>0</v>
      </c>
      <c r="G154" s="70">
        <v>12033128</v>
      </c>
      <c r="H154" s="69" t="s">
        <v>53</v>
      </c>
      <c r="I154" s="69" t="s">
        <v>1236</v>
      </c>
      <c r="J154" s="69" t="s">
        <v>340</v>
      </c>
      <c r="K154" s="69" t="s">
        <v>382</v>
      </c>
      <c r="L154" s="69" t="s">
        <v>887</v>
      </c>
      <c r="M154" s="69" t="s">
        <v>389</v>
      </c>
      <c r="O154" s="69" t="s">
        <v>386</v>
      </c>
      <c r="P154" s="69" t="s">
        <v>979</v>
      </c>
      <c r="Q154" s="69" t="s">
        <v>1008</v>
      </c>
      <c r="R154" s="69" t="s">
        <v>53</v>
      </c>
      <c r="V154" s="59" t="str">
        <f t="shared" si="19"/>
        <v>12033128черный</v>
      </c>
      <c r="W154" s="59" t="str">
        <f t="shared" si="16"/>
        <v>12033128</v>
      </c>
      <c r="X154" s="59" t="str">
        <f t="shared" si="20"/>
        <v/>
      </c>
      <c r="AC154" s="50">
        <f t="shared" si="21"/>
        <v>96</v>
      </c>
      <c r="AD154" s="43">
        <f t="shared" si="22"/>
        <v>64</v>
      </c>
      <c r="AE154" s="50">
        <f t="shared" si="23"/>
        <v>96064</v>
      </c>
    </row>
    <row r="155" spans="1:31">
      <c r="A155" s="59" t="str">
        <f t="shared" si="17"/>
        <v>12033103blk</v>
      </c>
      <c r="B155" s="59" t="str">
        <f t="shared" si="18"/>
        <v>96-063-09</v>
      </c>
      <c r="C155" s="69" t="s">
        <v>1446</v>
      </c>
      <c r="D155" s="69" t="s">
        <v>1447</v>
      </c>
      <c r="E155" s="69" t="s">
        <v>909</v>
      </c>
      <c r="F155" s="70">
        <v>0</v>
      </c>
      <c r="G155" s="70">
        <v>12033103</v>
      </c>
      <c r="H155" s="69" t="s">
        <v>53</v>
      </c>
      <c r="I155" s="69" t="s">
        <v>1236</v>
      </c>
      <c r="J155" s="69" t="s">
        <v>340</v>
      </c>
      <c r="K155" s="69" t="s">
        <v>382</v>
      </c>
      <c r="L155" s="69" t="s">
        <v>887</v>
      </c>
      <c r="M155" s="69" t="s">
        <v>389</v>
      </c>
      <c r="O155" s="69" t="s">
        <v>386</v>
      </c>
      <c r="P155" s="69" t="s">
        <v>979</v>
      </c>
      <c r="Q155" s="69" t="s">
        <v>1008</v>
      </c>
      <c r="R155" s="69" t="s">
        <v>53</v>
      </c>
      <c r="V155" s="59" t="str">
        <f t="shared" si="19"/>
        <v>12033103черный</v>
      </c>
      <c r="W155" s="59" t="str">
        <f t="shared" si="16"/>
        <v>12033103</v>
      </c>
      <c r="X155" s="59" t="str">
        <f t="shared" si="20"/>
        <v/>
      </c>
      <c r="AC155" s="50">
        <f t="shared" si="21"/>
        <v>96</v>
      </c>
      <c r="AD155" s="43">
        <f t="shared" si="22"/>
        <v>63</v>
      </c>
      <c r="AE155" s="50">
        <f t="shared" si="23"/>
        <v>96063</v>
      </c>
    </row>
    <row r="156" spans="1:31">
      <c r="A156" s="59" t="str">
        <f t="shared" si="17"/>
        <v>12033099nov</v>
      </c>
      <c r="B156" s="59" t="str">
        <f t="shared" si="18"/>
        <v>96-062-03</v>
      </c>
      <c r="C156" s="69" t="s">
        <v>1448</v>
      </c>
      <c r="D156" s="69" t="s">
        <v>1449</v>
      </c>
      <c r="E156" s="69" t="s">
        <v>909</v>
      </c>
      <c r="F156" s="70">
        <v>0</v>
      </c>
      <c r="G156" s="70">
        <v>12033099</v>
      </c>
      <c r="H156" s="69" t="s">
        <v>195</v>
      </c>
      <c r="I156" s="69" t="s">
        <v>1236</v>
      </c>
      <c r="J156" s="69" t="s">
        <v>340</v>
      </c>
      <c r="K156" s="69" t="s">
        <v>382</v>
      </c>
      <c r="L156" s="69" t="s">
        <v>887</v>
      </c>
      <c r="M156" s="69" t="s">
        <v>389</v>
      </c>
      <c r="O156" s="69" t="s">
        <v>386</v>
      </c>
      <c r="P156" s="69" t="s">
        <v>979</v>
      </c>
      <c r="Q156" s="69" t="s">
        <v>988</v>
      </c>
      <c r="R156" s="69" t="s">
        <v>195</v>
      </c>
      <c r="V156" s="59" t="str">
        <f t="shared" si="19"/>
        <v>12033099оливковый</v>
      </c>
      <c r="W156" s="59" t="str">
        <f t="shared" si="16"/>
        <v>12033099</v>
      </c>
      <c r="X156" s="59" t="str">
        <f t="shared" si="20"/>
        <v/>
      </c>
      <c r="AC156" s="50">
        <f t="shared" si="21"/>
        <v>96</v>
      </c>
      <c r="AD156" s="43">
        <f t="shared" si="22"/>
        <v>62</v>
      </c>
      <c r="AE156" s="50">
        <f t="shared" si="23"/>
        <v>96062</v>
      </c>
    </row>
    <row r="157" spans="1:31">
      <c r="A157" s="59" t="str">
        <f t="shared" si="17"/>
        <v>12033078blk</v>
      </c>
      <c r="B157" s="59" t="str">
        <f t="shared" si="18"/>
        <v>96-061-09</v>
      </c>
      <c r="C157" s="69" t="s">
        <v>1450</v>
      </c>
      <c r="D157" s="69" t="s">
        <v>1451</v>
      </c>
      <c r="E157" s="69" t="s">
        <v>909</v>
      </c>
      <c r="F157" s="70">
        <v>0</v>
      </c>
      <c r="G157" s="70">
        <v>12033078</v>
      </c>
      <c r="H157" s="69" t="s">
        <v>53</v>
      </c>
      <c r="I157" s="69" t="s">
        <v>1236</v>
      </c>
      <c r="J157" s="69" t="s">
        <v>340</v>
      </c>
      <c r="K157" s="69" t="s">
        <v>382</v>
      </c>
      <c r="L157" s="69" t="s">
        <v>887</v>
      </c>
      <c r="M157" s="69" t="s">
        <v>389</v>
      </c>
      <c r="O157" s="69" t="s">
        <v>386</v>
      </c>
      <c r="P157" s="69" t="s">
        <v>979</v>
      </c>
      <c r="Q157" s="69" t="s">
        <v>1008</v>
      </c>
      <c r="R157" s="69" t="s">
        <v>53</v>
      </c>
      <c r="V157" s="59" t="str">
        <f t="shared" si="19"/>
        <v>12033078черный</v>
      </c>
      <c r="W157" s="59" t="str">
        <f t="shared" si="16"/>
        <v>12033078</v>
      </c>
      <c r="X157" s="59" t="str">
        <f t="shared" si="20"/>
        <v/>
      </c>
      <c r="AC157" s="50">
        <f t="shared" si="21"/>
        <v>96</v>
      </c>
      <c r="AD157" s="43">
        <f t="shared" si="22"/>
        <v>61</v>
      </c>
      <c r="AE157" s="50">
        <f t="shared" si="23"/>
        <v>96061</v>
      </c>
    </row>
    <row r="158" spans="1:31">
      <c r="A158" s="59" t="str">
        <f t="shared" si="17"/>
        <v>12033074nav</v>
      </c>
      <c r="B158" s="59" t="str">
        <f t="shared" si="18"/>
        <v>96-060-16</v>
      </c>
      <c r="C158" s="69" t="s">
        <v>1452</v>
      </c>
      <c r="D158" s="69" t="s">
        <v>1453</v>
      </c>
      <c r="E158" s="69" t="s">
        <v>909</v>
      </c>
      <c r="F158" s="70">
        <v>0</v>
      </c>
      <c r="G158" s="70">
        <v>12033074</v>
      </c>
      <c r="H158" s="69" t="s">
        <v>55</v>
      </c>
      <c r="I158" s="69" t="s">
        <v>1236</v>
      </c>
      <c r="J158" s="69" t="s">
        <v>340</v>
      </c>
      <c r="K158" s="69" t="s">
        <v>382</v>
      </c>
      <c r="L158" s="69" t="s">
        <v>887</v>
      </c>
      <c r="M158" s="69" t="s">
        <v>389</v>
      </c>
      <c r="O158" s="69" t="s">
        <v>386</v>
      </c>
      <c r="P158" s="69" t="s">
        <v>979</v>
      </c>
      <c r="Q158" s="69" t="s">
        <v>1454</v>
      </c>
      <c r="R158" s="69" t="s">
        <v>71</v>
      </c>
      <c r="V158" s="59" t="str">
        <f t="shared" si="19"/>
        <v>12033074темно-синий</v>
      </c>
      <c r="W158" s="59" t="str">
        <f t="shared" si="16"/>
        <v>12033074</v>
      </c>
      <c r="X158" s="59" t="str">
        <f t="shared" si="20"/>
        <v/>
      </c>
      <c r="AC158" s="50">
        <f t="shared" si="21"/>
        <v>96</v>
      </c>
      <c r="AD158" s="43">
        <f t="shared" si="22"/>
        <v>60</v>
      </c>
      <c r="AE158" s="50">
        <f t="shared" si="23"/>
        <v>96060</v>
      </c>
    </row>
    <row r="159" spans="1:31">
      <c r="A159" s="59" t="str">
        <f t="shared" si="17"/>
        <v>11601067hnv</v>
      </c>
      <c r="B159" s="59" t="str">
        <f t="shared" si="18"/>
        <v>96-059-06</v>
      </c>
      <c r="C159" s="69" t="s">
        <v>1455</v>
      </c>
      <c r="D159" s="69" t="s">
        <v>1456</v>
      </c>
      <c r="E159" s="69" t="s">
        <v>909</v>
      </c>
      <c r="F159" s="70">
        <v>0</v>
      </c>
      <c r="G159" s="70">
        <v>11601067</v>
      </c>
      <c r="H159" s="69" t="s">
        <v>71</v>
      </c>
      <c r="I159" s="69" t="s">
        <v>1236</v>
      </c>
      <c r="J159" s="69" t="s">
        <v>342</v>
      </c>
      <c r="K159" s="69" t="s">
        <v>382</v>
      </c>
      <c r="L159" s="69" t="s">
        <v>887</v>
      </c>
      <c r="M159" s="69" t="s">
        <v>389</v>
      </c>
      <c r="O159" s="69" t="s">
        <v>386</v>
      </c>
      <c r="P159" s="69" t="s">
        <v>979</v>
      </c>
      <c r="Q159" s="69" t="s">
        <v>1457</v>
      </c>
      <c r="R159" s="69" t="s">
        <v>71</v>
      </c>
      <c r="V159" s="59" t="str">
        <f t="shared" si="19"/>
        <v>11601067синий</v>
      </c>
      <c r="W159" s="59" t="str">
        <f t="shared" si="16"/>
        <v>11601067</v>
      </c>
      <c r="X159" s="59" t="str">
        <f t="shared" si="20"/>
        <v/>
      </c>
      <c r="AC159" s="50">
        <f t="shared" si="21"/>
        <v>96</v>
      </c>
      <c r="AD159" s="43">
        <f t="shared" si="22"/>
        <v>59</v>
      </c>
      <c r="AE159" s="50">
        <f t="shared" si="23"/>
        <v>96059</v>
      </c>
    </row>
    <row r="160" spans="1:31">
      <c r="A160" s="59" t="str">
        <f t="shared" si="17"/>
        <v>11601006nvygry</v>
      </c>
      <c r="B160" s="59" t="str">
        <f t="shared" si="18"/>
        <v>96-058-65</v>
      </c>
      <c r="C160" s="69" t="s">
        <v>1458</v>
      </c>
      <c r="D160" s="69" t="s">
        <v>1459</v>
      </c>
      <c r="E160" s="69" t="s">
        <v>909</v>
      </c>
      <c r="F160" s="70">
        <v>0</v>
      </c>
      <c r="G160" s="70">
        <v>11601006</v>
      </c>
      <c r="H160" s="69" t="s">
        <v>780</v>
      </c>
      <c r="I160" s="69" t="s">
        <v>1236</v>
      </c>
      <c r="J160" s="69" t="s">
        <v>342</v>
      </c>
      <c r="K160" s="69" t="s">
        <v>382</v>
      </c>
      <c r="L160" s="69" t="s">
        <v>887</v>
      </c>
      <c r="M160" s="69" t="s">
        <v>389</v>
      </c>
      <c r="O160" s="69" t="s">
        <v>386</v>
      </c>
      <c r="P160" s="69" t="s">
        <v>979</v>
      </c>
      <c r="Q160" s="69" t="s">
        <v>1460</v>
      </c>
      <c r="R160" s="69" t="s">
        <v>71</v>
      </c>
      <c r="V160" s="59" t="str">
        <f t="shared" si="19"/>
        <v>11601006темно-синий / серый</v>
      </c>
      <c r="W160" s="59" t="str">
        <f t="shared" si="16"/>
        <v>11601006</v>
      </c>
      <c r="X160" s="59" t="str">
        <f t="shared" si="20"/>
        <v/>
      </c>
      <c r="AC160" s="50">
        <f t="shared" si="21"/>
        <v>96</v>
      </c>
      <c r="AD160" s="43">
        <f t="shared" si="22"/>
        <v>58</v>
      </c>
      <c r="AE160" s="50">
        <f t="shared" si="23"/>
        <v>96058</v>
      </c>
    </row>
    <row r="161" spans="1:31">
      <c r="A161" s="59" t="str">
        <f t="shared" si="17"/>
        <v>11600974grh</v>
      </c>
      <c r="B161" s="59" t="str">
        <f t="shared" si="18"/>
        <v>96-057-80</v>
      </c>
      <c r="C161" s="69" t="s">
        <v>1461</v>
      </c>
      <c r="D161" s="69" t="s">
        <v>1462</v>
      </c>
      <c r="E161" s="69" t="s">
        <v>909</v>
      </c>
      <c r="F161" s="70">
        <v>0</v>
      </c>
      <c r="G161" s="70">
        <v>11600974</v>
      </c>
      <c r="H161" s="69" t="s">
        <v>83</v>
      </c>
      <c r="I161" s="69" t="s">
        <v>1236</v>
      </c>
      <c r="J161" s="69" t="s">
        <v>342</v>
      </c>
      <c r="K161" s="69" t="s">
        <v>382</v>
      </c>
      <c r="L161" s="69" t="s">
        <v>887</v>
      </c>
      <c r="M161" s="69" t="s">
        <v>389</v>
      </c>
      <c r="O161" s="69" t="s">
        <v>386</v>
      </c>
      <c r="P161" s="69" t="s">
        <v>979</v>
      </c>
      <c r="Q161" s="69" t="s">
        <v>1149</v>
      </c>
      <c r="R161" s="69" t="s">
        <v>83</v>
      </c>
      <c r="V161" s="59" t="str">
        <f t="shared" si="19"/>
        <v>11600974серый</v>
      </c>
      <c r="W161" s="59" t="str">
        <f t="shared" si="16"/>
        <v>11600974</v>
      </c>
      <c r="X161" s="59" t="str">
        <f t="shared" si="20"/>
        <v/>
      </c>
      <c r="AC161" s="50">
        <f t="shared" si="21"/>
        <v>96</v>
      </c>
      <c r="AD161" s="43">
        <f t="shared" si="22"/>
        <v>57</v>
      </c>
      <c r="AE161" s="50">
        <f t="shared" si="23"/>
        <v>96057</v>
      </c>
    </row>
    <row r="162" spans="1:31">
      <c r="A162" s="59" t="str">
        <f t="shared" si="17"/>
        <v>11448333blu</v>
      </c>
      <c r="B162" s="59" t="str">
        <f t="shared" si="18"/>
        <v>96-056-16</v>
      </c>
      <c r="C162" s="69" t="s">
        <v>1463</v>
      </c>
      <c r="D162" s="69" t="s">
        <v>1464</v>
      </c>
      <c r="E162" s="69" t="s">
        <v>909</v>
      </c>
      <c r="F162" s="70">
        <v>0</v>
      </c>
      <c r="G162" s="70" t="s">
        <v>1465</v>
      </c>
      <c r="H162" s="69" t="s">
        <v>55</v>
      </c>
      <c r="I162" s="69" t="s">
        <v>1236</v>
      </c>
      <c r="J162" s="69" t="s">
        <v>340</v>
      </c>
      <c r="K162" s="69" t="s">
        <v>382</v>
      </c>
      <c r="L162" s="69" t="s">
        <v>887</v>
      </c>
      <c r="M162" s="69" t="s">
        <v>389</v>
      </c>
      <c r="O162" s="69" t="s">
        <v>386</v>
      </c>
      <c r="P162" s="69" t="s">
        <v>979</v>
      </c>
      <c r="Q162" s="69" t="s">
        <v>1239</v>
      </c>
      <c r="R162" s="69" t="s">
        <v>71</v>
      </c>
      <c r="T162" s="69" t="s">
        <v>1111</v>
      </c>
      <c r="U162" s="69" t="s">
        <v>1466</v>
      </c>
      <c r="V162" s="59" t="str">
        <f t="shared" si="19"/>
        <v>11448333темно-синий</v>
      </c>
      <c r="W162" s="59" t="str">
        <f t="shared" si="16"/>
        <v>11448333</v>
      </c>
      <c r="X162" s="59" t="str">
        <f t="shared" si="20"/>
        <v>Seattle Seahawks</v>
      </c>
      <c r="AC162" s="50">
        <f t="shared" si="21"/>
        <v>96</v>
      </c>
      <c r="AD162" s="43">
        <f t="shared" si="22"/>
        <v>56</v>
      </c>
      <c r="AE162" s="50">
        <f t="shared" si="23"/>
        <v>96056</v>
      </c>
    </row>
    <row r="163" spans="1:31">
      <c r="A163" s="59" t="str">
        <f t="shared" si="17"/>
        <v>11448330otc</v>
      </c>
      <c r="B163" s="59" t="str">
        <f t="shared" si="18"/>
        <v>96-055-08</v>
      </c>
      <c r="C163" s="69" t="s">
        <v>1467</v>
      </c>
      <c r="D163" s="69" t="s">
        <v>1468</v>
      </c>
      <c r="E163" s="69" t="s">
        <v>909</v>
      </c>
      <c r="F163" s="70">
        <v>0</v>
      </c>
      <c r="G163" s="70" t="s">
        <v>1469</v>
      </c>
      <c r="H163" s="69" t="s">
        <v>746</v>
      </c>
      <c r="I163" s="69" t="s">
        <v>1236</v>
      </c>
      <c r="J163" s="69" t="s">
        <v>342</v>
      </c>
      <c r="K163" s="69" t="s">
        <v>382</v>
      </c>
      <c r="L163" s="69" t="s">
        <v>887</v>
      </c>
      <c r="M163" s="69" t="s">
        <v>389</v>
      </c>
      <c r="O163" s="69" t="s">
        <v>386</v>
      </c>
      <c r="P163" s="69" t="s">
        <v>979</v>
      </c>
      <c r="Q163" s="69" t="s">
        <v>1362</v>
      </c>
      <c r="R163" s="69" t="s">
        <v>83</v>
      </c>
      <c r="T163" s="69" t="s">
        <v>911</v>
      </c>
      <c r="U163" s="69" t="s">
        <v>912</v>
      </c>
      <c r="V163" s="59" t="str">
        <f t="shared" si="19"/>
        <v>11448330серый / бордовый</v>
      </c>
      <c r="W163" s="59" t="str">
        <f t="shared" si="16"/>
        <v>11448330</v>
      </c>
      <c r="X163" s="59" t="str">
        <f t="shared" si="20"/>
        <v>Los Angeles Dodgers</v>
      </c>
      <c r="AC163" s="50">
        <f t="shared" si="21"/>
        <v>96</v>
      </c>
      <c r="AD163" s="43">
        <f t="shared" si="22"/>
        <v>55</v>
      </c>
      <c r="AE163" s="50">
        <f t="shared" si="23"/>
        <v>96055</v>
      </c>
    </row>
    <row r="164" spans="1:31">
      <c r="A164" s="59" t="str">
        <f t="shared" si="17"/>
        <v>11448329otc</v>
      </c>
      <c r="B164" s="59" t="str">
        <f t="shared" si="18"/>
        <v>96-054-47</v>
      </c>
      <c r="C164" s="69" t="s">
        <v>1470</v>
      </c>
      <c r="D164" s="69" t="s">
        <v>1471</v>
      </c>
      <c r="E164" s="69" t="s">
        <v>909</v>
      </c>
      <c r="F164" s="70">
        <v>0</v>
      </c>
      <c r="G164" s="70" t="s">
        <v>1472</v>
      </c>
      <c r="H164" s="69" t="s">
        <v>246</v>
      </c>
      <c r="I164" s="69" t="s">
        <v>1236</v>
      </c>
      <c r="J164" s="69" t="s">
        <v>342</v>
      </c>
      <c r="K164" s="69" t="s">
        <v>382</v>
      </c>
      <c r="L164" s="69" t="s">
        <v>887</v>
      </c>
      <c r="M164" s="69" t="s">
        <v>389</v>
      </c>
      <c r="O164" s="69" t="s">
        <v>386</v>
      </c>
      <c r="P164" s="69" t="s">
        <v>979</v>
      </c>
      <c r="Q164" s="69" t="s">
        <v>1362</v>
      </c>
      <c r="R164" s="69" t="s">
        <v>83</v>
      </c>
      <c r="T164" s="69" t="s">
        <v>911</v>
      </c>
      <c r="U164" s="69" t="s">
        <v>914</v>
      </c>
      <c r="V164" s="59" t="str">
        <f t="shared" si="19"/>
        <v>11448329серый / черный</v>
      </c>
      <c r="W164" s="59" t="str">
        <f t="shared" si="16"/>
        <v>11448329</v>
      </c>
      <c r="X164" s="59" t="str">
        <f t="shared" si="20"/>
        <v>New York Yankees</v>
      </c>
      <c r="AC164" s="50">
        <f t="shared" si="21"/>
        <v>96</v>
      </c>
      <c r="AD164" s="43">
        <f t="shared" si="22"/>
        <v>54</v>
      </c>
      <c r="AE164" s="50">
        <f t="shared" si="23"/>
        <v>96054</v>
      </c>
    </row>
    <row r="165" spans="1:31">
      <c r="A165" s="59" t="str">
        <f t="shared" si="17"/>
        <v>11379840wht</v>
      </c>
      <c r="B165" s="59" t="str">
        <f t="shared" si="18"/>
        <v>96-053-17</v>
      </c>
      <c r="C165" s="69" t="s">
        <v>1473</v>
      </c>
      <c r="D165" s="69" t="s">
        <v>1474</v>
      </c>
      <c r="E165" s="69" t="s">
        <v>909</v>
      </c>
      <c r="F165" s="70">
        <v>0</v>
      </c>
      <c r="G165" s="70" t="s">
        <v>1475</v>
      </c>
      <c r="H165" s="69" t="s">
        <v>57</v>
      </c>
      <c r="I165" s="69" t="s">
        <v>910</v>
      </c>
      <c r="J165" s="69" t="s">
        <v>327</v>
      </c>
      <c r="K165" s="69" t="s">
        <v>382</v>
      </c>
      <c r="L165" s="69" t="s">
        <v>887</v>
      </c>
      <c r="M165" s="69" t="s">
        <v>388</v>
      </c>
      <c r="N165" s="69" t="s">
        <v>43</v>
      </c>
      <c r="O165" s="69" t="s">
        <v>386</v>
      </c>
      <c r="P165" s="69" t="s">
        <v>979</v>
      </c>
      <c r="Q165" s="69" t="s">
        <v>1095</v>
      </c>
      <c r="R165" s="69" t="s">
        <v>57</v>
      </c>
      <c r="T165" s="69" t="s">
        <v>911</v>
      </c>
      <c r="U165" s="69" t="s">
        <v>912</v>
      </c>
      <c r="V165" s="59" t="str">
        <f t="shared" si="19"/>
        <v>11379840белый</v>
      </c>
      <c r="W165" s="59" t="str">
        <f t="shared" si="16"/>
        <v>11379840</v>
      </c>
      <c r="X165" s="59" t="str">
        <f t="shared" si="20"/>
        <v>Los Angeles Dodgers</v>
      </c>
      <c r="AC165" s="50">
        <f t="shared" si="21"/>
        <v>96</v>
      </c>
      <c r="AD165" s="43">
        <f t="shared" si="22"/>
        <v>53</v>
      </c>
      <c r="AE165" s="50">
        <f t="shared" si="23"/>
        <v>96053</v>
      </c>
    </row>
    <row r="166" spans="1:31">
      <c r="A166" s="59" t="str">
        <f t="shared" si="17"/>
        <v>11277642nvyrig</v>
      </c>
      <c r="B166" s="59" t="str">
        <f t="shared" si="18"/>
        <v>96-052-75</v>
      </c>
      <c r="C166" s="69" t="s">
        <v>1476</v>
      </c>
      <c r="D166" s="69" t="s">
        <v>1477</v>
      </c>
      <c r="E166" s="69" t="s">
        <v>909</v>
      </c>
      <c r="F166" s="70">
        <v>0</v>
      </c>
      <c r="G166" s="70">
        <v>11277642</v>
      </c>
      <c r="H166" s="69" t="s">
        <v>250</v>
      </c>
      <c r="I166" s="69" t="s">
        <v>1236</v>
      </c>
      <c r="J166" s="69" t="s">
        <v>342</v>
      </c>
      <c r="K166" s="69" t="s">
        <v>382</v>
      </c>
      <c r="L166" s="69" t="s">
        <v>887</v>
      </c>
      <c r="M166" s="69" t="s">
        <v>389</v>
      </c>
      <c r="O166" s="69" t="s">
        <v>386</v>
      </c>
      <c r="P166" s="69" t="s">
        <v>979</v>
      </c>
      <c r="Q166" s="69" t="s">
        <v>1478</v>
      </c>
      <c r="R166" s="69" t="s">
        <v>71</v>
      </c>
      <c r="V166" s="59" t="str">
        <f t="shared" si="19"/>
        <v>11277642синий / зеленый</v>
      </c>
      <c r="W166" s="59" t="str">
        <f t="shared" si="16"/>
        <v>11277642</v>
      </c>
      <c r="X166" s="59" t="str">
        <f t="shared" si="20"/>
        <v/>
      </c>
      <c r="AC166" s="50">
        <f t="shared" si="21"/>
        <v>96</v>
      </c>
      <c r="AD166" s="43">
        <f t="shared" si="22"/>
        <v>52</v>
      </c>
      <c r="AE166" s="50">
        <f t="shared" si="23"/>
        <v>96052</v>
      </c>
    </row>
    <row r="167" spans="1:31">
      <c r="A167" s="59" t="str">
        <f t="shared" si="17"/>
        <v>11179873grawhi</v>
      </c>
      <c r="B167" s="59" t="str">
        <f t="shared" si="18"/>
        <v>96-051-80</v>
      </c>
      <c r="C167" s="69" t="s">
        <v>1479</v>
      </c>
      <c r="D167" s="69" t="s">
        <v>1480</v>
      </c>
      <c r="E167" s="69" t="s">
        <v>1025</v>
      </c>
      <c r="F167" s="70">
        <v>58</v>
      </c>
      <c r="G167" s="70">
        <v>11179873</v>
      </c>
      <c r="H167" s="69" t="s">
        <v>83</v>
      </c>
      <c r="I167" s="69" t="s">
        <v>1481</v>
      </c>
      <c r="J167" s="69" t="s">
        <v>327</v>
      </c>
      <c r="K167" s="69" t="s">
        <v>382</v>
      </c>
      <c r="L167" s="69" t="s">
        <v>887</v>
      </c>
      <c r="M167" s="69" t="s">
        <v>388</v>
      </c>
      <c r="O167" s="69" t="s">
        <v>386</v>
      </c>
      <c r="P167" s="69" t="s">
        <v>979</v>
      </c>
      <c r="Q167" s="69" t="s">
        <v>1482</v>
      </c>
      <c r="R167" s="69" t="s">
        <v>83</v>
      </c>
      <c r="V167" s="59" t="str">
        <f t="shared" si="19"/>
        <v>11179873серый</v>
      </c>
      <c r="W167" s="59" t="str">
        <f t="shared" si="16"/>
        <v>11179873</v>
      </c>
      <c r="X167" s="59" t="str">
        <f t="shared" si="20"/>
        <v/>
      </c>
      <c r="AC167" s="50">
        <f t="shared" si="21"/>
        <v>96</v>
      </c>
      <c r="AD167" s="43">
        <f t="shared" si="22"/>
        <v>51</v>
      </c>
      <c r="AE167" s="50">
        <f t="shared" si="23"/>
        <v>96051</v>
      </c>
    </row>
    <row r="168" spans="1:31">
      <c r="A168" s="59" t="str">
        <f t="shared" si="17"/>
        <v>11179873grawhi</v>
      </c>
      <c r="B168" s="59" t="str">
        <f t="shared" si="18"/>
        <v>96-051-80</v>
      </c>
      <c r="C168" s="69" t="s">
        <v>1483</v>
      </c>
      <c r="D168" s="69" t="s">
        <v>1480</v>
      </c>
      <c r="E168" s="69" t="s">
        <v>1029</v>
      </c>
      <c r="F168" s="70">
        <v>56</v>
      </c>
      <c r="G168" s="70">
        <v>11179873</v>
      </c>
      <c r="H168" s="69" t="s">
        <v>83</v>
      </c>
      <c r="I168" s="69" t="s">
        <v>1481</v>
      </c>
      <c r="J168" s="69" t="s">
        <v>327</v>
      </c>
      <c r="K168" s="69" t="s">
        <v>382</v>
      </c>
      <c r="L168" s="69" t="s">
        <v>887</v>
      </c>
      <c r="M168" s="69" t="s">
        <v>388</v>
      </c>
      <c r="O168" s="69" t="s">
        <v>386</v>
      </c>
      <c r="P168" s="69" t="s">
        <v>979</v>
      </c>
      <c r="Q168" s="69" t="s">
        <v>1482</v>
      </c>
      <c r="R168" s="69" t="s">
        <v>83</v>
      </c>
      <c r="V168" s="59" t="str">
        <f t="shared" si="19"/>
        <v>11179873серый</v>
      </c>
      <c r="W168" s="59" t="str">
        <f t="shared" si="16"/>
        <v>11179873</v>
      </c>
      <c r="X168" s="59" t="str">
        <f t="shared" si="20"/>
        <v/>
      </c>
      <c r="AC168" s="50">
        <f t="shared" si="21"/>
        <v>96</v>
      </c>
      <c r="AD168" s="43">
        <f t="shared" si="22"/>
        <v>51</v>
      </c>
      <c r="AE168" s="50">
        <f t="shared" si="23"/>
        <v>96051</v>
      </c>
    </row>
    <row r="169" spans="1:31">
      <c r="A169" s="59" t="str">
        <f t="shared" si="17"/>
        <v>11179866blkwhi</v>
      </c>
      <c r="B169" s="59" t="str">
        <f t="shared" si="18"/>
        <v>96-050-09</v>
      </c>
      <c r="C169" s="69" t="s">
        <v>1484</v>
      </c>
      <c r="D169" s="69" t="s">
        <v>1485</v>
      </c>
      <c r="E169" s="69" t="s">
        <v>909</v>
      </c>
      <c r="F169" s="70">
        <v>0</v>
      </c>
      <c r="G169" s="70">
        <v>11179866</v>
      </c>
      <c r="H169" s="69" t="s">
        <v>53</v>
      </c>
      <c r="I169" s="69" t="s">
        <v>910</v>
      </c>
      <c r="J169" s="69" t="s">
        <v>327</v>
      </c>
      <c r="K169" s="69" t="s">
        <v>382</v>
      </c>
      <c r="L169" s="69" t="s">
        <v>887</v>
      </c>
      <c r="M169" s="69" t="s">
        <v>388</v>
      </c>
      <c r="N169" s="69" t="s">
        <v>43</v>
      </c>
      <c r="O169" s="69" t="s">
        <v>386</v>
      </c>
      <c r="P169" s="69" t="s">
        <v>979</v>
      </c>
      <c r="Q169" s="69" t="s">
        <v>1033</v>
      </c>
      <c r="R169" s="69" t="s">
        <v>53</v>
      </c>
      <c r="V169" s="59" t="str">
        <f t="shared" si="19"/>
        <v>11179866черный</v>
      </c>
      <c r="W169" s="59" t="str">
        <f t="shared" si="16"/>
        <v>11179866</v>
      </c>
      <c r="X169" s="59" t="str">
        <f t="shared" si="20"/>
        <v/>
      </c>
      <c r="AC169" s="50">
        <f t="shared" si="21"/>
        <v>96</v>
      </c>
      <c r="AD169" s="43">
        <f t="shared" si="22"/>
        <v>50</v>
      </c>
      <c r="AE169" s="50">
        <f t="shared" si="23"/>
        <v>96050</v>
      </c>
    </row>
    <row r="170" spans="1:31">
      <c r="A170" s="59" t="str">
        <f t="shared" si="17"/>
        <v>11179834grapwhi</v>
      </c>
      <c r="B170" s="59" t="str">
        <f t="shared" si="18"/>
        <v>96-049-80</v>
      </c>
      <c r="C170" s="69" t="s">
        <v>1486</v>
      </c>
      <c r="D170" s="69" t="s">
        <v>1487</v>
      </c>
      <c r="E170" s="69" t="s">
        <v>909</v>
      </c>
      <c r="F170" s="70">
        <v>0</v>
      </c>
      <c r="G170" s="70">
        <v>11179834</v>
      </c>
      <c r="H170" s="69" t="s">
        <v>83</v>
      </c>
      <c r="I170" s="69" t="s">
        <v>910</v>
      </c>
      <c r="J170" s="69" t="s">
        <v>327</v>
      </c>
      <c r="K170" s="69" t="s">
        <v>382</v>
      </c>
      <c r="L170" s="69" t="s">
        <v>887</v>
      </c>
      <c r="M170" s="69" t="s">
        <v>388</v>
      </c>
      <c r="N170" s="69" t="s">
        <v>43</v>
      </c>
      <c r="O170" s="69" t="s">
        <v>386</v>
      </c>
      <c r="P170" s="69" t="s">
        <v>979</v>
      </c>
      <c r="Q170" s="69" t="s">
        <v>1488</v>
      </c>
      <c r="R170" s="69" t="s">
        <v>83</v>
      </c>
      <c r="V170" s="59" t="str">
        <f t="shared" si="19"/>
        <v>11179834серый</v>
      </c>
      <c r="W170" s="59" t="str">
        <f t="shared" si="16"/>
        <v>11179834</v>
      </c>
      <c r="X170" s="59" t="str">
        <f t="shared" si="20"/>
        <v/>
      </c>
      <c r="AC170" s="50">
        <f t="shared" si="21"/>
        <v>96</v>
      </c>
      <c r="AD170" s="43">
        <f t="shared" si="22"/>
        <v>49</v>
      </c>
      <c r="AE170" s="50">
        <f t="shared" si="23"/>
        <v>96049</v>
      </c>
    </row>
    <row r="171" spans="1:31">
      <c r="A171" s="59" t="str">
        <f t="shared" si="17"/>
        <v>11179831whi</v>
      </c>
      <c r="B171" s="59" t="str">
        <f t="shared" si="18"/>
        <v>96-048-09</v>
      </c>
      <c r="C171" s="69" t="s">
        <v>1489</v>
      </c>
      <c r="D171" s="69" t="s">
        <v>1490</v>
      </c>
      <c r="E171" s="69" t="s">
        <v>909</v>
      </c>
      <c r="F171" s="70">
        <v>0</v>
      </c>
      <c r="G171" s="70">
        <v>11179831</v>
      </c>
      <c r="H171" s="69" t="s">
        <v>55</v>
      </c>
      <c r="I171" s="69" t="s">
        <v>910</v>
      </c>
      <c r="J171" s="69" t="s">
        <v>327</v>
      </c>
      <c r="K171" s="69" t="s">
        <v>382</v>
      </c>
      <c r="L171" s="69" t="s">
        <v>887</v>
      </c>
      <c r="M171" s="69" t="s">
        <v>388</v>
      </c>
      <c r="N171" s="69" t="s">
        <v>43</v>
      </c>
      <c r="O171" s="69" t="s">
        <v>386</v>
      </c>
      <c r="P171" s="69" t="s">
        <v>979</v>
      </c>
      <c r="Q171" s="69" t="s">
        <v>996</v>
      </c>
      <c r="R171" s="69" t="s">
        <v>71</v>
      </c>
      <c r="V171" s="59" t="str">
        <f t="shared" si="19"/>
        <v>11179831темно-синий</v>
      </c>
      <c r="W171" s="59" t="str">
        <f t="shared" si="16"/>
        <v>11179831</v>
      </c>
      <c r="X171" s="59" t="str">
        <f t="shared" si="20"/>
        <v/>
      </c>
      <c r="AC171" s="50">
        <f t="shared" si="21"/>
        <v>96</v>
      </c>
      <c r="AD171" s="43">
        <f t="shared" si="22"/>
        <v>48</v>
      </c>
      <c r="AE171" s="50">
        <f t="shared" si="23"/>
        <v>96048</v>
      </c>
    </row>
    <row r="172" spans="1:31">
      <c r="A172" s="59" t="str">
        <f t="shared" si="17"/>
        <v>10145637blkblk</v>
      </c>
      <c r="B172" s="59" t="str">
        <f t="shared" si="18"/>
        <v>96-047-09</v>
      </c>
      <c r="C172" s="69" t="s">
        <v>1491</v>
      </c>
      <c r="D172" s="69" t="s">
        <v>1492</v>
      </c>
      <c r="E172" s="69" t="s">
        <v>1347</v>
      </c>
      <c r="F172" s="70">
        <v>60</v>
      </c>
      <c r="G172" s="70" t="s">
        <v>1493</v>
      </c>
      <c r="H172" s="69" t="s">
        <v>53</v>
      </c>
      <c r="I172" s="69" t="s">
        <v>1338</v>
      </c>
      <c r="J172" s="69" t="s">
        <v>327</v>
      </c>
      <c r="K172" s="69" t="s">
        <v>382</v>
      </c>
      <c r="L172" s="69" t="s">
        <v>887</v>
      </c>
      <c r="M172" s="69" t="s">
        <v>388</v>
      </c>
      <c r="N172" s="69" t="s">
        <v>43</v>
      </c>
      <c r="O172" s="69" t="s">
        <v>541</v>
      </c>
      <c r="P172" s="69" t="s">
        <v>979</v>
      </c>
      <c r="Q172" s="69" t="s">
        <v>1049</v>
      </c>
      <c r="R172" s="69" t="s">
        <v>53</v>
      </c>
      <c r="T172" s="69" t="s">
        <v>911</v>
      </c>
      <c r="U172" s="69" t="s">
        <v>914</v>
      </c>
      <c r="V172" s="59" t="str">
        <f t="shared" si="19"/>
        <v>10145637черный</v>
      </c>
      <c r="W172" s="59" t="str">
        <f t="shared" si="16"/>
        <v>10145637</v>
      </c>
      <c r="X172" s="59" t="str">
        <f t="shared" si="20"/>
        <v>New York Yankees</v>
      </c>
      <c r="AC172" s="50">
        <f t="shared" si="21"/>
        <v>96</v>
      </c>
      <c r="AD172" s="43">
        <f t="shared" si="22"/>
        <v>47</v>
      </c>
      <c r="AE172" s="50">
        <f t="shared" si="23"/>
        <v>96047</v>
      </c>
    </row>
    <row r="173" spans="1:31">
      <c r="A173" s="59" t="str">
        <f t="shared" si="17"/>
        <v>10145637blkblk</v>
      </c>
      <c r="B173" s="59" t="str">
        <f t="shared" si="18"/>
        <v>96-047-09</v>
      </c>
      <c r="C173" s="69" t="s">
        <v>1494</v>
      </c>
      <c r="D173" s="69" t="s">
        <v>1492</v>
      </c>
      <c r="E173" s="69" t="s">
        <v>1025</v>
      </c>
      <c r="F173" s="70">
        <v>58</v>
      </c>
      <c r="G173" s="70" t="s">
        <v>1493</v>
      </c>
      <c r="H173" s="69" t="s">
        <v>53</v>
      </c>
      <c r="I173" s="69" t="s">
        <v>1338</v>
      </c>
      <c r="J173" s="69" t="s">
        <v>327</v>
      </c>
      <c r="K173" s="69" t="s">
        <v>382</v>
      </c>
      <c r="L173" s="69" t="s">
        <v>887</v>
      </c>
      <c r="M173" s="69" t="s">
        <v>388</v>
      </c>
      <c r="N173" s="69" t="s">
        <v>43</v>
      </c>
      <c r="O173" s="69" t="s">
        <v>541</v>
      </c>
      <c r="P173" s="69" t="s">
        <v>979</v>
      </c>
      <c r="Q173" s="69" t="s">
        <v>1049</v>
      </c>
      <c r="R173" s="69" t="s">
        <v>53</v>
      </c>
      <c r="T173" s="69" t="s">
        <v>911</v>
      </c>
      <c r="U173" s="69" t="s">
        <v>914</v>
      </c>
      <c r="V173" s="59" t="str">
        <f t="shared" si="19"/>
        <v>10145637черный</v>
      </c>
      <c r="W173" s="59" t="str">
        <f t="shared" si="16"/>
        <v>10145637</v>
      </c>
      <c r="X173" s="59" t="str">
        <f t="shared" si="20"/>
        <v>New York Yankees</v>
      </c>
      <c r="AC173" s="50">
        <f t="shared" si="21"/>
        <v>96</v>
      </c>
      <c r="AD173" s="43">
        <f t="shared" si="22"/>
        <v>47</v>
      </c>
      <c r="AE173" s="50">
        <f t="shared" si="23"/>
        <v>96047</v>
      </c>
    </row>
    <row r="174" spans="1:31">
      <c r="A174" s="59" t="str">
        <f t="shared" si="17"/>
        <v>10145637blkblk</v>
      </c>
      <c r="B174" s="59" t="str">
        <f t="shared" si="18"/>
        <v>96-047-09</v>
      </c>
      <c r="C174" s="69" t="s">
        <v>1495</v>
      </c>
      <c r="D174" s="69" t="s">
        <v>1492</v>
      </c>
      <c r="E174" s="69" t="s">
        <v>1029</v>
      </c>
      <c r="F174" s="70">
        <v>56</v>
      </c>
      <c r="G174" s="70" t="s">
        <v>1493</v>
      </c>
      <c r="H174" s="69" t="s">
        <v>53</v>
      </c>
      <c r="I174" s="69" t="s">
        <v>1338</v>
      </c>
      <c r="J174" s="69" t="s">
        <v>327</v>
      </c>
      <c r="K174" s="69" t="s">
        <v>382</v>
      </c>
      <c r="L174" s="69" t="s">
        <v>887</v>
      </c>
      <c r="M174" s="69" t="s">
        <v>388</v>
      </c>
      <c r="N174" s="69" t="s">
        <v>43</v>
      </c>
      <c r="O174" s="69" t="s">
        <v>541</v>
      </c>
      <c r="P174" s="69" t="s">
        <v>979</v>
      </c>
      <c r="Q174" s="69" t="s">
        <v>1049</v>
      </c>
      <c r="R174" s="69" t="s">
        <v>53</v>
      </c>
      <c r="T174" s="69" t="s">
        <v>911</v>
      </c>
      <c r="U174" s="69" t="s">
        <v>914</v>
      </c>
      <c r="V174" s="59" t="str">
        <f t="shared" si="19"/>
        <v>10145637черный</v>
      </c>
      <c r="W174" s="59" t="str">
        <f t="shared" si="16"/>
        <v>10145637</v>
      </c>
      <c r="X174" s="59" t="str">
        <f t="shared" si="20"/>
        <v>New York Yankees</v>
      </c>
      <c r="AC174" s="50">
        <f t="shared" si="21"/>
        <v>96</v>
      </c>
      <c r="AD174" s="43">
        <f t="shared" si="22"/>
        <v>47</v>
      </c>
      <c r="AE174" s="50">
        <f t="shared" si="23"/>
        <v>96047</v>
      </c>
    </row>
    <row r="175" spans="1:31">
      <c r="A175" s="59" t="str">
        <f t="shared" si="17"/>
        <v>10047507navy</v>
      </c>
      <c r="B175" s="59" t="str">
        <f t="shared" si="18"/>
        <v>96-147-71</v>
      </c>
      <c r="C175" s="69" t="s">
        <v>1496</v>
      </c>
      <c r="D175" s="69" t="s">
        <v>1497</v>
      </c>
      <c r="E175" s="69" t="s">
        <v>909</v>
      </c>
      <c r="F175" s="70">
        <v>0</v>
      </c>
      <c r="G175" s="70" t="s">
        <v>1498</v>
      </c>
      <c r="H175" s="69" t="s">
        <v>592</v>
      </c>
      <c r="I175" s="69" t="s">
        <v>918</v>
      </c>
      <c r="J175" s="69" t="s">
        <v>327</v>
      </c>
      <c r="K175" s="69" t="s">
        <v>382</v>
      </c>
      <c r="L175" s="69" t="s">
        <v>887</v>
      </c>
      <c r="M175" s="69" t="s">
        <v>388</v>
      </c>
      <c r="O175" s="69" t="s">
        <v>541</v>
      </c>
      <c r="P175" s="69" t="s">
        <v>979</v>
      </c>
      <c r="Q175" s="69" t="s">
        <v>1499</v>
      </c>
      <c r="R175" s="69" t="s">
        <v>71</v>
      </c>
      <c r="T175" s="69" t="s">
        <v>911</v>
      </c>
      <c r="U175" s="69" t="s">
        <v>917</v>
      </c>
      <c r="V175" s="59" t="str">
        <f t="shared" si="19"/>
        <v>10047507темно-синий / красный</v>
      </c>
      <c r="W175" s="59" t="str">
        <f t="shared" si="16"/>
        <v>10047507</v>
      </c>
      <c r="X175" s="59" t="str">
        <f t="shared" si="20"/>
        <v>Atlanta Braves MLB</v>
      </c>
      <c r="AC175" s="50">
        <f t="shared" si="21"/>
        <v>96</v>
      </c>
      <c r="AD175" s="43">
        <f t="shared" si="22"/>
        <v>147</v>
      </c>
      <c r="AE175" s="50">
        <f t="shared" si="23"/>
        <v>96147</v>
      </c>
    </row>
    <row r="176" spans="1:31">
      <c r="A176" s="59" t="str">
        <f t="shared" si="17"/>
        <v>10047511otc</v>
      </c>
      <c r="B176" s="59" t="str">
        <f t="shared" si="18"/>
        <v>96-148-09</v>
      </c>
      <c r="C176" s="69" t="s">
        <v>1500</v>
      </c>
      <c r="D176" s="69" t="s">
        <v>1501</v>
      </c>
      <c r="E176" s="69" t="s">
        <v>909</v>
      </c>
      <c r="F176" s="70">
        <v>0</v>
      </c>
      <c r="G176" s="70" t="s">
        <v>1502</v>
      </c>
      <c r="H176" s="69" t="s">
        <v>55</v>
      </c>
      <c r="I176" s="69" t="s">
        <v>918</v>
      </c>
      <c r="J176" s="69" t="s">
        <v>327</v>
      </c>
      <c r="K176" s="69" t="s">
        <v>382</v>
      </c>
      <c r="L176" s="69" t="s">
        <v>887</v>
      </c>
      <c r="M176" s="69" t="s">
        <v>388</v>
      </c>
      <c r="O176" s="69" t="s">
        <v>541</v>
      </c>
      <c r="P176" s="69" t="s">
        <v>979</v>
      </c>
      <c r="Q176" s="69" t="s">
        <v>1362</v>
      </c>
      <c r="R176" s="69" t="s">
        <v>71</v>
      </c>
      <c r="T176" s="69" t="s">
        <v>911</v>
      </c>
      <c r="U176" s="69" t="s">
        <v>915</v>
      </c>
      <c r="V176" s="59" t="str">
        <f t="shared" si="19"/>
        <v>10047511темно-синий</v>
      </c>
      <c r="W176" s="59" t="str">
        <f t="shared" si="16"/>
        <v>10047511</v>
      </c>
      <c r="X176" s="59" t="str">
        <f t="shared" si="20"/>
        <v>Boston Red Sox MLB</v>
      </c>
      <c r="AC176" s="50">
        <f t="shared" si="21"/>
        <v>96</v>
      </c>
      <c r="AD176" s="43">
        <f t="shared" si="22"/>
        <v>148</v>
      </c>
      <c r="AE176" s="50">
        <f t="shared" si="23"/>
        <v>96148</v>
      </c>
    </row>
    <row r="177" spans="1:31">
      <c r="A177" s="59" t="str">
        <f t="shared" si="17"/>
        <v>80636012carwhi</v>
      </c>
      <c r="B177" s="59" t="str">
        <f t="shared" si="18"/>
        <v>96-186-18</v>
      </c>
      <c r="C177" s="69" t="s">
        <v>1503</v>
      </c>
      <c r="D177" s="69" t="s">
        <v>1504</v>
      </c>
      <c r="E177" s="69" t="s">
        <v>909</v>
      </c>
      <c r="F177" s="70">
        <v>0</v>
      </c>
      <c r="G177" s="70" t="s">
        <v>1505</v>
      </c>
      <c r="H177" s="69" t="s">
        <v>78</v>
      </c>
      <c r="I177" s="69" t="s">
        <v>910</v>
      </c>
      <c r="J177" s="69" t="s">
        <v>327</v>
      </c>
      <c r="K177" s="69" t="s">
        <v>382</v>
      </c>
      <c r="L177" s="69" t="s">
        <v>887</v>
      </c>
      <c r="M177" s="69" t="s">
        <v>388</v>
      </c>
      <c r="N177" s="69" t="s">
        <v>43</v>
      </c>
      <c r="O177" s="69" t="s">
        <v>541</v>
      </c>
      <c r="P177" s="69" t="s">
        <v>979</v>
      </c>
      <c r="Q177" s="69" t="s">
        <v>1506</v>
      </c>
      <c r="R177" s="69" t="s">
        <v>78</v>
      </c>
      <c r="T177" s="69" t="s">
        <v>911</v>
      </c>
      <c r="U177" s="69" t="s">
        <v>914</v>
      </c>
      <c r="V177" s="59" t="str">
        <f t="shared" si="19"/>
        <v>80636012красный</v>
      </c>
      <c r="W177" s="59" t="str">
        <f t="shared" si="16"/>
        <v>80636012</v>
      </c>
      <c r="X177" s="59" t="str">
        <f t="shared" si="20"/>
        <v>New York Yankees MLB</v>
      </c>
      <c r="AC177" s="50">
        <f t="shared" si="21"/>
        <v>96</v>
      </c>
      <c r="AD177" s="43">
        <f t="shared" si="22"/>
        <v>186</v>
      </c>
      <c r="AE177" s="50">
        <f t="shared" si="23"/>
        <v>96186</v>
      </c>
    </row>
    <row r="178" spans="1:31">
      <c r="A178" s="59" t="str">
        <f t="shared" si="17"/>
        <v>80524868whi</v>
      </c>
      <c r="B178" s="59" t="str">
        <f t="shared" si="18"/>
        <v>96-185-17</v>
      </c>
      <c r="C178" s="69" t="s">
        <v>1507</v>
      </c>
      <c r="D178" s="69" t="s">
        <v>1508</v>
      </c>
      <c r="E178" s="69" t="s">
        <v>909</v>
      </c>
      <c r="F178" s="70">
        <v>0</v>
      </c>
      <c r="G178" s="70" t="s">
        <v>1509</v>
      </c>
      <c r="H178" s="69" t="s">
        <v>57</v>
      </c>
      <c r="I178" s="69" t="s">
        <v>910</v>
      </c>
      <c r="J178" s="69" t="s">
        <v>327</v>
      </c>
      <c r="K178" s="69" t="s">
        <v>387</v>
      </c>
      <c r="L178" s="69" t="s">
        <v>887</v>
      </c>
      <c r="M178" s="69" t="s">
        <v>388</v>
      </c>
      <c r="N178" s="69" t="s">
        <v>43</v>
      </c>
      <c r="O178" s="69" t="s">
        <v>541</v>
      </c>
      <c r="P178" s="69" t="s">
        <v>979</v>
      </c>
      <c r="Q178" s="69" t="s">
        <v>996</v>
      </c>
      <c r="R178" s="69" t="s">
        <v>57</v>
      </c>
      <c r="T178" s="69" t="s">
        <v>911</v>
      </c>
      <c r="U178" s="69" t="s">
        <v>914</v>
      </c>
      <c r="V178" s="59" t="str">
        <f t="shared" si="19"/>
        <v>80524868белый</v>
      </c>
      <c r="W178" s="59" t="str">
        <f t="shared" si="16"/>
        <v>80524868</v>
      </c>
      <c r="X178" s="59" t="str">
        <f t="shared" si="20"/>
        <v>New York Yankees MLB</v>
      </c>
      <c r="AC178" s="50">
        <f t="shared" si="21"/>
        <v>96</v>
      </c>
      <c r="AD178" s="43">
        <f t="shared" si="22"/>
        <v>185</v>
      </c>
      <c r="AE178" s="50">
        <f t="shared" si="23"/>
        <v>96185</v>
      </c>
    </row>
    <row r="179" spans="1:31">
      <c r="A179" s="59" t="str">
        <f t="shared" si="17"/>
        <v>80468932blk</v>
      </c>
      <c r="B179" s="59" t="str">
        <f t="shared" si="18"/>
        <v>96-184-09</v>
      </c>
      <c r="C179" s="69" t="s">
        <v>1510</v>
      </c>
      <c r="D179" s="69" t="s">
        <v>1511</v>
      </c>
      <c r="E179" s="69" t="s">
        <v>909</v>
      </c>
      <c r="F179" s="70">
        <v>0</v>
      </c>
      <c r="G179" s="70" t="s">
        <v>1512</v>
      </c>
      <c r="H179" s="69" t="s">
        <v>53</v>
      </c>
      <c r="I179" s="69" t="s">
        <v>910</v>
      </c>
      <c r="J179" s="69" t="s">
        <v>327</v>
      </c>
      <c r="K179" s="69" t="s">
        <v>382</v>
      </c>
      <c r="L179" s="69" t="s">
        <v>887</v>
      </c>
      <c r="M179" s="69" t="s">
        <v>388</v>
      </c>
      <c r="N179" s="69" t="s">
        <v>43</v>
      </c>
      <c r="O179" s="69" t="s">
        <v>541</v>
      </c>
      <c r="P179" s="69" t="s">
        <v>979</v>
      </c>
      <c r="Q179" s="69" t="s">
        <v>1008</v>
      </c>
      <c r="R179" s="69" t="s">
        <v>53</v>
      </c>
      <c r="T179" s="69" t="s">
        <v>911</v>
      </c>
      <c r="U179" s="69" t="s">
        <v>914</v>
      </c>
      <c r="V179" s="59" t="str">
        <f t="shared" si="19"/>
        <v>80468932черный</v>
      </c>
      <c r="W179" s="59" t="str">
        <f t="shared" si="16"/>
        <v>80468932</v>
      </c>
      <c r="X179" s="59" t="str">
        <f t="shared" si="20"/>
        <v>New York Yankees MLB</v>
      </c>
      <c r="AC179" s="50">
        <f t="shared" si="21"/>
        <v>96</v>
      </c>
      <c r="AD179" s="43">
        <f t="shared" si="22"/>
        <v>184</v>
      </c>
      <c r="AE179" s="50">
        <f t="shared" si="23"/>
        <v>96184</v>
      </c>
    </row>
    <row r="180" spans="1:31">
      <c r="A180" s="59" t="str">
        <f t="shared" si="17"/>
        <v>12572845otc</v>
      </c>
      <c r="B180" s="59" t="str">
        <f t="shared" si="18"/>
        <v>96-183-09</v>
      </c>
      <c r="C180" s="69" t="s">
        <v>1513</v>
      </c>
      <c r="D180" s="69" t="s">
        <v>1514</v>
      </c>
      <c r="E180" s="69" t="s">
        <v>1160</v>
      </c>
      <c r="F180" s="70">
        <v>57</v>
      </c>
      <c r="G180" s="70" t="s">
        <v>1515</v>
      </c>
      <c r="H180" s="69" t="s">
        <v>53</v>
      </c>
      <c r="I180" s="69" t="s">
        <v>918</v>
      </c>
      <c r="J180" s="69" t="s">
        <v>783</v>
      </c>
      <c r="K180" s="69" t="s">
        <v>382</v>
      </c>
      <c r="L180" s="69" t="s">
        <v>887</v>
      </c>
      <c r="M180" s="69" t="s">
        <v>388</v>
      </c>
      <c r="O180" s="69" t="s">
        <v>541</v>
      </c>
      <c r="P180" s="69" t="s">
        <v>979</v>
      </c>
      <c r="Q180" s="69" t="s">
        <v>1362</v>
      </c>
      <c r="R180" s="69" t="s">
        <v>53</v>
      </c>
      <c r="T180" s="69" t="s">
        <v>911</v>
      </c>
      <c r="U180" s="69" t="s">
        <v>1516</v>
      </c>
      <c r="V180" s="59" t="str">
        <f t="shared" si="19"/>
        <v>12572845черный</v>
      </c>
      <c r="W180" s="59" t="str">
        <f t="shared" si="16"/>
        <v>12572845</v>
      </c>
      <c r="X180" s="59" t="str">
        <f t="shared" si="20"/>
        <v>Chicago White Socks MLB</v>
      </c>
      <c r="AC180" s="50">
        <f t="shared" si="21"/>
        <v>96</v>
      </c>
      <c r="AD180" s="43">
        <f t="shared" si="22"/>
        <v>183</v>
      </c>
      <c r="AE180" s="50">
        <f t="shared" si="23"/>
        <v>96183</v>
      </c>
    </row>
    <row r="181" spans="1:31">
      <c r="A181" s="59" t="str">
        <f t="shared" si="17"/>
        <v>12523912blkblk</v>
      </c>
      <c r="B181" s="59" t="str">
        <f t="shared" si="18"/>
        <v>96-182-09</v>
      </c>
      <c r="C181" s="69" t="s">
        <v>1517</v>
      </c>
      <c r="D181" s="69" t="s">
        <v>1518</v>
      </c>
      <c r="E181" s="69" t="s">
        <v>909</v>
      </c>
      <c r="F181" s="70">
        <v>0</v>
      </c>
      <c r="G181" s="70" t="s">
        <v>1519</v>
      </c>
      <c r="H181" s="69" t="s">
        <v>53</v>
      </c>
      <c r="I181" s="69" t="s">
        <v>910</v>
      </c>
      <c r="J181" s="69" t="s">
        <v>356</v>
      </c>
      <c r="K181" s="69" t="s">
        <v>382</v>
      </c>
      <c r="L181" s="69" t="s">
        <v>887</v>
      </c>
      <c r="M181" s="69" t="s">
        <v>388</v>
      </c>
      <c r="N181" s="69" t="s">
        <v>43</v>
      </c>
      <c r="O181" s="69" t="s">
        <v>541</v>
      </c>
      <c r="P181" s="69" t="s">
        <v>979</v>
      </c>
      <c r="Q181" s="69" t="s">
        <v>1049</v>
      </c>
      <c r="R181" s="69" t="s">
        <v>53</v>
      </c>
      <c r="T181" s="69" t="s">
        <v>911</v>
      </c>
      <c r="U181" s="69" t="s">
        <v>912</v>
      </c>
      <c r="V181" s="59" t="str">
        <f t="shared" si="19"/>
        <v>12523912черный</v>
      </c>
      <c r="W181" s="59" t="str">
        <f t="shared" si="16"/>
        <v>12523912</v>
      </c>
      <c r="X181" s="59" t="str">
        <f t="shared" si="20"/>
        <v>Los Angeles Dodgers MLB</v>
      </c>
      <c r="AC181" s="50">
        <f t="shared" si="21"/>
        <v>96</v>
      </c>
      <c r="AD181" s="43">
        <f t="shared" si="22"/>
        <v>182</v>
      </c>
      <c r="AE181" s="50">
        <f t="shared" si="23"/>
        <v>96182</v>
      </c>
    </row>
    <row r="182" spans="1:31">
      <c r="A182" s="59" t="str">
        <f t="shared" si="17"/>
        <v>12523903whiwhi</v>
      </c>
      <c r="B182" s="59" t="str">
        <f t="shared" si="18"/>
        <v>96-181-17</v>
      </c>
      <c r="C182" s="69" t="s">
        <v>1520</v>
      </c>
      <c r="D182" s="69" t="s">
        <v>1521</v>
      </c>
      <c r="E182" s="69" t="s">
        <v>909</v>
      </c>
      <c r="F182" s="70">
        <v>0</v>
      </c>
      <c r="G182" s="70" t="s">
        <v>1522</v>
      </c>
      <c r="H182" s="69" t="s">
        <v>57</v>
      </c>
      <c r="I182" s="69" t="s">
        <v>918</v>
      </c>
      <c r="J182" s="69" t="s">
        <v>356</v>
      </c>
      <c r="K182" s="69" t="s">
        <v>382</v>
      </c>
      <c r="L182" s="69" t="s">
        <v>887</v>
      </c>
      <c r="M182" s="69" t="s">
        <v>388</v>
      </c>
      <c r="O182" s="69" t="s">
        <v>541</v>
      </c>
      <c r="P182" s="69" t="s">
        <v>979</v>
      </c>
      <c r="Q182" s="69" t="s">
        <v>1523</v>
      </c>
      <c r="R182" s="69" t="s">
        <v>57</v>
      </c>
      <c r="T182" s="69" t="s">
        <v>911</v>
      </c>
      <c r="U182" s="69" t="s">
        <v>914</v>
      </c>
      <c r="V182" s="59" t="str">
        <f t="shared" si="19"/>
        <v>12523903белый</v>
      </c>
      <c r="W182" s="59" t="str">
        <f t="shared" si="16"/>
        <v>12523903</v>
      </c>
      <c r="X182" s="59" t="str">
        <f t="shared" si="20"/>
        <v>New York Yankees MLB</v>
      </c>
      <c r="AC182" s="50">
        <f t="shared" si="21"/>
        <v>96</v>
      </c>
      <c r="AD182" s="43">
        <f t="shared" si="22"/>
        <v>181</v>
      </c>
      <c r="AE182" s="50">
        <f t="shared" si="23"/>
        <v>96181</v>
      </c>
    </row>
    <row r="183" spans="1:31">
      <c r="A183" s="59" t="str">
        <f t="shared" si="17"/>
        <v>12523894novwhi</v>
      </c>
      <c r="B183" s="59" t="str">
        <f t="shared" si="18"/>
        <v>96-180-11</v>
      </c>
      <c r="C183" s="69" t="s">
        <v>1524</v>
      </c>
      <c r="D183" s="69" t="s">
        <v>1525</v>
      </c>
      <c r="E183" s="69" t="s">
        <v>909</v>
      </c>
      <c r="F183" s="70">
        <v>0</v>
      </c>
      <c r="G183" s="70" t="s">
        <v>1526</v>
      </c>
      <c r="H183" s="69" t="s">
        <v>149</v>
      </c>
      <c r="I183" s="69" t="s">
        <v>910</v>
      </c>
      <c r="J183" s="69" t="s">
        <v>356</v>
      </c>
      <c r="K183" s="69" t="s">
        <v>382</v>
      </c>
      <c r="L183" s="69" t="s">
        <v>887</v>
      </c>
      <c r="M183" s="69" t="s">
        <v>388</v>
      </c>
      <c r="N183" s="69" t="s">
        <v>43</v>
      </c>
      <c r="O183" s="69" t="s">
        <v>541</v>
      </c>
      <c r="P183" s="69" t="s">
        <v>979</v>
      </c>
      <c r="Q183" s="69" t="s">
        <v>1527</v>
      </c>
      <c r="R183" s="69" t="s">
        <v>60</v>
      </c>
      <c r="T183" s="69" t="s">
        <v>911</v>
      </c>
      <c r="U183" s="69" t="s">
        <v>914</v>
      </c>
      <c r="V183" s="59" t="str">
        <f t="shared" si="19"/>
        <v>12523894зеленый / белый</v>
      </c>
      <c r="W183" s="59" t="str">
        <f t="shared" si="16"/>
        <v>12523894</v>
      </c>
      <c r="X183" s="59" t="str">
        <f t="shared" si="20"/>
        <v>New York Yankees MLB</v>
      </c>
      <c r="AC183" s="50">
        <f t="shared" si="21"/>
        <v>96</v>
      </c>
      <c r="AD183" s="43">
        <f t="shared" si="22"/>
        <v>180</v>
      </c>
      <c r="AE183" s="50">
        <f t="shared" si="23"/>
        <v>96180</v>
      </c>
    </row>
    <row r="184" spans="1:31">
      <c r="A184" s="59" t="str">
        <f t="shared" si="17"/>
        <v>12523893stnwhi</v>
      </c>
      <c r="B184" s="59" t="str">
        <f t="shared" si="18"/>
        <v>96-179-17</v>
      </c>
      <c r="C184" s="69" t="s">
        <v>1528</v>
      </c>
      <c r="D184" s="69" t="s">
        <v>1529</v>
      </c>
      <c r="E184" s="69" t="s">
        <v>909</v>
      </c>
      <c r="F184" s="70">
        <v>0</v>
      </c>
      <c r="G184" s="70" t="s">
        <v>1530</v>
      </c>
      <c r="H184" s="69" t="s">
        <v>66</v>
      </c>
      <c r="I184" s="69" t="s">
        <v>910</v>
      </c>
      <c r="J184" s="69" t="s">
        <v>356</v>
      </c>
      <c r="K184" s="69" t="s">
        <v>382</v>
      </c>
      <c r="L184" s="69" t="s">
        <v>887</v>
      </c>
      <c r="M184" s="69" t="s">
        <v>388</v>
      </c>
      <c r="N184" s="69" t="s">
        <v>43</v>
      </c>
      <c r="O184" s="69" t="s">
        <v>541</v>
      </c>
      <c r="P184" s="69" t="s">
        <v>979</v>
      </c>
      <c r="Q184" s="69" t="s">
        <v>1531</v>
      </c>
      <c r="R184" s="69" t="s">
        <v>63</v>
      </c>
      <c r="T184" s="69" t="s">
        <v>911</v>
      </c>
      <c r="U184" s="69" t="s">
        <v>914</v>
      </c>
      <c r="V184" s="59" t="str">
        <f t="shared" si="19"/>
        <v>12523893бежевый / белый</v>
      </c>
      <c r="W184" s="59" t="str">
        <f t="shared" si="16"/>
        <v>12523893</v>
      </c>
      <c r="X184" s="59" t="str">
        <f t="shared" si="20"/>
        <v>New York Yankees MLB</v>
      </c>
      <c r="AC184" s="50">
        <f t="shared" si="21"/>
        <v>96</v>
      </c>
      <c r="AD184" s="43">
        <f t="shared" si="22"/>
        <v>179</v>
      </c>
      <c r="AE184" s="50">
        <f t="shared" si="23"/>
        <v>96179</v>
      </c>
    </row>
    <row r="185" spans="1:31">
      <c r="A185" s="59" t="str">
        <f t="shared" si="17"/>
        <v>12380796otc</v>
      </c>
      <c r="B185" s="59" t="str">
        <f t="shared" si="18"/>
        <v>96-178-48</v>
      </c>
      <c r="C185" s="69" t="s">
        <v>1532</v>
      </c>
      <c r="D185" s="69" t="s">
        <v>1533</v>
      </c>
      <c r="E185" s="69" t="s">
        <v>909</v>
      </c>
      <c r="F185" s="70">
        <v>0</v>
      </c>
      <c r="G185" s="70" t="s">
        <v>1534</v>
      </c>
      <c r="H185" s="69" t="s">
        <v>119</v>
      </c>
      <c r="I185" s="69" t="s">
        <v>910</v>
      </c>
      <c r="J185" s="69" t="s">
        <v>356</v>
      </c>
      <c r="K185" s="69" t="s">
        <v>382</v>
      </c>
      <c r="L185" s="69" t="s">
        <v>887</v>
      </c>
      <c r="M185" s="69" t="s">
        <v>388</v>
      </c>
      <c r="N185" s="69" t="s">
        <v>43</v>
      </c>
      <c r="O185" s="69" t="s">
        <v>541</v>
      </c>
      <c r="P185" s="69" t="s">
        <v>979</v>
      </c>
      <c r="Q185" s="69" t="s">
        <v>1362</v>
      </c>
      <c r="R185" s="69" t="s">
        <v>57</v>
      </c>
      <c r="T185" s="69" t="s">
        <v>911</v>
      </c>
      <c r="U185" s="69" t="s">
        <v>914</v>
      </c>
      <c r="V185" s="59" t="str">
        <f t="shared" si="19"/>
        <v>12380796белый / черный</v>
      </c>
      <c r="W185" s="59" t="str">
        <f t="shared" si="16"/>
        <v>12380796</v>
      </c>
      <c r="X185" s="59" t="str">
        <f t="shared" si="20"/>
        <v>New York Yankees MLB</v>
      </c>
      <c r="AC185" s="50">
        <f t="shared" si="21"/>
        <v>96</v>
      </c>
      <c r="AD185" s="43">
        <f t="shared" si="22"/>
        <v>178</v>
      </c>
      <c r="AE185" s="50">
        <f t="shared" si="23"/>
        <v>96178</v>
      </c>
    </row>
    <row r="186" spans="1:31">
      <c r="A186" s="59" t="str">
        <f t="shared" si="17"/>
        <v>12380594blk</v>
      </c>
      <c r="B186" s="59" t="str">
        <f t="shared" si="18"/>
        <v>96-177-09</v>
      </c>
      <c r="C186" s="69" t="s">
        <v>1535</v>
      </c>
      <c r="D186" s="69" t="s">
        <v>1536</v>
      </c>
      <c r="E186" s="69" t="s">
        <v>909</v>
      </c>
      <c r="F186" s="70">
        <v>0</v>
      </c>
      <c r="G186" s="70" t="s">
        <v>1537</v>
      </c>
      <c r="H186" s="69" t="s">
        <v>53</v>
      </c>
      <c r="I186" s="69" t="s">
        <v>910</v>
      </c>
      <c r="J186" s="69" t="s">
        <v>327</v>
      </c>
      <c r="K186" s="69" t="s">
        <v>382</v>
      </c>
      <c r="L186" s="69" t="s">
        <v>887</v>
      </c>
      <c r="M186" s="69" t="s">
        <v>388</v>
      </c>
      <c r="N186" s="69" t="s">
        <v>43</v>
      </c>
      <c r="O186" s="69" t="s">
        <v>541</v>
      </c>
      <c r="P186" s="69" t="s">
        <v>979</v>
      </c>
      <c r="Q186" s="69" t="s">
        <v>1008</v>
      </c>
      <c r="R186" s="69" t="s">
        <v>53</v>
      </c>
      <c r="T186" s="69" t="s">
        <v>911</v>
      </c>
      <c r="U186" s="69" t="s">
        <v>914</v>
      </c>
      <c r="V186" s="59" t="str">
        <f t="shared" si="19"/>
        <v>12380594черный</v>
      </c>
      <c r="W186" s="59" t="str">
        <f t="shared" si="16"/>
        <v>12380594</v>
      </c>
      <c r="X186" s="59" t="str">
        <f t="shared" si="20"/>
        <v>New York Yankees MLB</v>
      </c>
      <c r="AC186" s="50">
        <f t="shared" si="21"/>
        <v>96</v>
      </c>
      <c r="AD186" s="43">
        <f t="shared" si="22"/>
        <v>177</v>
      </c>
      <c r="AE186" s="50">
        <f t="shared" si="23"/>
        <v>96177</v>
      </c>
    </row>
    <row r="187" spans="1:31">
      <c r="A187" s="59" t="str">
        <f t="shared" si="17"/>
        <v>12380590stn</v>
      </c>
      <c r="B187" s="59" t="str">
        <f t="shared" si="18"/>
        <v>96-176-17</v>
      </c>
      <c r="C187" s="69" t="s">
        <v>1538</v>
      </c>
      <c r="D187" s="69" t="s">
        <v>1539</v>
      </c>
      <c r="E187" s="69" t="s">
        <v>909</v>
      </c>
      <c r="F187" s="70">
        <v>0</v>
      </c>
      <c r="G187" s="70" t="s">
        <v>1540</v>
      </c>
      <c r="H187" s="69" t="s">
        <v>63</v>
      </c>
      <c r="I187" s="69" t="s">
        <v>910</v>
      </c>
      <c r="J187" s="69" t="s">
        <v>327</v>
      </c>
      <c r="K187" s="69" t="s">
        <v>382</v>
      </c>
      <c r="L187" s="69" t="s">
        <v>887</v>
      </c>
      <c r="M187" s="69" t="s">
        <v>388</v>
      </c>
      <c r="N187" s="69" t="s">
        <v>43</v>
      </c>
      <c r="O187" s="69" t="s">
        <v>541</v>
      </c>
      <c r="P187" s="69" t="s">
        <v>979</v>
      </c>
      <c r="Q187" s="69" t="s">
        <v>1220</v>
      </c>
      <c r="R187" s="69" t="s">
        <v>63</v>
      </c>
      <c r="T187" s="69" t="s">
        <v>911</v>
      </c>
      <c r="U187" s="69" t="s">
        <v>914</v>
      </c>
      <c r="V187" s="59" t="str">
        <f t="shared" si="19"/>
        <v>12380590бежевый</v>
      </c>
      <c r="W187" s="59" t="str">
        <f t="shared" si="16"/>
        <v>12380590</v>
      </c>
      <c r="X187" s="59" t="str">
        <f t="shared" si="20"/>
        <v>New York Yankees MLB</v>
      </c>
      <c r="AC187" s="50">
        <f t="shared" si="21"/>
        <v>96</v>
      </c>
      <c r="AD187" s="43">
        <f t="shared" si="22"/>
        <v>176</v>
      </c>
      <c r="AE187" s="50">
        <f t="shared" si="23"/>
        <v>96176</v>
      </c>
    </row>
    <row r="188" spans="1:31">
      <c r="A188" s="59" t="str">
        <f t="shared" si="17"/>
        <v>12285467whi</v>
      </c>
      <c r="B188" s="59" t="str">
        <f t="shared" si="18"/>
        <v>96-175-17</v>
      </c>
      <c r="C188" s="69" t="s">
        <v>1541</v>
      </c>
      <c r="D188" s="69" t="s">
        <v>1542</v>
      </c>
      <c r="E188" s="69" t="s">
        <v>909</v>
      </c>
      <c r="F188" s="70">
        <v>0</v>
      </c>
      <c r="G188" s="70" t="s">
        <v>1543</v>
      </c>
      <c r="H188" s="69" t="s">
        <v>57</v>
      </c>
      <c r="I188" s="69" t="s">
        <v>910</v>
      </c>
      <c r="J188" s="69" t="s">
        <v>356</v>
      </c>
      <c r="K188" s="69" t="s">
        <v>382</v>
      </c>
      <c r="L188" s="69" t="s">
        <v>887</v>
      </c>
      <c r="M188" s="69" t="s">
        <v>388</v>
      </c>
      <c r="N188" s="69" t="s">
        <v>43</v>
      </c>
      <c r="O188" s="69" t="s">
        <v>541</v>
      </c>
      <c r="P188" s="69" t="s">
        <v>979</v>
      </c>
      <c r="Q188" s="69" t="s">
        <v>996</v>
      </c>
      <c r="R188" s="69" t="s">
        <v>57</v>
      </c>
      <c r="T188" s="69" t="s">
        <v>911</v>
      </c>
      <c r="U188" s="69" t="s">
        <v>914</v>
      </c>
      <c r="V188" s="59" t="str">
        <f t="shared" si="19"/>
        <v>12285467белый</v>
      </c>
      <c r="W188" s="59" t="str">
        <f t="shared" si="16"/>
        <v>12285467</v>
      </c>
      <c r="X188" s="59" t="str">
        <f t="shared" si="20"/>
        <v>New York Yankees MLB</v>
      </c>
      <c r="AC188" s="50">
        <f t="shared" si="21"/>
        <v>96</v>
      </c>
      <c r="AD188" s="43">
        <f t="shared" si="22"/>
        <v>175</v>
      </c>
      <c r="AE188" s="50">
        <f t="shared" si="23"/>
        <v>96175</v>
      </c>
    </row>
    <row r="189" spans="1:31">
      <c r="A189" s="59" t="str">
        <f t="shared" si="17"/>
        <v>12122742blkblk</v>
      </c>
      <c r="B189" s="59" t="str">
        <f t="shared" si="18"/>
        <v>96-174-09</v>
      </c>
      <c r="C189" s="69" t="s">
        <v>1544</v>
      </c>
      <c r="D189" s="69" t="s">
        <v>1545</v>
      </c>
      <c r="E189" s="69" t="s">
        <v>909</v>
      </c>
      <c r="F189" s="70">
        <v>0</v>
      </c>
      <c r="G189" s="70" t="s">
        <v>1546</v>
      </c>
      <c r="H189" s="69" t="s">
        <v>53</v>
      </c>
      <c r="I189" s="69" t="s">
        <v>910</v>
      </c>
      <c r="J189" s="69" t="s">
        <v>327</v>
      </c>
      <c r="K189" s="69" t="s">
        <v>387</v>
      </c>
      <c r="L189" s="69" t="s">
        <v>887</v>
      </c>
      <c r="M189" s="69" t="s">
        <v>388</v>
      </c>
      <c r="N189" s="69" t="s">
        <v>43</v>
      </c>
      <c r="O189" s="69" t="s">
        <v>541</v>
      </c>
      <c r="P189" s="69" t="s">
        <v>979</v>
      </c>
      <c r="Q189" s="69" t="s">
        <v>1049</v>
      </c>
      <c r="R189" s="69" t="s">
        <v>53</v>
      </c>
      <c r="T189" s="69" t="s">
        <v>911</v>
      </c>
      <c r="U189" s="69" t="s">
        <v>914</v>
      </c>
      <c r="V189" s="59" t="str">
        <f t="shared" si="19"/>
        <v>12122742черный</v>
      </c>
      <c r="W189" s="59" t="str">
        <f t="shared" si="16"/>
        <v>12122742</v>
      </c>
      <c r="X189" s="59" t="str">
        <f t="shared" si="20"/>
        <v>New York Yankees MLB</v>
      </c>
      <c r="AC189" s="50">
        <f t="shared" si="21"/>
        <v>96</v>
      </c>
      <c r="AD189" s="43">
        <f t="shared" si="22"/>
        <v>174</v>
      </c>
      <c r="AE189" s="50">
        <f t="shared" si="23"/>
        <v>96174</v>
      </c>
    </row>
    <row r="190" spans="1:31">
      <c r="A190" s="59" t="str">
        <f t="shared" si="17"/>
        <v>12122741blkwhi</v>
      </c>
      <c r="B190" s="59" t="str">
        <f t="shared" si="18"/>
        <v>96-173-09</v>
      </c>
      <c r="C190" s="69" t="s">
        <v>1547</v>
      </c>
      <c r="D190" s="69" t="s">
        <v>1548</v>
      </c>
      <c r="E190" s="69" t="s">
        <v>909</v>
      </c>
      <c r="F190" s="70">
        <v>0</v>
      </c>
      <c r="G190" s="70" t="s">
        <v>1549</v>
      </c>
      <c r="H190" s="69" t="s">
        <v>53</v>
      </c>
      <c r="I190" s="69" t="s">
        <v>910</v>
      </c>
      <c r="J190" s="69" t="s">
        <v>327</v>
      </c>
      <c r="K190" s="69" t="s">
        <v>387</v>
      </c>
      <c r="L190" s="69" t="s">
        <v>887</v>
      </c>
      <c r="M190" s="69" t="s">
        <v>388</v>
      </c>
      <c r="N190" s="69" t="s">
        <v>43</v>
      </c>
      <c r="O190" s="69" t="s">
        <v>541</v>
      </c>
      <c r="P190" s="69" t="s">
        <v>979</v>
      </c>
      <c r="Q190" s="69" t="s">
        <v>1033</v>
      </c>
      <c r="R190" s="69" t="s">
        <v>53</v>
      </c>
      <c r="T190" s="69" t="s">
        <v>911</v>
      </c>
      <c r="U190" s="69" t="s">
        <v>914</v>
      </c>
      <c r="V190" s="59" t="str">
        <f t="shared" si="19"/>
        <v>12122741черный</v>
      </c>
      <c r="W190" s="59" t="str">
        <f t="shared" si="16"/>
        <v>12122741</v>
      </c>
      <c r="X190" s="59" t="str">
        <f t="shared" si="20"/>
        <v>New York Yankees MLB</v>
      </c>
      <c r="AC190" s="50">
        <f t="shared" si="21"/>
        <v>96</v>
      </c>
      <c r="AD190" s="43">
        <f t="shared" si="22"/>
        <v>173</v>
      </c>
      <c r="AE190" s="50">
        <f t="shared" si="23"/>
        <v>96173</v>
      </c>
    </row>
    <row r="191" spans="1:31">
      <c r="A191" s="59" t="str">
        <f t="shared" si="17"/>
        <v>12052000blk</v>
      </c>
      <c r="B191" s="59" t="str">
        <f t="shared" si="18"/>
        <v>96-172-09</v>
      </c>
      <c r="C191" s="69" t="s">
        <v>1550</v>
      </c>
      <c r="D191" s="69" t="s">
        <v>1551</v>
      </c>
      <c r="E191" s="69" t="s">
        <v>909</v>
      </c>
      <c r="F191" s="70">
        <v>0</v>
      </c>
      <c r="G191" s="70" t="s">
        <v>1552</v>
      </c>
      <c r="H191" s="69" t="s">
        <v>53</v>
      </c>
      <c r="I191" s="69" t="s">
        <v>910</v>
      </c>
      <c r="J191" s="69" t="s">
        <v>327</v>
      </c>
      <c r="K191" s="69" t="s">
        <v>382</v>
      </c>
      <c r="L191" s="69" t="s">
        <v>887</v>
      </c>
      <c r="M191" s="69" t="s">
        <v>388</v>
      </c>
      <c r="N191" s="69" t="s">
        <v>43</v>
      </c>
      <c r="O191" s="69" t="s">
        <v>541</v>
      </c>
      <c r="P191" s="69" t="s">
        <v>979</v>
      </c>
      <c r="Q191" s="69" t="s">
        <v>1008</v>
      </c>
      <c r="R191" s="69" t="s">
        <v>53</v>
      </c>
      <c r="T191" s="69" t="s">
        <v>911</v>
      </c>
      <c r="U191" s="69" t="s">
        <v>912</v>
      </c>
      <c r="V191" s="59" t="str">
        <f t="shared" si="19"/>
        <v>12052000черный</v>
      </c>
      <c r="W191" s="59" t="str">
        <f t="shared" si="16"/>
        <v>12052000</v>
      </c>
      <c r="X191" s="59" t="str">
        <f t="shared" si="20"/>
        <v>Los Angeles Dodgers MLB</v>
      </c>
      <c r="AC191" s="50">
        <f t="shared" si="21"/>
        <v>96</v>
      </c>
      <c r="AD191" s="43">
        <f t="shared" si="22"/>
        <v>172</v>
      </c>
      <c r="AE191" s="50">
        <f t="shared" si="23"/>
        <v>96172</v>
      </c>
    </row>
    <row r="192" spans="1:31">
      <c r="A192" s="59" t="str">
        <f t="shared" si="17"/>
        <v>12051998mncblk</v>
      </c>
      <c r="B192" s="59" t="str">
        <f t="shared" si="18"/>
        <v>96-171-00</v>
      </c>
      <c r="C192" s="69" t="s">
        <v>1553</v>
      </c>
      <c r="D192" s="69" t="s">
        <v>1554</v>
      </c>
      <c r="E192" s="69" t="s">
        <v>909</v>
      </c>
      <c r="F192" s="70">
        <v>0</v>
      </c>
      <c r="G192" s="70" t="s">
        <v>1555</v>
      </c>
      <c r="H192" s="69" t="s">
        <v>158</v>
      </c>
      <c r="I192" s="69" t="s">
        <v>910</v>
      </c>
      <c r="J192" s="69" t="s">
        <v>327</v>
      </c>
      <c r="K192" s="69" t="s">
        <v>382</v>
      </c>
      <c r="L192" s="69" t="s">
        <v>887</v>
      </c>
      <c r="M192" s="69" t="s">
        <v>388</v>
      </c>
      <c r="N192" s="69" t="s">
        <v>43</v>
      </c>
      <c r="O192" s="69" t="s">
        <v>541</v>
      </c>
      <c r="P192" s="69" t="s">
        <v>979</v>
      </c>
      <c r="Q192" s="69" t="s">
        <v>1556</v>
      </c>
      <c r="R192" s="69" t="s">
        <v>60</v>
      </c>
      <c r="T192" s="69" t="s">
        <v>911</v>
      </c>
      <c r="U192" s="69" t="s">
        <v>914</v>
      </c>
      <c r="V192" s="59" t="str">
        <f t="shared" si="19"/>
        <v>12051998камуфляж</v>
      </c>
      <c r="W192" s="59" t="str">
        <f t="shared" si="16"/>
        <v>12051998</v>
      </c>
      <c r="X192" s="59" t="str">
        <f t="shared" si="20"/>
        <v>New York Yankees MLB</v>
      </c>
      <c r="AC192" s="50">
        <f t="shared" si="21"/>
        <v>96</v>
      </c>
      <c r="AD192" s="43">
        <f t="shared" si="22"/>
        <v>171</v>
      </c>
      <c r="AE192" s="50">
        <f t="shared" si="23"/>
        <v>96171</v>
      </c>
    </row>
    <row r="193" spans="1:31">
      <c r="A193" s="59" t="str">
        <f t="shared" si="17"/>
        <v>11871279blkotc</v>
      </c>
      <c r="B193" s="59" t="str">
        <f t="shared" si="18"/>
        <v>96-170-09</v>
      </c>
      <c r="C193" s="69" t="s">
        <v>1557</v>
      </c>
      <c r="D193" s="69" t="s">
        <v>1558</v>
      </c>
      <c r="E193" s="69" t="s">
        <v>1025</v>
      </c>
      <c r="F193" s="70">
        <v>58</v>
      </c>
      <c r="G193" s="70" t="s">
        <v>1559</v>
      </c>
      <c r="H193" s="69" t="s">
        <v>53</v>
      </c>
      <c r="I193" s="69" t="s">
        <v>1481</v>
      </c>
      <c r="J193" s="69" t="s">
        <v>327</v>
      </c>
      <c r="K193" s="69" t="s">
        <v>382</v>
      </c>
      <c r="L193" s="69" t="s">
        <v>887</v>
      </c>
      <c r="M193" s="69" t="s">
        <v>388</v>
      </c>
      <c r="O193" s="69" t="s">
        <v>541</v>
      </c>
      <c r="P193" s="69" t="s">
        <v>979</v>
      </c>
      <c r="Q193" s="69" t="s">
        <v>1560</v>
      </c>
      <c r="R193" s="69" t="s">
        <v>53</v>
      </c>
      <c r="T193" s="69" t="s">
        <v>911</v>
      </c>
      <c r="U193" s="69" t="s">
        <v>914</v>
      </c>
      <c r="V193" s="59" t="str">
        <f t="shared" si="19"/>
        <v>11871279черный</v>
      </c>
      <c r="W193" s="59" t="str">
        <f t="shared" si="16"/>
        <v>11871279</v>
      </c>
      <c r="X193" s="59" t="str">
        <f t="shared" si="20"/>
        <v>New York Yankees MLB</v>
      </c>
      <c r="AC193" s="50">
        <f t="shared" si="21"/>
        <v>96</v>
      </c>
      <c r="AD193" s="43">
        <f t="shared" si="22"/>
        <v>170</v>
      </c>
      <c r="AE193" s="50">
        <f t="shared" si="23"/>
        <v>96170</v>
      </c>
    </row>
    <row r="194" spans="1:31">
      <c r="A194" s="59" t="str">
        <f t="shared" si="17"/>
        <v>11871279blkotc</v>
      </c>
      <c r="B194" s="59" t="str">
        <f t="shared" si="18"/>
        <v>96-170-09</v>
      </c>
      <c r="C194" s="69" t="s">
        <v>1561</v>
      </c>
      <c r="D194" s="69" t="s">
        <v>1558</v>
      </c>
      <c r="E194" s="69" t="s">
        <v>1029</v>
      </c>
      <c r="F194" s="70">
        <v>56</v>
      </c>
      <c r="G194" s="70" t="s">
        <v>1559</v>
      </c>
      <c r="H194" s="69" t="s">
        <v>53</v>
      </c>
      <c r="I194" s="69" t="s">
        <v>1481</v>
      </c>
      <c r="J194" s="69" t="s">
        <v>327</v>
      </c>
      <c r="K194" s="69" t="s">
        <v>382</v>
      </c>
      <c r="L194" s="69" t="s">
        <v>887</v>
      </c>
      <c r="M194" s="69" t="s">
        <v>388</v>
      </c>
      <c r="O194" s="69" t="s">
        <v>541</v>
      </c>
      <c r="P194" s="69" t="s">
        <v>979</v>
      </c>
      <c r="Q194" s="69" t="s">
        <v>1560</v>
      </c>
      <c r="R194" s="69" t="s">
        <v>53</v>
      </c>
      <c r="T194" s="69" t="s">
        <v>911</v>
      </c>
      <c r="U194" s="69" t="s">
        <v>914</v>
      </c>
      <c r="V194" s="59" t="str">
        <f t="shared" si="19"/>
        <v>11871279черный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11871279</v>
      </c>
      <c r="X194" s="59" t="str">
        <f t="shared" si="20"/>
        <v>New York Yankees MLB</v>
      </c>
      <c r="AC194" s="50">
        <f t="shared" si="21"/>
        <v>96</v>
      </c>
      <c r="AD194" s="43">
        <f t="shared" si="22"/>
        <v>170</v>
      </c>
      <c r="AE194" s="50">
        <f t="shared" si="23"/>
        <v>96170</v>
      </c>
    </row>
    <row r="195" spans="1:31">
      <c r="A195" s="59" t="str">
        <f t="shared" ref="A195:A258" si="25">IF(G195&amp;Q195&lt;&gt;"",W195&amp;Q195,"")</f>
        <v>11588490grawhi</v>
      </c>
      <c r="B195" s="59" t="str">
        <f t="shared" ref="B195:B258" si="26">IF(C195&lt;&gt;"",LEFT(C195,9),"")</f>
        <v>96-169-50</v>
      </c>
      <c r="C195" s="69" t="s">
        <v>1562</v>
      </c>
      <c r="D195" s="69" t="s">
        <v>1563</v>
      </c>
      <c r="E195" s="69" t="s">
        <v>909</v>
      </c>
      <c r="F195" s="70">
        <v>0</v>
      </c>
      <c r="G195" s="70" t="s">
        <v>1564</v>
      </c>
      <c r="H195" s="69" t="s">
        <v>237</v>
      </c>
      <c r="I195" s="69" t="s">
        <v>910</v>
      </c>
      <c r="J195" s="69" t="s">
        <v>356</v>
      </c>
      <c r="K195" s="69" t="s">
        <v>382</v>
      </c>
      <c r="L195" s="69" t="s">
        <v>887</v>
      </c>
      <c r="M195" s="69" t="s">
        <v>388</v>
      </c>
      <c r="N195" s="69" t="s">
        <v>43</v>
      </c>
      <c r="O195" s="69" t="s">
        <v>541</v>
      </c>
      <c r="P195" s="69" t="s">
        <v>979</v>
      </c>
      <c r="Q195" s="69" t="s">
        <v>1482</v>
      </c>
      <c r="R195" s="69" t="s">
        <v>83</v>
      </c>
      <c r="T195" s="69" t="s">
        <v>911</v>
      </c>
      <c r="U195" s="69" t="s">
        <v>914</v>
      </c>
      <c r="V195" s="59" t="str">
        <f t="shared" ref="V195:V258" si="27">W195&amp;H195</f>
        <v>11588490серый / белый</v>
      </c>
      <c r="W195" s="59" t="str">
        <f t="shared" si="24"/>
        <v>11588490</v>
      </c>
      <c r="X195" s="59" t="str">
        <f t="shared" ref="X195:X258" si="28">IF(A195&lt;&gt;"",IFERROR(IF(FIND(" ",G195)&gt;=1,MID(G195,FIND(" ",G195)+1,LEN(G195)),""),""),"")</f>
        <v>New York Yankees MLB</v>
      </c>
      <c r="AC195" s="50">
        <f t="shared" ref="AC195:AC258" si="29">IFERROR(VALUE(MID($C195,1,2)),0)</f>
        <v>96</v>
      </c>
      <c r="AD195" s="43">
        <f t="shared" ref="AD195:AD258" si="30">IFERROR(VALUE(MID($C195,4,3)),0)</f>
        <v>169</v>
      </c>
      <c r="AE195" s="50">
        <f t="shared" ref="AE195:AE258" si="31">VALUE(RIGHT("00"&amp;AC195,2)&amp;RIGHT("000"&amp;AD195,3))</f>
        <v>96169</v>
      </c>
    </row>
    <row r="196" spans="1:31">
      <c r="A196" s="59" t="str">
        <f t="shared" si="25"/>
        <v>11588488scawhi</v>
      </c>
      <c r="B196" s="59" t="str">
        <f t="shared" si="26"/>
        <v>96-168-18</v>
      </c>
      <c r="C196" s="69" t="s">
        <v>1565</v>
      </c>
      <c r="D196" s="69" t="s">
        <v>1566</v>
      </c>
      <c r="E196" s="69" t="s">
        <v>909</v>
      </c>
      <c r="F196" s="70">
        <v>0</v>
      </c>
      <c r="G196" s="70" t="s">
        <v>1567</v>
      </c>
      <c r="H196" s="69" t="s">
        <v>179</v>
      </c>
      <c r="I196" s="69" t="s">
        <v>910</v>
      </c>
      <c r="J196" s="69" t="s">
        <v>356</v>
      </c>
      <c r="K196" s="69" t="s">
        <v>382</v>
      </c>
      <c r="L196" s="69" t="s">
        <v>887</v>
      </c>
      <c r="M196" s="69" t="s">
        <v>388</v>
      </c>
      <c r="N196" s="69" t="s">
        <v>43</v>
      </c>
      <c r="O196" s="69" t="s">
        <v>541</v>
      </c>
      <c r="P196" s="69" t="s">
        <v>979</v>
      </c>
      <c r="Q196" s="69" t="s">
        <v>1057</v>
      </c>
      <c r="R196" s="69" t="s">
        <v>78</v>
      </c>
      <c r="T196" s="69" t="s">
        <v>911</v>
      </c>
      <c r="U196" s="69" t="s">
        <v>914</v>
      </c>
      <c r="V196" s="59" t="str">
        <f t="shared" si="27"/>
        <v>11588488красный / белый</v>
      </c>
      <c r="W196" s="59" t="str">
        <f t="shared" si="24"/>
        <v>11588488</v>
      </c>
      <c r="X196" s="59" t="str">
        <f t="shared" si="28"/>
        <v>New York Yankees MLB</v>
      </c>
      <c r="AC196" s="50">
        <f t="shared" si="29"/>
        <v>96</v>
      </c>
      <c r="AD196" s="43">
        <f t="shared" si="30"/>
        <v>168</v>
      </c>
      <c r="AE196" s="50">
        <f t="shared" si="31"/>
        <v>96168</v>
      </c>
    </row>
    <row r="197" spans="1:31">
      <c r="A197" s="59" t="str">
        <f t="shared" si="25"/>
        <v>11579473blk</v>
      </c>
      <c r="B197" s="59" t="str">
        <f t="shared" si="26"/>
        <v>96-167-00</v>
      </c>
      <c r="C197" s="69" t="s">
        <v>1568</v>
      </c>
      <c r="D197" s="69" t="s">
        <v>1569</v>
      </c>
      <c r="E197" s="69" t="s">
        <v>909</v>
      </c>
      <c r="F197" s="70">
        <v>0</v>
      </c>
      <c r="G197" s="70" t="s">
        <v>1570</v>
      </c>
      <c r="H197" s="69" t="s">
        <v>845</v>
      </c>
      <c r="I197" s="69" t="s">
        <v>910</v>
      </c>
      <c r="J197" s="69" t="s">
        <v>356</v>
      </c>
      <c r="K197" s="69" t="s">
        <v>382</v>
      </c>
      <c r="L197" s="69" t="s">
        <v>887</v>
      </c>
      <c r="M197" s="69" t="s">
        <v>388</v>
      </c>
      <c r="N197" s="69" t="s">
        <v>43</v>
      </c>
      <c r="O197" s="69" t="s">
        <v>541</v>
      </c>
      <c r="P197" s="69" t="s">
        <v>979</v>
      </c>
      <c r="Q197" s="69" t="s">
        <v>1008</v>
      </c>
      <c r="R197" s="69" t="s">
        <v>60</v>
      </c>
      <c r="T197" s="69" t="s">
        <v>911</v>
      </c>
      <c r="U197" s="69" t="s">
        <v>914</v>
      </c>
      <c r="V197" s="59" t="str">
        <f t="shared" si="27"/>
        <v>11579473камуфляж / черный</v>
      </c>
      <c r="W197" s="59" t="str">
        <f t="shared" si="24"/>
        <v>11579473</v>
      </c>
      <c r="X197" s="59" t="str">
        <f t="shared" si="28"/>
        <v>New York Yankees MLB</v>
      </c>
      <c r="AC197" s="50">
        <f t="shared" si="29"/>
        <v>96</v>
      </c>
      <c r="AD197" s="43">
        <f t="shared" si="30"/>
        <v>167</v>
      </c>
      <c r="AE197" s="50">
        <f t="shared" si="31"/>
        <v>96167</v>
      </c>
    </row>
    <row r="198" spans="1:31">
      <c r="A198" s="59" t="str">
        <f t="shared" si="25"/>
        <v>11576724navy</v>
      </c>
      <c r="B198" s="59" t="str">
        <f t="shared" si="26"/>
        <v>96-166-16</v>
      </c>
      <c r="C198" s="69" t="s">
        <v>1571</v>
      </c>
      <c r="D198" s="69" t="s">
        <v>1572</v>
      </c>
      <c r="E198" s="69" t="s">
        <v>909</v>
      </c>
      <c r="F198" s="70">
        <v>0</v>
      </c>
      <c r="G198" s="70">
        <v>11576724</v>
      </c>
      <c r="H198" s="69" t="s">
        <v>55</v>
      </c>
      <c r="I198" s="69" t="s">
        <v>918</v>
      </c>
      <c r="J198" s="69" t="s">
        <v>327</v>
      </c>
      <c r="K198" s="69" t="s">
        <v>382</v>
      </c>
      <c r="L198" s="69" t="s">
        <v>887</v>
      </c>
      <c r="M198" s="69" t="s">
        <v>388</v>
      </c>
      <c r="O198" s="69" t="s">
        <v>541</v>
      </c>
      <c r="P198" s="69" t="s">
        <v>979</v>
      </c>
      <c r="Q198" s="69" t="s">
        <v>1499</v>
      </c>
      <c r="R198" s="69" t="s">
        <v>71</v>
      </c>
      <c r="V198" s="59" t="str">
        <f t="shared" si="27"/>
        <v>11576724темно-синий</v>
      </c>
      <c r="W198" s="59" t="str">
        <f t="shared" si="24"/>
        <v>11576724</v>
      </c>
      <c r="X198" s="59" t="str">
        <f t="shared" si="28"/>
        <v/>
      </c>
      <c r="AC198" s="50">
        <f t="shared" si="29"/>
        <v>96</v>
      </c>
      <c r="AD198" s="43">
        <f t="shared" si="30"/>
        <v>166</v>
      </c>
      <c r="AE198" s="50">
        <f t="shared" si="31"/>
        <v>96166</v>
      </c>
    </row>
    <row r="199" spans="1:31">
      <c r="A199" s="59" t="str">
        <f t="shared" si="25"/>
        <v>11405614otc</v>
      </c>
      <c r="B199" s="59" t="str">
        <f t="shared" si="26"/>
        <v>96-165-09</v>
      </c>
      <c r="C199" s="69" t="s">
        <v>1573</v>
      </c>
      <c r="D199" s="69" t="s">
        <v>1574</v>
      </c>
      <c r="E199" s="69" t="s">
        <v>909</v>
      </c>
      <c r="F199" s="70">
        <v>0</v>
      </c>
      <c r="G199" s="70" t="s">
        <v>1575</v>
      </c>
      <c r="H199" s="69" t="s">
        <v>53</v>
      </c>
      <c r="I199" s="69" t="s">
        <v>918</v>
      </c>
      <c r="J199" s="69" t="s">
        <v>327</v>
      </c>
      <c r="K199" s="69" t="s">
        <v>382</v>
      </c>
      <c r="L199" s="69" t="s">
        <v>887</v>
      </c>
      <c r="M199" s="69" t="s">
        <v>388</v>
      </c>
      <c r="O199" s="69" t="s">
        <v>541</v>
      </c>
      <c r="P199" s="69" t="s">
        <v>979</v>
      </c>
      <c r="Q199" s="69" t="s">
        <v>1362</v>
      </c>
      <c r="R199" s="69" t="s">
        <v>53</v>
      </c>
      <c r="T199" s="69" t="s">
        <v>1047</v>
      </c>
      <c r="U199" s="69" t="s">
        <v>1048</v>
      </c>
      <c r="V199" s="59" t="str">
        <f t="shared" si="27"/>
        <v>11405614черный</v>
      </c>
      <c r="W199" s="59" t="str">
        <f t="shared" si="24"/>
        <v>11405614</v>
      </c>
      <c r="X199" s="59" t="str">
        <f t="shared" si="28"/>
        <v>Chicago Bulls NBA</v>
      </c>
      <c r="AC199" s="50">
        <f t="shared" si="29"/>
        <v>96</v>
      </c>
      <c r="AD199" s="43">
        <f t="shared" si="30"/>
        <v>165</v>
      </c>
      <c r="AE199" s="50">
        <f t="shared" si="31"/>
        <v>96165</v>
      </c>
    </row>
    <row r="200" spans="1:31">
      <c r="A200" s="59" t="str">
        <f t="shared" si="25"/>
        <v>11405497lrywhi</v>
      </c>
      <c r="B200" s="59" t="str">
        <f t="shared" si="26"/>
        <v>96-164-95</v>
      </c>
      <c r="C200" s="69" t="s">
        <v>1576</v>
      </c>
      <c r="D200" s="69" t="s">
        <v>1577</v>
      </c>
      <c r="E200" s="69" t="s">
        <v>909</v>
      </c>
      <c r="F200" s="70">
        <v>0</v>
      </c>
      <c r="G200" s="70" t="s">
        <v>1578</v>
      </c>
      <c r="H200" s="69" t="s">
        <v>248</v>
      </c>
      <c r="I200" s="69" t="s">
        <v>910</v>
      </c>
      <c r="J200" s="69" t="s">
        <v>356</v>
      </c>
      <c r="K200" s="69" t="s">
        <v>382</v>
      </c>
      <c r="L200" s="69" t="s">
        <v>887</v>
      </c>
      <c r="M200" s="69" t="s">
        <v>388</v>
      </c>
      <c r="N200" s="69" t="s">
        <v>43</v>
      </c>
      <c r="O200" s="69" t="s">
        <v>541</v>
      </c>
      <c r="P200" s="69" t="s">
        <v>979</v>
      </c>
      <c r="Q200" s="69" t="s">
        <v>1579</v>
      </c>
      <c r="R200" s="69" t="s">
        <v>71</v>
      </c>
      <c r="T200" s="69" t="s">
        <v>911</v>
      </c>
      <c r="U200" s="69" t="s">
        <v>912</v>
      </c>
      <c r="V200" s="59" t="str">
        <f t="shared" si="27"/>
        <v>11405497синий / белый</v>
      </c>
      <c r="W200" s="59" t="str">
        <f t="shared" si="24"/>
        <v>11405497</v>
      </c>
      <c r="X200" s="59" t="str">
        <f t="shared" si="28"/>
        <v>Los Angeles Dodgers MLB</v>
      </c>
      <c r="AC200" s="50">
        <f t="shared" si="29"/>
        <v>96</v>
      </c>
      <c r="AD200" s="43">
        <f t="shared" si="30"/>
        <v>164</v>
      </c>
      <c r="AE200" s="50">
        <f t="shared" si="31"/>
        <v>96164</v>
      </c>
    </row>
    <row r="201" spans="1:31">
      <c r="A201" s="59" t="str">
        <f t="shared" si="25"/>
        <v>11180834blkblk</v>
      </c>
      <c r="B201" s="59" t="str">
        <f t="shared" si="26"/>
        <v>96-163-09</v>
      </c>
      <c r="C201" s="69" t="s">
        <v>1580</v>
      </c>
      <c r="D201" s="69" t="s">
        <v>1581</v>
      </c>
      <c r="E201" s="69" t="s">
        <v>1025</v>
      </c>
      <c r="F201" s="70">
        <v>58</v>
      </c>
      <c r="G201" s="70" t="s">
        <v>1582</v>
      </c>
      <c r="H201" s="69" t="s">
        <v>53</v>
      </c>
      <c r="I201" s="69" t="s">
        <v>910</v>
      </c>
      <c r="J201" s="69" t="s">
        <v>783</v>
      </c>
      <c r="K201" s="69" t="s">
        <v>382</v>
      </c>
      <c r="L201" s="69" t="s">
        <v>887</v>
      </c>
      <c r="M201" s="69" t="s">
        <v>388</v>
      </c>
      <c r="N201" s="69" t="s">
        <v>43</v>
      </c>
      <c r="O201" s="69" t="s">
        <v>541</v>
      </c>
      <c r="P201" s="69" t="s">
        <v>979</v>
      </c>
      <c r="Q201" s="69" t="s">
        <v>1049</v>
      </c>
      <c r="R201" s="69" t="s">
        <v>53</v>
      </c>
      <c r="T201" s="69" t="s">
        <v>911</v>
      </c>
      <c r="U201" s="69" t="s">
        <v>914</v>
      </c>
      <c r="V201" s="59" t="str">
        <f t="shared" si="27"/>
        <v>11180834черный</v>
      </c>
      <c r="W201" s="59" t="str">
        <f t="shared" si="24"/>
        <v>11180834</v>
      </c>
      <c r="X201" s="59" t="str">
        <f t="shared" si="28"/>
        <v>New York Yankees MLB</v>
      </c>
      <c r="AC201" s="50">
        <f t="shared" si="29"/>
        <v>96</v>
      </c>
      <c r="AD201" s="43">
        <f t="shared" si="30"/>
        <v>163</v>
      </c>
      <c r="AE201" s="50">
        <f t="shared" si="31"/>
        <v>96163</v>
      </c>
    </row>
    <row r="202" spans="1:31">
      <c r="A202" s="59" t="str">
        <f t="shared" si="25"/>
        <v>11180834blkblk</v>
      </c>
      <c r="B202" s="59" t="str">
        <f t="shared" si="26"/>
        <v>96-163-09</v>
      </c>
      <c r="C202" s="69" t="s">
        <v>1583</v>
      </c>
      <c r="D202" s="69" t="s">
        <v>1581</v>
      </c>
      <c r="E202" s="69" t="s">
        <v>1029</v>
      </c>
      <c r="F202" s="70">
        <v>56</v>
      </c>
      <c r="G202" s="70" t="s">
        <v>1582</v>
      </c>
      <c r="H202" s="69" t="s">
        <v>53</v>
      </c>
      <c r="I202" s="69" t="s">
        <v>910</v>
      </c>
      <c r="J202" s="69" t="s">
        <v>783</v>
      </c>
      <c r="K202" s="69" t="s">
        <v>382</v>
      </c>
      <c r="L202" s="69" t="s">
        <v>887</v>
      </c>
      <c r="M202" s="69" t="s">
        <v>388</v>
      </c>
      <c r="N202" s="69" t="s">
        <v>43</v>
      </c>
      <c r="O202" s="69" t="s">
        <v>541</v>
      </c>
      <c r="P202" s="69" t="s">
        <v>979</v>
      </c>
      <c r="Q202" s="69" t="s">
        <v>1049</v>
      </c>
      <c r="R202" s="69" t="s">
        <v>53</v>
      </c>
      <c r="T202" s="69" t="s">
        <v>911</v>
      </c>
      <c r="U202" s="69" t="s">
        <v>914</v>
      </c>
      <c r="V202" s="59" t="str">
        <f t="shared" si="27"/>
        <v>11180834черный</v>
      </c>
      <c r="W202" s="59" t="str">
        <f t="shared" si="24"/>
        <v>11180834</v>
      </c>
      <c r="X202" s="59" t="str">
        <f t="shared" si="28"/>
        <v>New York Yankees MLB</v>
      </c>
      <c r="AC202" s="50">
        <f t="shared" si="29"/>
        <v>96</v>
      </c>
      <c r="AD202" s="43">
        <f t="shared" si="30"/>
        <v>163</v>
      </c>
      <c r="AE202" s="50">
        <f t="shared" si="31"/>
        <v>96163</v>
      </c>
    </row>
    <row r="203" spans="1:31">
      <c r="A203" s="59" t="str">
        <f t="shared" si="25"/>
        <v>11157579lrywhi</v>
      </c>
      <c r="B203" s="59" t="str">
        <f t="shared" si="26"/>
        <v>96-162-06</v>
      </c>
      <c r="C203" s="69" t="s">
        <v>1584</v>
      </c>
      <c r="D203" s="69" t="s">
        <v>1585</v>
      </c>
      <c r="E203" s="69" t="s">
        <v>909</v>
      </c>
      <c r="F203" s="70">
        <v>0</v>
      </c>
      <c r="G203" s="70" t="s">
        <v>1586</v>
      </c>
      <c r="H203" s="69" t="s">
        <v>71</v>
      </c>
      <c r="I203" s="69" t="s">
        <v>910</v>
      </c>
      <c r="J203" s="69" t="s">
        <v>327</v>
      </c>
      <c r="K203" s="69" t="s">
        <v>382</v>
      </c>
      <c r="L203" s="69" t="s">
        <v>887</v>
      </c>
      <c r="M203" s="69" t="s">
        <v>388</v>
      </c>
      <c r="N203" s="69" t="s">
        <v>43</v>
      </c>
      <c r="O203" s="69" t="s">
        <v>541</v>
      </c>
      <c r="P203" s="69" t="s">
        <v>979</v>
      </c>
      <c r="Q203" s="69" t="s">
        <v>1579</v>
      </c>
      <c r="R203" s="69" t="s">
        <v>71</v>
      </c>
      <c r="T203" s="69" t="s">
        <v>911</v>
      </c>
      <c r="U203" s="69" t="s">
        <v>914</v>
      </c>
      <c r="V203" s="59" t="str">
        <f t="shared" si="27"/>
        <v>11157579синий</v>
      </c>
      <c r="W203" s="59" t="str">
        <f t="shared" si="24"/>
        <v>11157579</v>
      </c>
      <c r="X203" s="59" t="str">
        <f t="shared" si="28"/>
        <v>New York Yankees MLB</v>
      </c>
      <c r="AC203" s="50">
        <f t="shared" si="29"/>
        <v>96</v>
      </c>
      <c r="AD203" s="43">
        <f t="shared" si="30"/>
        <v>162</v>
      </c>
      <c r="AE203" s="50">
        <f t="shared" si="31"/>
        <v>96162</v>
      </c>
    </row>
    <row r="204" spans="1:31">
      <c r="A204" s="59" t="str">
        <f t="shared" si="25"/>
        <v>11157578whi</v>
      </c>
      <c r="B204" s="59" t="str">
        <f t="shared" si="26"/>
        <v>96-161-34</v>
      </c>
      <c r="C204" s="69" t="s">
        <v>1587</v>
      </c>
      <c r="D204" s="69" t="s">
        <v>1588</v>
      </c>
      <c r="E204" s="69" t="s">
        <v>909</v>
      </c>
      <c r="F204" s="70">
        <v>0</v>
      </c>
      <c r="G204" s="70" t="s">
        <v>1589</v>
      </c>
      <c r="H204" s="69" t="s">
        <v>68</v>
      </c>
      <c r="I204" s="69" t="s">
        <v>910</v>
      </c>
      <c r="J204" s="69" t="s">
        <v>327</v>
      </c>
      <c r="K204" s="69" t="s">
        <v>387</v>
      </c>
      <c r="L204" s="69" t="s">
        <v>887</v>
      </c>
      <c r="M204" s="69" t="s">
        <v>388</v>
      </c>
      <c r="N204" s="69" t="s">
        <v>43</v>
      </c>
      <c r="O204" s="69" t="s">
        <v>541</v>
      </c>
      <c r="P204" s="69" t="s">
        <v>979</v>
      </c>
      <c r="Q204" s="69" t="s">
        <v>996</v>
      </c>
      <c r="R204" s="69" t="s">
        <v>68</v>
      </c>
      <c r="T204" s="69" t="s">
        <v>911</v>
      </c>
      <c r="U204" s="69" t="s">
        <v>914</v>
      </c>
      <c r="V204" s="59" t="str">
        <f t="shared" si="27"/>
        <v>11157578розовый</v>
      </c>
      <c r="W204" s="59" t="str">
        <f t="shared" si="24"/>
        <v>11157578</v>
      </c>
      <c r="X204" s="59" t="str">
        <f t="shared" si="28"/>
        <v>New York Yankees MLB</v>
      </c>
      <c r="AC204" s="50">
        <f t="shared" si="29"/>
        <v>96</v>
      </c>
      <c r="AD204" s="43">
        <f t="shared" si="30"/>
        <v>161</v>
      </c>
      <c r="AE204" s="50">
        <f t="shared" si="31"/>
        <v>96161</v>
      </c>
    </row>
    <row r="205" spans="1:31">
      <c r="A205" s="59" t="str">
        <f t="shared" si="25"/>
        <v>10879529blk</v>
      </c>
      <c r="B205" s="59" t="str">
        <f t="shared" si="26"/>
        <v>96-160-10</v>
      </c>
      <c r="C205" s="69" t="s">
        <v>1590</v>
      </c>
      <c r="D205" s="69" t="s">
        <v>1591</v>
      </c>
      <c r="E205" s="69" t="s">
        <v>1025</v>
      </c>
      <c r="F205" s="70">
        <v>58</v>
      </c>
      <c r="G205" s="70" t="s">
        <v>1592</v>
      </c>
      <c r="H205" s="69" t="s">
        <v>308</v>
      </c>
      <c r="I205" s="69" t="s">
        <v>910</v>
      </c>
      <c r="J205" s="69" t="s">
        <v>783</v>
      </c>
      <c r="K205" s="69" t="s">
        <v>382</v>
      </c>
      <c r="L205" s="69" t="s">
        <v>887</v>
      </c>
      <c r="M205" s="69" t="s">
        <v>388</v>
      </c>
      <c r="N205" s="69" t="s">
        <v>43</v>
      </c>
      <c r="O205" s="69" t="s">
        <v>541</v>
      </c>
      <c r="P205" s="69" t="s">
        <v>979</v>
      </c>
      <c r="Q205" s="69" t="s">
        <v>1008</v>
      </c>
      <c r="R205" s="69" t="s">
        <v>53</v>
      </c>
      <c r="T205" s="69" t="s">
        <v>1111</v>
      </c>
      <c r="U205" s="69" t="s">
        <v>1112</v>
      </c>
      <c r="V205" s="59" t="str">
        <f t="shared" si="27"/>
        <v>10879529черный / серый</v>
      </c>
      <c r="W205" s="59" t="str">
        <f t="shared" si="24"/>
        <v>10879529</v>
      </c>
      <c r="X205" s="59" t="str">
        <f t="shared" si="28"/>
        <v>Las Vegas Raiders NFL</v>
      </c>
      <c r="AC205" s="50">
        <f t="shared" si="29"/>
        <v>96</v>
      </c>
      <c r="AD205" s="43">
        <f t="shared" si="30"/>
        <v>160</v>
      </c>
      <c r="AE205" s="50">
        <f t="shared" si="31"/>
        <v>96160</v>
      </c>
    </row>
    <row r="206" spans="1:31">
      <c r="A206" s="59" t="str">
        <f t="shared" si="25"/>
        <v>10879529blk</v>
      </c>
      <c r="B206" s="59" t="str">
        <f t="shared" si="26"/>
        <v>96-160-10</v>
      </c>
      <c r="C206" s="69" t="s">
        <v>1593</v>
      </c>
      <c r="D206" s="69" t="s">
        <v>1591</v>
      </c>
      <c r="E206" s="69" t="s">
        <v>1029</v>
      </c>
      <c r="F206" s="70">
        <v>56</v>
      </c>
      <c r="G206" s="70" t="s">
        <v>1592</v>
      </c>
      <c r="H206" s="69" t="s">
        <v>308</v>
      </c>
      <c r="I206" s="69" t="s">
        <v>910</v>
      </c>
      <c r="J206" s="69" t="s">
        <v>783</v>
      </c>
      <c r="K206" s="69" t="s">
        <v>382</v>
      </c>
      <c r="L206" s="69" t="s">
        <v>887</v>
      </c>
      <c r="M206" s="69" t="s">
        <v>388</v>
      </c>
      <c r="N206" s="69" t="s">
        <v>43</v>
      </c>
      <c r="O206" s="69" t="s">
        <v>541</v>
      </c>
      <c r="P206" s="69" t="s">
        <v>979</v>
      </c>
      <c r="Q206" s="69" t="s">
        <v>1008</v>
      </c>
      <c r="R206" s="69" t="s">
        <v>53</v>
      </c>
      <c r="T206" s="69" t="s">
        <v>1111</v>
      </c>
      <c r="U206" s="69" t="s">
        <v>1112</v>
      </c>
      <c r="V206" s="59" t="str">
        <f t="shared" si="27"/>
        <v>10879529черный / серый</v>
      </c>
      <c r="W206" s="59" t="str">
        <f t="shared" si="24"/>
        <v>10879529</v>
      </c>
      <c r="X206" s="59" t="str">
        <f t="shared" si="28"/>
        <v>Las Vegas Raiders NFL</v>
      </c>
      <c r="AC206" s="50">
        <f t="shared" si="29"/>
        <v>96</v>
      </c>
      <c r="AD206" s="43">
        <f t="shared" si="30"/>
        <v>160</v>
      </c>
      <c r="AE206" s="50">
        <f t="shared" si="31"/>
        <v>96160</v>
      </c>
    </row>
    <row r="207" spans="1:31">
      <c r="A207" s="59" t="str">
        <f t="shared" si="25"/>
        <v>10531956team</v>
      </c>
      <c r="B207" s="59" t="str">
        <f t="shared" si="26"/>
        <v>96-159-09</v>
      </c>
      <c r="C207" s="69" t="s">
        <v>1594</v>
      </c>
      <c r="D207" s="69" t="s">
        <v>1595</v>
      </c>
      <c r="E207" s="69" t="s">
        <v>1025</v>
      </c>
      <c r="F207" s="70">
        <v>58</v>
      </c>
      <c r="G207" s="70" t="s">
        <v>1596</v>
      </c>
      <c r="H207" s="69" t="s">
        <v>55</v>
      </c>
      <c r="I207" s="69" t="s">
        <v>910</v>
      </c>
      <c r="J207" s="69" t="s">
        <v>783</v>
      </c>
      <c r="K207" s="69" t="s">
        <v>382</v>
      </c>
      <c r="L207" s="69" t="s">
        <v>887</v>
      </c>
      <c r="M207" s="69" t="s">
        <v>388</v>
      </c>
      <c r="N207" s="69" t="s">
        <v>43</v>
      </c>
      <c r="O207" s="69" t="s">
        <v>541</v>
      </c>
      <c r="P207" s="69" t="s">
        <v>979</v>
      </c>
      <c r="Q207" s="69" t="s">
        <v>1027</v>
      </c>
      <c r="R207" s="69" t="s">
        <v>71</v>
      </c>
      <c r="T207" s="69" t="s">
        <v>911</v>
      </c>
      <c r="U207" s="69" t="s">
        <v>915</v>
      </c>
      <c r="V207" s="59" t="str">
        <f t="shared" si="27"/>
        <v>10531956темно-синий</v>
      </c>
      <c r="W207" s="59" t="str">
        <f t="shared" si="24"/>
        <v>10531956</v>
      </c>
      <c r="X207" s="59" t="str">
        <f t="shared" si="28"/>
        <v>Boston Red Sox MLB</v>
      </c>
      <c r="AC207" s="50">
        <f t="shared" si="29"/>
        <v>96</v>
      </c>
      <c r="AD207" s="43">
        <f t="shared" si="30"/>
        <v>159</v>
      </c>
      <c r="AE207" s="50">
        <f t="shared" si="31"/>
        <v>96159</v>
      </c>
    </row>
    <row r="208" spans="1:31">
      <c r="A208" s="59" t="str">
        <f t="shared" si="25"/>
        <v>10531956team</v>
      </c>
      <c r="B208" s="59" t="str">
        <f t="shared" si="26"/>
        <v>96-159-09</v>
      </c>
      <c r="C208" s="69" t="s">
        <v>1597</v>
      </c>
      <c r="D208" s="69" t="s">
        <v>1595</v>
      </c>
      <c r="E208" s="69" t="s">
        <v>1029</v>
      </c>
      <c r="F208" s="70">
        <v>56</v>
      </c>
      <c r="G208" s="70" t="s">
        <v>1596</v>
      </c>
      <c r="H208" s="69" t="s">
        <v>55</v>
      </c>
      <c r="I208" s="69" t="s">
        <v>910</v>
      </c>
      <c r="J208" s="69" t="s">
        <v>783</v>
      </c>
      <c r="K208" s="69" t="s">
        <v>382</v>
      </c>
      <c r="L208" s="69" t="s">
        <v>887</v>
      </c>
      <c r="M208" s="69" t="s">
        <v>388</v>
      </c>
      <c r="N208" s="69" t="s">
        <v>43</v>
      </c>
      <c r="O208" s="69" t="s">
        <v>541</v>
      </c>
      <c r="P208" s="69" t="s">
        <v>979</v>
      </c>
      <c r="Q208" s="69" t="s">
        <v>1027</v>
      </c>
      <c r="R208" s="69" t="s">
        <v>71</v>
      </c>
      <c r="T208" s="69" t="s">
        <v>911</v>
      </c>
      <c r="U208" s="69" t="s">
        <v>915</v>
      </c>
      <c r="V208" s="59" t="str">
        <f t="shared" si="27"/>
        <v>10531956темно-синий</v>
      </c>
      <c r="W208" s="59" t="str">
        <f t="shared" si="24"/>
        <v>10531956</v>
      </c>
      <c r="X208" s="59" t="str">
        <f t="shared" si="28"/>
        <v>Boston Red Sox MLB</v>
      </c>
      <c r="AC208" s="50">
        <f t="shared" si="29"/>
        <v>96</v>
      </c>
      <c r="AD208" s="43">
        <f t="shared" si="30"/>
        <v>159</v>
      </c>
      <c r="AE208" s="50">
        <f t="shared" si="31"/>
        <v>96159</v>
      </c>
    </row>
    <row r="209" spans="1:31">
      <c r="A209" s="59" t="str">
        <f t="shared" si="25"/>
        <v>10531953nvywhi</v>
      </c>
      <c r="B209" s="59" t="str">
        <f t="shared" si="26"/>
        <v>96-158-16</v>
      </c>
      <c r="C209" s="69" t="s">
        <v>1598</v>
      </c>
      <c r="D209" s="69" t="s">
        <v>1599</v>
      </c>
      <c r="E209" s="69" t="s">
        <v>1025</v>
      </c>
      <c r="F209" s="70">
        <v>58</v>
      </c>
      <c r="G209" s="70" t="s">
        <v>1600</v>
      </c>
      <c r="H209" s="69" t="s">
        <v>55</v>
      </c>
      <c r="I209" s="69" t="s">
        <v>910</v>
      </c>
      <c r="J209" s="69" t="s">
        <v>783</v>
      </c>
      <c r="K209" s="69" t="s">
        <v>382</v>
      </c>
      <c r="L209" s="69" t="s">
        <v>887</v>
      </c>
      <c r="M209" s="69" t="s">
        <v>388</v>
      </c>
      <c r="N209" s="69" t="s">
        <v>43</v>
      </c>
      <c r="O209" s="69" t="s">
        <v>541</v>
      </c>
      <c r="P209" s="69" t="s">
        <v>979</v>
      </c>
      <c r="Q209" s="69" t="s">
        <v>1601</v>
      </c>
      <c r="R209" s="69" t="s">
        <v>71</v>
      </c>
      <c r="T209" s="69" t="s">
        <v>911</v>
      </c>
      <c r="U209" s="69" t="s">
        <v>914</v>
      </c>
      <c r="V209" s="59" t="str">
        <f t="shared" si="27"/>
        <v>10531953темно-синий</v>
      </c>
      <c r="W209" s="59" t="str">
        <f t="shared" si="24"/>
        <v>10531953</v>
      </c>
      <c r="X209" s="59" t="str">
        <f t="shared" si="28"/>
        <v>New York Yankees MLB</v>
      </c>
      <c r="AC209" s="50">
        <f t="shared" si="29"/>
        <v>96</v>
      </c>
      <c r="AD209" s="43">
        <f t="shared" si="30"/>
        <v>158</v>
      </c>
      <c r="AE209" s="50">
        <f t="shared" si="31"/>
        <v>96158</v>
      </c>
    </row>
    <row r="210" spans="1:31">
      <c r="A210" s="59" t="str">
        <f t="shared" si="25"/>
        <v>10531953nvywhi</v>
      </c>
      <c r="B210" s="59" t="str">
        <f t="shared" si="26"/>
        <v>96-158-16</v>
      </c>
      <c r="C210" s="69" t="s">
        <v>1602</v>
      </c>
      <c r="D210" s="69" t="s">
        <v>1599</v>
      </c>
      <c r="E210" s="69" t="s">
        <v>1029</v>
      </c>
      <c r="F210" s="70">
        <v>56</v>
      </c>
      <c r="G210" s="70" t="s">
        <v>1600</v>
      </c>
      <c r="H210" s="69" t="s">
        <v>55</v>
      </c>
      <c r="I210" s="69" t="s">
        <v>910</v>
      </c>
      <c r="J210" s="69" t="s">
        <v>783</v>
      </c>
      <c r="K210" s="69" t="s">
        <v>382</v>
      </c>
      <c r="L210" s="69" t="s">
        <v>887</v>
      </c>
      <c r="M210" s="69" t="s">
        <v>388</v>
      </c>
      <c r="N210" s="69" t="s">
        <v>43</v>
      </c>
      <c r="O210" s="69" t="s">
        <v>541</v>
      </c>
      <c r="P210" s="69" t="s">
        <v>979</v>
      </c>
      <c r="Q210" s="69" t="s">
        <v>1601</v>
      </c>
      <c r="R210" s="69" t="s">
        <v>71</v>
      </c>
      <c r="T210" s="69" t="s">
        <v>911</v>
      </c>
      <c r="U210" s="69" t="s">
        <v>914</v>
      </c>
      <c r="V210" s="59" t="str">
        <f t="shared" si="27"/>
        <v>10531953темно-синий</v>
      </c>
      <c r="W210" s="59" t="str">
        <f t="shared" si="24"/>
        <v>10531953</v>
      </c>
      <c r="X210" s="59" t="str">
        <f t="shared" si="28"/>
        <v>New York Yankees MLB</v>
      </c>
      <c r="AC210" s="50">
        <f t="shared" si="29"/>
        <v>96</v>
      </c>
      <c r="AD210" s="43">
        <f t="shared" si="30"/>
        <v>158</v>
      </c>
      <c r="AE210" s="50">
        <f t="shared" si="31"/>
        <v>96158</v>
      </c>
    </row>
    <row r="211" spans="1:31">
      <c r="A211" s="59" t="str">
        <f t="shared" si="25"/>
        <v>10531941blkwhi</v>
      </c>
      <c r="B211" s="59" t="str">
        <f t="shared" si="26"/>
        <v>96-157-09</v>
      </c>
      <c r="C211" s="69" t="s">
        <v>1603</v>
      </c>
      <c r="D211" s="69" t="s">
        <v>1604</v>
      </c>
      <c r="E211" s="69" t="s">
        <v>909</v>
      </c>
      <c r="F211" s="70">
        <v>0</v>
      </c>
      <c r="G211" s="70" t="s">
        <v>1605</v>
      </c>
      <c r="H211" s="69" t="s">
        <v>53</v>
      </c>
      <c r="I211" s="69" t="s">
        <v>910</v>
      </c>
      <c r="J211" s="69" t="s">
        <v>327</v>
      </c>
      <c r="K211" s="69" t="s">
        <v>382</v>
      </c>
      <c r="L211" s="69" t="s">
        <v>887</v>
      </c>
      <c r="M211" s="69" t="s">
        <v>388</v>
      </c>
      <c r="N211" s="69" t="s">
        <v>43</v>
      </c>
      <c r="O211" s="69" t="s">
        <v>541</v>
      </c>
      <c r="P211" s="69" t="s">
        <v>979</v>
      </c>
      <c r="Q211" s="69" t="s">
        <v>1033</v>
      </c>
      <c r="R211" s="69" t="s">
        <v>53</v>
      </c>
      <c r="T211" s="69" t="s">
        <v>911</v>
      </c>
      <c r="U211" s="69" t="s">
        <v>914</v>
      </c>
      <c r="V211" s="59" t="str">
        <f t="shared" si="27"/>
        <v>10531941черный</v>
      </c>
      <c r="W211" s="59" t="str">
        <f t="shared" si="24"/>
        <v>10531941</v>
      </c>
      <c r="X211" s="59" t="str">
        <f t="shared" si="28"/>
        <v>New York Yankees MLB</v>
      </c>
      <c r="AC211" s="50">
        <f t="shared" si="29"/>
        <v>96</v>
      </c>
      <c r="AD211" s="43">
        <f t="shared" si="30"/>
        <v>157</v>
      </c>
      <c r="AE211" s="50">
        <f t="shared" si="31"/>
        <v>96157</v>
      </c>
    </row>
    <row r="212" spans="1:31">
      <c r="A212" s="59" t="str">
        <f t="shared" si="25"/>
        <v>10531939nvywhi</v>
      </c>
      <c r="B212" s="59" t="str">
        <f t="shared" si="26"/>
        <v>96-156-16</v>
      </c>
      <c r="C212" s="69" t="s">
        <v>1606</v>
      </c>
      <c r="D212" s="69" t="s">
        <v>1607</v>
      </c>
      <c r="E212" s="69" t="s">
        <v>909</v>
      </c>
      <c r="F212" s="70">
        <v>0</v>
      </c>
      <c r="G212" s="70" t="s">
        <v>1608</v>
      </c>
      <c r="H212" s="69" t="s">
        <v>55</v>
      </c>
      <c r="I212" s="69" t="s">
        <v>910</v>
      </c>
      <c r="J212" s="69" t="s">
        <v>327</v>
      </c>
      <c r="K212" s="69" t="s">
        <v>382</v>
      </c>
      <c r="L212" s="69" t="s">
        <v>887</v>
      </c>
      <c r="M212" s="69" t="s">
        <v>388</v>
      </c>
      <c r="N212" s="69" t="s">
        <v>43</v>
      </c>
      <c r="O212" s="69" t="s">
        <v>541</v>
      </c>
      <c r="P212" s="69" t="s">
        <v>979</v>
      </c>
      <c r="Q212" s="69" t="s">
        <v>1601</v>
      </c>
      <c r="R212" s="69" t="s">
        <v>71</v>
      </c>
      <c r="T212" s="69" t="s">
        <v>911</v>
      </c>
      <c r="U212" s="69" t="s">
        <v>914</v>
      </c>
      <c r="V212" s="59" t="str">
        <f t="shared" si="27"/>
        <v>10531939темно-синий</v>
      </c>
      <c r="W212" s="59" t="str">
        <f t="shared" si="24"/>
        <v>10531939</v>
      </c>
      <c r="X212" s="59" t="str">
        <f t="shared" si="28"/>
        <v>New York Yankees MLB</v>
      </c>
      <c r="AC212" s="50">
        <f t="shared" si="29"/>
        <v>96</v>
      </c>
      <c r="AD212" s="43">
        <f t="shared" si="30"/>
        <v>156</v>
      </c>
      <c r="AE212" s="50">
        <f t="shared" si="31"/>
        <v>96156</v>
      </c>
    </row>
    <row r="213" spans="1:31">
      <c r="A213" s="59" t="str">
        <f t="shared" si="25"/>
        <v>10145638blawht</v>
      </c>
      <c r="B213" s="59" t="str">
        <f t="shared" si="26"/>
        <v>96-155-06</v>
      </c>
      <c r="C213" s="69" t="s">
        <v>1609</v>
      </c>
      <c r="D213" s="69" t="s">
        <v>1610</v>
      </c>
      <c r="E213" s="69" t="s">
        <v>1025</v>
      </c>
      <c r="F213" s="70">
        <v>58</v>
      </c>
      <c r="G213" s="70" t="s">
        <v>1611</v>
      </c>
      <c r="H213" s="69" t="s">
        <v>53</v>
      </c>
      <c r="I213" s="69" t="s">
        <v>1338</v>
      </c>
      <c r="J213" s="69" t="s">
        <v>327</v>
      </c>
      <c r="K213" s="69" t="s">
        <v>382</v>
      </c>
      <c r="L213" s="69" t="s">
        <v>887</v>
      </c>
      <c r="M213" s="69" t="s">
        <v>388</v>
      </c>
      <c r="N213" s="69" t="s">
        <v>43</v>
      </c>
      <c r="O213" s="69" t="s">
        <v>541</v>
      </c>
      <c r="P213" s="69" t="s">
        <v>979</v>
      </c>
      <c r="Q213" s="69" t="s">
        <v>1612</v>
      </c>
      <c r="R213" s="69" t="s">
        <v>53</v>
      </c>
      <c r="T213" s="69" t="s">
        <v>911</v>
      </c>
      <c r="U213" s="69" t="s">
        <v>914</v>
      </c>
      <c r="V213" s="59" t="str">
        <f t="shared" si="27"/>
        <v>10145638черный</v>
      </c>
      <c r="W213" s="59" t="str">
        <f t="shared" si="24"/>
        <v>10145638</v>
      </c>
      <c r="X213" s="59" t="str">
        <f t="shared" si="28"/>
        <v>New York Yankees MLB</v>
      </c>
      <c r="AC213" s="50">
        <f t="shared" si="29"/>
        <v>96</v>
      </c>
      <c r="AD213" s="43">
        <f t="shared" si="30"/>
        <v>155</v>
      </c>
      <c r="AE213" s="50">
        <f t="shared" si="31"/>
        <v>96155</v>
      </c>
    </row>
    <row r="214" spans="1:31">
      <c r="A214" s="59" t="str">
        <f t="shared" si="25"/>
        <v>10145638blawht</v>
      </c>
      <c r="B214" s="59" t="str">
        <f t="shared" si="26"/>
        <v>96-155-06</v>
      </c>
      <c r="C214" s="69" t="s">
        <v>1613</v>
      </c>
      <c r="D214" s="69" t="s">
        <v>1610</v>
      </c>
      <c r="E214" s="69" t="s">
        <v>1029</v>
      </c>
      <c r="F214" s="70">
        <v>56</v>
      </c>
      <c r="G214" s="70" t="s">
        <v>1611</v>
      </c>
      <c r="H214" s="69" t="s">
        <v>53</v>
      </c>
      <c r="I214" s="69" t="s">
        <v>1338</v>
      </c>
      <c r="J214" s="69" t="s">
        <v>327</v>
      </c>
      <c r="K214" s="69" t="s">
        <v>382</v>
      </c>
      <c r="L214" s="69" t="s">
        <v>887</v>
      </c>
      <c r="M214" s="69" t="s">
        <v>388</v>
      </c>
      <c r="N214" s="69" t="s">
        <v>43</v>
      </c>
      <c r="O214" s="69" t="s">
        <v>541</v>
      </c>
      <c r="P214" s="69" t="s">
        <v>979</v>
      </c>
      <c r="Q214" s="69" t="s">
        <v>1612</v>
      </c>
      <c r="R214" s="69" t="s">
        <v>53</v>
      </c>
      <c r="T214" s="69" t="s">
        <v>911</v>
      </c>
      <c r="U214" s="69" t="s">
        <v>914</v>
      </c>
      <c r="V214" s="59" t="str">
        <f t="shared" si="27"/>
        <v>10145638черный</v>
      </c>
      <c r="W214" s="59" t="str">
        <f t="shared" si="24"/>
        <v>10145638</v>
      </c>
      <c r="X214" s="59" t="str">
        <f t="shared" si="28"/>
        <v>New York Yankees MLB</v>
      </c>
      <c r="AC214" s="50">
        <f t="shared" si="29"/>
        <v>96</v>
      </c>
      <c r="AD214" s="43">
        <f t="shared" si="30"/>
        <v>155</v>
      </c>
      <c r="AE214" s="50">
        <f t="shared" si="31"/>
        <v>96155</v>
      </c>
    </row>
    <row r="215" spans="1:31">
      <c r="A215" s="59" t="str">
        <f t="shared" si="25"/>
        <v>10145636nvywht</v>
      </c>
      <c r="B215" s="59" t="str">
        <f t="shared" si="26"/>
        <v>96-154-09</v>
      </c>
      <c r="C215" s="69" t="s">
        <v>1614</v>
      </c>
      <c r="D215" s="69" t="s">
        <v>1615</v>
      </c>
      <c r="E215" s="69" t="s">
        <v>1025</v>
      </c>
      <c r="F215" s="70">
        <v>58</v>
      </c>
      <c r="G215" s="70" t="s">
        <v>1616</v>
      </c>
      <c r="H215" s="69" t="s">
        <v>53</v>
      </c>
      <c r="I215" s="69" t="s">
        <v>1338</v>
      </c>
      <c r="J215" s="69" t="s">
        <v>327</v>
      </c>
      <c r="K215" s="69" t="s">
        <v>382</v>
      </c>
      <c r="L215" s="69" t="s">
        <v>887</v>
      </c>
      <c r="M215" s="69" t="s">
        <v>388</v>
      </c>
      <c r="N215" s="69" t="s">
        <v>43</v>
      </c>
      <c r="O215" s="69" t="s">
        <v>541</v>
      </c>
      <c r="P215" s="69" t="s">
        <v>979</v>
      </c>
      <c r="Q215" s="69" t="s">
        <v>1617</v>
      </c>
      <c r="R215" s="69" t="s">
        <v>53</v>
      </c>
      <c r="T215" s="69" t="s">
        <v>911</v>
      </c>
      <c r="U215" s="69" t="s">
        <v>914</v>
      </c>
      <c r="V215" s="59" t="str">
        <f t="shared" si="27"/>
        <v>10145636черный</v>
      </c>
      <c r="W215" s="59" t="str">
        <f t="shared" si="24"/>
        <v>10145636</v>
      </c>
      <c r="X215" s="59" t="str">
        <f t="shared" si="28"/>
        <v>New York Yankees MLB</v>
      </c>
      <c r="AC215" s="50">
        <f t="shared" si="29"/>
        <v>96</v>
      </c>
      <c r="AD215" s="43">
        <f t="shared" si="30"/>
        <v>154</v>
      </c>
      <c r="AE215" s="50">
        <f t="shared" si="31"/>
        <v>96154</v>
      </c>
    </row>
    <row r="216" spans="1:31">
      <c r="A216" s="59" t="str">
        <f t="shared" si="25"/>
        <v>10145636nvywht</v>
      </c>
      <c r="B216" s="59" t="str">
        <f t="shared" si="26"/>
        <v>96-154-09</v>
      </c>
      <c r="C216" s="69" t="s">
        <v>1618</v>
      </c>
      <c r="D216" s="69" t="s">
        <v>1615</v>
      </c>
      <c r="E216" s="69" t="s">
        <v>1029</v>
      </c>
      <c r="F216" s="70">
        <v>56</v>
      </c>
      <c r="G216" s="70" t="s">
        <v>1616</v>
      </c>
      <c r="H216" s="69" t="s">
        <v>53</v>
      </c>
      <c r="I216" s="69" t="s">
        <v>1338</v>
      </c>
      <c r="J216" s="69" t="s">
        <v>327</v>
      </c>
      <c r="K216" s="69" t="s">
        <v>382</v>
      </c>
      <c r="L216" s="69" t="s">
        <v>887</v>
      </c>
      <c r="M216" s="69" t="s">
        <v>388</v>
      </c>
      <c r="N216" s="69" t="s">
        <v>43</v>
      </c>
      <c r="O216" s="69" t="s">
        <v>541</v>
      </c>
      <c r="P216" s="69" t="s">
        <v>979</v>
      </c>
      <c r="Q216" s="69" t="s">
        <v>1617</v>
      </c>
      <c r="R216" s="69" t="s">
        <v>53</v>
      </c>
      <c r="T216" s="69" t="s">
        <v>911</v>
      </c>
      <c r="U216" s="69" t="s">
        <v>914</v>
      </c>
      <c r="V216" s="59" t="str">
        <f t="shared" si="27"/>
        <v>10145636черный</v>
      </c>
      <c r="W216" s="59" t="str">
        <f t="shared" si="24"/>
        <v>10145636</v>
      </c>
      <c r="X216" s="59" t="str">
        <f t="shared" si="28"/>
        <v>New York Yankees MLB</v>
      </c>
      <c r="AC216" s="50">
        <f t="shared" si="29"/>
        <v>96</v>
      </c>
      <c r="AD216" s="43">
        <f t="shared" si="30"/>
        <v>154</v>
      </c>
      <c r="AE216" s="50">
        <f t="shared" si="31"/>
        <v>96154</v>
      </c>
    </row>
    <row r="217" spans="1:31">
      <c r="A217" s="59" t="str">
        <f t="shared" si="25"/>
        <v>10047544otc</v>
      </c>
      <c r="B217" s="59" t="str">
        <f t="shared" si="26"/>
        <v>96-153-09</v>
      </c>
      <c r="C217" s="69" t="s">
        <v>1619</v>
      </c>
      <c r="D217" s="69" t="s">
        <v>1620</v>
      </c>
      <c r="E217" s="69" t="s">
        <v>909</v>
      </c>
      <c r="F217" s="70">
        <v>0</v>
      </c>
      <c r="G217" s="70" t="s">
        <v>1621</v>
      </c>
      <c r="H217" s="69" t="s">
        <v>53</v>
      </c>
      <c r="I217" s="69" t="s">
        <v>918</v>
      </c>
      <c r="J217" s="69" t="s">
        <v>327</v>
      </c>
      <c r="K217" s="69" t="s">
        <v>382</v>
      </c>
      <c r="L217" s="69" t="s">
        <v>887</v>
      </c>
      <c r="M217" s="69" t="s">
        <v>388</v>
      </c>
      <c r="O217" s="69" t="s">
        <v>541</v>
      </c>
      <c r="P217" s="69" t="s">
        <v>979</v>
      </c>
      <c r="Q217" s="69" t="s">
        <v>1362</v>
      </c>
      <c r="R217" s="69" t="s">
        <v>53</v>
      </c>
      <c r="T217" s="69" t="s">
        <v>911</v>
      </c>
      <c r="U217" s="69" t="s">
        <v>920</v>
      </c>
      <c r="V217" s="59" t="str">
        <f t="shared" si="27"/>
        <v>10047544черный</v>
      </c>
      <c r="W217" s="59" t="str">
        <f t="shared" si="24"/>
        <v>10047544</v>
      </c>
      <c r="X217" s="59" t="str">
        <f t="shared" si="28"/>
        <v>Pittsburgh Pirates MLB</v>
      </c>
      <c r="AC217" s="50">
        <f t="shared" si="29"/>
        <v>96</v>
      </c>
      <c r="AD217" s="43">
        <f t="shared" si="30"/>
        <v>153</v>
      </c>
      <c r="AE217" s="50">
        <f t="shared" si="31"/>
        <v>96153</v>
      </c>
    </row>
    <row r="218" spans="1:31">
      <c r="A218" s="59" t="str">
        <f t="shared" si="25"/>
        <v>10047540grn</v>
      </c>
      <c r="B218" s="59" t="str">
        <f>IF(C218&lt;&gt;"",LEFT(C218,9),"")</f>
        <v>96-152-00</v>
      </c>
      <c r="C218" s="69" t="s">
        <v>1622</v>
      </c>
      <c r="D218" s="69" t="s">
        <v>1623</v>
      </c>
      <c r="E218" s="69" t="s">
        <v>909</v>
      </c>
      <c r="F218" s="70">
        <v>0</v>
      </c>
      <c r="G218" s="70" t="s">
        <v>1624</v>
      </c>
      <c r="H218" s="69" t="s">
        <v>151</v>
      </c>
      <c r="I218" s="69" t="s">
        <v>918</v>
      </c>
      <c r="J218" s="69" t="s">
        <v>327</v>
      </c>
      <c r="K218" s="69" t="s">
        <v>382</v>
      </c>
      <c r="L218" s="69" t="s">
        <v>887</v>
      </c>
      <c r="M218" s="69" t="s">
        <v>388</v>
      </c>
      <c r="O218" s="69" t="s">
        <v>541</v>
      </c>
      <c r="P218" s="69" t="s">
        <v>979</v>
      </c>
      <c r="Q218" s="69" t="s">
        <v>1625</v>
      </c>
      <c r="R218" s="69" t="s">
        <v>60</v>
      </c>
      <c r="T218" s="69" t="s">
        <v>911</v>
      </c>
      <c r="U218" s="69" t="s">
        <v>916</v>
      </c>
      <c r="V218" s="59" t="str">
        <f t="shared" si="27"/>
        <v>10047540зеленый / желтый</v>
      </c>
      <c r="W218" s="59" t="str">
        <f t="shared" si="24"/>
        <v>10047540</v>
      </c>
      <c r="X218" s="59" t="str">
        <f t="shared" si="28"/>
        <v>Oakland Athletics MLB</v>
      </c>
      <c r="AC218" s="50">
        <f t="shared" si="29"/>
        <v>96</v>
      </c>
      <c r="AD218" s="43">
        <f t="shared" si="30"/>
        <v>152</v>
      </c>
      <c r="AE218" s="50">
        <f t="shared" si="31"/>
        <v>96152</v>
      </c>
    </row>
    <row r="219" spans="1:31">
      <c r="A219" s="59" t="str">
        <f t="shared" si="25"/>
        <v>10047538navy</v>
      </c>
      <c r="B219" s="59" t="str">
        <f t="shared" si="26"/>
        <v>96-151-16</v>
      </c>
      <c r="C219" s="69" t="s">
        <v>1626</v>
      </c>
      <c r="D219" s="69" t="s">
        <v>1627</v>
      </c>
      <c r="E219" s="69" t="s">
        <v>909</v>
      </c>
      <c r="F219" s="70">
        <v>0</v>
      </c>
      <c r="G219" s="70" t="s">
        <v>1628</v>
      </c>
      <c r="H219" s="69" t="s">
        <v>55</v>
      </c>
      <c r="I219" s="69" t="s">
        <v>918</v>
      </c>
      <c r="J219" s="69" t="s">
        <v>327</v>
      </c>
      <c r="K219" s="69" t="s">
        <v>382</v>
      </c>
      <c r="L219" s="69" t="s">
        <v>887</v>
      </c>
      <c r="M219" s="69" t="s">
        <v>388</v>
      </c>
      <c r="O219" s="69" t="s">
        <v>541</v>
      </c>
      <c r="P219" s="69" t="s">
        <v>979</v>
      </c>
      <c r="Q219" s="69" t="s">
        <v>1499</v>
      </c>
      <c r="R219" s="69" t="s">
        <v>71</v>
      </c>
      <c r="T219" s="69" t="s">
        <v>911</v>
      </c>
      <c r="U219" s="69" t="s">
        <v>914</v>
      </c>
      <c r="V219" s="59" t="str">
        <f t="shared" si="27"/>
        <v>10047538темно-синий</v>
      </c>
      <c r="W219" s="59" t="str">
        <f t="shared" si="24"/>
        <v>10047538</v>
      </c>
      <c r="X219" s="59" t="str">
        <f t="shared" si="28"/>
        <v>New York Yankees MLB</v>
      </c>
      <c r="AC219" s="50">
        <f t="shared" si="29"/>
        <v>96</v>
      </c>
      <c r="AD219" s="43">
        <f t="shared" si="30"/>
        <v>151</v>
      </c>
      <c r="AE219" s="50">
        <f t="shared" si="31"/>
        <v>96151</v>
      </c>
    </row>
    <row r="220" spans="1:31">
      <c r="A220" s="59" t="str">
        <f t="shared" si="25"/>
        <v>10047531gm</v>
      </c>
      <c r="B220" s="59" t="str">
        <f t="shared" si="26"/>
        <v>96-150-06</v>
      </c>
      <c r="C220" s="69" t="s">
        <v>1629</v>
      </c>
      <c r="D220" s="69" t="s">
        <v>1630</v>
      </c>
      <c r="E220" s="69" t="s">
        <v>909</v>
      </c>
      <c r="F220" s="70">
        <v>0</v>
      </c>
      <c r="G220" s="70" t="s">
        <v>1631</v>
      </c>
      <c r="H220" s="69" t="s">
        <v>71</v>
      </c>
      <c r="I220" s="69" t="s">
        <v>918</v>
      </c>
      <c r="J220" s="69" t="s">
        <v>327</v>
      </c>
      <c r="K220" s="69" t="s">
        <v>382</v>
      </c>
      <c r="L220" s="69" t="s">
        <v>887</v>
      </c>
      <c r="M220" s="69" t="s">
        <v>388</v>
      </c>
      <c r="O220" s="69" t="s">
        <v>541</v>
      </c>
      <c r="P220" s="69" t="s">
        <v>979</v>
      </c>
      <c r="Q220" s="69" t="s">
        <v>1632</v>
      </c>
      <c r="R220" s="69" t="s">
        <v>71</v>
      </c>
      <c r="T220" s="69" t="s">
        <v>911</v>
      </c>
      <c r="U220" s="69" t="s">
        <v>912</v>
      </c>
      <c r="V220" s="59" t="str">
        <f t="shared" si="27"/>
        <v>10047531синий</v>
      </c>
      <c r="W220" s="59" t="str">
        <f t="shared" si="24"/>
        <v>10047531</v>
      </c>
      <c r="X220" s="59" t="str">
        <f t="shared" si="28"/>
        <v>Los Angeles Dodgers MLB</v>
      </c>
      <c r="AC220" s="50">
        <f t="shared" si="29"/>
        <v>96</v>
      </c>
      <c r="AD220" s="43">
        <f t="shared" si="30"/>
        <v>150</v>
      </c>
      <c r="AE220" s="50">
        <f t="shared" si="31"/>
        <v>96150</v>
      </c>
    </row>
    <row r="221" spans="1:31">
      <c r="A221" s="59" t="str">
        <f t="shared" si="25"/>
        <v>10047515blkwhi</v>
      </c>
      <c r="B221" s="59" t="str">
        <f t="shared" si="26"/>
        <v>96-149-09</v>
      </c>
      <c r="C221" s="69" t="s">
        <v>1633</v>
      </c>
      <c r="D221" s="69" t="s">
        <v>1634</v>
      </c>
      <c r="E221" s="69" t="s">
        <v>909</v>
      </c>
      <c r="F221" s="70">
        <v>0</v>
      </c>
      <c r="G221" s="70" t="s">
        <v>1635</v>
      </c>
      <c r="H221" s="69" t="s">
        <v>53</v>
      </c>
      <c r="I221" s="69" t="s">
        <v>918</v>
      </c>
      <c r="J221" s="69" t="s">
        <v>327</v>
      </c>
      <c r="K221" s="69" t="s">
        <v>382</v>
      </c>
      <c r="L221" s="69" t="s">
        <v>887</v>
      </c>
      <c r="M221" s="69" t="s">
        <v>388</v>
      </c>
      <c r="O221" s="69" t="s">
        <v>541</v>
      </c>
      <c r="P221" s="69" t="s">
        <v>979</v>
      </c>
      <c r="Q221" s="69" t="s">
        <v>1033</v>
      </c>
      <c r="R221" s="69" t="s">
        <v>53</v>
      </c>
      <c r="T221" s="69" t="s">
        <v>911</v>
      </c>
      <c r="U221" s="69" t="s">
        <v>1516</v>
      </c>
      <c r="V221" s="59" t="str">
        <f t="shared" si="27"/>
        <v>10047515черный</v>
      </c>
      <c r="W221" s="59" t="str">
        <f t="shared" si="24"/>
        <v>10047515</v>
      </c>
      <c r="X221" s="59" t="str">
        <f t="shared" si="28"/>
        <v>Chicago White Socks MLB</v>
      </c>
      <c r="AC221" s="50">
        <f t="shared" si="29"/>
        <v>96</v>
      </c>
      <c r="AD221" s="43">
        <f t="shared" si="30"/>
        <v>149</v>
      </c>
      <c r="AE221" s="50">
        <f t="shared" si="31"/>
        <v>96149</v>
      </c>
    </row>
    <row r="222" spans="1:31">
      <c r="A222" s="59" t="str">
        <f t="shared" si="25"/>
        <v>60222404pea</v>
      </c>
      <c r="B222" s="59" t="str">
        <f t="shared" si="26"/>
        <v>96-191-09</v>
      </c>
      <c r="C222" s="69" t="s">
        <v>1636</v>
      </c>
      <c r="D222" s="69" t="s">
        <v>1637</v>
      </c>
      <c r="E222" s="69" t="s">
        <v>909</v>
      </c>
      <c r="F222" s="70">
        <v>0</v>
      </c>
      <c r="G222" s="70" t="s">
        <v>1638</v>
      </c>
      <c r="H222" s="69" t="s">
        <v>83</v>
      </c>
      <c r="I222" s="69" t="s">
        <v>910</v>
      </c>
      <c r="J222" s="69" t="s">
        <v>327</v>
      </c>
      <c r="K222" s="69" t="s">
        <v>387</v>
      </c>
      <c r="L222" s="69" t="s">
        <v>887</v>
      </c>
      <c r="M222" s="69" t="s">
        <v>388</v>
      </c>
      <c r="N222" s="69" t="s">
        <v>43</v>
      </c>
      <c r="O222" s="69" t="s">
        <v>386</v>
      </c>
      <c r="P222" s="69" t="s">
        <v>979</v>
      </c>
      <c r="Q222" s="69" t="s">
        <v>1639</v>
      </c>
      <c r="R222" s="69" t="s">
        <v>83</v>
      </c>
      <c r="T222" s="69" t="s">
        <v>911</v>
      </c>
      <c r="U222" s="69" t="s">
        <v>914</v>
      </c>
      <c r="V222" s="59" t="str">
        <f t="shared" si="27"/>
        <v>60222404серый</v>
      </c>
      <c r="W222" s="59" t="str">
        <f t="shared" si="24"/>
        <v>60222404</v>
      </c>
      <c r="X222" s="59" t="str">
        <f t="shared" si="28"/>
        <v>New York Yankees MLB</v>
      </c>
      <c r="AC222" s="50">
        <f t="shared" si="29"/>
        <v>96</v>
      </c>
      <c r="AD222" s="43">
        <f t="shared" si="30"/>
        <v>191</v>
      </c>
      <c r="AE222" s="50">
        <f t="shared" si="31"/>
        <v>96191</v>
      </c>
    </row>
    <row r="223" spans="1:31">
      <c r="A223" s="59" t="str">
        <f t="shared" si="25"/>
        <v>60222253blk</v>
      </c>
      <c r="B223" s="59" t="str">
        <f t="shared" si="26"/>
        <v>96-190-09</v>
      </c>
      <c r="C223" s="69" t="s">
        <v>1640</v>
      </c>
      <c r="D223" s="69" t="s">
        <v>1641</v>
      </c>
      <c r="E223" s="69" t="s">
        <v>909</v>
      </c>
      <c r="F223" s="70">
        <v>0</v>
      </c>
      <c r="G223" s="70" t="s">
        <v>1642</v>
      </c>
      <c r="H223" s="69" t="s">
        <v>53</v>
      </c>
      <c r="I223" s="69" t="s">
        <v>918</v>
      </c>
      <c r="J223" s="69" t="s">
        <v>327</v>
      </c>
      <c r="K223" s="69" t="s">
        <v>382</v>
      </c>
      <c r="L223" s="69" t="s">
        <v>887</v>
      </c>
      <c r="M223" s="69" t="s">
        <v>388</v>
      </c>
      <c r="O223" s="69" t="s">
        <v>541</v>
      </c>
      <c r="P223" s="69" t="s">
        <v>979</v>
      </c>
      <c r="Q223" s="69" t="s">
        <v>1008</v>
      </c>
      <c r="R223" s="69" t="s">
        <v>53</v>
      </c>
      <c r="T223" s="69" t="s">
        <v>1047</v>
      </c>
      <c r="U223" s="69" t="s">
        <v>1048</v>
      </c>
      <c r="V223" s="59" t="str">
        <f t="shared" si="27"/>
        <v>60222253черный</v>
      </c>
      <c r="W223" s="59" t="str">
        <f t="shared" si="24"/>
        <v>60222253</v>
      </c>
      <c r="X223" s="59" t="str">
        <f t="shared" si="28"/>
        <v>Chicago Bulls NBA</v>
      </c>
      <c r="AC223" s="50">
        <f t="shared" si="29"/>
        <v>96</v>
      </c>
      <c r="AD223" s="43">
        <f t="shared" si="30"/>
        <v>190</v>
      </c>
      <c r="AE223" s="50">
        <f t="shared" si="31"/>
        <v>96190</v>
      </c>
    </row>
    <row r="224" spans="1:31">
      <c r="A224" s="59" t="str">
        <f t="shared" si="25"/>
        <v>60222234otc</v>
      </c>
      <c r="B224" s="59" t="str">
        <f t="shared" si="26"/>
        <v>96-189-09</v>
      </c>
      <c r="C224" s="69" t="s">
        <v>1643</v>
      </c>
      <c r="D224" s="69" t="s">
        <v>1644</v>
      </c>
      <c r="E224" s="69" t="s">
        <v>909</v>
      </c>
      <c r="F224" s="70">
        <v>0</v>
      </c>
      <c r="G224" s="70" t="s">
        <v>1645</v>
      </c>
      <c r="H224" s="69" t="s">
        <v>53</v>
      </c>
      <c r="I224" s="69" t="s">
        <v>918</v>
      </c>
      <c r="J224" s="69" t="s">
        <v>327</v>
      </c>
      <c r="K224" s="69" t="s">
        <v>382</v>
      </c>
      <c r="L224" s="69" t="s">
        <v>887</v>
      </c>
      <c r="M224" s="69" t="s">
        <v>388</v>
      </c>
      <c r="O224" s="69" t="s">
        <v>541</v>
      </c>
      <c r="P224" s="69" t="s">
        <v>979</v>
      </c>
      <c r="Q224" s="69" t="s">
        <v>1362</v>
      </c>
      <c r="R224" s="69" t="s">
        <v>53</v>
      </c>
      <c r="T224" s="69" t="s">
        <v>1047</v>
      </c>
      <c r="U224" s="69" t="s">
        <v>1053</v>
      </c>
      <c r="V224" s="59" t="str">
        <f t="shared" si="27"/>
        <v>60222234черный</v>
      </c>
      <c r="W224" s="59" t="str">
        <f t="shared" si="24"/>
        <v>60222234</v>
      </c>
      <c r="X224" s="59" t="str">
        <f t="shared" si="28"/>
        <v>Los Angeles Lakers NBA</v>
      </c>
      <c r="AC224" s="50">
        <f t="shared" si="29"/>
        <v>96</v>
      </c>
      <c r="AD224" s="43">
        <f t="shared" si="30"/>
        <v>189</v>
      </c>
      <c r="AE224" s="50">
        <f t="shared" si="31"/>
        <v>96189</v>
      </c>
    </row>
    <row r="225" spans="1:31">
      <c r="A225" s="59" t="str">
        <f t="shared" si="25"/>
        <v>12523907blkwhi</v>
      </c>
      <c r="B225" s="59" t="str">
        <f t="shared" si="26"/>
        <v>96-188-09</v>
      </c>
      <c r="C225" s="69" t="s">
        <v>1646</v>
      </c>
      <c r="D225" s="69" t="s">
        <v>1647</v>
      </c>
      <c r="E225" s="69" t="s">
        <v>909</v>
      </c>
      <c r="F225" s="70">
        <v>0</v>
      </c>
      <c r="G225" s="70" t="s">
        <v>1648</v>
      </c>
      <c r="H225" s="69" t="s">
        <v>53</v>
      </c>
      <c r="I225" s="69" t="s">
        <v>918</v>
      </c>
      <c r="J225" s="69" t="s">
        <v>327</v>
      </c>
      <c r="K225" s="69" t="s">
        <v>382</v>
      </c>
      <c r="L225" s="69" t="s">
        <v>887</v>
      </c>
      <c r="M225" s="69" t="s">
        <v>388</v>
      </c>
      <c r="O225" s="69" t="s">
        <v>541</v>
      </c>
      <c r="P225" s="69" t="s">
        <v>979</v>
      </c>
      <c r="Q225" s="69" t="s">
        <v>1033</v>
      </c>
      <c r="R225" s="69" t="s">
        <v>53</v>
      </c>
      <c r="T225" s="69" t="s">
        <v>911</v>
      </c>
      <c r="U225" s="69" t="s">
        <v>914</v>
      </c>
      <c r="V225" s="59" t="str">
        <f t="shared" si="27"/>
        <v>12523907черный</v>
      </c>
      <c r="W225" s="59" t="str">
        <f t="shared" si="24"/>
        <v>12523907</v>
      </c>
      <c r="X225" s="59" t="str">
        <f t="shared" si="28"/>
        <v>New York Yankees MLB</v>
      </c>
      <c r="AC225" s="50">
        <f t="shared" si="29"/>
        <v>96</v>
      </c>
      <c r="AD225" s="43">
        <f t="shared" si="30"/>
        <v>188</v>
      </c>
      <c r="AE225" s="50">
        <f t="shared" si="31"/>
        <v>96188</v>
      </c>
    </row>
    <row r="226" spans="1:31">
      <c r="A226" s="59" t="str">
        <f t="shared" si="25"/>
        <v>11198850blk</v>
      </c>
      <c r="B226" s="59" t="str">
        <f t="shared" si="26"/>
        <v>96-187-09</v>
      </c>
      <c r="C226" s="69" t="s">
        <v>1649</v>
      </c>
      <c r="D226" s="69" t="s">
        <v>1650</v>
      </c>
      <c r="E226" s="69" t="s">
        <v>909</v>
      </c>
      <c r="F226" s="70">
        <v>0</v>
      </c>
      <c r="G226" s="70" t="s">
        <v>1651</v>
      </c>
      <c r="H226" s="69" t="s">
        <v>53</v>
      </c>
      <c r="I226" s="69" t="s">
        <v>1652</v>
      </c>
      <c r="J226" s="69" t="s">
        <v>327</v>
      </c>
      <c r="K226" s="69" t="s">
        <v>382</v>
      </c>
      <c r="L226" s="69" t="s">
        <v>887</v>
      </c>
      <c r="M226" s="69" t="s">
        <v>388</v>
      </c>
      <c r="N226" s="69" t="s">
        <v>43</v>
      </c>
      <c r="O226" s="69" t="s">
        <v>386</v>
      </c>
      <c r="P226" s="69" t="s">
        <v>979</v>
      </c>
      <c r="Q226" s="69" t="s">
        <v>1008</v>
      </c>
      <c r="R226" s="69" t="s">
        <v>53</v>
      </c>
      <c r="T226" s="69" t="s">
        <v>911</v>
      </c>
      <c r="U226" s="69" t="s">
        <v>914</v>
      </c>
      <c r="V226" s="59" t="str">
        <f t="shared" si="27"/>
        <v>11198850черный</v>
      </c>
      <c r="W226" s="59" t="str">
        <f t="shared" si="24"/>
        <v>11198850</v>
      </c>
      <c r="X226" s="59" t="str">
        <f t="shared" si="28"/>
        <v>New York Yankees MLB</v>
      </c>
      <c r="AC226" s="50">
        <f t="shared" si="29"/>
        <v>96</v>
      </c>
      <c r="AD226" s="43">
        <f t="shared" si="30"/>
        <v>187</v>
      </c>
      <c r="AE226" s="50">
        <f t="shared" si="31"/>
        <v>96187</v>
      </c>
    </row>
    <row r="227" spans="1:31">
      <c r="A227" s="59" t="str">
        <f t="shared" si="25"/>
        <v>60222512nov</v>
      </c>
      <c r="B227" s="59" t="str">
        <f t="shared" si="26"/>
        <v>96-211-11</v>
      </c>
      <c r="C227" s="69" t="s">
        <v>1653</v>
      </c>
      <c r="D227" s="69" t="s">
        <v>1654</v>
      </c>
      <c r="E227" s="69" t="s">
        <v>909</v>
      </c>
      <c r="F227" s="70">
        <v>0</v>
      </c>
      <c r="G227" s="70">
        <v>60222512</v>
      </c>
      <c r="H227" s="69" t="s">
        <v>60</v>
      </c>
      <c r="I227" s="69" t="s">
        <v>910</v>
      </c>
      <c r="J227" s="69" t="s">
        <v>327</v>
      </c>
      <c r="K227" s="69" t="s">
        <v>382</v>
      </c>
      <c r="L227" s="69" t="s">
        <v>887</v>
      </c>
      <c r="M227" s="69" t="s">
        <v>388</v>
      </c>
      <c r="N227" s="69" t="s">
        <v>43</v>
      </c>
      <c r="O227" s="69" t="s">
        <v>386</v>
      </c>
      <c r="P227" s="69" t="s">
        <v>979</v>
      </c>
      <c r="Q227" s="69" t="s">
        <v>988</v>
      </c>
      <c r="R227" s="69" t="s">
        <v>60</v>
      </c>
      <c r="V227" s="59" t="str">
        <f t="shared" si="27"/>
        <v>60222512зеленый</v>
      </c>
      <c r="W227" s="59" t="str">
        <f t="shared" si="24"/>
        <v>60222512</v>
      </c>
      <c r="X227" s="59" t="str">
        <f t="shared" si="28"/>
        <v/>
      </c>
      <c r="AC227" s="50">
        <f t="shared" si="29"/>
        <v>96</v>
      </c>
      <c r="AD227" s="43">
        <f t="shared" si="30"/>
        <v>211</v>
      </c>
      <c r="AE227" s="50">
        <f t="shared" si="31"/>
        <v>96211</v>
      </c>
    </row>
    <row r="228" spans="1:31">
      <c r="A228" s="59" t="str">
        <f t="shared" si="25"/>
        <v>60222545nvy</v>
      </c>
      <c r="B228" s="59" t="str">
        <f t="shared" si="26"/>
        <v>96-212-16</v>
      </c>
      <c r="C228" s="69" t="s">
        <v>1655</v>
      </c>
      <c r="D228" s="69" t="s">
        <v>1656</v>
      </c>
      <c r="E228" s="69" t="s">
        <v>909</v>
      </c>
      <c r="F228" s="70">
        <v>0</v>
      </c>
      <c r="G228" s="70" t="s">
        <v>1657</v>
      </c>
      <c r="H228" s="69" t="s">
        <v>55</v>
      </c>
      <c r="I228" s="69" t="s">
        <v>918</v>
      </c>
      <c r="J228" s="69" t="s">
        <v>356</v>
      </c>
      <c r="K228" s="69" t="s">
        <v>382</v>
      </c>
      <c r="L228" s="69" t="s">
        <v>887</v>
      </c>
      <c r="M228" s="69" t="s">
        <v>388</v>
      </c>
      <c r="O228" s="69" t="s">
        <v>541</v>
      </c>
      <c r="P228" s="69" t="s">
        <v>979</v>
      </c>
      <c r="Q228" s="69" t="s">
        <v>1015</v>
      </c>
      <c r="R228" s="69" t="s">
        <v>71</v>
      </c>
      <c r="T228" s="69" t="s">
        <v>911</v>
      </c>
      <c r="U228" s="69" t="s">
        <v>914</v>
      </c>
      <c r="V228" s="59" t="str">
        <f t="shared" si="27"/>
        <v>60222545темно-синий</v>
      </c>
      <c r="W228" s="59" t="str">
        <f t="shared" si="24"/>
        <v>60222545</v>
      </c>
      <c r="X228" s="59" t="str">
        <f t="shared" si="28"/>
        <v>New York Yankees MLB</v>
      </c>
      <c r="AC228" s="50">
        <f t="shared" si="29"/>
        <v>96</v>
      </c>
      <c r="AD228" s="43">
        <f t="shared" si="30"/>
        <v>212</v>
      </c>
      <c r="AE228" s="50">
        <f t="shared" si="31"/>
        <v>96212</v>
      </c>
    </row>
    <row r="229" spans="1:31">
      <c r="A229" s="59" t="str">
        <f t="shared" si="25"/>
        <v>60222472blk</v>
      </c>
      <c r="B229" s="59" t="str">
        <f t="shared" si="26"/>
        <v>96-210-09</v>
      </c>
      <c r="C229" s="69" t="s">
        <v>1658</v>
      </c>
      <c r="D229" s="69" t="s">
        <v>1659</v>
      </c>
      <c r="E229" s="69" t="s">
        <v>909</v>
      </c>
      <c r="F229" s="70">
        <v>0</v>
      </c>
      <c r="G229" s="70">
        <v>60222472</v>
      </c>
      <c r="H229" s="69" t="s">
        <v>53</v>
      </c>
      <c r="I229" s="69" t="s">
        <v>910</v>
      </c>
      <c r="J229" s="69" t="s">
        <v>327</v>
      </c>
      <c r="K229" s="69" t="s">
        <v>382</v>
      </c>
      <c r="L229" s="69" t="s">
        <v>887</v>
      </c>
      <c r="M229" s="69" t="s">
        <v>388</v>
      </c>
      <c r="N229" s="69" t="s">
        <v>43</v>
      </c>
      <c r="O229" s="69" t="s">
        <v>386</v>
      </c>
      <c r="P229" s="69" t="s">
        <v>979</v>
      </c>
      <c r="Q229" s="69" t="s">
        <v>1008</v>
      </c>
      <c r="R229" s="69" t="s">
        <v>53</v>
      </c>
      <c r="V229" s="59" t="str">
        <f t="shared" si="27"/>
        <v>60222472черный</v>
      </c>
      <c r="W229" s="59" t="str">
        <f t="shared" si="24"/>
        <v>60222472</v>
      </c>
      <c r="X229" s="59" t="str">
        <f t="shared" si="28"/>
        <v/>
      </c>
      <c r="AC229" s="50">
        <f t="shared" si="29"/>
        <v>96</v>
      </c>
      <c r="AD229" s="43">
        <f t="shared" si="30"/>
        <v>210</v>
      </c>
      <c r="AE229" s="50">
        <f t="shared" si="31"/>
        <v>96210</v>
      </c>
    </row>
    <row r="230" spans="1:31">
      <c r="A230" s="59" t="str">
        <f t="shared" si="25"/>
        <v>60222367nvy</v>
      </c>
      <c r="B230" s="59" t="str">
        <f t="shared" si="26"/>
        <v>96-209-16</v>
      </c>
      <c r="C230" s="69" t="s">
        <v>1660</v>
      </c>
      <c r="D230" s="69" t="s">
        <v>1661</v>
      </c>
      <c r="E230" s="69" t="s">
        <v>1662</v>
      </c>
      <c r="F230" s="70">
        <v>62</v>
      </c>
      <c r="G230" s="70" t="s">
        <v>1663</v>
      </c>
      <c r="H230" s="69" t="s">
        <v>55</v>
      </c>
      <c r="I230" s="69" t="s">
        <v>918</v>
      </c>
      <c r="J230" s="69" t="s">
        <v>783</v>
      </c>
      <c r="K230" s="69" t="s">
        <v>382</v>
      </c>
      <c r="L230" s="69" t="s">
        <v>887</v>
      </c>
      <c r="M230" s="69" t="s">
        <v>388</v>
      </c>
      <c r="O230" s="69" t="s">
        <v>541</v>
      </c>
      <c r="P230" s="69" t="s">
        <v>979</v>
      </c>
      <c r="Q230" s="69" t="s">
        <v>1015</v>
      </c>
      <c r="R230" s="69" t="s">
        <v>71</v>
      </c>
      <c r="T230" s="69" t="s">
        <v>911</v>
      </c>
      <c r="U230" s="69" t="s">
        <v>914</v>
      </c>
      <c r="V230" s="59" t="str">
        <f t="shared" si="27"/>
        <v>60222367темно-синий</v>
      </c>
      <c r="W230" s="59" t="str">
        <f t="shared" si="24"/>
        <v>60222367</v>
      </c>
      <c r="X230" s="59" t="str">
        <f t="shared" si="28"/>
        <v>New York Yankees MLB</v>
      </c>
      <c r="AC230" s="50">
        <f t="shared" si="29"/>
        <v>96</v>
      </c>
      <c r="AD230" s="43">
        <f t="shared" si="30"/>
        <v>209</v>
      </c>
      <c r="AE230" s="50">
        <f t="shared" si="31"/>
        <v>96209</v>
      </c>
    </row>
    <row r="231" spans="1:31">
      <c r="A231" s="59" t="str">
        <f t="shared" si="25"/>
        <v>60222367nvy</v>
      </c>
      <c r="B231" s="59" t="str">
        <f t="shared" si="26"/>
        <v>96-209-16</v>
      </c>
      <c r="C231" s="69" t="s">
        <v>1664</v>
      </c>
      <c r="D231" s="69" t="s">
        <v>1661</v>
      </c>
      <c r="E231" s="69" t="s">
        <v>1347</v>
      </c>
      <c r="F231" s="70">
        <v>60</v>
      </c>
      <c r="G231" s="70" t="s">
        <v>1663</v>
      </c>
      <c r="H231" s="69" t="s">
        <v>55</v>
      </c>
      <c r="I231" s="69" t="s">
        <v>918</v>
      </c>
      <c r="J231" s="69" t="s">
        <v>783</v>
      </c>
      <c r="K231" s="69" t="s">
        <v>382</v>
      </c>
      <c r="L231" s="69" t="s">
        <v>887</v>
      </c>
      <c r="M231" s="69" t="s">
        <v>388</v>
      </c>
      <c r="O231" s="69" t="s">
        <v>541</v>
      </c>
      <c r="P231" s="69" t="s">
        <v>979</v>
      </c>
      <c r="Q231" s="69" t="s">
        <v>1015</v>
      </c>
      <c r="R231" s="69" t="s">
        <v>71</v>
      </c>
      <c r="T231" s="69" t="s">
        <v>911</v>
      </c>
      <c r="U231" s="69" t="s">
        <v>914</v>
      </c>
      <c r="V231" s="59" t="str">
        <f t="shared" si="27"/>
        <v>60222367темно-синий</v>
      </c>
      <c r="W231" s="59" t="str">
        <f t="shared" si="24"/>
        <v>60222367</v>
      </c>
      <c r="X231" s="59" t="str">
        <f t="shared" si="28"/>
        <v>New York Yankees MLB</v>
      </c>
      <c r="AC231" s="50">
        <f t="shared" si="29"/>
        <v>96</v>
      </c>
      <c r="AD231" s="43">
        <f t="shared" si="30"/>
        <v>209</v>
      </c>
      <c r="AE231" s="50">
        <f t="shared" si="31"/>
        <v>96209</v>
      </c>
    </row>
    <row r="232" spans="1:31">
      <c r="A232" s="59" t="str">
        <f t="shared" si="25"/>
        <v>60222367nvy</v>
      </c>
      <c r="B232" s="59" t="str">
        <f t="shared" si="26"/>
        <v>96-209-16</v>
      </c>
      <c r="C232" s="69" t="s">
        <v>1665</v>
      </c>
      <c r="D232" s="69" t="s">
        <v>1661</v>
      </c>
      <c r="E232" s="69" t="s">
        <v>1025</v>
      </c>
      <c r="F232" s="70">
        <v>58</v>
      </c>
      <c r="G232" s="70" t="s">
        <v>1663</v>
      </c>
      <c r="H232" s="69" t="s">
        <v>55</v>
      </c>
      <c r="I232" s="69" t="s">
        <v>918</v>
      </c>
      <c r="J232" s="69" t="s">
        <v>783</v>
      </c>
      <c r="K232" s="69" t="s">
        <v>382</v>
      </c>
      <c r="L232" s="69" t="s">
        <v>887</v>
      </c>
      <c r="M232" s="69" t="s">
        <v>388</v>
      </c>
      <c r="O232" s="69" t="s">
        <v>541</v>
      </c>
      <c r="P232" s="69" t="s">
        <v>979</v>
      </c>
      <c r="Q232" s="69" t="s">
        <v>1015</v>
      </c>
      <c r="R232" s="69" t="s">
        <v>71</v>
      </c>
      <c r="T232" s="69" t="s">
        <v>911</v>
      </c>
      <c r="U232" s="69" t="s">
        <v>914</v>
      </c>
      <c r="V232" s="59" t="str">
        <f t="shared" si="27"/>
        <v>60222367темно-синий</v>
      </c>
      <c r="W232" s="59" t="str">
        <f t="shared" si="24"/>
        <v>60222367</v>
      </c>
      <c r="X232" s="59" t="str">
        <f t="shared" si="28"/>
        <v>New York Yankees MLB</v>
      </c>
      <c r="AC232" s="50">
        <f t="shared" si="29"/>
        <v>96</v>
      </c>
      <c r="AD232" s="43">
        <f t="shared" si="30"/>
        <v>209</v>
      </c>
      <c r="AE232" s="50">
        <f t="shared" si="31"/>
        <v>96209</v>
      </c>
    </row>
    <row r="233" spans="1:31">
      <c r="A233" s="59" t="str">
        <f t="shared" si="25"/>
        <v>12523906grhgrh</v>
      </c>
      <c r="B233" s="59" t="str">
        <f t="shared" si="26"/>
        <v>96-208-80</v>
      </c>
      <c r="C233" s="69" t="s">
        <v>1666</v>
      </c>
      <c r="D233" s="69" t="s">
        <v>1667</v>
      </c>
      <c r="E233" s="69" t="s">
        <v>909</v>
      </c>
      <c r="F233" s="70">
        <v>0</v>
      </c>
      <c r="G233" s="70" t="s">
        <v>1668</v>
      </c>
      <c r="H233" s="69" t="s">
        <v>83</v>
      </c>
      <c r="I233" s="69" t="s">
        <v>918</v>
      </c>
      <c r="J233" s="69" t="s">
        <v>327</v>
      </c>
      <c r="K233" s="69" t="s">
        <v>382</v>
      </c>
      <c r="L233" s="69" t="s">
        <v>887</v>
      </c>
      <c r="M233" s="69" t="s">
        <v>388</v>
      </c>
      <c r="O233" s="69" t="s">
        <v>541</v>
      </c>
      <c r="P233" s="69" t="s">
        <v>979</v>
      </c>
      <c r="Q233" s="69" t="s">
        <v>1669</v>
      </c>
      <c r="R233" s="69" t="s">
        <v>83</v>
      </c>
      <c r="T233" s="69" t="s">
        <v>911</v>
      </c>
      <c r="U233" s="69" t="s">
        <v>914</v>
      </c>
      <c r="V233" s="59" t="str">
        <f t="shared" si="27"/>
        <v>12523906серый</v>
      </c>
      <c r="W233" s="59" t="str">
        <f t="shared" si="24"/>
        <v>12523906</v>
      </c>
      <c r="X233" s="59" t="str">
        <f t="shared" si="28"/>
        <v>New York Yankees MLB</v>
      </c>
      <c r="AC233" s="50">
        <f t="shared" si="29"/>
        <v>96</v>
      </c>
      <c r="AD233" s="43">
        <f t="shared" si="30"/>
        <v>208</v>
      </c>
      <c r="AE233" s="50">
        <f t="shared" si="31"/>
        <v>96208</v>
      </c>
    </row>
    <row r="234" spans="1:31">
      <c r="A234" s="59" t="str">
        <f t="shared" si="25"/>
        <v>12523898grhwhi</v>
      </c>
      <c r="B234" s="59" t="str">
        <f t="shared" si="26"/>
        <v>96-207-80</v>
      </c>
      <c r="C234" s="69" t="s">
        <v>1670</v>
      </c>
      <c r="D234" s="69" t="s">
        <v>1671</v>
      </c>
      <c r="E234" s="69" t="s">
        <v>909</v>
      </c>
      <c r="F234" s="70">
        <v>0</v>
      </c>
      <c r="G234" s="70" t="s">
        <v>1672</v>
      </c>
      <c r="H234" s="69" t="s">
        <v>83</v>
      </c>
      <c r="I234" s="69" t="s">
        <v>919</v>
      </c>
      <c r="J234" s="69" t="s">
        <v>356</v>
      </c>
      <c r="K234" s="69" t="s">
        <v>382</v>
      </c>
      <c r="L234" s="69" t="s">
        <v>887</v>
      </c>
      <c r="M234" s="69" t="s">
        <v>388</v>
      </c>
      <c r="O234" s="69" t="s">
        <v>541</v>
      </c>
      <c r="P234" s="69" t="s">
        <v>979</v>
      </c>
      <c r="Q234" s="69" t="s">
        <v>1386</v>
      </c>
      <c r="R234" s="69" t="s">
        <v>83</v>
      </c>
      <c r="T234" s="69" t="s">
        <v>911</v>
      </c>
      <c r="U234" s="69" t="s">
        <v>914</v>
      </c>
      <c r="V234" s="59" t="str">
        <f t="shared" si="27"/>
        <v>12523898серый</v>
      </c>
      <c r="W234" s="59" t="str">
        <f t="shared" si="24"/>
        <v>12523898</v>
      </c>
      <c r="X234" s="59" t="str">
        <f t="shared" si="28"/>
        <v>New York Yankees MLB</v>
      </c>
      <c r="AC234" s="50">
        <f t="shared" si="29"/>
        <v>96</v>
      </c>
      <c r="AD234" s="43">
        <f t="shared" si="30"/>
        <v>207</v>
      </c>
      <c r="AE234" s="50">
        <f t="shared" si="31"/>
        <v>96207</v>
      </c>
    </row>
    <row r="235" spans="1:31">
      <c r="A235" s="59" t="str">
        <f t="shared" si="25"/>
        <v>12523889blk</v>
      </c>
      <c r="B235" s="59" t="str">
        <f t="shared" si="26"/>
        <v>96-206-09</v>
      </c>
      <c r="C235" s="69" t="s">
        <v>1673</v>
      </c>
      <c r="D235" s="69" t="s">
        <v>1674</v>
      </c>
      <c r="E235" s="69" t="s">
        <v>909</v>
      </c>
      <c r="F235" s="70">
        <v>0</v>
      </c>
      <c r="G235" s="70" t="s">
        <v>1675</v>
      </c>
      <c r="H235" s="69" t="s">
        <v>53</v>
      </c>
      <c r="I235" s="69" t="s">
        <v>910</v>
      </c>
      <c r="J235" s="69" t="s">
        <v>327</v>
      </c>
      <c r="K235" s="69" t="s">
        <v>382</v>
      </c>
      <c r="L235" s="69" t="s">
        <v>887</v>
      </c>
      <c r="M235" s="69" t="s">
        <v>388</v>
      </c>
      <c r="N235" s="69" t="s">
        <v>43</v>
      </c>
      <c r="O235" s="69" t="s">
        <v>541</v>
      </c>
      <c r="P235" s="69" t="s">
        <v>979</v>
      </c>
      <c r="Q235" s="69" t="s">
        <v>1008</v>
      </c>
      <c r="R235" s="69" t="s">
        <v>53</v>
      </c>
      <c r="T235" s="69" t="s">
        <v>911</v>
      </c>
      <c r="U235" s="69" t="s">
        <v>914</v>
      </c>
      <c r="V235" s="59" t="str">
        <f t="shared" si="27"/>
        <v>12523889черный</v>
      </c>
      <c r="W235" s="59" t="str">
        <f t="shared" si="24"/>
        <v>12523889</v>
      </c>
      <c r="X235" s="59" t="str">
        <f t="shared" si="28"/>
        <v>New York Yankees MLB</v>
      </c>
      <c r="AC235" s="50">
        <f t="shared" si="29"/>
        <v>96</v>
      </c>
      <c r="AD235" s="43">
        <f t="shared" si="30"/>
        <v>206</v>
      </c>
      <c r="AE235" s="50">
        <f t="shared" si="31"/>
        <v>96206</v>
      </c>
    </row>
    <row r="236" spans="1:31">
      <c r="A236" s="59" t="str">
        <f t="shared" si="25"/>
        <v>12523888mrn</v>
      </c>
      <c r="B236" s="59" t="str">
        <f t="shared" si="26"/>
        <v>96-205-12</v>
      </c>
      <c r="C236" s="69" t="s">
        <v>1676</v>
      </c>
      <c r="D236" s="69" t="s">
        <v>1677</v>
      </c>
      <c r="E236" s="69" t="s">
        <v>909</v>
      </c>
      <c r="F236" s="70">
        <v>0</v>
      </c>
      <c r="G236" s="70" t="s">
        <v>1678</v>
      </c>
      <c r="H236" s="69" t="s">
        <v>121</v>
      </c>
      <c r="I236" s="69" t="s">
        <v>910</v>
      </c>
      <c r="J236" s="69" t="s">
        <v>327</v>
      </c>
      <c r="K236" s="69" t="s">
        <v>382</v>
      </c>
      <c r="L236" s="69" t="s">
        <v>887</v>
      </c>
      <c r="M236" s="69" t="s">
        <v>388</v>
      </c>
      <c r="N236" s="69" t="s">
        <v>43</v>
      </c>
      <c r="O236" s="69" t="s">
        <v>541</v>
      </c>
      <c r="P236" s="69" t="s">
        <v>979</v>
      </c>
      <c r="Q236" s="69" t="s">
        <v>1308</v>
      </c>
      <c r="R236" s="69" t="s">
        <v>121</v>
      </c>
      <c r="T236" s="69" t="s">
        <v>911</v>
      </c>
      <c r="U236" s="69" t="s">
        <v>914</v>
      </c>
      <c r="V236" s="59" t="str">
        <f t="shared" si="27"/>
        <v>12523888бордовый</v>
      </c>
      <c r="W236" s="59" t="str">
        <f t="shared" si="24"/>
        <v>12523888</v>
      </c>
      <c r="X236" s="59" t="str">
        <f t="shared" si="28"/>
        <v>New York Yankees MLB</v>
      </c>
      <c r="AC236" s="50">
        <f t="shared" si="29"/>
        <v>96</v>
      </c>
      <c r="AD236" s="43">
        <f t="shared" si="30"/>
        <v>205</v>
      </c>
      <c r="AE236" s="50">
        <f t="shared" si="31"/>
        <v>96205</v>
      </c>
    </row>
    <row r="237" spans="1:31">
      <c r="A237" s="59" t="str">
        <f t="shared" si="25"/>
        <v>12523887nov</v>
      </c>
      <c r="B237" s="59" t="str">
        <f t="shared" si="26"/>
        <v>96-204-03</v>
      </c>
      <c r="C237" s="69" t="s">
        <v>1679</v>
      </c>
      <c r="D237" s="69" t="s">
        <v>1680</v>
      </c>
      <c r="E237" s="69" t="s">
        <v>909</v>
      </c>
      <c r="F237" s="70">
        <v>0</v>
      </c>
      <c r="G237" s="70" t="s">
        <v>1681</v>
      </c>
      <c r="H237" s="69" t="s">
        <v>195</v>
      </c>
      <c r="I237" s="69" t="s">
        <v>910</v>
      </c>
      <c r="J237" s="69" t="s">
        <v>327</v>
      </c>
      <c r="K237" s="69" t="s">
        <v>382</v>
      </c>
      <c r="L237" s="69" t="s">
        <v>887</v>
      </c>
      <c r="M237" s="69" t="s">
        <v>388</v>
      </c>
      <c r="N237" s="69" t="s">
        <v>43</v>
      </c>
      <c r="O237" s="69" t="s">
        <v>541</v>
      </c>
      <c r="P237" s="69" t="s">
        <v>979</v>
      </c>
      <c r="Q237" s="69" t="s">
        <v>988</v>
      </c>
      <c r="R237" s="69" t="s">
        <v>195</v>
      </c>
      <c r="T237" s="69" t="s">
        <v>911</v>
      </c>
      <c r="U237" s="69" t="s">
        <v>914</v>
      </c>
      <c r="V237" s="59" t="str">
        <f t="shared" si="27"/>
        <v>12523887оливковый</v>
      </c>
      <c r="W237" s="59" t="str">
        <f t="shared" si="24"/>
        <v>12523887</v>
      </c>
      <c r="X237" s="59" t="str">
        <f t="shared" si="28"/>
        <v>New York Yankees MLB</v>
      </c>
      <c r="AC237" s="50">
        <f t="shared" si="29"/>
        <v>96</v>
      </c>
      <c r="AD237" s="43">
        <f t="shared" si="30"/>
        <v>204</v>
      </c>
      <c r="AE237" s="50">
        <f t="shared" si="31"/>
        <v>96204</v>
      </c>
    </row>
    <row r="238" spans="1:31">
      <c r="A238" s="59" t="str">
        <f t="shared" si="25"/>
        <v>12381106gra</v>
      </c>
      <c r="B238" s="59" t="str">
        <f t="shared" si="26"/>
        <v>96-203-80</v>
      </c>
      <c r="C238" s="69" t="s">
        <v>1682</v>
      </c>
      <c r="D238" s="69" t="s">
        <v>1683</v>
      </c>
      <c r="E238" s="69" t="s">
        <v>909</v>
      </c>
      <c r="F238" s="70">
        <v>0</v>
      </c>
      <c r="G238" s="70" t="s">
        <v>1684</v>
      </c>
      <c r="H238" s="69" t="s">
        <v>83</v>
      </c>
      <c r="I238" s="69" t="s">
        <v>910</v>
      </c>
      <c r="J238" s="69" t="s">
        <v>356</v>
      </c>
      <c r="K238" s="69" t="s">
        <v>382</v>
      </c>
      <c r="L238" s="69" t="s">
        <v>887</v>
      </c>
      <c r="M238" s="69" t="s">
        <v>388</v>
      </c>
      <c r="O238" s="69" t="s">
        <v>541</v>
      </c>
      <c r="P238" s="69" t="s">
        <v>979</v>
      </c>
      <c r="Q238" s="69" t="s">
        <v>1090</v>
      </c>
      <c r="R238" s="69" t="s">
        <v>83</v>
      </c>
      <c r="T238" s="69" t="s">
        <v>911</v>
      </c>
      <c r="U238" s="69" t="s">
        <v>914</v>
      </c>
      <c r="V238" s="59" t="str">
        <f t="shared" si="27"/>
        <v>12381106серый</v>
      </c>
      <c r="W238" s="59" t="str">
        <f t="shared" si="24"/>
        <v>12381106</v>
      </c>
      <c r="X238" s="59" t="str">
        <f t="shared" si="28"/>
        <v>New York Yankees MLB</v>
      </c>
      <c r="AC238" s="50">
        <f t="shared" si="29"/>
        <v>96</v>
      </c>
      <c r="AD238" s="43">
        <f t="shared" si="30"/>
        <v>203</v>
      </c>
      <c r="AE238" s="50">
        <f t="shared" si="31"/>
        <v>96203</v>
      </c>
    </row>
    <row r="239" spans="1:31">
      <c r="A239" s="59" t="str">
        <f t="shared" si="25"/>
        <v>12380822otc</v>
      </c>
      <c r="B239" s="59" t="str">
        <f t="shared" si="26"/>
        <v>96-202-18</v>
      </c>
      <c r="C239" s="69" t="s">
        <v>1685</v>
      </c>
      <c r="D239" s="69" t="s">
        <v>1686</v>
      </c>
      <c r="E239" s="69" t="s">
        <v>909</v>
      </c>
      <c r="F239" s="70">
        <v>0</v>
      </c>
      <c r="G239" s="70" t="s">
        <v>1687</v>
      </c>
      <c r="H239" s="69" t="s">
        <v>78</v>
      </c>
      <c r="I239" s="69" t="s">
        <v>918</v>
      </c>
      <c r="J239" s="69" t="s">
        <v>327</v>
      </c>
      <c r="K239" s="69" t="s">
        <v>382</v>
      </c>
      <c r="L239" s="69" t="s">
        <v>887</v>
      </c>
      <c r="M239" s="69" t="s">
        <v>388</v>
      </c>
      <c r="O239" s="69" t="s">
        <v>386</v>
      </c>
      <c r="P239" s="69" t="s">
        <v>979</v>
      </c>
      <c r="Q239" s="69" t="s">
        <v>1362</v>
      </c>
      <c r="R239" s="69" t="s">
        <v>78</v>
      </c>
      <c r="T239" s="69" t="s">
        <v>1047</v>
      </c>
      <c r="U239" s="69" t="s">
        <v>1048</v>
      </c>
      <c r="V239" s="59" t="str">
        <f t="shared" si="27"/>
        <v>12380822красный</v>
      </c>
      <c r="W239" s="59" t="str">
        <f t="shared" si="24"/>
        <v>12380822</v>
      </c>
      <c r="X239" s="59" t="str">
        <f t="shared" si="28"/>
        <v>Chicago Bulls NBA</v>
      </c>
      <c r="AC239" s="50">
        <f t="shared" si="29"/>
        <v>96</v>
      </c>
      <c r="AD239" s="43">
        <f t="shared" si="30"/>
        <v>202</v>
      </c>
      <c r="AE239" s="50">
        <f t="shared" si="31"/>
        <v>96202</v>
      </c>
    </row>
    <row r="240" spans="1:31">
      <c r="A240" s="59" t="str">
        <f t="shared" si="25"/>
        <v>11405616otc</v>
      </c>
      <c r="B240" s="59" t="str">
        <f t="shared" si="26"/>
        <v>96-201-09</v>
      </c>
      <c r="C240" s="69" t="s">
        <v>1688</v>
      </c>
      <c r="D240" s="69" t="s">
        <v>1689</v>
      </c>
      <c r="E240" s="69" t="s">
        <v>909</v>
      </c>
      <c r="F240" s="70">
        <v>0</v>
      </c>
      <c r="G240" s="70" t="s">
        <v>1690</v>
      </c>
      <c r="H240" s="69" t="s">
        <v>53</v>
      </c>
      <c r="I240" s="69" t="s">
        <v>918</v>
      </c>
      <c r="J240" s="69" t="s">
        <v>327</v>
      </c>
      <c r="K240" s="69" t="s">
        <v>382</v>
      </c>
      <c r="L240" s="69" t="s">
        <v>887</v>
      </c>
      <c r="M240" s="69" t="s">
        <v>388</v>
      </c>
      <c r="O240" s="69" t="s">
        <v>541</v>
      </c>
      <c r="P240" s="69" t="s">
        <v>979</v>
      </c>
      <c r="Q240" s="69" t="s">
        <v>1362</v>
      </c>
      <c r="R240" s="69" t="s">
        <v>53</v>
      </c>
      <c r="T240" s="69" t="s">
        <v>1047</v>
      </c>
      <c r="U240" s="69" t="s">
        <v>1370</v>
      </c>
      <c r="V240" s="59" t="str">
        <f t="shared" si="27"/>
        <v>11405616черный</v>
      </c>
      <c r="W240" s="59" t="str">
        <f t="shared" si="24"/>
        <v>11405616</v>
      </c>
      <c r="X240" s="59" t="str">
        <f t="shared" si="28"/>
        <v>Brooklyn Nets NBA</v>
      </c>
      <c r="AC240" s="50">
        <f t="shared" si="29"/>
        <v>96</v>
      </c>
      <c r="AD240" s="43">
        <f t="shared" si="30"/>
        <v>201</v>
      </c>
      <c r="AE240" s="50">
        <f t="shared" si="31"/>
        <v>96201</v>
      </c>
    </row>
    <row r="241" spans="1:31">
      <c r="A241" s="59" t="str">
        <f t="shared" si="25"/>
        <v>11405605otc</v>
      </c>
      <c r="B241" s="59" t="str">
        <f t="shared" si="26"/>
        <v>96-200-41</v>
      </c>
      <c r="C241" s="69" t="s">
        <v>1691</v>
      </c>
      <c r="D241" s="69" t="s">
        <v>1692</v>
      </c>
      <c r="E241" s="69" t="s">
        <v>909</v>
      </c>
      <c r="F241" s="70">
        <v>0</v>
      </c>
      <c r="G241" s="70" t="s">
        <v>1693</v>
      </c>
      <c r="H241" s="69" t="s">
        <v>286</v>
      </c>
      <c r="I241" s="69" t="s">
        <v>918</v>
      </c>
      <c r="J241" s="69" t="s">
        <v>327</v>
      </c>
      <c r="K241" s="69" t="s">
        <v>382</v>
      </c>
      <c r="L241" s="69" t="s">
        <v>887</v>
      </c>
      <c r="M241" s="69" t="s">
        <v>388</v>
      </c>
      <c r="O241" s="69" t="s">
        <v>541</v>
      </c>
      <c r="P241" s="69" t="s">
        <v>979</v>
      </c>
      <c r="Q241" s="69" t="s">
        <v>1362</v>
      </c>
      <c r="R241" s="69" t="s">
        <v>286</v>
      </c>
      <c r="T241" s="69" t="s">
        <v>1047</v>
      </c>
      <c r="U241" s="69" t="s">
        <v>1053</v>
      </c>
      <c r="V241" s="59" t="str">
        <f t="shared" si="27"/>
        <v>11405605фиолетовый</v>
      </c>
      <c r="W241" s="59" t="str">
        <f t="shared" si="24"/>
        <v>11405605</v>
      </c>
      <c r="X241" s="59" t="str">
        <f t="shared" si="28"/>
        <v>Los Angeles Lakers NBA</v>
      </c>
      <c r="AC241" s="50">
        <f t="shared" si="29"/>
        <v>96</v>
      </c>
      <c r="AD241" s="43">
        <f t="shared" si="30"/>
        <v>200</v>
      </c>
      <c r="AE241" s="50">
        <f t="shared" si="31"/>
        <v>96200</v>
      </c>
    </row>
    <row r="242" spans="1:31">
      <c r="A242" s="59" t="str">
        <f t="shared" si="25"/>
        <v>11405492lrywhi</v>
      </c>
      <c r="B242" s="59" t="str">
        <f t="shared" si="26"/>
        <v>96-199-06</v>
      </c>
      <c r="C242" s="69" t="s">
        <v>1694</v>
      </c>
      <c r="D242" s="69" t="s">
        <v>1695</v>
      </c>
      <c r="E242" s="69" t="s">
        <v>909</v>
      </c>
      <c r="F242" s="70">
        <v>0</v>
      </c>
      <c r="G242" s="70" t="s">
        <v>1696</v>
      </c>
      <c r="H242" s="69" t="s">
        <v>71</v>
      </c>
      <c r="I242" s="69" t="s">
        <v>910</v>
      </c>
      <c r="J242" s="69" t="s">
        <v>327</v>
      </c>
      <c r="K242" s="69" t="s">
        <v>382</v>
      </c>
      <c r="L242" s="69" t="s">
        <v>887</v>
      </c>
      <c r="M242" s="69" t="s">
        <v>388</v>
      </c>
      <c r="N242" s="69" t="s">
        <v>43</v>
      </c>
      <c r="O242" s="69" t="s">
        <v>541</v>
      </c>
      <c r="P242" s="69" t="s">
        <v>979</v>
      </c>
      <c r="Q242" s="69" t="s">
        <v>1579</v>
      </c>
      <c r="R242" s="69" t="s">
        <v>71</v>
      </c>
      <c r="T242" s="69" t="s">
        <v>911</v>
      </c>
      <c r="U242" s="69" t="s">
        <v>912</v>
      </c>
      <c r="V242" s="59" t="str">
        <f t="shared" si="27"/>
        <v>11405492синий</v>
      </c>
      <c r="W242" s="59" t="str">
        <f t="shared" si="24"/>
        <v>11405492</v>
      </c>
      <c r="X242" s="59" t="str">
        <f t="shared" si="28"/>
        <v>Los Angeles Dodgers MLB</v>
      </c>
      <c r="AC242" s="50">
        <f t="shared" si="29"/>
        <v>96</v>
      </c>
      <c r="AD242" s="43">
        <f t="shared" si="30"/>
        <v>199</v>
      </c>
      <c r="AE242" s="50">
        <f t="shared" si="31"/>
        <v>96199</v>
      </c>
    </row>
    <row r="243" spans="1:31">
      <c r="A243" s="59" t="str">
        <f t="shared" si="25"/>
        <v>11357008camblk</v>
      </c>
      <c r="B243" s="59" t="str">
        <f t="shared" si="26"/>
        <v>96-198-00</v>
      </c>
      <c r="C243" s="69" t="s">
        <v>1697</v>
      </c>
      <c r="D243" s="69" t="s">
        <v>1698</v>
      </c>
      <c r="E243" s="69" t="s">
        <v>909</v>
      </c>
      <c r="F243" s="70">
        <v>0</v>
      </c>
      <c r="G243" s="70" t="s">
        <v>1699</v>
      </c>
      <c r="H243" s="69" t="s">
        <v>158</v>
      </c>
      <c r="I243" s="69" t="s">
        <v>910</v>
      </c>
      <c r="J243" s="69" t="s">
        <v>327</v>
      </c>
      <c r="K243" s="69" t="s">
        <v>382</v>
      </c>
      <c r="L243" s="69" t="s">
        <v>887</v>
      </c>
      <c r="M243" s="69" t="s">
        <v>388</v>
      </c>
      <c r="N243" s="69" t="s">
        <v>43</v>
      </c>
      <c r="O243" s="69" t="s">
        <v>386</v>
      </c>
      <c r="P243" s="69" t="s">
        <v>979</v>
      </c>
      <c r="Q243" s="69" t="s">
        <v>1700</v>
      </c>
      <c r="R243" s="69" t="s">
        <v>60</v>
      </c>
      <c r="T243" s="69" t="s">
        <v>911</v>
      </c>
      <c r="U243" s="69" t="s">
        <v>914</v>
      </c>
      <c r="V243" s="59" t="str">
        <f t="shared" si="27"/>
        <v>11357008камуфляж</v>
      </c>
      <c r="W243" s="59" t="str">
        <f t="shared" si="24"/>
        <v>11357008</v>
      </c>
      <c r="X243" s="59" t="str">
        <f t="shared" si="28"/>
        <v>New York Yankees MLB</v>
      </c>
      <c r="AC243" s="50">
        <f t="shared" si="29"/>
        <v>96</v>
      </c>
      <c r="AD243" s="43">
        <f t="shared" si="30"/>
        <v>198</v>
      </c>
      <c r="AE243" s="50">
        <f t="shared" si="31"/>
        <v>96198</v>
      </c>
    </row>
    <row r="244" spans="1:31">
      <c r="A244" s="59" t="str">
        <f t="shared" si="25"/>
        <v>11213222blk</v>
      </c>
      <c r="B244" s="59" t="str">
        <f t="shared" si="26"/>
        <v>96-197-09</v>
      </c>
      <c r="C244" s="69" t="s">
        <v>1701</v>
      </c>
      <c r="D244" s="69" t="s">
        <v>1702</v>
      </c>
      <c r="E244" s="69" t="s">
        <v>909</v>
      </c>
      <c r="F244" s="70">
        <v>0</v>
      </c>
      <c r="G244" s="70" t="s">
        <v>1703</v>
      </c>
      <c r="H244" s="69" t="s">
        <v>53</v>
      </c>
      <c r="I244" s="69" t="s">
        <v>910</v>
      </c>
      <c r="J244" s="69" t="s">
        <v>327</v>
      </c>
      <c r="K244" s="69" t="s">
        <v>382</v>
      </c>
      <c r="L244" s="69" t="s">
        <v>887</v>
      </c>
      <c r="M244" s="69" t="s">
        <v>388</v>
      </c>
      <c r="N244" s="69" t="s">
        <v>43</v>
      </c>
      <c r="O244" s="69" t="s">
        <v>541</v>
      </c>
      <c r="P244" s="69" t="s">
        <v>979</v>
      </c>
      <c r="Q244" s="69" t="s">
        <v>1008</v>
      </c>
      <c r="R244" s="69" t="s">
        <v>53</v>
      </c>
      <c r="T244" s="69" t="s">
        <v>921</v>
      </c>
      <c r="U244" s="69" t="s">
        <v>1229</v>
      </c>
      <c r="V244" s="59" t="str">
        <f t="shared" si="27"/>
        <v>11213222черный</v>
      </c>
      <c r="W244" s="59" t="str">
        <f t="shared" si="24"/>
        <v>11213222</v>
      </c>
      <c r="X244" s="59" t="str">
        <f t="shared" si="28"/>
        <v>Manchester United EPL</v>
      </c>
      <c r="AC244" s="50">
        <f t="shared" si="29"/>
        <v>96</v>
      </c>
      <c r="AD244" s="43">
        <f t="shared" si="30"/>
        <v>197</v>
      </c>
      <c r="AE244" s="50">
        <f t="shared" si="31"/>
        <v>96197</v>
      </c>
    </row>
    <row r="245" spans="1:31">
      <c r="A245" s="59" t="str">
        <f t="shared" si="25"/>
        <v>11213219sca</v>
      </c>
      <c r="B245" s="59" t="str">
        <f t="shared" si="26"/>
        <v>96-196-18</v>
      </c>
      <c r="C245" s="69" t="s">
        <v>1704</v>
      </c>
      <c r="D245" s="69" t="s">
        <v>1705</v>
      </c>
      <c r="E245" s="69" t="s">
        <v>909</v>
      </c>
      <c r="F245" s="70">
        <v>0</v>
      </c>
      <c r="G245" s="70" t="s">
        <v>1706</v>
      </c>
      <c r="H245" s="69" t="s">
        <v>78</v>
      </c>
      <c r="I245" s="69" t="s">
        <v>910</v>
      </c>
      <c r="J245" s="69" t="s">
        <v>327</v>
      </c>
      <c r="K245" s="69" t="s">
        <v>382</v>
      </c>
      <c r="L245" s="69" t="s">
        <v>887</v>
      </c>
      <c r="M245" s="69" t="s">
        <v>388</v>
      </c>
      <c r="N245" s="69" t="s">
        <v>43</v>
      </c>
      <c r="O245" s="69" t="s">
        <v>541</v>
      </c>
      <c r="P245" s="69" t="s">
        <v>979</v>
      </c>
      <c r="Q245" s="69" t="s">
        <v>1266</v>
      </c>
      <c r="R245" s="69" t="s">
        <v>78</v>
      </c>
      <c r="T245" s="69" t="s">
        <v>921</v>
      </c>
      <c r="U245" s="69" t="s">
        <v>1229</v>
      </c>
      <c r="V245" s="59" t="str">
        <f t="shared" si="27"/>
        <v>11213219красный</v>
      </c>
      <c r="W245" s="59" t="str">
        <f t="shared" si="24"/>
        <v>11213219</v>
      </c>
      <c r="X245" s="59" t="str">
        <f t="shared" si="28"/>
        <v>Manchester United EPL</v>
      </c>
      <c r="AC245" s="50">
        <f t="shared" si="29"/>
        <v>96</v>
      </c>
      <c r="AD245" s="43">
        <f t="shared" si="30"/>
        <v>196</v>
      </c>
      <c r="AE245" s="50">
        <f t="shared" si="31"/>
        <v>96196</v>
      </c>
    </row>
    <row r="246" spans="1:31">
      <c r="A246" s="59" t="str">
        <f t="shared" si="25"/>
        <v>11209938whi</v>
      </c>
      <c r="B246" s="59" t="str">
        <f t="shared" si="26"/>
        <v>96-195-17</v>
      </c>
      <c r="C246" s="69" t="s">
        <v>1707</v>
      </c>
      <c r="D246" s="69" t="s">
        <v>1708</v>
      </c>
      <c r="E246" s="69" t="s">
        <v>909</v>
      </c>
      <c r="F246" s="70">
        <v>0</v>
      </c>
      <c r="G246" s="70" t="s">
        <v>1709</v>
      </c>
      <c r="H246" s="69" t="s">
        <v>57</v>
      </c>
      <c r="I246" s="69" t="s">
        <v>1652</v>
      </c>
      <c r="J246" s="69" t="s">
        <v>327</v>
      </c>
      <c r="K246" s="69" t="s">
        <v>382</v>
      </c>
      <c r="L246" s="69" t="s">
        <v>887</v>
      </c>
      <c r="M246" s="69" t="s">
        <v>388</v>
      </c>
      <c r="N246" s="69" t="s">
        <v>43</v>
      </c>
      <c r="O246" s="69" t="s">
        <v>386</v>
      </c>
      <c r="P246" s="69" t="s">
        <v>979</v>
      </c>
      <c r="Q246" s="69" t="s">
        <v>996</v>
      </c>
      <c r="R246" s="69" t="s">
        <v>57</v>
      </c>
      <c r="T246" s="69" t="s">
        <v>911</v>
      </c>
      <c r="U246" s="69" t="s">
        <v>914</v>
      </c>
      <c r="V246" s="59" t="str">
        <f t="shared" si="27"/>
        <v>11209938белый</v>
      </c>
      <c r="W246" s="59" t="str">
        <f t="shared" si="24"/>
        <v>11209938</v>
      </c>
      <c r="X246" s="59" t="str">
        <f t="shared" si="28"/>
        <v>New York Yankees MLB</v>
      </c>
      <c r="AC246" s="50">
        <f t="shared" si="29"/>
        <v>96</v>
      </c>
      <c r="AD246" s="43">
        <f t="shared" si="30"/>
        <v>195</v>
      </c>
      <c r="AE246" s="50">
        <f t="shared" si="31"/>
        <v>96195</v>
      </c>
    </row>
    <row r="247" spans="1:31">
      <c r="A247" s="59" t="str">
        <f t="shared" si="25"/>
        <v>10745455whibla</v>
      </c>
      <c r="B247" s="59" t="str">
        <f t="shared" si="26"/>
        <v>96-194-17</v>
      </c>
      <c r="C247" s="69" t="s">
        <v>1710</v>
      </c>
      <c r="D247" s="69" t="s">
        <v>1711</v>
      </c>
      <c r="E247" s="69" t="s">
        <v>909</v>
      </c>
      <c r="F247" s="70">
        <v>0</v>
      </c>
      <c r="G247" s="70" t="s">
        <v>1712</v>
      </c>
      <c r="H247" s="69" t="s">
        <v>57</v>
      </c>
      <c r="I247" s="69" t="s">
        <v>910</v>
      </c>
      <c r="J247" s="69" t="s">
        <v>327</v>
      </c>
      <c r="K247" s="69" t="s">
        <v>382</v>
      </c>
      <c r="L247" s="69" t="s">
        <v>887</v>
      </c>
      <c r="M247" s="69" t="s">
        <v>388</v>
      </c>
      <c r="N247" s="69" t="s">
        <v>43</v>
      </c>
      <c r="O247" s="69" t="s">
        <v>541</v>
      </c>
      <c r="P247" s="69" t="s">
        <v>979</v>
      </c>
      <c r="Q247" s="69" t="s">
        <v>1713</v>
      </c>
      <c r="R247" s="69" t="s">
        <v>57</v>
      </c>
      <c r="T247" s="69" t="s">
        <v>911</v>
      </c>
      <c r="U247" s="69" t="s">
        <v>914</v>
      </c>
      <c r="V247" s="59" t="str">
        <f t="shared" si="27"/>
        <v>10745455белый</v>
      </c>
      <c r="W247" s="59" t="str">
        <f t="shared" si="24"/>
        <v>10745455</v>
      </c>
      <c r="X247" s="59" t="str">
        <f t="shared" si="28"/>
        <v>New York Yankees MLB</v>
      </c>
      <c r="AC247" s="50">
        <f t="shared" si="29"/>
        <v>96</v>
      </c>
      <c r="AD247" s="43">
        <f t="shared" si="30"/>
        <v>194</v>
      </c>
      <c r="AE247" s="50">
        <f t="shared" si="31"/>
        <v>96194</v>
      </c>
    </row>
    <row r="248" spans="1:31">
      <c r="A248" s="59" t="str">
        <f t="shared" si="25"/>
        <v>10298276scawhi</v>
      </c>
      <c r="B248" s="59" t="str">
        <f t="shared" si="26"/>
        <v>96-193-18</v>
      </c>
      <c r="C248" s="69" t="s">
        <v>1714</v>
      </c>
      <c r="D248" s="69" t="s">
        <v>1715</v>
      </c>
      <c r="E248" s="69" t="s">
        <v>1025</v>
      </c>
      <c r="F248" s="70">
        <v>58</v>
      </c>
      <c r="G248" s="70" t="s">
        <v>1716</v>
      </c>
      <c r="H248" s="69" t="s">
        <v>78</v>
      </c>
      <c r="I248" s="69" t="s">
        <v>1338</v>
      </c>
      <c r="J248" s="69" t="s">
        <v>327</v>
      </c>
      <c r="K248" s="69" t="s">
        <v>382</v>
      </c>
      <c r="L248" s="69" t="s">
        <v>887</v>
      </c>
      <c r="M248" s="69" t="s">
        <v>388</v>
      </c>
      <c r="N248" s="69" t="s">
        <v>43</v>
      </c>
      <c r="O248" s="69" t="s">
        <v>541</v>
      </c>
      <c r="P248" s="69" t="s">
        <v>979</v>
      </c>
      <c r="Q248" s="69" t="s">
        <v>1057</v>
      </c>
      <c r="R248" s="69" t="s">
        <v>78</v>
      </c>
      <c r="T248" s="69" t="s">
        <v>911</v>
      </c>
      <c r="U248" s="69" t="s">
        <v>914</v>
      </c>
      <c r="V248" s="59" t="str">
        <f t="shared" si="27"/>
        <v>10298276красный</v>
      </c>
      <c r="W248" s="59" t="str">
        <f t="shared" si="24"/>
        <v>10298276</v>
      </c>
      <c r="X248" s="59" t="str">
        <f t="shared" si="28"/>
        <v>New York Yankees MLB</v>
      </c>
      <c r="AC248" s="50">
        <f t="shared" si="29"/>
        <v>96</v>
      </c>
      <c r="AD248" s="43">
        <f t="shared" si="30"/>
        <v>193</v>
      </c>
      <c r="AE248" s="50">
        <f t="shared" si="31"/>
        <v>96193</v>
      </c>
    </row>
    <row r="249" spans="1:31">
      <c r="A249" s="59" t="str">
        <f t="shared" si="25"/>
        <v>10298276scawhi</v>
      </c>
      <c r="B249" s="59" t="str">
        <f t="shared" si="26"/>
        <v>96-193-18</v>
      </c>
      <c r="C249" s="69" t="s">
        <v>1717</v>
      </c>
      <c r="D249" s="69" t="s">
        <v>1715</v>
      </c>
      <c r="E249" s="69" t="s">
        <v>1029</v>
      </c>
      <c r="F249" s="70">
        <v>56</v>
      </c>
      <c r="G249" s="70" t="s">
        <v>1716</v>
      </c>
      <c r="H249" s="69" t="s">
        <v>78</v>
      </c>
      <c r="I249" s="69" t="s">
        <v>1338</v>
      </c>
      <c r="J249" s="69" t="s">
        <v>327</v>
      </c>
      <c r="K249" s="69" t="s">
        <v>382</v>
      </c>
      <c r="L249" s="69" t="s">
        <v>887</v>
      </c>
      <c r="M249" s="69" t="s">
        <v>388</v>
      </c>
      <c r="N249" s="69" t="s">
        <v>43</v>
      </c>
      <c r="O249" s="69" t="s">
        <v>541</v>
      </c>
      <c r="P249" s="69" t="s">
        <v>979</v>
      </c>
      <c r="Q249" s="69" t="s">
        <v>1057</v>
      </c>
      <c r="R249" s="69" t="s">
        <v>78</v>
      </c>
      <c r="T249" s="69" t="s">
        <v>911</v>
      </c>
      <c r="U249" s="69" t="s">
        <v>914</v>
      </c>
      <c r="V249" s="59" t="str">
        <f t="shared" si="27"/>
        <v>10298276красный</v>
      </c>
      <c r="W249" s="59" t="str">
        <f t="shared" si="24"/>
        <v>10298276</v>
      </c>
      <c r="X249" s="59" t="str">
        <f t="shared" si="28"/>
        <v>New York Yankees MLB</v>
      </c>
      <c r="AC249" s="50">
        <f t="shared" si="29"/>
        <v>96</v>
      </c>
      <c r="AD249" s="43">
        <f t="shared" si="30"/>
        <v>193</v>
      </c>
      <c r="AE249" s="50">
        <f t="shared" si="31"/>
        <v>96193</v>
      </c>
    </row>
    <row r="250" spans="1:31">
      <c r="A250" s="59" t="str">
        <f t="shared" si="25"/>
        <v>10145640nvywhi</v>
      </c>
      <c r="B250" s="59" t="str">
        <f t="shared" si="26"/>
        <v>96-192-16</v>
      </c>
      <c r="C250" s="69" t="s">
        <v>1718</v>
      </c>
      <c r="D250" s="69" t="s">
        <v>1719</v>
      </c>
      <c r="E250" s="69" t="s">
        <v>1029</v>
      </c>
      <c r="F250" s="70">
        <v>56</v>
      </c>
      <c r="G250" s="70" t="s">
        <v>1720</v>
      </c>
      <c r="H250" s="69" t="s">
        <v>55</v>
      </c>
      <c r="I250" s="69" t="s">
        <v>1338</v>
      </c>
      <c r="J250" s="69" t="s">
        <v>327</v>
      </c>
      <c r="K250" s="69" t="s">
        <v>382</v>
      </c>
      <c r="L250" s="69" t="s">
        <v>887</v>
      </c>
      <c r="M250" s="69" t="s">
        <v>388</v>
      </c>
      <c r="N250" s="69" t="s">
        <v>43</v>
      </c>
      <c r="O250" s="69" t="s">
        <v>541</v>
      </c>
      <c r="P250" s="69" t="s">
        <v>979</v>
      </c>
      <c r="Q250" s="69" t="s">
        <v>1601</v>
      </c>
      <c r="R250" s="69" t="s">
        <v>71</v>
      </c>
      <c r="T250" s="69" t="s">
        <v>911</v>
      </c>
      <c r="U250" s="69" t="s">
        <v>912</v>
      </c>
      <c r="V250" s="59" t="str">
        <f t="shared" si="27"/>
        <v>10145640темно-синий</v>
      </c>
      <c r="W250" s="59" t="str">
        <f t="shared" si="24"/>
        <v>10145640</v>
      </c>
      <c r="X250" s="59" t="str">
        <f t="shared" si="28"/>
        <v>Los Angeles Dodgers MLB</v>
      </c>
      <c r="AC250" s="50">
        <f t="shared" si="29"/>
        <v>96</v>
      </c>
      <c r="AD250" s="43">
        <f t="shared" si="30"/>
        <v>192</v>
      </c>
      <c r="AE250" s="50">
        <f t="shared" si="31"/>
        <v>96192</v>
      </c>
    </row>
    <row r="251" spans="1:31">
      <c r="A251" s="59" t="str">
        <f t="shared" si="25"/>
        <v>10861624</v>
      </c>
      <c r="B251" s="59" t="str">
        <f t="shared" si="26"/>
        <v>96-213-</v>
      </c>
      <c r="C251" s="69" t="s">
        <v>1820</v>
      </c>
      <c r="G251" s="70" t="s">
        <v>1748</v>
      </c>
      <c r="V251" s="59" t="str">
        <f t="shared" si="27"/>
        <v>10861624</v>
      </c>
      <c r="W251" s="59" t="str">
        <f t="shared" si="24"/>
        <v>10861624</v>
      </c>
      <c r="X251" s="59" t="str">
        <f t="shared" si="28"/>
        <v/>
      </c>
      <c r="AC251" s="50">
        <f t="shared" si="29"/>
        <v>96</v>
      </c>
      <c r="AD251" s="43">
        <f t="shared" si="30"/>
        <v>213</v>
      </c>
      <c r="AE251" s="50">
        <f t="shared" si="31"/>
        <v>96213</v>
      </c>
    </row>
    <row r="252" spans="1:31">
      <c r="A252" s="59" t="str">
        <f t="shared" si="25"/>
        <v>10862335</v>
      </c>
      <c r="B252" s="59" t="str">
        <f t="shared" si="26"/>
        <v>96-214-</v>
      </c>
      <c r="C252" s="69" t="s">
        <v>1821</v>
      </c>
      <c r="G252" s="70" t="s">
        <v>1749</v>
      </c>
      <c r="V252" s="59" t="str">
        <f t="shared" si="27"/>
        <v>10862335</v>
      </c>
      <c r="W252" s="59" t="str">
        <f t="shared" si="24"/>
        <v>10862335</v>
      </c>
      <c r="X252" s="59" t="str">
        <f t="shared" si="28"/>
        <v/>
      </c>
      <c r="AC252" s="50">
        <f t="shared" si="29"/>
        <v>96</v>
      </c>
      <c r="AD252" s="43">
        <f t="shared" si="30"/>
        <v>214</v>
      </c>
      <c r="AE252" s="50">
        <f t="shared" si="31"/>
        <v>96214</v>
      </c>
    </row>
    <row r="253" spans="1:31">
      <c r="A253" s="59" t="str">
        <f t="shared" si="25"/>
        <v>10862336</v>
      </c>
      <c r="B253" s="59" t="str">
        <f t="shared" si="26"/>
        <v>96-215-</v>
      </c>
      <c r="C253" s="69" t="s">
        <v>1822</v>
      </c>
      <c r="G253" s="70" t="s">
        <v>1750</v>
      </c>
      <c r="V253" s="59" t="str">
        <f t="shared" si="27"/>
        <v>10862336</v>
      </c>
      <c r="W253" s="59" t="str">
        <f t="shared" si="24"/>
        <v>10862336</v>
      </c>
      <c r="X253" s="59" t="str">
        <f t="shared" si="28"/>
        <v/>
      </c>
      <c r="AC253" s="50">
        <f t="shared" si="29"/>
        <v>96</v>
      </c>
      <c r="AD253" s="43">
        <f t="shared" si="30"/>
        <v>215</v>
      </c>
      <c r="AE253" s="50">
        <f t="shared" si="31"/>
        <v>96215</v>
      </c>
    </row>
    <row r="254" spans="1:31">
      <c r="A254" s="59" t="str">
        <f t="shared" si="25"/>
        <v>10879530</v>
      </c>
      <c r="B254" s="59" t="str">
        <f t="shared" si="26"/>
        <v>96-216-</v>
      </c>
      <c r="C254" s="69" t="s">
        <v>1823</v>
      </c>
      <c r="G254" s="70" t="s">
        <v>1751</v>
      </c>
      <c r="V254" s="59" t="str">
        <f t="shared" si="27"/>
        <v>10879530</v>
      </c>
      <c r="W254" s="59" t="str">
        <f t="shared" si="24"/>
        <v>10879530</v>
      </c>
      <c r="X254" s="59" t="str">
        <f t="shared" si="28"/>
        <v/>
      </c>
      <c r="AC254" s="50">
        <f t="shared" si="29"/>
        <v>96</v>
      </c>
      <c r="AD254" s="43">
        <f t="shared" si="30"/>
        <v>216</v>
      </c>
      <c r="AE254" s="50">
        <f t="shared" si="31"/>
        <v>96216</v>
      </c>
    </row>
    <row r="255" spans="1:31">
      <c r="A255" s="59" t="str">
        <f t="shared" si="25"/>
        <v>11074364</v>
      </c>
      <c r="B255" s="59" t="str">
        <f t="shared" si="26"/>
        <v>96-217-</v>
      </c>
      <c r="C255" s="69" t="s">
        <v>1824</v>
      </c>
      <c r="G255" s="70" t="s">
        <v>1752</v>
      </c>
      <c r="V255" s="59" t="str">
        <f t="shared" si="27"/>
        <v>11074364</v>
      </c>
      <c r="W255" s="59" t="str">
        <f t="shared" si="24"/>
        <v>11074364</v>
      </c>
      <c r="X255" s="59" t="str">
        <f t="shared" si="28"/>
        <v/>
      </c>
      <c r="AC255" s="50">
        <f t="shared" si="29"/>
        <v>96</v>
      </c>
      <c r="AD255" s="43">
        <f t="shared" si="30"/>
        <v>217</v>
      </c>
      <c r="AE255" s="50">
        <f t="shared" si="31"/>
        <v>96217</v>
      </c>
    </row>
    <row r="256" spans="1:31">
      <c r="A256" s="59" t="str">
        <f t="shared" si="25"/>
        <v>11086491</v>
      </c>
      <c r="B256" s="59" t="str">
        <f t="shared" si="26"/>
        <v>96-218-</v>
      </c>
      <c r="C256" s="69" t="s">
        <v>1825</v>
      </c>
      <c r="G256" s="70" t="s">
        <v>1753</v>
      </c>
      <c r="V256" s="59" t="str">
        <f t="shared" si="27"/>
        <v>11086491</v>
      </c>
      <c r="W256" s="59" t="str">
        <f t="shared" si="24"/>
        <v>11086491</v>
      </c>
      <c r="X256" s="59" t="str">
        <f t="shared" si="28"/>
        <v/>
      </c>
      <c r="AC256" s="50">
        <f t="shared" si="29"/>
        <v>96</v>
      </c>
      <c r="AD256" s="43">
        <f t="shared" si="30"/>
        <v>218</v>
      </c>
      <c r="AE256" s="50">
        <f t="shared" si="31"/>
        <v>96218</v>
      </c>
    </row>
    <row r="257" spans="1:31">
      <c r="A257" s="59" t="str">
        <f t="shared" si="25"/>
        <v>11180833</v>
      </c>
      <c r="B257" s="59" t="str">
        <f t="shared" si="26"/>
        <v>96-219-</v>
      </c>
      <c r="C257" s="69" t="s">
        <v>1826</v>
      </c>
      <c r="G257" s="70" t="s">
        <v>1754</v>
      </c>
      <c r="V257" s="59" t="str">
        <f t="shared" si="27"/>
        <v>11180833</v>
      </c>
      <c r="W257" s="59" t="str">
        <f t="shared" si="24"/>
        <v>11180833</v>
      </c>
      <c r="X257" s="59" t="str">
        <f t="shared" si="28"/>
        <v/>
      </c>
      <c r="AC257" s="50">
        <f t="shared" si="29"/>
        <v>96</v>
      </c>
      <c r="AD257" s="43">
        <f t="shared" si="30"/>
        <v>219</v>
      </c>
      <c r="AE257" s="50">
        <f t="shared" si="31"/>
        <v>96219</v>
      </c>
    </row>
    <row r="258" spans="1:31">
      <c r="A258" s="59" t="str">
        <f t="shared" si="25"/>
        <v>11198849</v>
      </c>
      <c r="B258" s="59" t="str">
        <f t="shared" si="26"/>
        <v>96-220-</v>
      </c>
      <c r="C258" s="69" t="s">
        <v>1827</v>
      </c>
      <c r="G258" s="70" t="s">
        <v>1755</v>
      </c>
      <c r="V258" s="59" t="str">
        <f t="shared" si="27"/>
        <v>11198849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11198849</v>
      </c>
      <c r="X258" s="59" t="str">
        <f t="shared" si="28"/>
        <v/>
      </c>
      <c r="AC258" s="50">
        <f t="shared" si="29"/>
        <v>96</v>
      </c>
      <c r="AD258" s="43">
        <f t="shared" si="30"/>
        <v>220</v>
      </c>
      <c r="AE258" s="50">
        <f t="shared" si="31"/>
        <v>96220</v>
      </c>
    </row>
    <row r="259" spans="1:31">
      <c r="A259" s="59" t="str">
        <f t="shared" ref="A259:A322" si="33">IF(G259&amp;Q259&lt;&gt;"",W259&amp;Q259,"")</f>
        <v>11405495</v>
      </c>
      <c r="B259" s="59" t="str">
        <f t="shared" ref="B259:B322" si="34">IF(C259&lt;&gt;"",LEFT(C259,9),"")</f>
        <v>96-221-</v>
      </c>
      <c r="C259" s="69" t="s">
        <v>1828</v>
      </c>
      <c r="G259" s="70" t="s">
        <v>1757</v>
      </c>
      <c r="V259" s="59" t="str">
        <f t="shared" ref="V259:V322" si="35">W259&amp;H259</f>
        <v>11405495</v>
      </c>
      <c r="W259" s="59" t="str">
        <f t="shared" si="32"/>
        <v>11405495</v>
      </c>
      <c r="X259" s="59" t="str">
        <f t="shared" ref="X259:X322" si="36">IF(A259&lt;&gt;"",IFERROR(IF(FIND(" ",G259)&gt;=1,MID(G259,FIND(" ",G259)+1,LEN(G259)),""),""),"")</f>
        <v/>
      </c>
      <c r="AC259" s="50">
        <f t="shared" ref="AC259:AC322" si="37">IFERROR(VALUE(MID($C259,1,2)),0)</f>
        <v>96</v>
      </c>
      <c r="AD259" s="43">
        <f t="shared" ref="AD259:AD322" si="38">IFERROR(VALUE(MID($C259,4,3)),0)</f>
        <v>221</v>
      </c>
      <c r="AE259" s="50">
        <f t="shared" ref="AE259:AE322" si="39">VALUE(RIGHT("00"&amp;AC259,2)&amp;RIGHT("000"&amp;AD259,3))</f>
        <v>96221</v>
      </c>
    </row>
    <row r="260" spans="1:31">
      <c r="A260" s="59" t="str">
        <f t="shared" si="33"/>
        <v>11448335</v>
      </c>
      <c r="B260" s="59" t="str">
        <f t="shared" si="34"/>
        <v>96-222-</v>
      </c>
      <c r="C260" s="69" t="s">
        <v>1829</v>
      </c>
      <c r="G260" s="70" t="s">
        <v>1758</v>
      </c>
      <c r="V260" s="59" t="str">
        <f t="shared" si="35"/>
        <v>11448335</v>
      </c>
      <c r="W260" s="59" t="str">
        <f t="shared" si="32"/>
        <v>11448335</v>
      </c>
      <c r="X260" s="59" t="str">
        <f t="shared" si="36"/>
        <v/>
      </c>
      <c r="AC260" s="50">
        <f t="shared" si="37"/>
        <v>96</v>
      </c>
      <c r="AD260" s="43">
        <f t="shared" si="38"/>
        <v>222</v>
      </c>
      <c r="AE260" s="50">
        <f t="shared" si="39"/>
        <v>96222</v>
      </c>
    </row>
    <row r="261" spans="1:31">
      <c r="A261" s="59" t="str">
        <f t="shared" si="33"/>
        <v>11588489</v>
      </c>
      <c r="B261" s="59" t="str">
        <f t="shared" si="34"/>
        <v>96-223-</v>
      </c>
      <c r="C261" s="69" t="s">
        <v>1830</v>
      </c>
      <c r="G261" s="70" t="s">
        <v>1759</v>
      </c>
      <c r="V261" s="59" t="str">
        <f t="shared" si="35"/>
        <v>11588489</v>
      </c>
      <c r="W261" s="59" t="str">
        <f t="shared" si="32"/>
        <v>11588489</v>
      </c>
      <c r="X261" s="59" t="str">
        <f t="shared" si="36"/>
        <v/>
      </c>
      <c r="AC261" s="50">
        <f t="shared" si="37"/>
        <v>96</v>
      </c>
      <c r="AD261" s="43">
        <f t="shared" si="38"/>
        <v>223</v>
      </c>
      <c r="AE261" s="50">
        <f t="shared" si="39"/>
        <v>96223</v>
      </c>
    </row>
    <row r="262" spans="1:31">
      <c r="A262" s="59" t="str">
        <f t="shared" si="33"/>
        <v>11871284</v>
      </c>
      <c r="B262" s="59" t="str">
        <f t="shared" si="34"/>
        <v>96-224-</v>
      </c>
      <c r="C262" s="69" t="s">
        <v>1831</v>
      </c>
      <c r="G262" s="70" t="s">
        <v>1760</v>
      </c>
      <c r="V262" s="59" t="str">
        <f t="shared" si="35"/>
        <v>11871284</v>
      </c>
      <c r="W262" s="59" t="str">
        <f t="shared" si="32"/>
        <v>11871284</v>
      </c>
      <c r="X262" s="59" t="str">
        <f t="shared" si="36"/>
        <v/>
      </c>
      <c r="AC262" s="50">
        <f t="shared" si="37"/>
        <v>96</v>
      </c>
      <c r="AD262" s="43">
        <f t="shared" si="38"/>
        <v>224</v>
      </c>
      <c r="AE262" s="50">
        <f t="shared" si="39"/>
        <v>96224</v>
      </c>
    </row>
    <row r="263" spans="1:31">
      <c r="A263" s="59" t="str">
        <f t="shared" si="33"/>
        <v>11901827</v>
      </c>
      <c r="B263" s="59" t="str">
        <f t="shared" si="34"/>
        <v>96-225-</v>
      </c>
      <c r="C263" s="69" t="s">
        <v>1832</v>
      </c>
      <c r="G263" s="70" t="s">
        <v>1761</v>
      </c>
      <c r="V263" s="59" t="str">
        <f t="shared" si="35"/>
        <v>11901827</v>
      </c>
      <c r="W263" s="59" t="str">
        <f t="shared" si="32"/>
        <v>11901827</v>
      </c>
      <c r="X263" s="59" t="str">
        <f t="shared" si="36"/>
        <v/>
      </c>
      <c r="AC263" s="50">
        <f t="shared" si="37"/>
        <v>96</v>
      </c>
      <c r="AD263" s="43">
        <f t="shared" si="38"/>
        <v>225</v>
      </c>
      <c r="AE263" s="50">
        <f t="shared" si="39"/>
        <v>96225</v>
      </c>
    </row>
    <row r="264" spans="1:31">
      <c r="A264" s="59" t="str">
        <f t="shared" si="33"/>
        <v>12033100</v>
      </c>
      <c r="B264" s="59" t="str">
        <f t="shared" si="34"/>
        <v>96-226-</v>
      </c>
      <c r="C264" s="69" t="s">
        <v>1833</v>
      </c>
      <c r="G264" s="70" t="s">
        <v>1762</v>
      </c>
      <c r="V264" s="59" t="str">
        <f t="shared" si="35"/>
        <v>12033100</v>
      </c>
      <c r="W264" s="59" t="str">
        <f t="shared" si="32"/>
        <v>12033100</v>
      </c>
      <c r="X264" s="59" t="str">
        <f t="shared" si="36"/>
        <v/>
      </c>
      <c r="AC264" s="50">
        <f t="shared" si="37"/>
        <v>96</v>
      </c>
      <c r="AD264" s="43">
        <f t="shared" si="38"/>
        <v>226</v>
      </c>
      <c r="AE264" s="50">
        <f t="shared" si="39"/>
        <v>96226</v>
      </c>
    </row>
    <row r="265" spans="1:31">
      <c r="A265" s="59" t="str">
        <f t="shared" si="33"/>
        <v>12122725</v>
      </c>
      <c r="B265" s="59" t="str">
        <f t="shared" si="34"/>
        <v>96-227-</v>
      </c>
      <c r="C265" s="69" t="s">
        <v>1834</v>
      </c>
      <c r="G265" s="70" t="s">
        <v>1765</v>
      </c>
      <c r="V265" s="59" t="str">
        <f t="shared" si="35"/>
        <v>12122725</v>
      </c>
      <c r="W265" s="59" t="str">
        <f t="shared" si="32"/>
        <v>12122725</v>
      </c>
      <c r="X265" s="59" t="str">
        <f t="shared" si="36"/>
        <v/>
      </c>
      <c r="AC265" s="50">
        <f t="shared" si="37"/>
        <v>96</v>
      </c>
      <c r="AD265" s="43">
        <f t="shared" si="38"/>
        <v>227</v>
      </c>
      <c r="AE265" s="50">
        <f t="shared" si="39"/>
        <v>96227</v>
      </c>
    </row>
    <row r="266" spans="1:31">
      <c r="A266" s="59" t="str">
        <f t="shared" si="33"/>
        <v>12503527</v>
      </c>
      <c r="B266" s="59" t="str">
        <f t="shared" si="34"/>
        <v>96-228-</v>
      </c>
      <c r="C266" s="69" t="s">
        <v>1835</v>
      </c>
      <c r="G266" s="70" t="s">
        <v>1767</v>
      </c>
      <c r="V266" s="59" t="str">
        <f t="shared" si="35"/>
        <v>12503527</v>
      </c>
      <c r="W266" s="59" t="str">
        <f t="shared" si="32"/>
        <v>12503527</v>
      </c>
      <c r="X266" s="59" t="str">
        <f t="shared" si="36"/>
        <v/>
      </c>
      <c r="AC266" s="50">
        <f t="shared" si="37"/>
        <v>96</v>
      </c>
      <c r="AD266" s="43">
        <f t="shared" si="38"/>
        <v>228</v>
      </c>
      <c r="AE266" s="50">
        <f t="shared" si="39"/>
        <v>96228</v>
      </c>
    </row>
    <row r="267" spans="1:31">
      <c r="A267" s="59" t="str">
        <f t="shared" si="33"/>
        <v>12503535</v>
      </c>
      <c r="B267" s="59" t="str">
        <f t="shared" si="34"/>
        <v>96-229-</v>
      </c>
      <c r="C267" s="69" t="s">
        <v>1836</v>
      </c>
      <c r="G267" s="70" t="s">
        <v>1768</v>
      </c>
      <c r="V267" s="59" t="str">
        <f t="shared" si="35"/>
        <v>12503535</v>
      </c>
      <c r="W267" s="59" t="str">
        <f t="shared" si="32"/>
        <v>12503535</v>
      </c>
      <c r="X267" s="59" t="str">
        <f t="shared" si="36"/>
        <v/>
      </c>
      <c r="AC267" s="50">
        <f t="shared" si="37"/>
        <v>96</v>
      </c>
      <c r="AD267" s="43">
        <f t="shared" si="38"/>
        <v>229</v>
      </c>
      <c r="AE267" s="50">
        <f t="shared" si="39"/>
        <v>96229</v>
      </c>
    </row>
    <row r="268" spans="1:31">
      <c r="A268" s="59" t="str">
        <f t="shared" si="33"/>
        <v>12503546</v>
      </c>
      <c r="B268" s="59" t="str">
        <f t="shared" si="34"/>
        <v>96-230-</v>
      </c>
      <c r="C268" s="69" t="s">
        <v>1837</v>
      </c>
      <c r="G268" s="70" t="s">
        <v>1769</v>
      </c>
      <c r="V268" s="59" t="str">
        <f t="shared" si="35"/>
        <v>12503546</v>
      </c>
      <c r="W268" s="59" t="str">
        <f t="shared" si="32"/>
        <v>12503546</v>
      </c>
      <c r="X268" s="59" t="str">
        <f t="shared" si="36"/>
        <v/>
      </c>
      <c r="AC268" s="50">
        <f t="shared" si="37"/>
        <v>96</v>
      </c>
      <c r="AD268" s="43">
        <f t="shared" si="38"/>
        <v>230</v>
      </c>
      <c r="AE268" s="50">
        <f t="shared" si="39"/>
        <v>96230</v>
      </c>
    </row>
    <row r="269" spans="1:31">
      <c r="A269" s="59" t="str">
        <f t="shared" si="33"/>
        <v>12503924</v>
      </c>
      <c r="B269" s="59" t="str">
        <f t="shared" si="34"/>
        <v>96-231-</v>
      </c>
      <c r="C269" s="69" t="s">
        <v>1838</v>
      </c>
      <c r="G269" s="70" t="s">
        <v>1770</v>
      </c>
      <c r="V269" s="59" t="str">
        <f t="shared" si="35"/>
        <v>12503924</v>
      </c>
      <c r="W269" s="59" t="str">
        <f t="shared" si="32"/>
        <v>12503924</v>
      </c>
      <c r="X269" s="59" t="str">
        <f t="shared" si="36"/>
        <v/>
      </c>
      <c r="AC269" s="50">
        <f t="shared" si="37"/>
        <v>96</v>
      </c>
      <c r="AD269" s="43">
        <f t="shared" si="38"/>
        <v>231</v>
      </c>
      <c r="AE269" s="50">
        <f t="shared" si="39"/>
        <v>96231</v>
      </c>
    </row>
    <row r="270" spans="1:31">
      <c r="A270" s="59" t="str">
        <f t="shared" si="33"/>
        <v>12503934</v>
      </c>
      <c r="B270" s="59" t="str">
        <f t="shared" si="34"/>
        <v>96-232-</v>
      </c>
      <c r="C270" s="69" t="s">
        <v>1839</v>
      </c>
      <c r="G270" s="70" t="s">
        <v>1771</v>
      </c>
      <c r="V270" s="59" t="str">
        <f t="shared" si="35"/>
        <v>12503934</v>
      </c>
      <c r="W270" s="59" t="str">
        <f t="shared" si="32"/>
        <v>12503934</v>
      </c>
      <c r="X270" s="59" t="str">
        <f t="shared" si="36"/>
        <v/>
      </c>
      <c r="AC270" s="50">
        <f t="shared" si="37"/>
        <v>96</v>
      </c>
      <c r="AD270" s="43">
        <f t="shared" si="38"/>
        <v>232</v>
      </c>
      <c r="AE270" s="50">
        <f t="shared" si="39"/>
        <v>96232</v>
      </c>
    </row>
    <row r="271" spans="1:31">
      <c r="A271" s="59" t="str">
        <f t="shared" si="33"/>
        <v>12523897</v>
      </c>
      <c r="B271" s="59" t="str">
        <f t="shared" si="34"/>
        <v>96-233-</v>
      </c>
      <c r="C271" s="69" t="s">
        <v>1840</v>
      </c>
      <c r="G271" s="70" t="s">
        <v>1772</v>
      </c>
      <c r="V271" s="59" t="str">
        <f t="shared" si="35"/>
        <v>12523897</v>
      </c>
      <c r="W271" s="59" t="str">
        <f t="shared" si="32"/>
        <v>12523897</v>
      </c>
      <c r="X271" s="59" t="str">
        <f t="shared" si="36"/>
        <v/>
      </c>
      <c r="AC271" s="50">
        <f t="shared" si="37"/>
        <v>96</v>
      </c>
      <c r="AD271" s="43">
        <f t="shared" si="38"/>
        <v>233</v>
      </c>
      <c r="AE271" s="50">
        <f t="shared" si="39"/>
        <v>96233</v>
      </c>
    </row>
    <row r="272" spans="1:31">
      <c r="A272" s="59" t="str">
        <f t="shared" si="33"/>
        <v>12523910</v>
      </c>
      <c r="B272" s="59" t="str">
        <f t="shared" si="34"/>
        <v>96-234-</v>
      </c>
      <c r="C272" s="69" t="s">
        <v>1841</v>
      </c>
      <c r="G272" s="70" t="s">
        <v>1773</v>
      </c>
      <c r="V272" s="59" t="str">
        <f t="shared" si="35"/>
        <v>12523910</v>
      </c>
      <c r="W272" s="59" t="str">
        <f t="shared" si="32"/>
        <v>12523910</v>
      </c>
      <c r="X272" s="59" t="str">
        <f t="shared" si="36"/>
        <v/>
      </c>
      <c r="AC272" s="50">
        <f t="shared" si="37"/>
        <v>96</v>
      </c>
      <c r="AD272" s="43">
        <f t="shared" si="38"/>
        <v>234</v>
      </c>
      <c r="AE272" s="50">
        <f t="shared" si="39"/>
        <v>96234</v>
      </c>
    </row>
    <row r="273" spans="1:31">
      <c r="A273" s="59" t="str">
        <f t="shared" si="33"/>
        <v>60221494</v>
      </c>
      <c r="B273" s="59" t="str">
        <f t="shared" si="34"/>
        <v>96-235-</v>
      </c>
      <c r="C273" s="69" t="s">
        <v>1842</v>
      </c>
      <c r="G273" s="70" t="s">
        <v>1776</v>
      </c>
      <c r="V273" s="59" t="str">
        <f t="shared" si="35"/>
        <v>60221494</v>
      </c>
      <c r="W273" s="59" t="str">
        <f t="shared" si="32"/>
        <v>60221494</v>
      </c>
      <c r="X273" s="59" t="str">
        <f t="shared" si="36"/>
        <v/>
      </c>
      <c r="AC273" s="50">
        <f t="shared" si="37"/>
        <v>96</v>
      </c>
      <c r="AD273" s="43">
        <f t="shared" si="38"/>
        <v>235</v>
      </c>
      <c r="AE273" s="50">
        <f t="shared" si="39"/>
        <v>96235</v>
      </c>
    </row>
    <row r="274" spans="1:31">
      <c r="A274" s="59" t="str">
        <f t="shared" si="33"/>
        <v>60221531</v>
      </c>
      <c r="B274" s="59" t="str">
        <f t="shared" si="34"/>
        <v>96-236-</v>
      </c>
      <c r="C274" s="69" t="s">
        <v>1843</v>
      </c>
      <c r="G274" s="70" t="s">
        <v>1777</v>
      </c>
      <c r="V274" s="59" t="str">
        <f t="shared" si="35"/>
        <v>60221531</v>
      </c>
      <c r="W274" s="59" t="str">
        <f t="shared" si="32"/>
        <v>60221531</v>
      </c>
      <c r="X274" s="59" t="str">
        <f t="shared" si="36"/>
        <v/>
      </c>
      <c r="AC274" s="50">
        <f t="shared" si="37"/>
        <v>96</v>
      </c>
      <c r="AD274" s="43">
        <f t="shared" si="38"/>
        <v>236</v>
      </c>
      <c r="AE274" s="50">
        <f t="shared" si="39"/>
        <v>96236</v>
      </c>
    </row>
    <row r="275" spans="1:31">
      <c r="A275" s="59" t="str">
        <f t="shared" si="33"/>
        <v>60221568</v>
      </c>
      <c r="B275" s="59" t="str">
        <f t="shared" si="34"/>
        <v>96-237-</v>
      </c>
      <c r="C275" s="69" t="s">
        <v>1844</v>
      </c>
      <c r="G275" s="70" t="s">
        <v>1778</v>
      </c>
      <c r="V275" s="59" t="str">
        <f t="shared" si="35"/>
        <v>60221568</v>
      </c>
      <c r="W275" s="59" t="str">
        <f t="shared" si="32"/>
        <v>60221568</v>
      </c>
      <c r="X275" s="59" t="str">
        <f t="shared" si="36"/>
        <v/>
      </c>
      <c r="AC275" s="50">
        <f t="shared" si="37"/>
        <v>96</v>
      </c>
      <c r="AD275" s="43">
        <f t="shared" si="38"/>
        <v>237</v>
      </c>
      <c r="AE275" s="50">
        <f t="shared" si="39"/>
        <v>96237</v>
      </c>
    </row>
    <row r="276" spans="1:31">
      <c r="A276" s="59" t="str">
        <f t="shared" si="33"/>
        <v>60222237</v>
      </c>
      <c r="B276" s="59" t="str">
        <f t="shared" si="34"/>
        <v>96-238-</v>
      </c>
      <c r="C276" s="69" t="s">
        <v>1845</v>
      </c>
      <c r="G276" s="70" t="s">
        <v>1779</v>
      </c>
      <c r="V276" s="59" t="str">
        <f t="shared" si="35"/>
        <v>60222237</v>
      </c>
      <c r="W276" s="59" t="str">
        <f t="shared" si="32"/>
        <v>60222237</v>
      </c>
      <c r="X276" s="59" t="str">
        <f t="shared" si="36"/>
        <v/>
      </c>
      <c r="AC276" s="50">
        <f t="shared" si="37"/>
        <v>96</v>
      </c>
      <c r="AD276" s="43">
        <f t="shared" si="38"/>
        <v>238</v>
      </c>
      <c r="AE276" s="50">
        <f t="shared" si="39"/>
        <v>96238</v>
      </c>
    </row>
    <row r="277" spans="1:31">
      <c r="A277" s="59" t="str">
        <f t="shared" si="33"/>
        <v>60222257</v>
      </c>
      <c r="B277" s="59" t="str">
        <f t="shared" si="34"/>
        <v>96-239-</v>
      </c>
      <c r="C277" s="69" t="s">
        <v>1846</v>
      </c>
      <c r="G277" s="70" t="s">
        <v>1780</v>
      </c>
      <c r="V277" s="59" t="str">
        <f t="shared" si="35"/>
        <v>60222257</v>
      </c>
      <c r="W277" s="59" t="str">
        <f t="shared" si="32"/>
        <v>60222257</v>
      </c>
      <c r="X277" s="59" t="str">
        <f t="shared" si="36"/>
        <v/>
      </c>
      <c r="AC277" s="50">
        <f t="shared" si="37"/>
        <v>96</v>
      </c>
      <c r="AD277" s="43">
        <f t="shared" si="38"/>
        <v>239</v>
      </c>
      <c r="AE277" s="50">
        <f t="shared" si="39"/>
        <v>96239</v>
      </c>
    </row>
    <row r="278" spans="1:31">
      <c r="A278" s="59" t="str">
        <f t="shared" si="33"/>
        <v>60222275</v>
      </c>
      <c r="B278" s="59" t="str">
        <f t="shared" si="34"/>
        <v>96-240-</v>
      </c>
      <c r="C278" s="69" t="s">
        <v>1847</v>
      </c>
      <c r="G278" s="70" t="s">
        <v>1781</v>
      </c>
      <c r="V278" s="59" t="str">
        <f t="shared" si="35"/>
        <v>60222275</v>
      </c>
      <c r="W278" s="59" t="str">
        <f t="shared" si="32"/>
        <v>60222275</v>
      </c>
      <c r="X278" s="59" t="str">
        <f t="shared" si="36"/>
        <v/>
      </c>
      <c r="AC278" s="50">
        <f t="shared" si="37"/>
        <v>96</v>
      </c>
      <c r="AD278" s="43">
        <f t="shared" si="38"/>
        <v>240</v>
      </c>
      <c r="AE278" s="50">
        <f t="shared" si="39"/>
        <v>96240</v>
      </c>
    </row>
    <row r="279" spans="1:31">
      <c r="A279" s="59" t="str">
        <f t="shared" si="33"/>
        <v>60222277</v>
      </c>
      <c r="B279" s="59" t="str">
        <f t="shared" si="34"/>
        <v>96-241-</v>
      </c>
      <c r="C279" s="69" t="s">
        <v>1848</v>
      </c>
      <c r="G279" s="70" t="s">
        <v>1782</v>
      </c>
      <c r="V279" s="59" t="str">
        <f t="shared" si="35"/>
        <v>60222277</v>
      </c>
      <c r="W279" s="59" t="str">
        <f t="shared" si="32"/>
        <v>60222277</v>
      </c>
      <c r="X279" s="59" t="str">
        <f t="shared" si="36"/>
        <v/>
      </c>
      <c r="AC279" s="50">
        <f t="shared" si="37"/>
        <v>96</v>
      </c>
      <c r="AD279" s="43">
        <f t="shared" si="38"/>
        <v>241</v>
      </c>
      <c r="AE279" s="50">
        <f t="shared" si="39"/>
        <v>96241</v>
      </c>
    </row>
    <row r="280" spans="1:31">
      <c r="A280" s="59" t="str">
        <f t="shared" si="33"/>
        <v>60222290</v>
      </c>
      <c r="B280" s="59" t="str">
        <f t="shared" si="34"/>
        <v>96-242-</v>
      </c>
      <c r="C280" s="69" t="s">
        <v>1849</v>
      </c>
      <c r="G280" s="70" t="s">
        <v>1783</v>
      </c>
      <c r="V280" s="59" t="str">
        <f t="shared" si="35"/>
        <v>60222290</v>
      </c>
      <c r="W280" s="59" t="str">
        <f t="shared" si="32"/>
        <v>60222290</v>
      </c>
      <c r="X280" s="59" t="str">
        <f t="shared" si="36"/>
        <v/>
      </c>
      <c r="AC280" s="50">
        <f t="shared" si="37"/>
        <v>96</v>
      </c>
      <c r="AD280" s="43">
        <f t="shared" si="38"/>
        <v>242</v>
      </c>
      <c r="AE280" s="50">
        <f t="shared" si="39"/>
        <v>96242</v>
      </c>
    </row>
    <row r="281" spans="1:31">
      <c r="A281" s="59" t="str">
        <f t="shared" si="33"/>
        <v>60222318</v>
      </c>
      <c r="B281" s="59" t="str">
        <f t="shared" si="34"/>
        <v>96-243-</v>
      </c>
      <c r="C281" s="69" t="s">
        <v>1850</v>
      </c>
      <c r="G281" s="70" t="s">
        <v>1784</v>
      </c>
      <c r="V281" s="59" t="str">
        <f t="shared" si="35"/>
        <v>60222318</v>
      </c>
      <c r="W281" s="59" t="str">
        <f t="shared" si="32"/>
        <v>60222318</v>
      </c>
      <c r="X281" s="59" t="str">
        <f t="shared" si="36"/>
        <v/>
      </c>
      <c r="AC281" s="50">
        <f t="shared" si="37"/>
        <v>96</v>
      </c>
      <c r="AD281" s="43">
        <f t="shared" si="38"/>
        <v>243</v>
      </c>
      <c r="AE281" s="50">
        <f t="shared" si="39"/>
        <v>96243</v>
      </c>
    </row>
    <row r="282" spans="1:31">
      <c r="A282" s="59" t="str">
        <f t="shared" si="33"/>
        <v>60222356</v>
      </c>
      <c r="B282" s="59" t="str">
        <f t="shared" si="34"/>
        <v>96-244-</v>
      </c>
      <c r="C282" s="69" t="s">
        <v>1851</v>
      </c>
      <c r="G282" s="70" t="s">
        <v>1785</v>
      </c>
      <c r="V282" s="59" t="str">
        <f t="shared" si="35"/>
        <v>60222356</v>
      </c>
      <c r="W282" s="59" t="str">
        <f t="shared" si="32"/>
        <v>60222356</v>
      </c>
      <c r="X282" s="59" t="str">
        <f t="shared" si="36"/>
        <v/>
      </c>
      <c r="AC282" s="50">
        <f t="shared" si="37"/>
        <v>96</v>
      </c>
      <c r="AD282" s="43">
        <f t="shared" si="38"/>
        <v>244</v>
      </c>
      <c r="AE282" s="50">
        <f t="shared" si="39"/>
        <v>96244</v>
      </c>
    </row>
    <row r="283" spans="1:31">
      <c r="A283" s="59" t="str">
        <f t="shared" si="33"/>
        <v>60222362</v>
      </c>
      <c r="B283" s="59" t="str">
        <f t="shared" si="34"/>
        <v>96-245-</v>
      </c>
      <c r="C283" s="69" t="s">
        <v>1852</v>
      </c>
      <c r="G283" s="70" t="s">
        <v>1786</v>
      </c>
      <c r="V283" s="59" t="str">
        <f t="shared" si="35"/>
        <v>60222362</v>
      </c>
      <c r="W283" s="59" t="str">
        <f t="shared" si="32"/>
        <v>60222362</v>
      </c>
      <c r="X283" s="59" t="str">
        <f t="shared" si="36"/>
        <v/>
      </c>
      <c r="AC283" s="50">
        <f t="shared" si="37"/>
        <v>96</v>
      </c>
      <c r="AD283" s="43">
        <f t="shared" si="38"/>
        <v>245</v>
      </c>
      <c r="AE283" s="50">
        <f t="shared" si="39"/>
        <v>96245</v>
      </c>
    </row>
    <row r="284" spans="1:31">
      <c r="A284" s="59" t="str">
        <f t="shared" si="33"/>
        <v>60222529</v>
      </c>
      <c r="B284" s="59" t="str">
        <f t="shared" si="34"/>
        <v>96-246-</v>
      </c>
      <c r="C284" s="69" t="s">
        <v>1853</v>
      </c>
      <c r="G284" s="70" t="s">
        <v>1789</v>
      </c>
      <c r="V284" s="59" t="str">
        <f t="shared" si="35"/>
        <v>60222529</v>
      </c>
      <c r="W284" s="59" t="str">
        <f t="shared" si="32"/>
        <v>60222529</v>
      </c>
      <c r="X284" s="59" t="str">
        <f t="shared" si="36"/>
        <v/>
      </c>
      <c r="AC284" s="50">
        <f t="shared" si="37"/>
        <v>96</v>
      </c>
      <c r="AD284" s="43">
        <f t="shared" si="38"/>
        <v>246</v>
      </c>
      <c r="AE284" s="50">
        <f t="shared" si="39"/>
        <v>96246</v>
      </c>
    </row>
    <row r="285" spans="1:31">
      <c r="A285" s="59" t="str">
        <f t="shared" si="33"/>
        <v>60222530</v>
      </c>
      <c r="B285" s="59" t="str">
        <f t="shared" si="34"/>
        <v>96-247-</v>
      </c>
      <c r="C285" s="69" t="s">
        <v>1854</v>
      </c>
      <c r="G285" s="70" t="s">
        <v>1790</v>
      </c>
      <c r="V285" s="59" t="str">
        <f t="shared" si="35"/>
        <v>60222530</v>
      </c>
      <c r="W285" s="59" t="str">
        <f t="shared" si="32"/>
        <v>60222530</v>
      </c>
      <c r="X285" s="59" t="str">
        <f t="shared" si="36"/>
        <v/>
      </c>
      <c r="AC285" s="50">
        <f t="shared" si="37"/>
        <v>96</v>
      </c>
      <c r="AD285" s="43">
        <f t="shared" si="38"/>
        <v>247</v>
      </c>
      <c r="AE285" s="50">
        <f t="shared" si="39"/>
        <v>96247</v>
      </c>
    </row>
    <row r="286" spans="1:31">
      <c r="A286" s="59" t="str">
        <f t="shared" si="33"/>
        <v>60222561</v>
      </c>
      <c r="B286" s="59" t="str">
        <f t="shared" si="34"/>
        <v>96-248-</v>
      </c>
      <c r="C286" s="69" t="s">
        <v>1855</v>
      </c>
      <c r="G286" s="70" t="s">
        <v>1791</v>
      </c>
      <c r="V286" s="59" t="str">
        <f t="shared" si="35"/>
        <v>60222561</v>
      </c>
      <c r="W286" s="59" t="str">
        <f t="shared" si="32"/>
        <v>60222561</v>
      </c>
      <c r="X286" s="59" t="str">
        <f t="shared" si="36"/>
        <v/>
      </c>
      <c r="AC286" s="50">
        <f t="shared" si="37"/>
        <v>96</v>
      </c>
      <c r="AD286" s="43">
        <f t="shared" si="38"/>
        <v>248</v>
      </c>
      <c r="AE286" s="50">
        <f t="shared" si="39"/>
        <v>96248</v>
      </c>
    </row>
    <row r="287" spans="1:31">
      <c r="A287" s="59" t="str">
        <f t="shared" si="33"/>
        <v/>
      </c>
      <c r="B287" s="59" t="str">
        <f t="shared" si="34"/>
        <v/>
      </c>
      <c r="V287" s="59" t="str">
        <f t="shared" si="35"/>
        <v/>
      </c>
      <c r="W287" s="59" t="str">
        <f t="shared" si="32"/>
        <v/>
      </c>
      <c r="X287" s="59" t="str">
        <f t="shared" si="36"/>
        <v/>
      </c>
      <c r="AC287" s="50">
        <f t="shared" si="37"/>
        <v>0</v>
      </c>
      <c r="AD287" s="43">
        <f t="shared" si="38"/>
        <v>0</v>
      </c>
      <c r="AE287" s="50">
        <f t="shared" si="39"/>
        <v>0</v>
      </c>
    </row>
    <row r="288" spans="1:31">
      <c r="A288" s="59" t="str">
        <f t="shared" si="33"/>
        <v/>
      </c>
      <c r="B288" s="59" t="str">
        <f t="shared" si="34"/>
        <v/>
      </c>
      <c r="V288" s="59" t="str">
        <f t="shared" si="35"/>
        <v/>
      </c>
      <c r="W288" s="59" t="str">
        <f t="shared" si="32"/>
        <v/>
      </c>
      <c r="X288" s="59" t="str">
        <f t="shared" si="36"/>
        <v/>
      </c>
      <c r="AC288" s="50">
        <f t="shared" si="37"/>
        <v>0</v>
      </c>
      <c r="AD288" s="43">
        <f t="shared" si="38"/>
        <v>0</v>
      </c>
      <c r="AE288" s="50">
        <f t="shared" si="39"/>
        <v>0</v>
      </c>
    </row>
    <row r="289" spans="1:31">
      <c r="A289" s="59" t="str">
        <f t="shared" si="33"/>
        <v/>
      </c>
      <c r="B289" s="59" t="str">
        <f t="shared" si="34"/>
        <v/>
      </c>
      <c r="V289" s="59" t="str">
        <f t="shared" si="35"/>
        <v/>
      </c>
      <c r="W289" s="59" t="str">
        <f t="shared" si="32"/>
        <v/>
      </c>
      <c r="X289" s="59" t="str">
        <f t="shared" si="36"/>
        <v/>
      </c>
      <c r="AC289" s="50">
        <f t="shared" si="37"/>
        <v>0</v>
      </c>
      <c r="AD289" s="43">
        <f t="shared" si="38"/>
        <v>0</v>
      </c>
      <c r="AE289" s="50">
        <f t="shared" si="39"/>
        <v>0</v>
      </c>
    </row>
    <row r="290" spans="1:31">
      <c r="A290" s="59" t="str">
        <f t="shared" si="33"/>
        <v/>
      </c>
      <c r="B290" s="59" t="str">
        <f t="shared" si="34"/>
        <v/>
      </c>
      <c r="V290" s="59" t="str">
        <f t="shared" si="35"/>
        <v/>
      </c>
      <c r="W290" s="59" t="str">
        <f t="shared" si="32"/>
        <v/>
      </c>
      <c r="X290" s="59" t="str">
        <f t="shared" si="36"/>
        <v/>
      </c>
      <c r="AC290" s="50">
        <f t="shared" si="37"/>
        <v>0</v>
      </c>
      <c r="AD290" s="43">
        <f t="shared" si="38"/>
        <v>0</v>
      </c>
      <c r="AE290" s="50">
        <f t="shared" si="39"/>
        <v>0</v>
      </c>
    </row>
    <row r="291" spans="1:31">
      <c r="A291" s="59" t="str">
        <f t="shared" si="33"/>
        <v/>
      </c>
      <c r="B291" s="59" t="str">
        <f t="shared" si="34"/>
        <v/>
      </c>
      <c r="V291" s="59" t="str">
        <f t="shared" si="35"/>
        <v/>
      </c>
      <c r="W291" s="59" t="str">
        <f t="shared" si="32"/>
        <v/>
      </c>
      <c r="X291" s="59" t="str">
        <f t="shared" si="36"/>
        <v/>
      </c>
      <c r="AC291" s="50">
        <f t="shared" si="37"/>
        <v>0</v>
      </c>
      <c r="AD291" s="43">
        <f t="shared" si="38"/>
        <v>0</v>
      </c>
      <c r="AE291" s="50">
        <f t="shared" si="39"/>
        <v>0</v>
      </c>
    </row>
    <row r="292" spans="1:31">
      <c r="A292" s="59" t="str">
        <f t="shared" si="33"/>
        <v/>
      </c>
      <c r="B292" s="59" t="str">
        <f t="shared" si="34"/>
        <v/>
      </c>
      <c r="V292" s="59" t="str">
        <f t="shared" si="35"/>
        <v/>
      </c>
      <c r="W292" s="59" t="str">
        <f t="shared" si="32"/>
        <v/>
      </c>
      <c r="X292" s="59" t="str">
        <f t="shared" si="36"/>
        <v/>
      </c>
      <c r="AC292" s="50">
        <f t="shared" si="37"/>
        <v>0</v>
      </c>
      <c r="AD292" s="43">
        <f t="shared" si="38"/>
        <v>0</v>
      </c>
      <c r="AE292" s="50">
        <f t="shared" si="39"/>
        <v>0</v>
      </c>
    </row>
    <row r="293" spans="1:31">
      <c r="A293" s="59" t="str">
        <f t="shared" si="33"/>
        <v/>
      </c>
      <c r="B293" s="59" t="str">
        <f t="shared" si="34"/>
        <v/>
      </c>
      <c r="V293" s="59" t="str">
        <f t="shared" si="35"/>
        <v/>
      </c>
      <c r="W293" s="59" t="str">
        <f t="shared" si="32"/>
        <v/>
      </c>
      <c r="X293" s="59" t="str">
        <f t="shared" si="36"/>
        <v/>
      </c>
      <c r="AC293" s="50">
        <f t="shared" si="37"/>
        <v>0</v>
      </c>
      <c r="AD293" s="43">
        <f t="shared" si="38"/>
        <v>0</v>
      </c>
      <c r="AE293" s="50">
        <f t="shared" si="39"/>
        <v>0</v>
      </c>
    </row>
    <row r="294" spans="1:31">
      <c r="A294" s="59" t="str">
        <f t="shared" si="33"/>
        <v/>
      </c>
      <c r="B294" s="59" t="str">
        <f t="shared" si="34"/>
        <v/>
      </c>
      <c r="V294" s="59" t="str">
        <f t="shared" si="35"/>
        <v/>
      </c>
      <c r="W294" s="59" t="str">
        <f t="shared" si="32"/>
        <v/>
      </c>
      <c r="X294" s="59" t="str">
        <f t="shared" si="36"/>
        <v/>
      </c>
      <c r="AC294" s="50">
        <f t="shared" si="37"/>
        <v>0</v>
      </c>
      <c r="AD294" s="43">
        <f t="shared" si="38"/>
        <v>0</v>
      </c>
      <c r="AE294" s="50">
        <f t="shared" si="39"/>
        <v>0</v>
      </c>
    </row>
    <row r="295" spans="1:31">
      <c r="A295" s="59" t="str">
        <f t="shared" si="33"/>
        <v/>
      </c>
      <c r="B295" s="59" t="str">
        <f t="shared" si="34"/>
        <v/>
      </c>
      <c r="V295" s="59" t="str">
        <f t="shared" si="35"/>
        <v/>
      </c>
      <c r="W295" s="59" t="str">
        <f t="shared" si="32"/>
        <v/>
      </c>
      <c r="X295" s="59" t="str">
        <f t="shared" si="36"/>
        <v/>
      </c>
      <c r="AC295" s="50">
        <f t="shared" si="37"/>
        <v>0</v>
      </c>
      <c r="AD295" s="43">
        <f t="shared" si="38"/>
        <v>0</v>
      </c>
      <c r="AE295" s="50">
        <f t="shared" si="39"/>
        <v>0</v>
      </c>
    </row>
    <row r="296" spans="1:31">
      <c r="A296" s="59" t="str">
        <f t="shared" si="33"/>
        <v/>
      </c>
      <c r="B296" s="59" t="str">
        <f t="shared" si="34"/>
        <v/>
      </c>
      <c r="V296" s="59" t="str">
        <f t="shared" si="35"/>
        <v/>
      </c>
      <c r="W296" s="59" t="str">
        <f t="shared" si="32"/>
        <v/>
      </c>
      <c r="X296" s="59" t="str">
        <f t="shared" si="36"/>
        <v/>
      </c>
      <c r="AC296" s="50">
        <f t="shared" si="37"/>
        <v>0</v>
      </c>
      <c r="AD296" s="43">
        <f t="shared" si="38"/>
        <v>0</v>
      </c>
      <c r="AE296" s="50">
        <f t="shared" si="39"/>
        <v>0</v>
      </c>
    </row>
    <row r="297" spans="1:31">
      <c r="A297" s="59" t="str">
        <f t="shared" si="33"/>
        <v/>
      </c>
      <c r="B297" s="59" t="str">
        <f t="shared" si="34"/>
        <v/>
      </c>
      <c r="V297" s="59" t="str">
        <f t="shared" si="35"/>
        <v/>
      </c>
      <c r="W297" s="59" t="str">
        <f t="shared" si="32"/>
        <v/>
      </c>
      <c r="X297" s="59" t="str">
        <f t="shared" si="36"/>
        <v/>
      </c>
      <c r="AC297" s="50">
        <f t="shared" si="37"/>
        <v>0</v>
      </c>
      <c r="AD297" s="43">
        <f t="shared" si="38"/>
        <v>0</v>
      </c>
      <c r="AE297" s="50">
        <f t="shared" si="39"/>
        <v>0</v>
      </c>
    </row>
    <row r="298" spans="1:31">
      <c r="A298" s="59" t="str">
        <f t="shared" si="33"/>
        <v/>
      </c>
      <c r="B298" s="59" t="str">
        <f t="shared" si="34"/>
        <v/>
      </c>
      <c r="V298" s="59" t="str">
        <f t="shared" si="35"/>
        <v/>
      </c>
      <c r="W298" s="59" t="str">
        <f t="shared" si="32"/>
        <v/>
      </c>
      <c r="X298" s="59" t="str">
        <f t="shared" si="36"/>
        <v/>
      </c>
      <c r="AC298" s="50">
        <f t="shared" si="37"/>
        <v>0</v>
      </c>
      <c r="AD298" s="43">
        <f t="shared" si="38"/>
        <v>0</v>
      </c>
      <c r="AE298" s="50">
        <f t="shared" si="39"/>
        <v>0</v>
      </c>
    </row>
    <row r="299" spans="1:31">
      <c r="A299" s="59" t="str">
        <f t="shared" si="33"/>
        <v/>
      </c>
      <c r="B299" s="59" t="str">
        <f t="shared" si="34"/>
        <v/>
      </c>
      <c r="V299" s="59" t="str">
        <f t="shared" si="35"/>
        <v/>
      </c>
      <c r="W299" s="59" t="str">
        <f t="shared" si="32"/>
        <v/>
      </c>
      <c r="X299" s="59" t="str">
        <f t="shared" si="36"/>
        <v/>
      </c>
      <c r="AC299" s="50">
        <f t="shared" si="37"/>
        <v>0</v>
      </c>
      <c r="AD299" s="43">
        <f t="shared" si="38"/>
        <v>0</v>
      </c>
      <c r="AE299" s="50">
        <f t="shared" si="39"/>
        <v>0</v>
      </c>
    </row>
    <row r="300" spans="1:31">
      <c r="A300" s="59" t="str">
        <f t="shared" si="33"/>
        <v/>
      </c>
      <c r="B300" s="59" t="str">
        <f t="shared" si="34"/>
        <v/>
      </c>
      <c r="V300" s="59" t="str">
        <f t="shared" si="35"/>
        <v/>
      </c>
      <c r="W300" s="59" t="str">
        <f t="shared" si="32"/>
        <v/>
      </c>
      <c r="X300" s="59" t="str">
        <f t="shared" si="36"/>
        <v/>
      </c>
      <c r="AC300" s="50">
        <f t="shared" si="37"/>
        <v>0</v>
      </c>
      <c r="AD300" s="43">
        <f t="shared" si="38"/>
        <v>0</v>
      </c>
      <c r="AE300" s="50">
        <f t="shared" si="39"/>
        <v>0</v>
      </c>
    </row>
    <row r="301" spans="1:31">
      <c r="A301" s="59" t="str">
        <f t="shared" si="33"/>
        <v/>
      </c>
      <c r="B301" s="59" t="str">
        <f t="shared" si="34"/>
        <v/>
      </c>
      <c r="V301" s="59" t="str">
        <f t="shared" si="35"/>
        <v/>
      </c>
      <c r="W301" s="59" t="str">
        <f t="shared" si="32"/>
        <v/>
      </c>
      <c r="X301" s="59" t="str">
        <f t="shared" si="36"/>
        <v/>
      </c>
      <c r="AC301" s="50">
        <f t="shared" si="37"/>
        <v>0</v>
      </c>
      <c r="AD301" s="43">
        <f t="shared" si="38"/>
        <v>0</v>
      </c>
      <c r="AE301" s="50">
        <f t="shared" si="39"/>
        <v>0</v>
      </c>
    </row>
    <row r="302" spans="1:31">
      <c r="A302" s="59" t="str">
        <f t="shared" si="33"/>
        <v/>
      </c>
      <c r="B302" s="59" t="str">
        <f t="shared" si="34"/>
        <v/>
      </c>
      <c r="V302" s="59" t="str">
        <f t="shared" si="35"/>
        <v/>
      </c>
      <c r="W302" s="59" t="str">
        <f t="shared" si="32"/>
        <v/>
      </c>
      <c r="X302" s="59" t="str">
        <f t="shared" si="36"/>
        <v/>
      </c>
      <c r="AC302" s="50">
        <f t="shared" si="37"/>
        <v>0</v>
      </c>
      <c r="AD302" s="43">
        <f t="shared" si="38"/>
        <v>0</v>
      </c>
      <c r="AE302" s="50">
        <f t="shared" si="39"/>
        <v>0</v>
      </c>
    </row>
    <row r="303" spans="1:31">
      <c r="A303" s="59" t="str">
        <f t="shared" si="33"/>
        <v/>
      </c>
      <c r="B303" s="59" t="str">
        <f t="shared" si="34"/>
        <v/>
      </c>
      <c r="V303" s="59" t="str">
        <f t="shared" si="35"/>
        <v/>
      </c>
      <c r="W303" s="59" t="str">
        <f t="shared" si="32"/>
        <v/>
      </c>
      <c r="X303" s="59" t="str">
        <f t="shared" si="36"/>
        <v/>
      </c>
      <c r="AC303" s="50">
        <f t="shared" si="37"/>
        <v>0</v>
      </c>
      <c r="AD303" s="43">
        <f t="shared" si="38"/>
        <v>0</v>
      </c>
      <c r="AE303" s="50">
        <f t="shared" si="39"/>
        <v>0</v>
      </c>
    </row>
    <row r="304" spans="1:31">
      <c r="A304" s="59" t="str">
        <f t="shared" si="33"/>
        <v/>
      </c>
      <c r="B304" s="59" t="str">
        <f t="shared" si="34"/>
        <v/>
      </c>
      <c r="V304" s="59" t="str">
        <f t="shared" si="35"/>
        <v/>
      </c>
      <c r="W304" s="59" t="str">
        <f t="shared" si="32"/>
        <v/>
      </c>
      <c r="X304" s="59" t="str">
        <f t="shared" si="36"/>
        <v/>
      </c>
      <c r="AC304" s="50">
        <f t="shared" si="37"/>
        <v>0</v>
      </c>
      <c r="AD304" s="43">
        <f t="shared" si="38"/>
        <v>0</v>
      </c>
      <c r="AE304" s="50">
        <f t="shared" si="39"/>
        <v>0</v>
      </c>
    </row>
    <row r="305" spans="1:31">
      <c r="A305" s="59" t="str">
        <f t="shared" si="33"/>
        <v/>
      </c>
      <c r="B305" s="59" t="str">
        <f t="shared" si="34"/>
        <v/>
      </c>
      <c r="V305" s="59" t="str">
        <f t="shared" si="35"/>
        <v/>
      </c>
      <c r="W305" s="59" t="str">
        <f t="shared" si="32"/>
        <v/>
      </c>
      <c r="X305" s="59" t="str">
        <f t="shared" si="36"/>
        <v/>
      </c>
      <c r="AC305" s="50">
        <f t="shared" si="37"/>
        <v>0</v>
      </c>
      <c r="AD305" s="43">
        <f t="shared" si="38"/>
        <v>0</v>
      </c>
      <c r="AE305" s="50">
        <f t="shared" si="39"/>
        <v>0</v>
      </c>
    </row>
    <row r="306" spans="1:31">
      <c r="A306" s="59" t="str">
        <f t="shared" si="33"/>
        <v/>
      </c>
      <c r="B306" s="59" t="str">
        <f t="shared" si="34"/>
        <v/>
      </c>
      <c r="V306" s="59" t="str">
        <f t="shared" si="35"/>
        <v/>
      </c>
      <c r="W306" s="59" t="str">
        <f t="shared" si="32"/>
        <v/>
      </c>
      <c r="X306" s="59" t="str">
        <f t="shared" si="36"/>
        <v/>
      </c>
      <c r="AC306" s="50">
        <f t="shared" si="37"/>
        <v>0</v>
      </c>
      <c r="AD306" s="43">
        <f t="shared" si="38"/>
        <v>0</v>
      </c>
      <c r="AE306" s="50">
        <f t="shared" si="39"/>
        <v>0</v>
      </c>
    </row>
    <row r="307" spans="1:31">
      <c r="A307" s="59" t="str">
        <f t="shared" si="33"/>
        <v/>
      </c>
      <c r="B307" s="59" t="str">
        <f t="shared" si="34"/>
        <v/>
      </c>
      <c r="V307" s="59" t="str">
        <f t="shared" si="35"/>
        <v/>
      </c>
      <c r="W307" s="59" t="str">
        <f t="shared" si="32"/>
        <v/>
      </c>
      <c r="X307" s="59" t="str">
        <f t="shared" si="36"/>
        <v/>
      </c>
      <c r="AC307" s="50">
        <f t="shared" si="37"/>
        <v>0</v>
      </c>
      <c r="AD307" s="43">
        <f t="shared" si="38"/>
        <v>0</v>
      </c>
      <c r="AE307" s="50">
        <f t="shared" si="39"/>
        <v>0</v>
      </c>
    </row>
    <row r="308" spans="1:31">
      <c r="A308" s="59" t="str">
        <f t="shared" si="33"/>
        <v/>
      </c>
      <c r="B308" s="59" t="str">
        <f t="shared" si="34"/>
        <v/>
      </c>
      <c r="V308" s="59" t="str">
        <f t="shared" si="35"/>
        <v/>
      </c>
      <c r="W308" s="59" t="str">
        <f t="shared" si="32"/>
        <v/>
      </c>
      <c r="X308" s="59" t="str">
        <f t="shared" si="36"/>
        <v/>
      </c>
      <c r="AC308" s="50">
        <f t="shared" si="37"/>
        <v>0</v>
      </c>
      <c r="AD308" s="43">
        <f t="shared" si="38"/>
        <v>0</v>
      </c>
      <c r="AE308" s="50">
        <f t="shared" si="39"/>
        <v>0</v>
      </c>
    </row>
    <row r="309" spans="1:31">
      <c r="A309" s="59" t="str">
        <f t="shared" si="33"/>
        <v/>
      </c>
      <c r="B309" s="59" t="str">
        <f t="shared" si="34"/>
        <v/>
      </c>
      <c r="V309" s="59" t="str">
        <f t="shared" si="35"/>
        <v/>
      </c>
      <c r="W309" s="59" t="str">
        <f t="shared" si="32"/>
        <v/>
      </c>
      <c r="X309" s="59" t="str">
        <f t="shared" si="36"/>
        <v/>
      </c>
      <c r="AC309" s="50">
        <f t="shared" si="37"/>
        <v>0</v>
      </c>
      <c r="AD309" s="43">
        <f t="shared" si="38"/>
        <v>0</v>
      </c>
      <c r="AE309" s="50">
        <f t="shared" si="39"/>
        <v>0</v>
      </c>
    </row>
    <row r="310" spans="1:31">
      <c r="A310" s="59" t="str">
        <f t="shared" si="33"/>
        <v/>
      </c>
      <c r="B310" s="59" t="str">
        <f t="shared" si="34"/>
        <v/>
      </c>
      <c r="V310" s="59" t="str">
        <f t="shared" si="35"/>
        <v/>
      </c>
      <c r="W310" s="59" t="str">
        <f t="shared" si="32"/>
        <v/>
      </c>
      <c r="X310" s="59" t="str">
        <f t="shared" si="36"/>
        <v/>
      </c>
      <c r="AC310" s="50">
        <f t="shared" si="37"/>
        <v>0</v>
      </c>
      <c r="AD310" s="43">
        <f t="shared" si="38"/>
        <v>0</v>
      </c>
      <c r="AE310" s="50">
        <f t="shared" si="39"/>
        <v>0</v>
      </c>
    </row>
    <row r="311" spans="1:31">
      <c r="A311" s="59" t="str">
        <f t="shared" si="33"/>
        <v/>
      </c>
      <c r="B311" s="59" t="str">
        <f t="shared" si="34"/>
        <v/>
      </c>
      <c r="V311" s="59" t="str">
        <f t="shared" si="35"/>
        <v/>
      </c>
      <c r="W311" s="59" t="str">
        <f t="shared" si="32"/>
        <v/>
      </c>
      <c r="X311" s="59" t="str">
        <f t="shared" si="36"/>
        <v/>
      </c>
      <c r="AC311" s="50">
        <f t="shared" si="37"/>
        <v>0</v>
      </c>
      <c r="AD311" s="43">
        <f t="shared" si="38"/>
        <v>0</v>
      </c>
      <c r="AE311" s="50">
        <f t="shared" si="39"/>
        <v>0</v>
      </c>
    </row>
    <row r="312" spans="1:31">
      <c r="A312" s="59" t="str">
        <f t="shared" si="33"/>
        <v/>
      </c>
      <c r="B312" s="59" t="str">
        <f t="shared" si="34"/>
        <v/>
      </c>
      <c r="V312" s="59" t="str">
        <f t="shared" si="35"/>
        <v/>
      </c>
      <c r="W312" s="59" t="str">
        <f t="shared" si="32"/>
        <v/>
      </c>
      <c r="X312" s="59" t="str">
        <f t="shared" si="36"/>
        <v/>
      </c>
      <c r="AC312" s="50">
        <f t="shared" si="37"/>
        <v>0</v>
      </c>
      <c r="AD312" s="43">
        <f t="shared" si="38"/>
        <v>0</v>
      </c>
      <c r="AE312" s="50">
        <f t="shared" si="39"/>
        <v>0</v>
      </c>
    </row>
    <row r="313" spans="1:31">
      <c r="A313" s="59" t="str">
        <f t="shared" si="33"/>
        <v/>
      </c>
      <c r="B313" s="59" t="str">
        <f t="shared" si="34"/>
        <v/>
      </c>
      <c r="V313" s="59" t="str">
        <f t="shared" si="35"/>
        <v/>
      </c>
      <c r="W313" s="59" t="str">
        <f t="shared" si="32"/>
        <v/>
      </c>
      <c r="X313" s="59" t="str">
        <f t="shared" si="36"/>
        <v/>
      </c>
      <c r="AC313" s="50">
        <f t="shared" si="37"/>
        <v>0</v>
      </c>
      <c r="AD313" s="43">
        <f t="shared" si="38"/>
        <v>0</v>
      </c>
      <c r="AE313" s="50">
        <f t="shared" si="39"/>
        <v>0</v>
      </c>
    </row>
    <row r="314" spans="1:31">
      <c r="A314" s="59" t="str">
        <f t="shared" si="33"/>
        <v/>
      </c>
      <c r="B314" s="59" t="str">
        <f t="shared" si="34"/>
        <v/>
      </c>
      <c r="V314" s="59" t="str">
        <f t="shared" si="35"/>
        <v/>
      </c>
      <c r="W314" s="59" t="str">
        <f t="shared" si="32"/>
        <v/>
      </c>
      <c r="X314" s="59" t="str">
        <f t="shared" si="36"/>
        <v/>
      </c>
      <c r="AC314" s="50">
        <f t="shared" si="37"/>
        <v>0</v>
      </c>
      <c r="AD314" s="43">
        <f t="shared" si="38"/>
        <v>0</v>
      </c>
      <c r="AE314" s="50">
        <f t="shared" si="39"/>
        <v>0</v>
      </c>
    </row>
    <row r="315" spans="1:31">
      <c r="A315" s="59" t="str">
        <f t="shared" si="33"/>
        <v/>
      </c>
      <c r="B315" s="59" t="str">
        <f t="shared" si="34"/>
        <v/>
      </c>
      <c r="V315" s="59" t="str">
        <f t="shared" si="35"/>
        <v/>
      </c>
      <c r="W315" s="59" t="str">
        <f t="shared" si="32"/>
        <v/>
      </c>
      <c r="X315" s="59" t="str">
        <f t="shared" si="36"/>
        <v/>
      </c>
      <c r="AC315" s="50">
        <f t="shared" si="37"/>
        <v>0</v>
      </c>
      <c r="AD315" s="43">
        <f t="shared" si="38"/>
        <v>0</v>
      </c>
      <c r="AE315" s="50">
        <f t="shared" si="39"/>
        <v>0</v>
      </c>
    </row>
    <row r="316" spans="1:31">
      <c r="A316" s="59" t="str">
        <f t="shared" si="33"/>
        <v/>
      </c>
      <c r="B316" s="59" t="str">
        <f t="shared" si="34"/>
        <v/>
      </c>
      <c r="V316" s="59" t="str">
        <f t="shared" si="35"/>
        <v/>
      </c>
      <c r="W316" s="59" t="str">
        <f t="shared" si="32"/>
        <v/>
      </c>
      <c r="X316" s="59" t="str">
        <f t="shared" si="36"/>
        <v/>
      </c>
      <c r="AC316" s="50">
        <f t="shared" si="37"/>
        <v>0</v>
      </c>
      <c r="AD316" s="43">
        <f t="shared" si="38"/>
        <v>0</v>
      </c>
      <c r="AE316" s="50">
        <f t="shared" si="39"/>
        <v>0</v>
      </c>
    </row>
    <row r="317" spans="1:31">
      <c r="A317" s="59" t="str">
        <f t="shared" si="33"/>
        <v/>
      </c>
      <c r="B317" s="59" t="str">
        <f t="shared" si="34"/>
        <v/>
      </c>
      <c r="V317" s="59" t="str">
        <f t="shared" si="35"/>
        <v/>
      </c>
      <c r="W317" s="59" t="str">
        <f t="shared" si="32"/>
        <v/>
      </c>
      <c r="X317" s="59" t="str">
        <f t="shared" si="36"/>
        <v/>
      </c>
      <c r="AC317" s="50">
        <f t="shared" si="37"/>
        <v>0</v>
      </c>
      <c r="AD317" s="43">
        <f t="shared" si="38"/>
        <v>0</v>
      </c>
      <c r="AE317" s="50">
        <f t="shared" si="39"/>
        <v>0</v>
      </c>
    </row>
    <row r="318" spans="1:31">
      <c r="A318" s="59" t="str">
        <f t="shared" si="33"/>
        <v/>
      </c>
      <c r="B318" s="59" t="str">
        <f t="shared" si="34"/>
        <v/>
      </c>
      <c r="V318" s="59" t="str">
        <f t="shared" si="35"/>
        <v/>
      </c>
      <c r="W318" s="59" t="str">
        <f t="shared" si="32"/>
        <v/>
      </c>
      <c r="X318" s="59" t="str">
        <f t="shared" si="36"/>
        <v/>
      </c>
      <c r="AC318" s="50">
        <f t="shared" si="37"/>
        <v>0</v>
      </c>
      <c r="AD318" s="43">
        <f t="shared" si="38"/>
        <v>0</v>
      </c>
      <c r="AE318" s="50">
        <f t="shared" si="39"/>
        <v>0</v>
      </c>
    </row>
    <row r="319" spans="1:31">
      <c r="A319" s="59" t="str">
        <f t="shared" si="33"/>
        <v/>
      </c>
      <c r="B319" s="59" t="str">
        <f t="shared" si="34"/>
        <v/>
      </c>
      <c r="V319" s="59" t="str">
        <f t="shared" si="35"/>
        <v/>
      </c>
      <c r="W319" s="59" t="str">
        <f t="shared" si="32"/>
        <v/>
      </c>
      <c r="X319" s="59" t="str">
        <f t="shared" si="36"/>
        <v/>
      </c>
      <c r="AC319" s="50">
        <f t="shared" si="37"/>
        <v>0</v>
      </c>
      <c r="AD319" s="43">
        <f t="shared" si="38"/>
        <v>0</v>
      </c>
      <c r="AE319" s="50">
        <f t="shared" si="39"/>
        <v>0</v>
      </c>
    </row>
    <row r="320" spans="1:31">
      <c r="A320" s="59" t="str">
        <f t="shared" si="33"/>
        <v/>
      </c>
      <c r="B320" s="59" t="str">
        <f t="shared" si="34"/>
        <v/>
      </c>
      <c r="V320" s="59" t="str">
        <f t="shared" si="35"/>
        <v/>
      </c>
      <c r="W320" s="59" t="str">
        <f t="shared" si="32"/>
        <v/>
      </c>
      <c r="X320" s="59" t="str">
        <f t="shared" si="36"/>
        <v/>
      </c>
      <c r="AC320" s="50">
        <f t="shared" si="37"/>
        <v>0</v>
      </c>
      <c r="AD320" s="43">
        <f t="shared" si="38"/>
        <v>0</v>
      </c>
      <c r="AE320" s="50">
        <f t="shared" si="39"/>
        <v>0</v>
      </c>
    </row>
    <row r="321" spans="1:31">
      <c r="A321" s="59" t="str">
        <f t="shared" si="33"/>
        <v/>
      </c>
      <c r="B321" s="59" t="str">
        <f t="shared" si="34"/>
        <v/>
      </c>
      <c r="V321" s="59" t="str">
        <f t="shared" si="35"/>
        <v/>
      </c>
      <c r="W321" s="59" t="str">
        <f t="shared" si="32"/>
        <v/>
      </c>
      <c r="X321" s="59" t="str">
        <f t="shared" si="36"/>
        <v/>
      </c>
      <c r="AC321" s="50">
        <f t="shared" si="37"/>
        <v>0</v>
      </c>
      <c r="AD321" s="43">
        <f t="shared" si="38"/>
        <v>0</v>
      </c>
      <c r="AE321" s="50">
        <f t="shared" si="39"/>
        <v>0</v>
      </c>
    </row>
    <row r="322" spans="1:31">
      <c r="A322" s="59" t="str">
        <f t="shared" si="33"/>
        <v/>
      </c>
      <c r="B322" s="59" t="str">
        <f t="shared" si="34"/>
        <v/>
      </c>
      <c r="V322" s="59" t="str">
        <f t="shared" si="35"/>
        <v/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59" t="str">
        <f t="shared" si="36"/>
        <v/>
      </c>
      <c r="AC322" s="50">
        <f t="shared" si="37"/>
        <v>0</v>
      </c>
      <c r="AD322" s="43">
        <f t="shared" si="38"/>
        <v>0</v>
      </c>
      <c r="AE322" s="50">
        <f t="shared" si="39"/>
        <v>0</v>
      </c>
    </row>
    <row r="323" spans="1:31">
      <c r="A323" s="59" t="str">
        <f t="shared" ref="A323:A386" si="41">IF(G323&amp;Q323&lt;&gt;"",W323&amp;Q323,"")</f>
        <v/>
      </c>
      <c r="B323" s="59" t="str">
        <f t="shared" ref="B323:B386" si="42">IF(C323&lt;&gt;"",LEFT(C323,9),"")</f>
        <v/>
      </c>
      <c r="V323" s="59" t="str">
        <f t="shared" ref="V323:V386" si="43">W323&amp;H323</f>
        <v/>
      </c>
      <c r="W323" s="59" t="str">
        <f t="shared" si="40"/>
        <v/>
      </c>
      <c r="X323" s="59" t="str">
        <f t="shared" ref="X323:X386" si="44">IF(A323&lt;&gt;"",IFERROR(IF(FIND(" ",G323)&gt;=1,MID(G323,FIND(" ",G323)+1,LEN(G323)),""),""),"")</f>
        <v/>
      </c>
      <c r="AC323" s="50">
        <f t="shared" ref="AC323:AC386" si="45">IFERROR(VALUE(MID($C323,1,2)),0)</f>
        <v>0</v>
      </c>
      <c r="AD323" s="43">
        <f t="shared" ref="AD323:AD386" si="46">IFERROR(VALUE(MID($C323,4,3)),0)</f>
        <v>0</v>
      </c>
      <c r="AE323" s="50">
        <f t="shared" ref="AE323:AE386" si="47">VALUE(RIGHT("00"&amp;AC323,2)&amp;RIGHT("000"&amp;AD323,3))</f>
        <v>0</v>
      </c>
    </row>
    <row r="324" spans="1:31">
      <c r="A324" s="59" t="str">
        <f t="shared" si="41"/>
        <v/>
      </c>
      <c r="B324" s="59" t="str">
        <f t="shared" si="42"/>
        <v/>
      </c>
      <c r="V324" s="59" t="str">
        <f t="shared" si="43"/>
        <v/>
      </c>
      <c r="W324" s="59" t="str">
        <f t="shared" si="40"/>
        <v/>
      </c>
      <c r="X324" s="59" t="str">
        <f t="shared" si="44"/>
        <v/>
      </c>
      <c r="AC324" s="50">
        <f t="shared" si="45"/>
        <v>0</v>
      </c>
      <c r="AD324" s="43">
        <f t="shared" si="46"/>
        <v>0</v>
      </c>
      <c r="AE324" s="50">
        <f t="shared" si="47"/>
        <v>0</v>
      </c>
    </row>
    <row r="325" spans="1:31">
      <c r="A325" s="59" t="str">
        <f t="shared" si="41"/>
        <v/>
      </c>
      <c r="B325" s="59" t="str">
        <f t="shared" si="42"/>
        <v/>
      </c>
      <c r="V325" s="59" t="str">
        <f t="shared" si="43"/>
        <v/>
      </c>
      <c r="W325" s="59" t="str">
        <f t="shared" si="40"/>
        <v/>
      </c>
      <c r="X325" s="59" t="str">
        <f t="shared" si="44"/>
        <v/>
      </c>
      <c r="AC325" s="50">
        <f t="shared" si="45"/>
        <v>0</v>
      </c>
      <c r="AD325" s="43">
        <f t="shared" si="46"/>
        <v>0</v>
      </c>
      <c r="AE325" s="50">
        <f t="shared" si="47"/>
        <v>0</v>
      </c>
    </row>
    <row r="326" spans="1:31">
      <c r="A326" s="59" t="str">
        <f t="shared" si="41"/>
        <v/>
      </c>
      <c r="B326" s="59" t="str">
        <f t="shared" si="42"/>
        <v/>
      </c>
      <c r="V326" s="59" t="str">
        <f t="shared" si="43"/>
        <v/>
      </c>
      <c r="W326" s="59" t="str">
        <f t="shared" si="40"/>
        <v/>
      </c>
      <c r="X326" s="59" t="str">
        <f t="shared" si="44"/>
        <v/>
      </c>
      <c r="AC326" s="50">
        <f t="shared" si="45"/>
        <v>0</v>
      </c>
      <c r="AD326" s="43">
        <f t="shared" si="46"/>
        <v>0</v>
      </c>
      <c r="AE326" s="50">
        <f t="shared" si="47"/>
        <v>0</v>
      </c>
    </row>
    <row r="327" spans="1:31">
      <c r="A327" s="59" t="str">
        <f t="shared" si="41"/>
        <v/>
      </c>
      <c r="B327" s="59" t="str">
        <f t="shared" si="42"/>
        <v/>
      </c>
      <c r="V327" s="59" t="str">
        <f t="shared" si="43"/>
        <v/>
      </c>
      <c r="W327" s="59" t="str">
        <f t="shared" si="40"/>
        <v/>
      </c>
      <c r="X327" s="59" t="str">
        <f t="shared" si="44"/>
        <v/>
      </c>
      <c r="AC327" s="50">
        <f t="shared" si="45"/>
        <v>0</v>
      </c>
      <c r="AD327" s="43">
        <f t="shared" si="46"/>
        <v>0</v>
      </c>
      <c r="AE327" s="50">
        <f t="shared" si="47"/>
        <v>0</v>
      </c>
    </row>
    <row r="328" spans="1:31">
      <c r="A328" s="59" t="str">
        <f t="shared" si="41"/>
        <v/>
      </c>
      <c r="B328" s="59" t="str">
        <f t="shared" si="42"/>
        <v/>
      </c>
      <c r="V328" s="59" t="str">
        <f t="shared" si="43"/>
        <v/>
      </c>
      <c r="W328" s="59" t="str">
        <f t="shared" si="40"/>
        <v/>
      </c>
      <c r="X328" s="59" t="str">
        <f t="shared" si="44"/>
        <v/>
      </c>
      <c r="AC328" s="50">
        <f t="shared" si="45"/>
        <v>0</v>
      </c>
      <c r="AD328" s="43">
        <f t="shared" si="46"/>
        <v>0</v>
      </c>
      <c r="AE328" s="50">
        <f t="shared" si="47"/>
        <v>0</v>
      </c>
    </row>
    <row r="329" spans="1:31">
      <c r="A329" s="59" t="str">
        <f t="shared" si="41"/>
        <v/>
      </c>
      <c r="B329" s="59" t="str">
        <f t="shared" si="42"/>
        <v/>
      </c>
      <c r="V329" s="59" t="str">
        <f t="shared" si="43"/>
        <v/>
      </c>
      <c r="W329" s="59" t="str">
        <f t="shared" si="40"/>
        <v/>
      </c>
      <c r="X329" s="59" t="str">
        <f t="shared" si="44"/>
        <v/>
      </c>
      <c r="AC329" s="50">
        <f t="shared" si="45"/>
        <v>0</v>
      </c>
      <c r="AD329" s="43">
        <f t="shared" si="46"/>
        <v>0</v>
      </c>
      <c r="AE329" s="50">
        <f t="shared" si="47"/>
        <v>0</v>
      </c>
    </row>
    <row r="330" spans="1:31">
      <c r="A330" s="59" t="str">
        <f t="shared" si="41"/>
        <v/>
      </c>
      <c r="B330" s="59" t="str">
        <f t="shared" si="42"/>
        <v/>
      </c>
      <c r="V330" s="59" t="str">
        <f t="shared" si="43"/>
        <v/>
      </c>
      <c r="W330" s="59" t="str">
        <f t="shared" si="40"/>
        <v/>
      </c>
      <c r="X330" s="59" t="str">
        <f t="shared" si="44"/>
        <v/>
      </c>
      <c r="AC330" s="50">
        <f t="shared" si="45"/>
        <v>0</v>
      </c>
      <c r="AD330" s="43">
        <f t="shared" si="46"/>
        <v>0</v>
      </c>
      <c r="AE330" s="50">
        <f t="shared" si="47"/>
        <v>0</v>
      </c>
    </row>
    <row r="331" spans="1:31">
      <c r="A331" s="59" t="str">
        <f t="shared" si="41"/>
        <v/>
      </c>
      <c r="B331" s="59" t="str">
        <f t="shared" si="42"/>
        <v/>
      </c>
      <c r="V331" s="59" t="str">
        <f t="shared" si="43"/>
        <v/>
      </c>
      <c r="W331" s="59" t="str">
        <f t="shared" si="40"/>
        <v/>
      </c>
      <c r="X331" s="59" t="str">
        <f t="shared" si="44"/>
        <v/>
      </c>
      <c r="AC331" s="50">
        <f t="shared" si="45"/>
        <v>0</v>
      </c>
      <c r="AD331" s="43">
        <f t="shared" si="46"/>
        <v>0</v>
      </c>
      <c r="AE331" s="50">
        <f t="shared" si="47"/>
        <v>0</v>
      </c>
    </row>
    <row r="332" spans="1:31">
      <c r="A332" s="59" t="str">
        <f t="shared" si="41"/>
        <v/>
      </c>
      <c r="B332" s="59" t="str">
        <f t="shared" si="42"/>
        <v/>
      </c>
      <c r="V332" s="59" t="str">
        <f t="shared" si="43"/>
        <v/>
      </c>
      <c r="W332" s="59" t="str">
        <f t="shared" si="40"/>
        <v/>
      </c>
      <c r="X332" s="59" t="str">
        <f t="shared" si="44"/>
        <v/>
      </c>
      <c r="AC332" s="50">
        <f t="shared" si="45"/>
        <v>0</v>
      </c>
      <c r="AD332" s="43">
        <f t="shared" si="46"/>
        <v>0</v>
      </c>
      <c r="AE332" s="50">
        <f t="shared" si="47"/>
        <v>0</v>
      </c>
    </row>
    <row r="333" spans="1:31">
      <c r="A333" s="59" t="str">
        <f t="shared" si="41"/>
        <v/>
      </c>
      <c r="B333" s="59" t="str">
        <f t="shared" si="42"/>
        <v/>
      </c>
      <c r="V333" s="59" t="str">
        <f t="shared" si="43"/>
        <v/>
      </c>
      <c r="W333" s="59" t="str">
        <f t="shared" si="40"/>
        <v/>
      </c>
      <c r="X333" s="59" t="str">
        <f t="shared" si="44"/>
        <v/>
      </c>
      <c r="AC333" s="50">
        <f t="shared" si="45"/>
        <v>0</v>
      </c>
      <c r="AD333" s="43">
        <f t="shared" si="46"/>
        <v>0</v>
      </c>
      <c r="AE333" s="50">
        <f t="shared" si="47"/>
        <v>0</v>
      </c>
    </row>
    <row r="334" spans="1:31">
      <c r="A334" s="59" t="str">
        <f t="shared" si="41"/>
        <v/>
      </c>
      <c r="B334" s="59" t="str">
        <f t="shared" si="42"/>
        <v/>
      </c>
      <c r="V334" s="59" t="str">
        <f t="shared" si="43"/>
        <v/>
      </c>
      <c r="W334" s="59" t="str">
        <f t="shared" si="40"/>
        <v/>
      </c>
      <c r="X334" s="59" t="str">
        <f t="shared" si="44"/>
        <v/>
      </c>
      <c r="AC334" s="50">
        <f t="shared" si="45"/>
        <v>0</v>
      </c>
      <c r="AD334" s="43">
        <f t="shared" si="46"/>
        <v>0</v>
      </c>
      <c r="AE334" s="50">
        <f t="shared" si="47"/>
        <v>0</v>
      </c>
    </row>
    <row r="335" spans="1:31">
      <c r="A335" s="59" t="str">
        <f t="shared" si="41"/>
        <v/>
      </c>
      <c r="B335" s="59" t="str">
        <f t="shared" si="42"/>
        <v/>
      </c>
      <c r="V335" s="59" t="str">
        <f t="shared" si="43"/>
        <v/>
      </c>
      <c r="W335" s="59" t="str">
        <f t="shared" si="40"/>
        <v/>
      </c>
      <c r="X335" s="59" t="str">
        <f t="shared" si="44"/>
        <v/>
      </c>
      <c r="AC335" s="50">
        <f t="shared" si="45"/>
        <v>0</v>
      </c>
      <c r="AD335" s="43">
        <f t="shared" si="46"/>
        <v>0</v>
      </c>
      <c r="AE335" s="50">
        <f t="shared" si="47"/>
        <v>0</v>
      </c>
    </row>
    <row r="336" spans="1:31">
      <c r="A336" s="59" t="str">
        <f t="shared" si="41"/>
        <v/>
      </c>
      <c r="B336" s="59" t="str">
        <f t="shared" si="42"/>
        <v/>
      </c>
      <c r="V336" s="59" t="str">
        <f t="shared" si="43"/>
        <v/>
      </c>
      <c r="W336" s="59" t="str">
        <f t="shared" si="40"/>
        <v/>
      </c>
      <c r="X336" s="59" t="str">
        <f t="shared" si="44"/>
        <v/>
      </c>
      <c r="AC336" s="50">
        <f t="shared" si="45"/>
        <v>0</v>
      </c>
      <c r="AD336" s="43">
        <f t="shared" si="46"/>
        <v>0</v>
      </c>
      <c r="AE336" s="50">
        <f t="shared" si="47"/>
        <v>0</v>
      </c>
    </row>
    <row r="337" spans="1:31">
      <c r="A337" s="59" t="str">
        <f t="shared" si="41"/>
        <v/>
      </c>
      <c r="B337" s="59" t="str">
        <f t="shared" si="42"/>
        <v/>
      </c>
      <c r="V337" s="59" t="str">
        <f t="shared" si="43"/>
        <v/>
      </c>
      <c r="W337" s="59" t="str">
        <f t="shared" si="40"/>
        <v/>
      </c>
      <c r="X337" s="59" t="str">
        <f t="shared" si="44"/>
        <v/>
      </c>
      <c r="AC337" s="50">
        <f t="shared" si="45"/>
        <v>0</v>
      </c>
      <c r="AD337" s="43">
        <f t="shared" si="46"/>
        <v>0</v>
      </c>
      <c r="AE337" s="50">
        <f t="shared" si="47"/>
        <v>0</v>
      </c>
    </row>
    <row r="338" spans="1:31">
      <c r="A338" s="59" t="str">
        <f t="shared" si="41"/>
        <v/>
      </c>
      <c r="B338" s="59" t="str">
        <f t="shared" si="42"/>
        <v/>
      </c>
      <c r="V338" s="59" t="str">
        <f t="shared" si="43"/>
        <v/>
      </c>
      <c r="W338" s="59" t="str">
        <f t="shared" si="40"/>
        <v/>
      </c>
      <c r="X338" s="59" t="str">
        <f t="shared" si="44"/>
        <v/>
      </c>
      <c r="AC338" s="50">
        <f t="shared" si="45"/>
        <v>0</v>
      </c>
      <c r="AD338" s="43">
        <f t="shared" si="46"/>
        <v>0</v>
      </c>
      <c r="AE338" s="50">
        <f t="shared" si="47"/>
        <v>0</v>
      </c>
    </row>
    <row r="339" spans="1:31">
      <c r="A339" s="59" t="str">
        <f t="shared" si="41"/>
        <v/>
      </c>
      <c r="B339" s="59" t="str">
        <f t="shared" si="42"/>
        <v/>
      </c>
      <c r="V339" s="59" t="str">
        <f t="shared" si="43"/>
        <v/>
      </c>
      <c r="W339" s="59" t="str">
        <f t="shared" si="40"/>
        <v/>
      </c>
      <c r="X339" s="59" t="str">
        <f t="shared" si="44"/>
        <v/>
      </c>
      <c r="AC339" s="50">
        <f t="shared" si="45"/>
        <v>0</v>
      </c>
      <c r="AD339" s="43">
        <f t="shared" si="46"/>
        <v>0</v>
      </c>
      <c r="AE339" s="50">
        <f t="shared" si="47"/>
        <v>0</v>
      </c>
    </row>
    <row r="340" spans="1:31">
      <c r="A340" s="59" t="str">
        <f t="shared" si="41"/>
        <v/>
      </c>
      <c r="B340" s="59" t="str">
        <f t="shared" si="42"/>
        <v/>
      </c>
      <c r="V340" s="59" t="str">
        <f t="shared" si="43"/>
        <v/>
      </c>
      <c r="W340" s="59" t="str">
        <f t="shared" si="40"/>
        <v/>
      </c>
      <c r="X340" s="59" t="str">
        <f t="shared" si="44"/>
        <v/>
      </c>
      <c r="AC340" s="50">
        <f t="shared" si="45"/>
        <v>0</v>
      </c>
      <c r="AD340" s="43">
        <f t="shared" si="46"/>
        <v>0</v>
      </c>
      <c r="AE340" s="50">
        <f t="shared" si="47"/>
        <v>0</v>
      </c>
    </row>
    <row r="341" spans="1:31">
      <c r="A341" s="59" t="str">
        <f t="shared" si="41"/>
        <v/>
      </c>
      <c r="B341" s="59" t="str">
        <f t="shared" si="42"/>
        <v/>
      </c>
      <c r="V341" s="59" t="str">
        <f t="shared" si="43"/>
        <v/>
      </c>
      <c r="W341" s="59" t="str">
        <f t="shared" si="40"/>
        <v/>
      </c>
      <c r="X341" s="59" t="str">
        <f t="shared" si="44"/>
        <v/>
      </c>
      <c r="AC341" s="50">
        <f t="shared" si="45"/>
        <v>0</v>
      </c>
      <c r="AD341" s="43">
        <f t="shared" si="46"/>
        <v>0</v>
      </c>
      <c r="AE341" s="50">
        <f t="shared" si="47"/>
        <v>0</v>
      </c>
    </row>
    <row r="342" spans="1:31">
      <c r="A342" s="59" t="str">
        <f t="shared" si="41"/>
        <v/>
      </c>
      <c r="B342" s="59" t="str">
        <f t="shared" si="42"/>
        <v/>
      </c>
      <c r="V342" s="59" t="str">
        <f t="shared" si="43"/>
        <v/>
      </c>
      <c r="W342" s="59" t="str">
        <f t="shared" si="40"/>
        <v/>
      </c>
      <c r="X342" s="59" t="str">
        <f t="shared" si="44"/>
        <v/>
      </c>
      <c r="AC342" s="50">
        <f t="shared" si="45"/>
        <v>0</v>
      </c>
      <c r="AD342" s="43">
        <f t="shared" si="46"/>
        <v>0</v>
      </c>
      <c r="AE342" s="50">
        <f t="shared" si="47"/>
        <v>0</v>
      </c>
    </row>
    <row r="343" spans="1:31">
      <c r="A343" s="59" t="str">
        <f t="shared" si="41"/>
        <v/>
      </c>
      <c r="B343" s="59" t="str">
        <f t="shared" si="42"/>
        <v/>
      </c>
      <c r="V343" s="59" t="str">
        <f t="shared" si="43"/>
        <v/>
      </c>
      <c r="W343" s="59" t="str">
        <f t="shared" si="40"/>
        <v/>
      </c>
      <c r="X343" s="59" t="str">
        <f t="shared" si="44"/>
        <v/>
      </c>
      <c r="AC343" s="50">
        <f t="shared" si="45"/>
        <v>0</v>
      </c>
      <c r="AD343" s="43">
        <f t="shared" si="46"/>
        <v>0</v>
      </c>
      <c r="AE343" s="50">
        <f t="shared" si="47"/>
        <v>0</v>
      </c>
    </row>
    <row r="344" spans="1:31">
      <c r="A344" s="59" t="str">
        <f t="shared" si="41"/>
        <v/>
      </c>
      <c r="B344" s="59" t="str">
        <f t="shared" si="42"/>
        <v/>
      </c>
      <c r="V344" s="59" t="str">
        <f t="shared" si="43"/>
        <v/>
      </c>
      <c r="W344" s="59" t="str">
        <f t="shared" si="40"/>
        <v/>
      </c>
      <c r="X344" s="59" t="str">
        <f t="shared" si="44"/>
        <v/>
      </c>
      <c r="AC344" s="50">
        <f t="shared" si="45"/>
        <v>0</v>
      </c>
      <c r="AD344" s="43">
        <f t="shared" si="46"/>
        <v>0</v>
      </c>
      <c r="AE344" s="50">
        <f t="shared" si="47"/>
        <v>0</v>
      </c>
    </row>
    <row r="345" spans="1:31">
      <c r="A345" s="59" t="str">
        <f t="shared" si="41"/>
        <v/>
      </c>
      <c r="B345" s="59" t="str">
        <f t="shared" si="42"/>
        <v/>
      </c>
      <c r="V345" s="59" t="str">
        <f t="shared" si="43"/>
        <v/>
      </c>
      <c r="W345" s="59" t="str">
        <f t="shared" si="40"/>
        <v/>
      </c>
      <c r="X345" s="59" t="str">
        <f t="shared" si="44"/>
        <v/>
      </c>
      <c r="AC345" s="50">
        <f t="shared" si="45"/>
        <v>0</v>
      </c>
      <c r="AD345" s="43">
        <f t="shared" si="46"/>
        <v>0</v>
      </c>
      <c r="AE345" s="50">
        <f t="shared" si="47"/>
        <v>0</v>
      </c>
    </row>
    <row r="346" spans="1:31">
      <c r="A346" s="59" t="str">
        <f t="shared" si="41"/>
        <v/>
      </c>
      <c r="B346" s="59" t="str">
        <f t="shared" si="42"/>
        <v/>
      </c>
      <c r="V346" s="59" t="str">
        <f t="shared" si="43"/>
        <v/>
      </c>
      <c r="W346" s="59" t="str">
        <f t="shared" si="40"/>
        <v/>
      </c>
      <c r="X346" s="59" t="str">
        <f t="shared" si="44"/>
        <v/>
      </c>
      <c r="AC346" s="50">
        <f t="shared" si="45"/>
        <v>0</v>
      </c>
      <c r="AD346" s="43">
        <f t="shared" si="46"/>
        <v>0</v>
      </c>
      <c r="AE346" s="50">
        <f t="shared" si="47"/>
        <v>0</v>
      </c>
    </row>
    <row r="347" spans="1:31">
      <c r="A347" s="59" t="str">
        <f t="shared" si="41"/>
        <v/>
      </c>
      <c r="B347" s="59" t="str">
        <f t="shared" si="42"/>
        <v/>
      </c>
      <c r="V347" s="59" t="str">
        <f t="shared" si="43"/>
        <v/>
      </c>
      <c r="W347" s="59" t="str">
        <f t="shared" si="40"/>
        <v/>
      </c>
      <c r="X347" s="59" t="str">
        <f t="shared" si="44"/>
        <v/>
      </c>
      <c r="AC347" s="50">
        <f t="shared" si="45"/>
        <v>0</v>
      </c>
      <c r="AD347" s="43">
        <f t="shared" si="46"/>
        <v>0</v>
      </c>
      <c r="AE347" s="50">
        <f t="shared" si="47"/>
        <v>0</v>
      </c>
    </row>
    <row r="348" spans="1:31">
      <c r="A348" s="59" t="str">
        <f t="shared" si="41"/>
        <v/>
      </c>
      <c r="B348" s="59" t="str">
        <f t="shared" si="42"/>
        <v/>
      </c>
      <c r="V348" s="59" t="str">
        <f t="shared" si="43"/>
        <v/>
      </c>
      <c r="W348" s="59" t="str">
        <f t="shared" si="40"/>
        <v/>
      </c>
      <c r="X348" s="59" t="str">
        <f t="shared" si="44"/>
        <v/>
      </c>
      <c r="AC348" s="50">
        <f t="shared" si="45"/>
        <v>0</v>
      </c>
      <c r="AD348" s="43">
        <f t="shared" si="46"/>
        <v>0</v>
      </c>
      <c r="AE348" s="50">
        <f t="shared" si="47"/>
        <v>0</v>
      </c>
    </row>
    <row r="349" spans="1:31">
      <c r="A349" s="59" t="str">
        <f t="shared" si="41"/>
        <v/>
      </c>
      <c r="B349" s="59" t="str">
        <f t="shared" si="42"/>
        <v/>
      </c>
      <c r="V349" s="59" t="str">
        <f t="shared" si="43"/>
        <v/>
      </c>
      <c r="W349" s="59" t="str">
        <f t="shared" si="40"/>
        <v/>
      </c>
      <c r="X349" s="59" t="str">
        <f t="shared" si="44"/>
        <v/>
      </c>
      <c r="AC349" s="50">
        <f t="shared" si="45"/>
        <v>0</v>
      </c>
      <c r="AD349" s="43">
        <f t="shared" si="46"/>
        <v>0</v>
      </c>
      <c r="AE349" s="50">
        <f t="shared" si="47"/>
        <v>0</v>
      </c>
    </row>
    <row r="350" spans="1:31">
      <c r="A350" s="59" t="str">
        <f t="shared" si="41"/>
        <v/>
      </c>
      <c r="B350" s="59" t="str">
        <f t="shared" si="42"/>
        <v/>
      </c>
      <c r="V350" s="59" t="str">
        <f t="shared" si="43"/>
        <v/>
      </c>
      <c r="W350" s="59" t="str">
        <f t="shared" si="40"/>
        <v/>
      </c>
      <c r="X350" s="59" t="str">
        <f t="shared" si="44"/>
        <v/>
      </c>
      <c r="AC350" s="50">
        <f t="shared" si="45"/>
        <v>0</v>
      </c>
      <c r="AD350" s="43">
        <f t="shared" si="46"/>
        <v>0</v>
      </c>
      <c r="AE350" s="50">
        <f t="shared" si="47"/>
        <v>0</v>
      </c>
    </row>
    <row r="351" spans="1:31">
      <c r="A351" s="59" t="str">
        <f t="shared" si="41"/>
        <v/>
      </c>
      <c r="B351" s="59" t="str">
        <f t="shared" si="42"/>
        <v/>
      </c>
      <c r="V351" s="59" t="str">
        <f t="shared" si="43"/>
        <v/>
      </c>
      <c r="W351" s="59" t="str">
        <f t="shared" si="40"/>
        <v/>
      </c>
      <c r="X351" s="59" t="str">
        <f t="shared" si="44"/>
        <v/>
      </c>
      <c r="AC351" s="50">
        <f t="shared" si="45"/>
        <v>0</v>
      </c>
      <c r="AD351" s="43">
        <f t="shared" si="46"/>
        <v>0</v>
      </c>
      <c r="AE351" s="50">
        <f t="shared" si="47"/>
        <v>0</v>
      </c>
    </row>
    <row r="352" spans="1:31">
      <c r="A352" s="59" t="str">
        <f t="shared" si="41"/>
        <v/>
      </c>
      <c r="B352" s="59" t="str">
        <f t="shared" si="42"/>
        <v/>
      </c>
      <c r="V352" s="59" t="str">
        <f t="shared" si="43"/>
        <v/>
      </c>
      <c r="W352" s="59" t="str">
        <f t="shared" si="40"/>
        <v/>
      </c>
      <c r="X352" s="59" t="str">
        <f t="shared" si="44"/>
        <v/>
      </c>
      <c r="AC352" s="50">
        <f t="shared" si="45"/>
        <v>0</v>
      </c>
      <c r="AD352" s="43">
        <f t="shared" si="46"/>
        <v>0</v>
      </c>
      <c r="AE352" s="50">
        <f t="shared" si="47"/>
        <v>0</v>
      </c>
    </row>
    <row r="353" spans="1:31">
      <c r="A353" s="59" t="str">
        <f t="shared" si="41"/>
        <v/>
      </c>
      <c r="B353" s="59" t="str">
        <f t="shared" si="42"/>
        <v/>
      </c>
      <c r="V353" s="59" t="str">
        <f t="shared" si="43"/>
        <v/>
      </c>
      <c r="W353" s="59" t="str">
        <f t="shared" si="40"/>
        <v/>
      </c>
      <c r="X353" s="59" t="str">
        <f t="shared" si="44"/>
        <v/>
      </c>
      <c r="AC353" s="50">
        <f t="shared" si="45"/>
        <v>0</v>
      </c>
      <c r="AD353" s="43">
        <f t="shared" si="46"/>
        <v>0</v>
      </c>
      <c r="AE353" s="50">
        <f t="shared" si="47"/>
        <v>0</v>
      </c>
    </row>
    <row r="354" spans="1:31">
      <c r="A354" s="59" t="str">
        <f t="shared" si="41"/>
        <v/>
      </c>
      <c r="B354" s="59" t="str">
        <f t="shared" si="42"/>
        <v/>
      </c>
      <c r="V354" s="59" t="str">
        <f t="shared" si="43"/>
        <v/>
      </c>
      <c r="W354" s="59" t="str">
        <f t="shared" si="40"/>
        <v/>
      </c>
      <c r="X354" s="59" t="str">
        <f t="shared" si="44"/>
        <v/>
      </c>
      <c r="AC354" s="50">
        <f t="shared" si="45"/>
        <v>0</v>
      </c>
      <c r="AD354" s="43">
        <f t="shared" si="46"/>
        <v>0</v>
      </c>
      <c r="AE354" s="50">
        <f t="shared" si="47"/>
        <v>0</v>
      </c>
    </row>
    <row r="355" spans="1:31">
      <c r="A355" s="59" t="str">
        <f t="shared" si="41"/>
        <v/>
      </c>
      <c r="B355" s="59" t="str">
        <f t="shared" si="42"/>
        <v/>
      </c>
      <c r="V355" s="59" t="str">
        <f t="shared" si="43"/>
        <v/>
      </c>
      <c r="W355" s="59" t="str">
        <f t="shared" si="40"/>
        <v/>
      </c>
      <c r="X355" s="59" t="str">
        <f t="shared" si="44"/>
        <v/>
      </c>
      <c r="AC355" s="50">
        <f t="shared" si="45"/>
        <v>0</v>
      </c>
      <c r="AD355" s="43">
        <f t="shared" si="46"/>
        <v>0</v>
      </c>
      <c r="AE355" s="50">
        <f t="shared" si="47"/>
        <v>0</v>
      </c>
    </row>
    <row r="356" spans="1:31">
      <c r="A356" s="59" t="str">
        <f t="shared" si="41"/>
        <v/>
      </c>
      <c r="B356" s="59" t="str">
        <f t="shared" si="42"/>
        <v/>
      </c>
      <c r="V356" s="59" t="str">
        <f t="shared" si="43"/>
        <v/>
      </c>
      <c r="W356" s="59" t="str">
        <f t="shared" si="40"/>
        <v/>
      </c>
      <c r="X356" s="59" t="str">
        <f t="shared" si="44"/>
        <v/>
      </c>
      <c r="AC356" s="50">
        <f t="shared" si="45"/>
        <v>0</v>
      </c>
      <c r="AD356" s="43">
        <f t="shared" si="46"/>
        <v>0</v>
      </c>
      <c r="AE356" s="50">
        <f t="shared" si="47"/>
        <v>0</v>
      </c>
    </row>
    <row r="357" spans="1:31">
      <c r="A357" s="59" t="str">
        <f t="shared" si="41"/>
        <v/>
      </c>
      <c r="B357" s="59" t="str">
        <f t="shared" si="42"/>
        <v/>
      </c>
      <c r="V357" s="59" t="str">
        <f t="shared" si="43"/>
        <v/>
      </c>
      <c r="W357" s="59" t="str">
        <f t="shared" si="40"/>
        <v/>
      </c>
      <c r="X357" s="59" t="str">
        <f t="shared" si="44"/>
        <v/>
      </c>
      <c r="AC357" s="50">
        <f t="shared" si="45"/>
        <v>0</v>
      </c>
      <c r="AD357" s="43">
        <f t="shared" si="46"/>
        <v>0</v>
      </c>
      <c r="AE357" s="50">
        <f t="shared" si="47"/>
        <v>0</v>
      </c>
    </row>
    <row r="358" spans="1:31">
      <c r="A358" s="59" t="str">
        <f t="shared" si="41"/>
        <v/>
      </c>
      <c r="B358" s="59" t="str">
        <f t="shared" si="42"/>
        <v/>
      </c>
      <c r="V358" s="59" t="str">
        <f t="shared" si="43"/>
        <v/>
      </c>
      <c r="W358" s="59" t="str">
        <f t="shared" si="40"/>
        <v/>
      </c>
      <c r="X358" s="59" t="str">
        <f t="shared" si="44"/>
        <v/>
      </c>
      <c r="AC358" s="50">
        <f t="shared" si="45"/>
        <v>0</v>
      </c>
      <c r="AD358" s="43">
        <f t="shared" si="46"/>
        <v>0</v>
      </c>
      <c r="AE358" s="50">
        <f t="shared" si="47"/>
        <v>0</v>
      </c>
    </row>
    <row r="359" spans="1:31">
      <c r="A359" s="59" t="str">
        <f t="shared" si="41"/>
        <v/>
      </c>
      <c r="B359" s="59" t="str">
        <f t="shared" si="42"/>
        <v/>
      </c>
      <c r="V359" s="59" t="str">
        <f t="shared" si="43"/>
        <v/>
      </c>
      <c r="W359" s="59" t="str">
        <f t="shared" si="40"/>
        <v/>
      </c>
      <c r="X359" s="59" t="str">
        <f t="shared" si="44"/>
        <v/>
      </c>
      <c r="AC359" s="50">
        <f t="shared" si="45"/>
        <v>0</v>
      </c>
      <c r="AD359" s="43">
        <f t="shared" si="46"/>
        <v>0</v>
      </c>
      <c r="AE359" s="50">
        <f t="shared" si="47"/>
        <v>0</v>
      </c>
    </row>
    <row r="360" spans="1:31">
      <c r="A360" s="59" t="str">
        <f t="shared" si="41"/>
        <v/>
      </c>
      <c r="B360" s="59" t="str">
        <f t="shared" si="42"/>
        <v/>
      </c>
      <c r="V360" s="59" t="str">
        <f t="shared" si="43"/>
        <v/>
      </c>
      <c r="W360" s="59" t="str">
        <f t="shared" si="40"/>
        <v/>
      </c>
      <c r="X360" s="59" t="str">
        <f t="shared" si="44"/>
        <v/>
      </c>
      <c r="AC360" s="50">
        <f t="shared" si="45"/>
        <v>0</v>
      </c>
      <c r="AD360" s="43">
        <f t="shared" si="46"/>
        <v>0</v>
      </c>
      <c r="AE360" s="50">
        <f t="shared" si="47"/>
        <v>0</v>
      </c>
    </row>
    <row r="361" spans="1:31">
      <c r="A361" s="59" t="str">
        <f t="shared" si="41"/>
        <v/>
      </c>
      <c r="B361" s="59" t="str">
        <f t="shared" si="42"/>
        <v/>
      </c>
      <c r="V361" s="59" t="str">
        <f t="shared" si="43"/>
        <v/>
      </c>
      <c r="W361" s="59" t="str">
        <f t="shared" si="40"/>
        <v/>
      </c>
      <c r="X361" s="59" t="str">
        <f t="shared" si="44"/>
        <v/>
      </c>
      <c r="AC361" s="50">
        <f t="shared" si="45"/>
        <v>0</v>
      </c>
      <c r="AD361" s="43">
        <f t="shared" si="46"/>
        <v>0</v>
      </c>
      <c r="AE361" s="50">
        <f t="shared" si="47"/>
        <v>0</v>
      </c>
    </row>
    <row r="362" spans="1:31">
      <c r="A362" s="59" t="str">
        <f t="shared" si="41"/>
        <v/>
      </c>
      <c r="B362" s="59" t="str">
        <f t="shared" si="42"/>
        <v/>
      </c>
      <c r="V362" s="59" t="str">
        <f t="shared" si="43"/>
        <v/>
      </c>
      <c r="W362" s="59" t="str">
        <f t="shared" si="40"/>
        <v/>
      </c>
      <c r="X362" s="59" t="str">
        <f t="shared" si="44"/>
        <v/>
      </c>
      <c r="AC362" s="50">
        <f t="shared" si="45"/>
        <v>0</v>
      </c>
      <c r="AD362" s="43">
        <f t="shared" si="46"/>
        <v>0</v>
      </c>
      <c r="AE362" s="50">
        <f t="shared" si="47"/>
        <v>0</v>
      </c>
    </row>
    <row r="363" spans="1:31">
      <c r="A363" s="59" t="str">
        <f t="shared" si="41"/>
        <v/>
      </c>
      <c r="B363" s="59" t="str">
        <f t="shared" si="42"/>
        <v/>
      </c>
      <c r="V363" s="59" t="str">
        <f t="shared" si="43"/>
        <v/>
      </c>
      <c r="W363" s="59" t="str">
        <f t="shared" si="40"/>
        <v/>
      </c>
      <c r="X363" s="59" t="str">
        <f t="shared" si="44"/>
        <v/>
      </c>
      <c r="AC363" s="50">
        <f t="shared" si="45"/>
        <v>0</v>
      </c>
      <c r="AD363" s="43">
        <f t="shared" si="46"/>
        <v>0</v>
      </c>
      <c r="AE363" s="50">
        <f t="shared" si="47"/>
        <v>0</v>
      </c>
    </row>
    <row r="364" spans="1:31">
      <c r="A364" s="59" t="str">
        <f t="shared" si="41"/>
        <v/>
      </c>
      <c r="B364" s="59" t="str">
        <f t="shared" si="42"/>
        <v/>
      </c>
      <c r="V364" s="59" t="str">
        <f t="shared" si="43"/>
        <v/>
      </c>
      <c r="W364" s="59" t="str">
        <f t="shared" si="40"/>
        <v/>
      </c>
      <c r="X364" s="59" t="str">
        <f t="shared" si="44"/>
        <v/>
      </c>
      <c r="AC364" s="50">
        <f t="shared" si="45"/>
        <v>0</v>
      </c>
      <c r="AD364" s="43">
        <f t="shared" si="46"/>
        <v>0</v>
      </c>
      <c r="AE364" s="50">
        <f t="shared" si="47"/>
        <v>0</v>
      </c>
    </row>
    <row r="365" spans="1:31">
      <c r="A365" s="59" t="str">
        <f t="shared" si="41"/>
        <v/>
      </c>
      <c r="B365" s="59" t="str">
        <f t="shared" si="42"/>
        <v/>
      </c>
      <c r="V365" s="59" t="str">
        <f t="shared" si="43"/>
        <v/>
      </c>
      <c r="W365" s="59" t="str">
        <f t="shared" si="40"/>
        <v/>
      </c>
      <c r="X365" s="59" t="str">
        <f t="shared" si="44"/>
        <v/>
      </c>
      <c r="AC365" s="50">
        <f t="shared" si="45"/>
        <v>0</v>
      </c>
      <c r="AD365" s="43">
        <f t="shared" si="46"/>
        <v>0</v>
      </c>
      <c r="AE365" s="50">
        <f t="shared" si="47"/>
        <v>0</v>
      </c>
    </row>
    <row r="366" spans="1:31">
      <c r="A366" s="59" t="str">
        <f t="shared" si="41"/>
        <v/>
      </c>
      <c r="B366" s="59" t="str">
        <f t="shared" si="42"/>
        <v/>
      </c>
      <c r="V366" s="59" t="str">
        <f t="shared" si="43"/>
        <v/>
      </c>
      <c r="W366" s="59" t="str">
        <f t="shared" si="40"/>
        <v/>
      </c>
      <c r="X366" s="59" t="str">
        <f t="shared" si="44"/>
        <v/>
      </c>
      <c r="AC366" s="50">
        <f t="shared" si="45"/>
        <v>0</v>
      </c>
      <c r="AD366" s="43">
        <f t="shared" si="46"/>
        <v>0</v>
      </c>
      <c r="AE366" s="50">
        <f t="shared" si="47"/>
        <v>0</v>
      </c>
    </row>
    <row r="367" spans="1:31">
      <c r="A367" s="59" t="str">
        <f t="shared" si="41"/>
        <v/>
      </c>
      <c r="B367" s="59" t="str">
        <f t="shared" si="42"/>
        <v/>
      </c>
      <c r="V367" s="59" t="str">
        <f t="shared" si="43"/>
        <v/>
      </c>
      <c r="W367" s="59" t="str">
        <f t="shared" si="40"/>
        <v/>
      </c>
      <c r="X367" s="59" t="str">
        <f t="shared" si="44"/>
        <v/>
      </c>
      <c r="AC367" s="50">
        <f t="shared" si="45"/>
        <v>0</v>
      </c>
      <c r="AD367" s="43">
        <f t="shared" si="46"/>
        <v>0</v>
      </c>
      <c r="AE367" s="50">
        <f t="shared" si="47"/>
        <v>0</v>
      </c>
    </row>
    <row r="368" spans="1:31">
      <c r="A368" s="59" t="str">
        <f t="shared" si="41"/>
        <v/>
      </c>
      <c r="B368" s="59" t="str">
        <f t="shared" si="42"/>
        <v/>
      </c>
      <c r="V368" s="59" t="str">
        <f t="shared" si="43"/>
        <v/>
      </c>
      <c r="W368" s="59" t="str">
        <f t="shared" si="40"/>
        <v/>
      </c>
      <c r="X368" s="59" t="str">
        <f t="shared" si="44"/>
        <v/>
      </c>
      <c r="AC368" s="50">
        <f t="shared" si="45"/>
        <v>0</v>
      </c>
      <c r="AD368" s="43">
        <f t="shared" si="46"/>
        <v>0</v>
      </c>
      <c r="AE368" s="50">
        <f t="shared" si="47"/>
        <v>0</v>
      </c>
    </row>
    <row r="369" spans="1:31">
      <c r="A369" s="59" t="str">
        <f t="shared" si="41"/>
        <v/>
      </c>
      <c r="B369" s="59" t="str">
        <f t="shared" si="42"/>
        <v/>
      </c>
      <c r="V369" s="59" t="str">
        <f t="shared" si="43"/>
        <v/>
      </c>
      <c r="W369" s="59" t="str">
        <f t="shared" si="40"/>
        <v/>
      </c>
      <c r="X369" s="59" t="str">
        <f t="shared" si="44"/>
        <v/>
      </c>
      <c r="AC369" s="50">
        <f t="shared" si="45"/>
        <v>0</v>
      </c>
      <c r="AD369" s="43">
        <f t="shared" si="46"/>
        <v>0</v>
      </c>
      <c r="AE369" s="50">
        <f t="shared" si="47"/>
        <v>0</v>
      </c>
    </row>
    <row r="370" spans="1:31">
      <c r="A370" s="59" t="str">
        <f t="shared" si="41"/>
        <v/>
      </c>
      <c r="B370" s="59" t="str">
        <f t="shared" si="42"/>
        <v/>
      </c>
      <c r="V370" s="59" t="str">
        <f t="shared" si="43"/>
        <v/>
      </c>
      <c r="W370" s="59" t="str">
        <f t="shared" si="40"/>
        <v/>
      </c>
      <c r="X370" s="59" t="str">
        <f t="shared" si="44"/>
        <v/>
      </c>
      <c r="AC370" s="50">
        <f t="shared" si="45"/>
        <v>0</v>
      </c>
      <c r="AD370" s="43">
        <f t="shared" si="46"/>
        <v>0</v>
      </c>
      <c r="AE370" s="50">
        <f t="shared" si="47"/>
        <v>0</v>
      </c>
    </row>
    <row r="371" spans="1:31">
      <c r="A371" s="59" t="str">
        <f t="shared" si="41"/>
        <v/>
      </c>
      <c r="B371" s="59" t="str">
        <f t="shared" si="42"/>
        <v/>
      </c>
      <c r="V371" s="59" t="str">
        <f t="shared" si="43"/>
        <v/>
      </c>
      <c r="W371" s="59" t="str">
        <f t="shared" si="40"/>
        <v/>
      </c>
      <c r="X371" s="59" t="str">
        <f t="shared" si="44"/>
        <v/>
      </c>
      <c r="AC371" s="50">
        <f t="shared" si="45"/>
        <v>0</v>
      </c>
      <c r="AD371" s="43">
        <f t="shared" si="46"/>
        <v>0</v>
      </c>
      <c r="AE371" s="50">
        <f t="shared" si="47"/>
        <v>0</v>
      </c>
    </row>
    <row r="372" spans="1:31">
      <c r="A372" s="59" t="str">
        <f t="shared" si="41"/>
        <v/>
      </c>
      <c r="B372" s="59" t="str">
        <f t="shared" si="42"/>
        <v/>
      </c>
      <c r="V372" s="59" t="str">
        <f t="shared" si="43"/>
        <v/>
      </c>
      <c r="W372" s="59" t="str">
        <f t="shared" si="40"/>
        <v/>
      </c>
      <c r="X372" s="59" t="str">
        <f t="shared" si="44"/>
        <v/>
      </c>
      <c r="AC372" s="50">
        <f t="shared" si="45"/>
        <v>0</v>
      </c>
      <c r="AD372" s="43">
        <f t="shared" si="46"/>
        <v>0</v>
      </c>
      <c r="AE372" s="50">
        <f t="shared" si="47"/>
        <v>0</v>
      </c>
    </row>
    <row r="373" spans="1:31">
      <c r="A373" s="59" t="str">
        <f t="shared" si="41"/>
        <v/>
      </c>
      <c r="B373" s="59" t="str">
        <f t="shared" si="42"/>
        <v/>
      </c>
      <c r="V373" s="59" t="str">
        <f t="shared" si="43"/>
        <v/>
      </c>
      <c r="W373" s="59" t="str">
        <f t="shared" si="40"/>
        <v/>
      </c>
      <c r="X373" s="59" t="str">
        <f t="shared" si="44"/>
        <v/>
      </c>
      <c r="AC373" s="50">
        <f t="shared" si="45"/>
        <v>0</v>
      </c>
      <c r="AD373" s="43">
        <f t="shared" si="46"/>
        <v>0</v>
      </c>
      <c r="AE373" s="50">
        <f t="shared" si="47"/>
        <v>0</v>
      </c>
    </row>
    <row r="374" spans="1:31">
      <c r="A374" s="59" t="str">
        <f t="shared" si="41"/>
        <v/>
      </c>
      <c r="B374" s="59" t="str">
        <f t="shared" si="42"/>
        <v/>
      </c>
      <c r="V374" s="59" t="str">
        <f t="shared" si="43"/>
        <v/>
      </c>
      <c r="W374" s="59" t="str">
        <f t="shared" si="40"/>
        <v/>
      </c>
      <c r="X374" s="59" t="str">
        <f t="shared" si="44"/>
        <v/>
      </c>
      <c r="AC374" s="50">
        <f t="shared" si="45"/>
        <v>0</v>
      </c>
      <c r="AD374" s="43">
        <f t="shared" si="46"/>
        <v>0</v>
      </c>
      <c r="AE374" s="50">
        <f t="shared" si="47"/>
        <v>0</v>
      </c>
    </row>
    <row r="375" spans="1:31">
      <c r="A375" s="59" t="str">
        <f t="shared" si="41"/>
        <v/>
      </c>
      <c r="B375" s="59" t="str">
        <f t="shared" si="42"/>
        <v/>
      </c>
      <c r="V375" s="59" t="str">
        <f t="shared" si="43"/>
        <v/>
      </c>
      <c r="W375" s="59" t="str">
        <f t="shared" si="40"/>
        <v/>
      </c>
      <c r="X375" s="59" t="str">
        <f t="shared" si="44"/>
        <v/>
      </c>
      <c r="AC375" s="50">
        <f t="shared" si="45"/>
        <v>0</v>
      </c>
      <c r="AD375" s="43">
        <f t="shared" si="46"/>
        <v>0</v>
      </c>
      <c r="AE375" s="50">
        <f t="shared" si="47"/>
        <v>0</v>
      </c>
    </row>
    <row r="376" spans="1:31">
      <c r="A376" s="59" t="str">
        <f t="shared" si="41"/>
        <v/>
      </c>
      <c r="B376" s="59" t="str">
        <f t="shared" si="42"/>
        <v/>
      </c>
      <c r="V376" s="59" t="str">
        <f t="shared" si="43"/>
        <v/>
      </c>
      <c r="W376" s="59" t="str">
        <f t="shared" si="40"/>
        <v/>
      </c>
      <c r="X376" s="59" t="str">
        <f t="shared" si="44"/>
        <v/>
      </c>
      <c r="AC376" s="50">
        <f t="shared" si="45"/>
        <v>0</v>
      </c>
      <c r="AD376" s="43">
        <f t="shared" si="46"/>
        <v>0</v>
      </c>
      <c r="AE376" s="50">
        <f t="shared" si="47"/>
        <v>0</v>
      </c>
    </row>
    <row r="377" spans="1:31">
      <c r="A377" s="59" t="str">
        <f t="shared" si="41"/>
        <v/>
      </c>
      <c r="B377" s="59" t="str">
        <f t="shared" si="42"/>
        <v/>
      </c>
      <c r="V377" s="59" t="str">
        <f t="shared" si="43"/>
        <v/>
      </c>
      <c r="W377" s="59" t="str">
        <f t="shared" si="40"/>
        <v/>
      </c>
      <c r="X377" s="59" t="str">
        <f t="shared" si="44"/>
        <v/>
      </c>
      <c r="AC377" s="50">
        <f t="shared" si="45"/>
        <v>0</v>
      </c>
      <c r="AD377" s="43">
        <f t="shared" si="46"/>
        <v>0</v>
      </c>
      <c r="AE377" s="50">
        <f t="shared" si="47"/>
        <v>0</v>
      </c>
    </row>
    <row r="378" spans="1:31">
      <c r="A378" s="59" t="str">
        <f t="shared" si="41"/>
        <v/>
      </c>
      <c r="B378" s="59" t="str">
        <f t="shared" si="42"/>
        <v/>
      </c>
      <c r="V378" s="59" t="str">
        <f t="shared" si="43"/>
        <v/>
      </c>
      <c r="W378" s="59" t="str">
        <f t="shared" si="40"/>
        <v/>
      </c>
      <c r="X378" s="59" t="str">
        <f t="shared" si="44"/>
        <v/>
      </c>
      <c r="AC378" s="50">
        <f t="shared" si="45"/>
        <v>0</v>
      </c>
      <c r="AD378" s="43">
        <f t="shared" si="46"/>
        <v>0</v>
      </c>
      <c r="AE378" s="50">
        <f t="shared" si="47"/>
        <v>0</v>
      </c>
    </row>
    <row r="379" spans="1:31">
      <c r="A379" s="59" t="str">
        <f t="shared" si="41"/>
        <v/>
      </c>
      <c r="B379" s="59" t="str">
        <f t="shared" si="42"/>
        <v/>
      </c>
      <c r="V379" s="59" t="str">
        <f t="shared" si="43"/>
        <v/>
      </c>
      <c r="W379" s="59" t="str">
        <f t="shared" si="40"/>
        <v/>
      </c>
      <c r="X379" s="59" t="str">
        <f t="shared" si="44"/>
        <v/>
      </c>
      <c r="AC379" s="50">
        <f t="shared" si="45"/>
        <v>0</v>
      </c>
      <c r="AD379" s="43">
        <f t="shared" si="46"/>
        <v>0</v>
      </c>
      <c r="AE379" s="50">
        <f t="shared" si="47"/>
        <v>0</v>
      </c>
    </row>
    <row r="380" spans="1:31">
      <c r="A380" s="59" t="str">
        <f t="shared" si="41"/>
        <v/>
      </c>
      <c r="B380" s="59" t="str">
        <f t="shared" si="42"/>
        <v/>
      </c>
      <c r="V380" s="59" t="str">
        <f t="shared" si="43"/>
        <v/>
      </c>
      <c r="W380" s="59" t="str">
        <f t="shared" si="40"/>
        <v/>
      </c>
      <c r="X380" s="59" t="str">
        <f t="shared" si="44"/>
        <v/>
      </c>
      <c r="AC380" s="50">
        <f t="shared" si="45"/>
        <v>0</v>
      </c>
      <c r="AD380" s="43">
        <f t="shared" si="46"/>
        <v>0</v>
      </c>
      <c r="AE380" s="50">
        <f t="shared" si="47"/>
        <v>0</v>
      </c>
    </row>
    <row r="381" spans="1:31">
      <c r="A381" s="59" t="str">
        <f t="shared" si="41"/>
        <v/>
      </c>
      <c r="B381" s="59" t="str">
        <f t="shared" si="42"/>
        <v/>
      </c>
      <c r="V381" s="59" t="str">
        <f t="shared" si="43"/>
        <v/>
      </c>
      <c r="W381" s="59" t="str">
        <f t="shared" si="40"/>
        <v/>
      </c>
      <c r="X381" s="59" t="str">
        <f t="shared" si="44"/>
        <v/>
      </c>
      <c r="AC381" s="50">
        <f t="shared" si="45"/>
        <v>0</v>
      </c>
      <c r="AD381" s="43">
        <f t="shared" si="46"/>
        <v>0</v>
      </c>
      <c r="AE381" s="50">
        <f t="shared" si="47"/>
        <v>0</v>
      </c>
    </row>
    <row r="382" spans="1:31">
      <c r="A382" s="59" t="str">
        <f t="shared" si="41"/>
        <v/>
      </c>
      <c r="B382" s="59" t="str">
        <f t="shared" si="42"/>
        <v/>
      </c>
      <c r="V382" s="59" t="str">
        <f t="shared" si="43"/>
        <v/>
      </c>
      <c r="W382" s="59" t="str">
        <f t="shared" si="40"/>
        <v/>
      </c>
      <c r="X382" s="59" t="str">
        <f t="shared" si="44"/>
        <v/>
      </c>
      <c r="AC382" s="50">
        <f t="shared" si="45"/>
        <v>0</v>
      </c>
      <c r="AD382" s="43">
        <f t="shared" si="46"/>
        <v>0</v>
      </c>
      <c r="AE382" s="50">
        <f t="shared" si="47"/>
        <v>0</v>
      </c>
    </row>
    <row r="383" spans="1:31">
      <c r="A383" s="59" t="str">
        <f t="shared" si="41"/>
        <v/>
      </c>
      <c r="B383" s="59" t="str">
        <f t="shared" si="42"/>
        <v/>
      </c>
      <c r="V383" s="59" t="str">
        <f t="shared" si="43"/>
        <v/>
      </c>
      <c r="W383" s="59" t="str">
        <f t="shared" si="40"/>
        <v/>
      </c>
      <c r="X383" s="59" t="str">
        <f t="shared" si="44"/>
        <v/>
      </c>
      <c r="AC383" s="50">
        <f t="shared" si="45"/>
        <v>0</v>
      </c>
      <c r="AD383" s="43">
        <f t="shared" si="46"/>
        <v>0</v>
      </c>
      <c r="AE383" s="50">
        <f t="shared" si="47"/>
        <v>0</v>
      </c>
    </row>
    <row r="384" spans="1:31">
      <c r="A384" s="59" t="str">
        <f t="shared" si="41"/>
        <v/>
      </c>
      <c r="B384" s="59" t="str">
        <f t="shared" si="42"/>
        <v/>
      </c>
      <c r="V384" s="59" t="str">
        <f t="shared" si="43"/>
        <v/>
      </c>
      <c r="W384" s="59" t="str">
        <f t="shared" si="40"/>
        <v/>
      </c>
      <c r="X384" s="59" t="str">
        <f t="shared" si="44"/>
        <v/>
      </c>
      <c r="AC384" s="50">
        <f t="shared" si="45"/>
        <v>0</v>
      </c>
      <c r="AD384" s="43">
        <f t="shared" si="46"/>
        <v>0</v>
      </c>
      <c r="AE384" s="50">
        <f t="shared" si="47"/>
        <v>0</v>
      </c>
    </row>
    <row r="385" spans="1:31">
      <c r="A385" s="59" t="str">
        <f t="shared" si="41"/>
        <v/>
      </c>
      <c r="B385" s="59" t="str">
        <f t="shared" si="42"/>
        <v/>
      </c>
      <c r="V385" s="59" t="str">
        <f t="shared" si="43"/>
        <v/>
      </c>
      <c r="W385" s="59" t="str">
        <f t="shared" si="40"/>
        <v/>
      </c>
      <c r="X385" s="59" t="str">
        <f t="shared" si="44"/>
        <v/>
      </c>
      <c r="AC385" s="50">
        <f t="shared" si="45"/>
        <v>0</v>
      </c>
      <c r="AD385" s="43">
        <f t="shared" si="46"/>
        <v>0</v>
      </c>
      <c r="AE385" s="50">
        <f t="shared" si="47"/>
        <v>0</v>
      </c>
    </row>
    <row r="386" spans="1:31">
      <c r="A386" s="59" t="str">
        <f t="shared" si="41"/>
        <v/>
      </c>
      <c r="B386" s="59" t="str">
        <f t="shared" si="42"/>
        <v/>
      </c>
      <c r="V386" s="59" t="str">
        <f t="shared" si="43"/>
        <v/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59" t="str">
        <f t="shared" si="44"/>
        <v/>
      </c>
      <c r="AC386" s="50">
        <f t="shared" si="45"/>
        <v>0</v>
      </c>
      <c r="AD386" s="43">
        <f t="shared" si="46"/>
        <v>0</v>
      </c>
      <c r="AE386" s="50">
        <f t="shared" si="47"/>
        <v>0</v>
      </c>
    </row>
    <row r="387" spans="1:31">
      <c r="A387" s="59" t="str">
        <f t="shared" ref="A387:A450" si="49">IF(G387&amp;Q387&lt;&gt;"",W387&amp;Q387,"")</f>
        <v/>
      </c>
      <c r="B387" s="59" t="str">
        <f t="shared" ref="B387:B450" si="50">IF(C387&lt;&gt;"",LEFT(C387,9),"")</f>
        <v/>
      </c>
      <c r="V387" s="59" t="str">
        <f t="shared" ref="V387:V450" si="51">W387&amp;H387</f>
        <v/>
      </c>
      <c r="W387" s="59" t="str">
        <f t="shared" si="48"/>
        <v/>
      </c>
      <c r="X387" s="59" t="str">
        <f t="shared" ref="X387:X450" si="52">IF(A387&lt;&gt;"",IFERROR(IF(FIND(" ",G387)&gt;=1,MID(G387,FIND(" ",G387)+1,LEN(G387)),""),""),"")</f>
        <v/>
      </c>
      <c r="AC387" s="50">
        <f t="shared" ref="AC387:AC450" si="53">IFERROR(VALUE(MID($C387,1,2)),0)</f>
        <v>0</v>
      </c>
      <c r="AD387" s="43">
        <f t="shared" ref="AD387:AD450" si="54">IFERROR(VALUE(MID($C387,4,3)),0)</f>
        <v>0</v>
      </c>
      <c r="AE387" s="50">
        <f t="shared" ref="AE387:AE450" si="55">VALUE(RIGHT("00"&amp;AC387,2)&amp;RIGHT("000"&amp;AD387,3))</f>
        <v>0</v>
      </c>
    </row>
    <row r="388" spans="1:31">
      <c r="A388" s="59" t="str">
        <f t="shared" si="49"/>
        <v/>
      </c>
      <c r="B388" s="59" t="str">
        <f t="shared" si="50"/>
        <v/>
      </c>
      <c r="V388" s="59" t="str">
        <f t="shared" si="51"/>
        <v/>
      </c>
      <c r="W388" s="59" t="str">
        <f t="shared" si="48"/>
        <v/>
      </c>
      <c r="X388" s="59" t="str">
        <f t="shared" si="52"/>
        <v/>
      </c>
      <c r="AC388" s="50">
        <f t="shared" si="53"/>
        <v>0</v>
      </c>
      <c r="AD388" s="43">
        <f t="shared" si="54"/>
        <v>0</v>
      </c>
      <c r="AE388" s="50">
        <f t="shared" si="55"/>
        <v>0</v>
      </c>
    </row>
    <row r="389" spans="1:31">
      <c r="A389" s="59" t="str">
        <f t="shared" si="49"/>
        <v/>
      </c>
      <c r="B389" s="59" t="str">
        <f t="shared" si="50"/>
        <v/>
      </c>
      <c r="V389" s="59" t="str">
        <f t="shared" si="51"/>
        <v/>
      </c>
      <c r="W389" s="59" t="str">
        <f t="shared" si="48"/>
        <v/>
      </c>
      <c r="X389" s="59" t="str">
        <f t="shared" si="52"/>
        <v/>
      </c>
      <c r="AC389" s="50">
        <f t="shared" si="53"/>
        <v>0</v>
      </c>
      <c r="AD389" s="43">
        <f t="shared" si="54"/>
        <v>0</v>
      </c>
      <c r="AE389" s="50">
        <f t="shared" si="55"/>
        <v>0</v>
      </c>
    </row>
    <row r="390" spans="1:31">
      <c r="A390" s="59" t="str">
        <f t="shared" si="49"/>
        <v/>
      </c>
      <c r="B390" s="59" t="str">
        <f t="shared" si="50"/>
        <v/>
      </c>
      <c r="V390" s="59" t="str">
        <f t="shared" si="51"/>
        <v/>
      </c>
      <c r="W390" s="59" t="str">
        <f t="shared" si="48"/>
        <v/>
      </c>
      <c r="X390" s="59" t="str">
        <f t="shared" si="52"/>
        <v/>
      </c>
      <c r="AC390" s="50">
        <f t="shared" si="53"/>
        <v>0</v>
      </c>
      <c r="AD390" s="43">
        <f t="shared" si="54"/>
        <v>0</v>
      </c>
      <c r="AE390" s="50">
        <f t="shared" si="55"/>
        <v>0</v>
      </c>
    </row>
    <row r="391" spans="1:31">
      <c r="A391" s="59" t="str">
        <f t="shared" si="49"/>
        <v/>
      </c>
      <c r="B391" s="59" t="str">
        <f t="shared" si="50"/>
        <v/>
      </c>
      <c r="V391" s="59" t="str">
        <f t="shared" si="51"/>
        <v/>
      </c>
      <c r="W391" s="59" t="str">
        <f t="shared" si="48"/>
        <v/>
      </c>
      <c r="X391" s="59" t="str">
        <f t="shared" si="52"/>
        <v/>
      </c>
      <c r="AC391" s="50">
        <f t="shared" si="53"/>
        <v>0</v>
      </c>
      <c r="AD391" s="43">
        <f t="shared" si="54"/>
        <v>0</v>
      </c>
      <c r="AE391" s="50">
        <f t="shared" si="55"/>
        <v>0</v>
      </c>
    </row>
    <row r="392" spans="1:31">
      <c r="A392" s="59" t="str">
        <f t="shared" si="49"/>
        <v/>
      </c>
      <c r="B392" s="59" t="str">
        <f t="shared" si="50"/>
        <v/>
      </c>
      <c r="V392" s="59" t="str">
        <f t="shared" si="51"/>
        <v/>
      </c>
      <c r="W392" s="59" t="str">
        <f t="shared" si="48"/>
        <v/>
      </c>
      <c r="X392" s="59" t="str">
        <f t="shared" si="52"/>
        <v/>
      </c>
      <c r="AC392" s="50">
        <f t="shared" si="53"/>
        <v>0</v>
      </c>
      <c r="AD392" s="43">
        <f t="shared" si="54"/>
        <v>0</v>
      </c>
      <c r="AE392" s="50">
        <f t="shared" si="55"/>
        <v>0</v>
      </c>
    </row>
    <row r="393" spans="1:31">
      <c r="A393" s="59" t="str">
        <f t="shared" si="49"/>
        <v/>
      </c>
      <c r="B393" s="59" t="str">
        <f t="shared" si="50"/>
        <v/>
      </c>
      <c r="V393" s="59" t="str">
        <f t="shared" si="51"/>
        <v/>
      </c>
      <c r="W393" s="59" t="str">
        <f t="shared" si="48"/>
        <v/>
      </c>
      <c r="X393" s="59" t="str">
        <f t="shared" si="52"/>
        <v/>
      </c>
      <c r="AC393" s="50">
        <f t="shared" si="53"/>
        <v>0</v>
      </c>
      <c r="AD393" s="43">
        <f t="shared" si="54"/>
        <v>0</v>
      </c>
      <c r="AE393" s="50">
        <f t="shared" si="55"/>
        <v>0</v>
      </c>
    </row>
    <row r="394" spans="1:31">
      <c r="A394" s="59" t="str">
        <f t="shared" si="49"/>
        <v/>
      </c>
      <c r="B394" s="59" t="str">
        <f t="shared" si="50"/>
        <v/>
      </c>
      <c r="V394" s="59" t="str">
        <f t="shared" si="51"/>
        <v/>
      </c>
      <c r="W394" s="59" t="str">
        <f t="shared" si="48"/>
        <v/>
      </c>
      <c r="X394" s="59" t="str">
        <f t="shared" si="52"/>
        <v/>
      </c>
      <c r="AC394" s="50">
        <f t="shared" si="53"/>
        <v>0</v>
      </c>
      <c r="AD394" s="43">
        <f t="shared" si="54"/>
        <v>0</v>
      </c>
      <c r="AE394" s="50">
        <f t="shared" si="55"/>
        <v>0</v>
      </c>
    </row>
    <row r="395" spans="1:31">
      <c r="A395" s="59" t="str">
        <f t="shared" si="49"/>
        <v/>
      </c>
      <c r="B395" s="59" t="str">
        <f t="shared" si="50"/>
        <v/>
      </c>
      <c r="V395" s="59" t="str">
        <f t="shared" si="51"/>
        <v/>
      </c>
      <c r="W395" s="59" t="str">
        <f t="shared" si="48"/>
        <v/>
      </c>
      <c r="X395" s="59" t="str">
        <f t="shared" si="52"/>
        <v/>
      </c>
      <c r="AC395" s="50">
        <f t="shared" si="53"/>
        <v>0</v>
      </c>
      <c r="AD395" s="43">
        <f t="shared" si="54"/>
        <v>0</v>
      </c>
      <c r="AE395" s="50">
        <f t="shared" si="55"/>
        <v>0</v>
      </c>
    </row>
    <row r="396" spans="1:31">
      <c r="A396" s="59" t="str">
        <f t="shared" si="49"/>
        <v/>
      </c>
      <c r="B396" s="59" t="str">
        <f t="shared" si="50"/>
        <v/>
      </c>
      <c r="V396" s="59" t="str">
        <f t="shared" si="51"/>
        <v/>
      </c>
      <c r="W396" s="59" t="str">
        <f t="shared" si="48"/>
        <v/>
      </c>
      <c r="X396" s="59" t="str">
        <f t="shared" si="52"/>
        <v/>
      </c>
      <c r="AC396" s="50">
        <f t="shared" si="53"/>
        <v>0</v>
      </c>
      <c r="AD396" s="43">
        <f t="shared" si="54"/>
        <v>0</v>
      </c>
      <c r="AE396" s="50">
        <f t="shared" si="55"/>
        <v>0</v>
      </c>
    </row>
    <row r="397" spans="1:31">
      <c r="A397" s="59" t="str">
        <f t="shared" si="49"/>
        <v/>
      </c>
      <c r="B397" s="59" t="str">
        <f t="shared" si="50"/>
        <v/>
      </c>
      <c r="V397" s="59" t="str">
        <f t="shared" si="51"/>
        <v/>
      </c>
      <c r="W397" s="59" t="str">
        <f t="shared" si="48"/>
        <v/>
      </c>
      <c r="X397" s="59" t="str">
        <f t="shared" si="52"/>
        <v/>
      </c>
      <c r="AC397" s="50">
        <f t="shared" si="53"/>
        <v>0</v>
      </c>
      <c r="AD397" s="43">
        <f t="shared" si="54"/>
        <v>0</v>
      </c>
      <c r="AE397" s="50">
        <f t="shared" si="55"/>
        <v>0</v>
      </c>
    </row>
    <row r="398" spans="1:31">
      <c r="A398" s="59" t="str">
        <f t="shared" si="49"/>
        <v/>
      </c>
      <c r="B398" s="59" t="str">
        <f t="shared" si="50"/>
        <v/>
      </c>
      <c r="V398" s="59" t="str">
        <f t="shared" si="51"/>
        <v/>
      </c>
      <c r="W398" s="59" t="str">
        <f t="shared" si="48"/>
        <v/>
      </c>
      <c r="X398" s="59" t="str">
        <f t="shared" si="52"/>
        <v/>
      </c>
      <c r="AC398" s="50">
        <f t="shared" si="53"/>
        <v>0</v>
      </c>
      <c r="AD398" s="43">
        <f t="shared" si="54"/>
        <v>0</v>
      </c>
      <c r="AE398" s="50">
        <f t="shared" si="55"/>
        <v>0</v>
      </c>
    </row>
    <row r="399" spans="1:31">
      <c r="A399" s="59" t="str">
        <f t="shared" si="49"/>
        <v/>
      </c>
      <c r="B399" s="59" t="str">
        <f t="shared" si="50"/>
        <v/>
      </c>
      <c r="V399" s="59" t="str">
        <f t="shared" si="51"/>
        <v/>
      </c>
      <c r="W399" s="59" t="str">
        <f t="shared" si="48"/>
        <v/>
      </c>
      <c r="X399" s="59" t="str">
        <f t="shared" si="52"/>
        <v/>
      </c>
      <c r="AC399" s="50">
        <f t="shared" si="53"/>
        <v>0</v>
      </c>
      <c r="AD399" s="43">
        <f t="shared" si="54"/>
        <v>0</v>
      </c>
      <c r="AE399" s="50">
        <f t="shared" si="55"/>
        <v>0</v>
      </c>
    </row>
    <row r="400" spans="1:31">
      <c r="A400" s="59" t="str">
        <f t="shared" si="49"/>
        <v/>
      </c>
      <c r="B400" s="59" t="str">
        <f t="shared" si="50"/>
        <v/>
      </c>
      <c r="V400" s="59" t="str">
        <f t="shared" si="51"/>
        <v/>
      </c>
      <c r="W400" s="59" t="str">
        <f t="shared" si="48"/>
        <v/>
      </c>
      <c r="X400" s="59" t="str">
        <f t="shared" si="52"/>
        <v/>
      </c>
      <c r="AC400" s="50">
        <f t="shared" si="53"/>
        <v>0</v>
      </c>
      <c r="AD400" s="43">
        <f t="shared" si="54"/>
        <v>0</v>
      </c>
      <c r="AE400" s="50">
        <f t="shared" si="55"/>
        <v>0</v>
      </c>
    </row>
    <row r="401" spans="1:31">
      <c r="A401" s="59" t="str">
        <f t="shared" si="49"/>
        <v/>
      </c>
      <c r="B401" s="59" t="str">
        <f t="shared" si="50"/>
        <v/>
      </c>
      <c r="V401" s="59" t="str">
        <f t="shared" si="51"/>
        <v/>
      </c>
      <c r="W401" s="59" t="str">
        <f t="shared" si="48"/>
        <v/>
      </c>
      <c r="X401" s="59" t="str">
        <f t="shared" si="52"/>
        <v/>
      </c>
      <c r="AC401" s="50">
        <f t="shared" si="53"/>
        <v>0</v>
      </c>
      <c r="AD401" s="43">
        <f t="shared" si="54"/>
        <v>0</v>
      </c>
      <c r="AE401" s="50">
        <f t="shared" si="55"/>
        <v>0</v>
      </c>
    </row>
    <row r="402" spans="1:31">
      <c r="A402" s="59" t="str">
        <f t="shared" si="49"/>
        <v/>
      </c>
      <c r="B402" s="59" t="str">
        <f t="shared" si="50"/>
        <v/>
      </c>
      <c r="V402" s="59" t="str">
        <f t="shared" si="51"/>
        <v/>
      </c>
      <c r="W402" s="59" t="str">
        <f t="shared" si="48"/>
        <v/>
      </c>
      <c r="X402" s="59" t="str">
        <f t="shared" si="52"/>
        <v/>
      </c>
      <c r="AC402" s="50">
        <f t="shared" si="53"/>
        <v>0</v>
      </c>
      <c r="AD402" s="43">
        <f t="shared" si="54"/>
        <v>0</v>
      </c>
      <c r="AE402" s="50">
        <f t="shared" si="55"/>
        <v>0</v>
      </c>
    </row>
    <row r="403" spans="1:31">
      <c r="A403" s="59" t="str">
        <f t="shared" si="49"/>
        <v/>
      </c>
      <c r="B403" s="59" t="str">
        <f t="shared" si="50"/>
        <v/>
      </c>
      <c r="V403" s="59" t="str">
        <f t="shared" si="51"/>
        <v/>
      </c>
      <c r="W403" s="59" t="str">
        <f t="shared" si="48"/>
        <v/>
      </c>
      <c r="X403" s="59" t="str">
        <f t="shared" si="52"/>
        <v/>
      </c>
      <c r="AC403" s="50">
        <f t="shared" si="53"/>
        <v>0</v>
      </c>
      <c r="AD403" s="43">
        <f t="shared" si="54"/>
        <v>0</v>
      </c>
      <c r="AE403" s="50">
        <f t="shared" si="55"/>
        <v>0</v>
      </c>
    </row>
    <row r="404" spans="1:31">
      <c r="A404" s="59" t="str">
        <f t="shared" si="49"/>
        <v/>
      </c>
      <c r="B404" s="59" t="str">
        <f t="shared" si="50"/>
        <v/>
      </c>
      <c r="V404" s="59" t="str">
        <f t="shared" si="51"/>
        <v/>
      </c>
      <c r="W404" s="59" t="str">
        <f t="shared" si="48"/>
        <v/>
      </c>
      <c r="X404" s="59" t="str">
        <f t="shared" si="52"/>
        <v/>
      </c>
      <c r="AC404" s="50">
        <f t="shared" si="53"/>
        <v>0</v>
      </c>
      <c r="AD404" s="43">
        <f t="shared" si="54"/>
        <v>0</v>
      </c>
      <c r="AE404" s="50">
        <f t="shared" si="55"/>
        <v>0</v>
      </c>
    </row>
    <row r="405" spans="1:31">
      <c r="A405" s="59" t="str">
        <f t="shared" si="49"/>
        <v/>
      </c>
      <c r="B405" s="59" t="str">
        <f t="shared" si="50"/>
        <v/>
      </c>
      <c r="V405" s="59" t="str">
        <f t="shared" si="51"/>
        <v/>
      </c>
      <c r="W405" s="59" t="str">
        <f t="shared" si="48"/>
        <v/>
      </c>
      <c r="X405" s="59" t="str">
        <f t="shared" si="52"/>
        <v/>
      </c>
      <c r="AC405" s="50">
        <f t="shared" si="53"/>
        <v>0</v>
      </c>
      <c r="AD405" s="43">
        <f t="shared" si="54"/>
        <v>0</v>
      </c>
      <c r="AE405" s="50">
        <f t="shared" si="55"/>
        <v>0</v>
      </c>
    </row>
    <row r="406" spans="1:31">
      <c r="A406" s="59" t="str">
        <f t="shared" si="49"/>
        <v/>
      </c>
      <c r="B406" s="59" t="str">
        <f t="shared" si="50"/>
        <v/>
      </c>
      <c r="V406" s="59" t="str">
        <f t="shared" si="51"/>
        <v/>
      </c>
      <c r="W406" s="59" t="str">
        <f t="shared" si="48"/>
        <v/>
      </c>
      <c r="X406" s="59" t="str">
        <f t="shared" si="52"/>
        <v/>
      </c>
      <c r="AC406" s="50">
        <f t="shared" si="53"/>
        <v>0</v>
      </c>
      <c r="AD406" s="43">
        <f t="shared" si="54"/>
        <v>0</v>
      </c>
      <c r="AE406" s="50">
        <f t="shared" si="55"/>
        <v>0</v>
      </c>
    </row>
    <row r="407" spans="1:31">
      <c r="A407" s="59" t="str">
        <f t="shared" si="49"/>
        <v/>
      </c>
      <c r="B407" s="59" t="str">
        <f t="shared" si="50"/>
        <v/>
      </c>
      <c r="V407" s="59" t="str">
        <f t="shared" si="51"/>
        <v/>
      </c>
      <c r="W407" s="59" t="str">
        <f t="shared" si="48"/>
        <v/>
      </c>
      <c r="X407" s="59" t="str">
        <f t="shared" si="52"/>
        <v/>
      </c>
      <c r="AC407" s="50">
        <f t="shared" si="53"/>
        <v>0</v>
      </c>
      <c r="AD407" s="43">
        <f t="shared" si="54"/>
        <v>0</v>
      </c>
      <c r="AE407" s="50">
        <f t="shared" si="55"/>
        <v>0</v>
      </c>
    </row>
    <row r="408" spans="1:31">
      <c r="A408" s="59" t="str">
        <f t="shared" si="49"/>
        <v/>
      </c>
      <c r="B408" s="59" t="str">
        <f t="shared" si="50"/>
        <v/>
      </c>
      <c r="V408" s="59" t="str">
        <f t="shared" si="51"/>
        <v/>
      </c>
      <c r="W408" s="59" t="str">
        <f t="shared" si="48"/>
        <v/>
      </c>
      <c r="X408" s="59" t="str">
        <f t="shared" si="52"/>
        <v/>
      </c>
      <c r="AC408" s="50">
        <f t="shared" si="53"/>
        <v>0</v>
      </c>
      <c r="AD408" s="43">
        <f t="shared" si="54"/>
        <v>0</v>
      </c>
      <c r="AE408" s="50">
        <f t="shared" si="55"/>
        <v>0</v>
      </c>
    </row>
    <row r="409" spans="1:31">
      <c r="A409" s="59" t="str">
        <f t="shared" si="49"/>
        <v/>
      </c>
      <c r="B409" s="59" t="str">
        <f t="shared" si="50"/>
        <v/>
      </c>
      <c r="V409" s="59" t="str">
        <f t="shared" si="51"/>
        <v/>
      </c>
      <c r="W409" s="59" t="str">
        <f t="shared" si="48"/>
        <v/>
      </c>
      <c r="X409" s="59" t="str">
        <f t="shared" si="52"/>
        <v/>
      </c>
      <c r="AC409" s="50">
        <f t="shared" si="53"/>
        <v>0</v>
      </c>
      <c r="AD409" s="43">
        <f t="shared" si="54"/>
        <v>0</v>
      </c>
      <c r="AE409" s="50">
        <f t="shared" si="55"/>
        <v>0</v>
      </c>
    </row>
    <row r="410" spans="1:31">
      <c r="A410" s="59" t="str">
        <f t="shared" si="49"/>
        <v/>
      </c>
      <c r="B410" s="59" t="str">
        <f t="shared" si="50"/>
        <v/>
      </c>
      <c r="V410" s="59" t="str">
        <f t="shared" si="51"/>
        <v/>
      </c>
      <c r="W410" s="59" t="str">
        <f t="shared" si="48"/>
        <v/>
      </c>
      <c r="X410" s="59" t="str">
        <f t="shared" si="52"/>
        <v/>
      </c>
      <c r="AC410" s="50">
        <f t="shared" si="53"/>
        <v>0</v>
      </c>
      <c r="AD410" s="43">
        <f t="shared" si="54"/>
        <v>0</v>
      </c>
      <c r="AE410" s="50">
        <f t="shared" si="55"/>
        <v>0</v>
      </c>
    </row>
    <row r="411" spans="1:31">
      <c r="A411" s="59" t="str">
        <f t="shared" si="49"/>
        <v/>
      </c>
      <c r="B411" s="59" t="str">
        <f t="shared" si="50"/>
        <v/>
      </c>
      <c r="V411" s="59" t="str">
        <f t="shared" si="51"/>
        <v/>
      </c>
      <c r="W411" s="59" t="str">
        <f t="shared" si="48"/>
        <v/>
      </c>
      <c r="X411" s="59" t="str">
        <f t="shared" si="52"/>
        <v/>
      </c>
      <c r="AC411" s="50">
        <f t="shared" si="53"/>
        <v>0</v>
      </c>
      <c r="AD411" s="43">
        <f t="shared" si="54"/>
        <v>0</v>
      </c>
      <c r="AE411" s="50">
        <f t="shared" si="55"/>
        <v>0</v>
      </c>
    </row>
    <row r="412" spans="1:31">
      <c r="A412" s="59" t="str">
        <f t="shared" si="49"/>
        <v/>
      </c>
      <c r="B412" s="59" t="str">
        <f t="shared" si="50"/>
        <v/>
      </c>
      <c r="V412" s="59" t="str">
        <f t="shared" si="51"/>
        <v/>
      </c>
      <c r="W412" s="59" t="str">
        <f t="shared" si="48"/>
        <v/>
      </c>
      <c r="X412" s="59" t="str">
        <f t="shared" si="52"/>
        <v/>
      </c>
      <c r="AC412" s="50">
        <f t="shared" si="53"/>
        <v>0</v>
      </c>
      <c r="AD412" s="43">
        <f t="shared" si="54"/>
        <v>0</v>
      </c>
      <c r="AE412" s="50">
        <f t="shared" si="55"/>
        <v>0</v>
      </c>
    </row>
    <row r="413" spans="1:31">
      <c r="A413" s="59" t="str">
        <f t="shared" si="49"/>
        <v/>
      </c>
      <c r="B413" s="59" t="str">
        <f t="shared" si="50"/>
        <v/>
      </c>
      <c r="V413" s="59" t="str">
        <f t="shared" si="51"/>
        <v/>
      </c>
      <c r="W413" s="59" t="str">
        <f t="shared" si="48"/>
        <v/>
      </c>
      <c r="X413" s="59" t="str">
        <f t="shared" si="52"/>
        <v/>
      </c>
      <c r="AC413" s="50">
        <f t="shared" si="53"/>
        <v>0</v>
      </c>
      <c r="AD413" s="43">
        <f t="shared" si="54"/>
        <v>0</v>
      </c>
      <c r="AE413" s="50">
        <f t="shared" si="55"/>
        <v>0</v>
      </c>
    </row>
    <row r="414" spans="1:31">
      <c r="A414" s="59" t="str">
        <f t="shared" si="49"/>
        <v/>
      </c>
      <c r="B414" s="59" t="str">
        <f t="shared" si="50"/>
        <v/>
      </c>
      <c r="V414" s="59" t="str">
        <f t="shared" si="51"/>
        <v/>
      </c>
      <c r="W414" s="59" t="str">
        <f t="shared" si="48"/>
        <v/>
      </c>
      <c r="X414" s="59" t="str">
        <f t="shared" si="52"/>
        <v/>
      </c>
      <c r="AC414" s="50">
        <f t="shared" si="53"/>
        <v>0</v>
      </c>
      <c r="AD414" s="43">
        <f t="shared" si="54"/>
        <v>0</v>
      </c>
      <c r="AE414" s="50">
        <f t="shared" si="55"/>
        <v>0</v>
      </c>
    </row>
    <row r="415" spans="1:31">
      <c r="A415" s="59" t="str">
        <f t="shared" si="49"/>
        <v/>
      </c>
      <c r="B415" s="59" t="str">
        <f t="shared" si="50"/>
        <v/>
      </c>
      <c r="V415" s="59" t="str">
        <f t="shared" si="51"/>
        <v/>
      </c>
      <c r="W415" s="59" t="str">
        <f t="shared" si="48"/>
        <v/>
      </c>
      <c r="X415" s="59" t="str">
        <f t="shared" si="52"/>
        <v/>
      </c>
      <c r="AC415" s="50">
        <f t="shared" si="53"/>
        <v>0</v>
      </c>
      <c r="AD415" s="43">
        <f t="shared" si="54"/>
        <v>0</v>
      </c>
      <c r="AE415" s="50">
        <f t="shared" si="55"/>
        <v>0</v>
      </c>
    </row>
    <row r="416" spans="1:31">
      <c r="A416" s="59" t="str">
        <f t="shared" si="49"/>
        <v/>
      </c>
      <c r="B416" s="59" t="str">
        <f t="shared" si="50"/>
        <v/>
      </c>
      <c r="V416" s="59" t="str">
        <f t="shared" si="51"/>
        <v/>
      </c>
      <c r="W416" s="59" t="str">
        <f t="shared" si="48"/>
        <v/>
      </c>
      <c r="X416" s="59" t="str">
        <f t="shared" si="52"/>
        <v/>
      </c>
      <c r="AC416" s="50">
        <f t="shared" si="53"/>
        <v>0</v>
      </c>
      <c r="AD416" s="43">
        <f t="shared" si="54"/>
        <v>0</v>
      </c>
      <c r="AE416" s="50">
        <f t="shared" si="55"/>
        <v>0</v>
      </c>
    </row>
    <row r="417" spans="1:31">
      <c r="A417" s="59" t="str">
        <f t="shared" si="49"/>
        <v/>
      </c>
      <c r="B417" s="59" t="str">
        <f t="shared" si="50"/>
        <v/>
      </c>
      <c r="V417" s="59" t="str">
        <f t="shared" si="51"/>
        <v/>
      </c>
      <c r="W417" s="59" t="str">
        <f t="shared" si="48"/>
        <v/>
      </c>
      <c r="X417" s="59" t="str">
        <f t="shared" si="52"/>
        <v/>
      </c>
      <c r="AC417" s="50">
        <f t="shared" si="53"/>
        <v>0</v>
      </c>
      <c r="AD417" s="43">
        <f t="shared" si="54"/>
        <v>0</v>
      </c>
      <c r="AE417" s="50">
        <f t="shared" si="55"/>
        <v>0</v>
      </c>
    </row>
    <row r="418" spans="1:31">
      <c r="A418" s="59" t="str">
        <f t="shared" si="49"/>
        <v/>
      </c>
      <c r="B418" s="59" t="str">
        <f t="shared" si="50"/>
        <v/>
      </c>
      <c r="V418" s="59" t="str">
        <f t="shared" si="51"/>
        <v/>
      </c>
      <c r="W418" s="59" t="str">
        <f t="shared" si="48"/>
        <v/>
      </c>
      <c r="X418" s="59" t="str">
        <f t="shared" si="52"/>
        <v/>
      </c>
      <c r="AC418" s="50">
        <f t="shared" si="53"/>
        <v>0</v>
      </c>
      <c r="AD418" s="43">
        <f t="shared" si="54"/>
        <v>0</v>
      </c>
      <c r="AE418" s="50">
        <f t="shared" si="55"/>
        <v>0</v>
      </c>
    </row>
    <row r="419" spans="1:31">
      <c r="A419" s="59" t="str">
        <f t="shared" si="49"/>
        <v/>
      </c>
      <c r="B419" s="59" t="str">
        <f t="shared" si="50"/>
        <v/>
      </c>
      <c r="V419" s="59" t="str">
        <f t="shared" si="51"/>
        <v/>
      </c>
      <c r="W419" s="59" t="str">
        <f t="shared" si="48"/>
        <v/>
      </c>
      <c r="X419" s="59" t="str">
        <f t="shared" si="52"/>
        <v/>
      </c>
      <c r="AC419" s="50">
        <f t="shared" si="53"/>
        <v>0</v>
      </c>
      <c r="AD419" s="43">
        <f t="shared" si="54"/>
        <v>0</v>
      </c>
      <c r="AE419" s="50">
        <f t="shared" si="55"/>
        <v>0</v>
      </c>
    </row>
    <row r="420" spans="1:31">
      <c r="A420" s="59" t="str">
        <f t="shared" si="49"/>
        <v/>
      </c>
      <c r="B420" s="59" t="str">
        <f t="shared" si="50"/>
        <v/>
      </c>
      <c r="V420" s="59" t="str">
        <f t="shared" si="51"/>
        <v/>
      </c>
      <c r="W420" s="59" t="str">
        <f t="shared" si="48"/>
        <v/>
      </c>
      <c r="X420" s="59" t="str">
        <f t="shared" si="52"/>
        <v/>
      </c>
      <c r="AC420" s="50">
        <f t="shared" si="53"/>
        <v>0</v>
      </c>
      <c r="AD420" s="43">
        <f t="shared" si="54"/>
        <v>0</v>
      </c>
      <c r="AE420" s="50">
        <f t="shared" si="55"/>
        <v>0</v>
      </c>
    </row>
    <row r="421" spans="1:31">
      <c r="A421" s="59" t="str">
        <f t="shared" si="49"/>
        <v/>
      </c>
      <c r="B421" s="59" t="str">
        <f t="shared" si="50"/>
        <v/>
      </c>
      <c r="V421" s="59" t="str">
        <f t="shared" si="51"/>
        <v/>
      </c>
      <c r="W421" s="59" t="str">
        <f t="shared" si="48"/>
        <v/>
      </c>
      <c r="X421" s="59" t="str">
        <f t="shared" si="52"/>
        <v/>
      </c>
      <c r="AC421" s="50">
        <f t="shared" si="53"/>
        <v>0</v>
      </c>
      <c r="AD421" s="43">
        <f t="shared" si="54"/>
        <v>0</v>
      </c>
      <c r="AE421" s="50">
        <f t="shared" si="55"/>
        <v>0</v>
      </c>
    </row>
    <row r="422" spans="1:31">
      <c r="A422" s="59" t="str">
        <f t="shared" si="49"/>
        <v/>
      </c>
      <c r="B422" s="59" t="str">
        <f t="shared" si="50"/>
        <v/>
      </c>
      <c r="V422" s="59" t="str">
        <f t="shared" si="51"/>
        <v/>
      </c>
      <c r="W422" s="59" t="str">
        <f t="shared" si="48"/>
        <v/>
      </c>
      <c r="X422" s="59" t="str">
        <f t="shared" si="52"/>
        <v/>
      </c>
      <c r="AC422" s="50">
        <f t="shared" si="53"/>
        <v>0</v>
      </c>
      <c r="AD422" s="43">
        <f t="shared" si="54"/>
        <v>0</v>
      </c>
      <c r="AE422" s="50">
        <f t="shared" si="55"/>
        <v>0</v>
      </c>
    </row>
    <row r="423" spans="1:31">
      <c r="A423" s="59" t="str">
        <f t="shared" si="49"/>
        <v/>
      </c>
      <c r="B423" s="59" t="str">
        <f t="shared" si="50"/>
        <v/>
      </c>
      <c r="V423" s="59" t="str">
        <f t="shared" si="51"/>
        <v/>
      </c>
      <c r="W423" s="59" t="str">
        <f t="shared" si="48"/>
        <v/>
      </c>
      <c r="X423" s="59" t="str">
        <f t="shared" si="52"/>
        <v/>
      </c>
      <c r="AC423" s="50">
        <f t="shared" si="53"/>
        <v>0</v>
      </c>
      <c r="AD423" s="43">
        <f t="shared" si="54"/>
        <v>0</v>
      </c>
      <c r="AE423" s="50">
        <f t="shared" si="55"/>
        <v>0</v>
      </c>
    </row>
    <row r="424" spans="1:31">
      <c r="A424" s="59" t="str">
        <f t="shared" si="49"/>
        <v/>
      </c>
      <c r="B424" s="59" t="str">
        <f t="shared" si="50"/>
        <v/>
      </c>
      <c r="V424" s="59" t="str">
        <f t="shared" si="51"/>
        <v/>
      </c>
      <c r="W424" s="59" t="str">
        <f t="shared" si="48"/>
        <v/>
      </c>
      <c r="X424" s="59" t="str">
        <f t="shared" si="52"/>
        <v/>
      </c>
      <c r="AC424" s="50">
        <f t="shared" si="53"/>
        <v>0</v>
      </c>
      <c r="AD424" s="43">
        <f t="shared" si="54"/>
        <v>0</v>
      </c>
      <c r="AE424" s="50">
        <f t="shared" si="55"/>
        <v>0</v>
      </c>
    </row>
    <row r="425" spans="1:31">
      <c r="A425" s="59" t="str">
        <f t="shared" si="49"/>
        <v/>
      </c>
      <c r="B425" s="59" t="str">
        <f t="shared" si="50"/>
        <v/>
      </c>
      <c r="V425" s="59" t="str">
        <f t="shared" si="51"/>
        <v/>
      </c>
      <c r="W425" s="59" t="str">
        <f t="shared" si="48"/>
        <v/>
      </c>
      <c r="X425" s="59" t="str">
        <f t="shared" si="52"/>
        <v/>
      </c>
      <c r="AC425" s="50">
        <f t="shared" si="53"/>
        <v>0</v>
      </c>
      <c r="AD425" s="43">
        <f t="shared" si="54"/>
        <v>0</v>
      </c>
      <c r="AE425" s="50">
        <f t="shared" si="55"/>
        <v>0</v>
      </c>
    </row>
    <row r="426" spans="1:31">
      <c r="A426" s="59" t="str">
        <f t="shared" si="49"/>
        <v/>
      </c>
      <c r="B426" s="59" t="str">
        <f t="shared" si="50"/>
        <v/>
      </c>
      <c r="V426" s="59" t="str">
        <f t="shared" si="51"/>
        <v/>
      </c>
      <c r="W426" s="59" t="str">
        <f t="shared" si="48"/>
        <v/>
      </c>
      <c r="X426" s="59" t="str">
        <f t="shared" si="52"/>
        <v/>
      </c>
      <c r="AC426" s="50">
        <f t="shared" si="53"/>
        <v>0</v>
      </c>
      <c r="AD426" s="43">
        <f t="shared" si="54"/>
        <v>0</v>
      </c>
      <c r="AE426" s="50">
        <f t="shared" si="55"/>
        <v>0</v>
      </c>
    </row>
    <row r="427" spans="1:31">
      <c r="A427" s="59" t="str">
        <f t="shared" si="49"/>
        <v/>
      </c>
      <c r="B427" s="59" t="str">
        <f t="shared" si="50"/>
        <v/>
      </c>
      <c r="V427" s="59" t="str">
        <f t="shared" si="51"/>
        <v/>
      </c>
      <c r="W427" s="59" t="str">
        <f t="shared" si="48"/>
        <v/>
      </c>
      <c r="X427" s="59" t="str">
        <f t="shared" si="52"/>
        <v/>
      </c>
      <c r="AC427" s="50">
        <f t="shared" si="53"/>
        <v>0</v>
      </c>
      <c r="AD427" s="43">
        <f t="shared" si="54"/>
        <v>0</v>
      </c>
      <c r="AE427" s="50">
        <f t="shared" si="55"/>
        <v>0</v>
      </c>
    </row>
    <row r="428" spans="1:31">
      <c r="A428" s="59" t="str">
        <f t="shared" si="49"/>
        <v/>
      </c>
      <c r="B428" s="59" t="str">
        <f t="shared" si="50"/>
        <v/>
      </c>
      <c r="V428" s="59" t="str">
        <f t="shared" si="51"/>
        <v/>
      </c>
      <c r="W428" s="59" t="str">
        <f t="shared" si="48"/>
        <v/>
      </c>
      <c r="X428" s="59" t="str">
        <f t="shared" si="52"/>
        <v/>
      </c>
      <c r="AC428" s="50">
        <f t="shared" si="53"/>
        <v>0</v>
      </c>
      <c r="AD428" s="43">
        <f t="shared" si="54"/>
        <v>0</v>
      </c>
      <c r="AE428" s="50">
        <f t="shared" si="55"/>
        <v>0</v>
      </c>
    </row>
    <row r="429" spans="1:31">
      <c r="A429" s="59" t="str">
        <f t="shared" si="49"/>
        <v/>
      </c>
      <c r="B429" s="59" t="str">
        <f t="shared" si="50"/>
        <v/>
      </c>
      <c r="V429" s="59" t="str">
        <f t="shared" si="51"/>
        <v/>
      </c>
      <c r="W429" s="59" t="str">
        <f t="shared" si="48"/>
        <v/>
      </c>
      <c r="X429" s="59" t="str">
        <f t="shared" si="52"/>
        <v/>
      </c>
      <c r="AC429" s="50">
        <f t="shared" si="53"/>
        <v>0</v>
      </c>
      <c r="AD429" s="43">
        <f t="shared" si="54"/>
        <v>0</v>
      </c>
      <c r="AE429" s="50">
        <f t="shared" si="55"/>
        <v>0</v>
      </c>
    </row>
    <row r="430" spans="1:31">
      <c r="A430" s="59" t="str">
        <f t="shared" si="49"/>
        <v/>
      </c>
      <c r="B430" s="59" t="str">
        <f t="shared" si="50"/>
        <v/>
      </c>
      <c r="V430" s="59" t="str">
        <f t="shared" si="51"/>
        <v/>
      </c>
      <c r="W430" s="59" t="str">
        <f t="shared" si="48"/>
        <v/>
      </c>
      <c r="X430" s="59" t="str">
        <f t="shared" si="52"/>
        <v/>
      </c>
      <c r="AC430" s="50">
        <f t="shared" si="53"/>
        <v>0</v>
      </c>
      <c r="AD430" s="43">
        <f t="shared" si="54"/>
        <v>0</v>
      </c>
      <c r="AE430" s="50">
        <f t="shared" si="55"/>
        <v>0</v>
      </c>
    </row>
    <row r="431" spans="1:31">
      <c r="A431" s="59" t="str">
        <f t="shared" si="49"/>
        <v/>
      </c>
      <c r="B431" s="59" t="str">
        <f t="shared" si="50"/>
        <v/>
      </c>
      <c r="V431" s="59" t="str">
        <f t="shared" si="51"/>
        <v/>
      </c>
      <c r="W431" s="59" t="str">
        <f t="shared" si="48"/>
        <v/>
      </c>
      <c r="X431" s="59" t="str">
        <f t="shared" si="52"/>
        <v/>
      </c>
      <c r="AC431" s="50">
        <f t="shared" si="53"/>
        <v>0</v>
      </c>
      <c r="AD431" s="43">
        <f t="shared" si="54"/>
        <v>0</v>
      </c>
      <c r="AE431" s="50">
        <f t="shared" si="55"/>
        <v>0</v>
      </c>
    </row>
    <row r="432" spans="1:31">
      <c r="A432" s="59" t="str">
        <f t="shared" si="49"/>
        <v/>
      </c>
      <c r="B432" s="59" t="str">
        <f t="shared" si="50"/>
        <v/>
      </c>
      <c r="V432" s="59" t="str">
        <f t="shared" si="51"/>
        <v/>
      </c>
      <c r="W432" s="59" t="str">
        <f t="shared" si="48"/>
        <v/>
      </c>
      <c r="X432" s="59" t="str">
        <f t="shared" si="52"/>
        <v/>
      </c>
      <c r="AC432" s="50">
        <f t="shared" si="53"/>
        <v>0</v>
      </c>
      <c r="AD432" s="43">
        <f t="shared" si="54"/>
        <v>0</v>
      </c>
      <c r="AE432" s="50">
        <f t="shared" si="55"/>
        <v>0</v>
      </c>
    </row>
    <row r="433" spans="1:31">
      <c r="A433" s="59" t="str">
        <f t="shared" si="49"/>
        <v/>
      </c>
      <c r="B433" s="59" t="str">
        <f t="shared" si="50"/>
        <v/>
      </c>
      <c r="V433" s="59" t="str">
        <f t="shared" si="51"/>
        <v/>
      </c>
      <c r="W433" s="59" t="str">
        <f t="shared" si="48"/>
        <v/>
      </c>
      <c r="X433" s="59" t="str">
        <f t="shared" si="52"/>
        <v/>
      </c>
      <c r="AC433" s="50">
        <f t="shared" si="53"/>
        <v>0</v>
      </c>
      <c r="AD433" s="43">
        <f t="shared" si="54"/>
        <v>0</v>
      </c>
      <c r="AE433" s="50">
        <f t="shared" si="55"/>
        <v>0</v>
      </c>
    </row>
    <row r="434" spans="1:31">
      <c r="A434" s="59" t="str">
        <f t="shared" si="49"/>
        <v/>
      </c>
      <c r="B434" s="59" t="str">
        <f t="shared" si="50"/>
        <v/>
      </c>
      <c r="V434" s="59" t="str">
        <f t="shared" si="51"/>
        <v/>
      </c>
      <c r="W434" s="59" t="str">
        <f t="shared" si="48"/>
        <v/>
      </c>
      <c r="X434" s="59" t="str">
        <f t="shared" si="52"/>
        <v/>
      </c>
      <c r="AC434" s="50">
        <f t="shared" si="53"/>
        <v>0</v>
      </c>
      <c r="AD434" s="43">
        <f t="shared" si="54"/>
        <v>0</v>
      </c>
      <c r="AE434" s="50">
        <f t="shared" si="55"/>
        <v>0</v>
      </c>
    </row>
    <row r="435" spans="1:31">
      <c r="A435" s="59" t="str">
        <f t="shared" si="49"/>
        <v/>
      </c>
      <c r="B435" s="59" t="str">
        <f t="shared" si="50"/>
        <v/>
      </c>
      <c r="V435" s="59" t="str">
        <f t="shared" si="51"/>
        <v/>
      </c>
      <c r="W435" s="59" t="str">
        <f t="shared" si="48"/>
        <v/>
      </c>
      <c r="X435" s="59" t="str">
        <f t="shared" si="52"/>
        <v/>
      </c>
      <c r="AC435" s="50">
        <f t="shared" si="53"/>
        <v>0</v>
      </c>
      <c r="AD435" s="43">
        <f t="shared" si="54"/>
        <v>0</v>
      </c>
      <c r="AE435" s="50">
        <f t="shared" si="55"/>
        <v>0</v>
      </c>
    </row>
    <row r="436" spans="1:31">
      <c r="A436" s="59" t="str">
        <f t="shared" si="49"/>
        <v/>
      </c>
      <c r="B436" s="59" t="str">
        <f t="shared" si="50"/>
        <v/>
      </c>
      <c r="V436" s="59" t="str">
        <f t="shared" si="51"/>
        <v/>
      </c>
      <c r="W436" s="59" t="str">
        <f t="shared" si="48"/>
        <v/>
      </c>
      <c r="X436" s="59" t="str">
        <f t="shared" si="52"/>
        <v/>
      </c>
      <c r="AC436" s="50">
        <f t="shared" si="53"/>
        <v>0</v>
      </c>
      <c r="AD436" s="43">
        <f t="shared" si="54"/>
        <v>0</v>
      </c>
      <c r="AE436" s="50">
        <f t="shared" si="55"/>
        <v>0</v>
      </c>
    </row>
    <row r="437" spans="1:31">
      <c r="A437" s="59" t="str">
        <f t="shared" si="49"/>
        <v/>
      </c>
      <c r="B437" s="59" t="str">
        <f t="shared" si="50"/>
        <v/>
      </c>
      <c r="V437" s="59" t="str">
        <f t="shared" si="51"/>
        <v/>
      </c>
      <c r="W437" s="59" t="str">
        <f t="shared" si="48"/>
        <v/>
      </c>
      <c r="X437" s="59" t="str">
        <f t="shared" si="52"/>
        <v/>
      </c>
      <c r="AC437" s="50">
        <f t="shared" si="53"/>
        <v>0</v>
      </c>
      <c r="AD437" s="43">
        <f t="shared" si="54"/>
        <v>0</v>
      </c>
      <c r="AE437" s="50">
        <f t="shared" si="55"/>
        <v>0</v>
      </c>
    </row>
    <row r="438" spans="1:31">
      <c r="A438" s="59" t="str">
        <f t="shared" si="49"/>
        <v/>
      </c>
      <c r="B438" s="59" t="str">
        <f t="shared" si="50"/>
        <v/>
      </c>
      <c r="V438" s="59" t="str">
        <f t="shared" si="51"/>
        <v/>
      </c>
      <c r="W438" s="59" t="str">
        <f t="shared" si="48"/>
        <v/>
      </c>
      <c r="X438" s="59" t="str">
        <f t="shared" si="52"/>
        <v/>
      </c>
      <c r="AC438" s="50">
        <f t="shared" si="53"/>
        <v>0</v>
      </c>
      <c r="AD438" s="43">
        <f t="shared" si="54"/>
        <v>0</v>
      </c>
      <c r="AE438" s="50">
        <f t="shared" si="55"/>
        <v>0</v>
      </c>
    </row>
    <row r="439" spans="1:31">
      <c r="A439" s="59" t="str">
        <f t="shared" si="49"/>
        <v/>
      </c>
      <c r="B439" s="59" t="str">
        <f t="shared" si="50"/>
        <v/>
      </c>
      <c r="V439" s="59" t="str">
        <f t="shared" si="51"/>
        <v/>
      </c>
      <c r="W439" s="59" t="str">
        <f t="shared" si="48"/>
        <v/>
      </c>
      <c r="X439" s="59" t="str">
        <f t="shared" si="52"/>
        <v/>
      </c>
      <c r="AC439" s="50">
        <f t="shared" si="53"/>
        <v>0</v>
      </c>
      <c r="AD439" s="43">
        <f t="shared" si="54"/>
        <v>0</v>
      </c>
      <c r="AE439" s="50">
        <f t="shared" si="55"/>
        <v>0</v>
      </c>
    </row>
    <row r="440" spans="1:31">
      <c r="A440" s="59" t="str">
        <f t="shared" si="49"/>
        <v/>
      </c>
      <c r="B440" s="59" t="str">
        <f t="shared" si="50"/>
        <v/>
      </c>
      <c r="V440" s="59" t="str">
        <f t="shared" si="51"/>
        <v/>
      </c>
      <c r="W440" s="59" t="str">
        <f t="shared" si="48"/>
        <v/>
      </c>
      <c r="X440" s="59" t="str">
        <f t="shared" si="52"/>
        <v/>
      </c>
      <c r="AC440" s="50">
        <f t="shared" si="53"/>
        <v>0</v>
      </c>
      <c r="AD440" s="43">
        <f t="shared" si="54"/>
        <v>0</v>
      </c>
      <c r="AE440" s="50">
        <f t="shared" si="55"/>
        <v>0</v>
      </c>
    </row>
    <row r="441" spans="1:31">
      <c r="A441" s="59" t="str">
        <f t="shared" si="49"/>
        <v/>
      </c>
      <c r="B441" s="59" t="str">
        <f t="shared" si="50"/>
        <v/>
      </c>
      <c r="V441" s="59" t="str">
        <f t="shared" si="51"/>
        <v/>
      </c>
      <c r="W441" s="59" t="str">
        <f t="shared" si="48"/>
        <v/>
      </c>
      <c r="X441" s="59" t="str">
        <f t="shared" si="52"/>
        <v/>
      </c>
      <c r="AC441" s="50">
        <f t="shared" si="53"/>
        <v>0</v>
      </c>
      <c r="AD441" s="43">
        <f t="shared" si="54"/>
        <v>0</v>
      </c>
      <c r="AE441" s="50">
        <f t="shared" si="55"/>
        <v>0</v>
      </c>
    </row>
    <row r="442" spans="1:31">
      <c r="A442" s="59" t="str">
        <f t="shared" si="49"/>
        <v/>
      </c>
      <c r="B442" s="59" t="str">
        <f t="shared" si="50"/>
        <v/>
      </c>
      <c r="V442" s="59" t="str">
        <f t="shared" si="51"/>
        <v/>
      </c>
      <c r="W442" s="59" t="str">
        <f t="shared" si="48"/>
        <v/>
      </c>
      <c r="X442" s="59" t="str">
        <f t="shared" si="52"/>
        <v/>
      </c>
      <c r="AC442" s="50">
        <f t="shared" si="53"/>
        <v>0</v>
      </c>
      <c r="AD442" s="43">
        <f t="shared" si="54"/>
        <v>0</v>
      </c>
      <c r="AE442" s="50">
        <f t="shared" si="55"/>
        <v>0</v>
      </c>
    </row>
    <row r="443" spans="1:31">
      <c r="A443" s="59" t="str">
        <f t="shared" si="49"/>
        <v/>
      </c>
      <c r="B443" s="59" t="str">
        <f t="shared" si="50"/>
        <v/>
      </c>
      <c r="V443" s="59" t="str">
        <f t="shared" si="51"/>
        <v/>
      </c>
      <c r="W443" s="59" t="str">
        <f t="shared" si="48"/>
        <v/>
      </c>
      <c r="X443" s="59" t="str">
        <f t="shared" si="52"/>
        <v/>
      </c>
      <c r="AC443" s="50">
        <f t="shared" si="53"/>
        <v>0</v>
      </c>
      <c r="AD443" s="43">
        <f t="shared" si="54"/>
        <v>0</v>
      </c>
      <c r="AE443" s="50">
        <f t="shared" si="55"/>
        <v>0</v>
      </c>
    </row>
    <row r="444" spans="1:31">
      <c r="A444" s="59" t="str">
        <f t="shared" si="49"/>
        <v/>
      </c>
      <c r="B444" s="59" t="str">
        <f t="shared" si="50"/>
        <v/>
      </c>
      <c r="V444" s="59" t="str">
        <f t="shared" si="51"/>
        <v/>
      </c>
      <c r="W444" s="59" t="str">
        <f t="shared" si="48"/>
        <v/>
      </c>
      <c r="X444" s="59" t="str">
        <f t="shared" si="52"/>
        <v/>
      </c>
      <c r="AC444" s="50">
        <f t="shared" si="53"/>
        <v>0</v>
      </c>
      <c r="AD444" s="43">
        <f t="shared" si="54"/>
        <v>0</v>
      </c>
      <c r="AE444" s="50">
        <f t="shared" si="55"/>
        <v>0</v>
      </c>
    </row>
    <row r="445" spans="1:31">
      <c r="A445" s="59" t="str">
        <f t="shared" si="49"/>
        <v/>
      </c>
      <c r="B445" s="59" t="str">
        <f t="shared" si="50"/>
        <v/>
      </c>
      <c r="V445" s="59" t="str">
        <f t="shared" si="51"/>
        <v/>
      </c>
      <c r="W445" s="59" t="str">
        <f t="shared" si="48"/>
        <v/>
      </c>
      <c r="X445" s="59" t="str">
        <f t="shared" si="52"/>
        <v/>
      </c>
      <c r="AC445" s="50">
        <f t="shared" si="53"/>
        <v>0</v>
      </c>
      <c r="AD445" s="43">
        <f t="shared" si="54"/>
        <v>0</v>
      </c>
      <c r="AE445" s="50">
        <f t="shared" si="55"/>
        <v>0</v>
      </c>
    </row>
    <row r="446" spans="1:31">
      <c r="A446" s="59" t="str">
        <f t="shared" si="49"/>
        <v/>
      </c>
      <c r="B446" s="59" t="str">
        <f t="shared" si="50"/>
        <v/>
      </c>
      <c r="V446" s="59" t="str">
        <f t="shared" si="51"/>
        <v/>
      </c>
      <c r="W446" s="59" t="str">
        <f t="shared" si="48"/>
        <v/>
      </c>
      <c r="X446" s="59" t="str">
        <f t="shared" si="52"/>
        <v/>
      </c>
      <c r="AC446" s="50">
        <f t="shared" si="53"/>
        <v>0</v>
      </c>
      <c r="AD446" s="43">
        <f t="shared" si="54"/>
        <v>0</v>
      </c>
      <c r="AE446" s="50">
        <f t="shared" si="55"/>
        <v>0</v>
      </c>
    </row>
    <row r="447" spans="1:31">
      <c r="A447" s="59" t="str">
        <f t="shared" si="49"/>
        <v/>
      </c>
      <c r="B447" s="59" t="str">
        <f t="shared" si="50"/>
        <v/>
      </c>
      <c r="V447" s="59" t="str">
        <f t="shared" si="51"/>
        <v/>
      </c>
      <c r="W447" s="59" t="str">
        <f t="shared" si="48"/>
        <v/>
      </c>
      <c r="X447" s="59" t="str">
        <f t="shared" si="52"/>
        <v/>
      </c>
      <c r="AC447" s="50">
        <f t="shared" si="53"/>
        <v>0</v>
      </c>
      <c r="AD447" s="43">
        <f t="shared" si="54"/>
        <v>0</v>
      </c>
      <c r="AE447" s="50">
        <f t="shared" si="55"/>
        <v>0</v>
      </c>
    </row>
    <row r="448" spans="1:31">
      <c r="A448" s="59" t="str">
        <f t="shared" si="49"/>
        <v/>
      </c>
      <c r="B448" s="59" t="str">
        <f t="shared" si="50"/>
        <v/>
      </c>
      <c r="V448" s="59" t="str">
        <f t="shared" si="51"/>
        <v/>
      </c>
      <c r="W448" s="59" t="str">
        <f t="shared" si="48"/>
        <v/>
      </c>
      <c r="X448" s="59" t="str">
        <f t="shared" si="52"/>
        <v/>
      </c>
      <c r="AC448" s="50">
        <f t="shared" si="53"/>
        <v>0</v>
      </c>
      <c r="AD448" s="43">
        <f t="shared" si="54"/>
        <v>0</v>
      </c>
      <c r="AE448" s="50">
        <f t="shared" si="55"/>
        <v>0</v>
      </c>
    </row>
    <row r="449" spans="1:31">
      <c r="A449" s="59" t="str">
        <f t="shared" si="49"/>
        <v/>
      </c>
      <c r="B449" s="59" t="str">
        <f t="shared" si="50"/>
        <v/>
      </c>
      <c r="V449" s="59" t="str">
        <f t="shared" si="51"/>
        <v/>
      </c>
      <c r="W449" s="59" t="str">
        <f t="shared" si="48"/>
        <v/>
      </c>
      <c r="X449" s="59" t="str">
        <f t="shared" si="52"/>
        <v/>
      </c>
      <c r="AC449" s="50">
        <f t="shared" si="53"/>
        <v>0</v>
      </c>
      <c r="AD449" s="43">
        <f t="shared" si="54"/>
        <v>0</v>
      </c>
      <c r="AE449" s="50">
        <f t="shared" si="55"/>
        <v>0</v>
      </c>
    </row>
    <row r="450" spans="1:31">
      <c r="A450" s="59" t="str">
        <f t="shared" si="49"/>
        <v/>
      </c>
      <c r="B450" s="59" t="str">
        <f t="shared" si="50"/>
        <v/>
      </c>
      <c r="V450" s="59" t="str">
        <f t="shared" si="51"/>
        <v/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59" t="str">
        <f t="shared" si="52"/>
        <v/>
      </c>
      <c r="AC450" s="50">
        <f t="shared" si="53"/>
        <v>0</v>
      </c>
      <c r="AD450" s="43">
        <f t="shared" si="54"/>
        <v>0</v>
      </c>
      <c r="AE450" s="50">
        <f t="shared" si="55"/>
        <v>0</v>
      </c>
    </row>
    <row r="451" spans="1:31">
      <c r="A451" s="59" t="str">
        <f t="shared" ref="A451:A514" si="57">IF(G451&amp;Q451&lt;&gt;"",W451&amp;Q451,"")</f>
        <v/>
      </c>
      <c r="B451" s="59" t="str">
        <f t="shared" ref="B451:B514" si="58">IF(C451&lt;&gt;"",LEFT(C451,9),"")</f>
        <v/>
      </c>
      <c r="V451" s="59" t="str">
        <f t="shared" ref="V451:V514" si="59">W451&amp;H451</f>
        <v/>
      </c>
      <c r="W451" s="59" t="str">
        <f t="shared" si="56"/>
        <v/>
      </c>
      <c r="X451" s="59" t="str">
        <f t="shared" ref="X451:X514" si="60">IF(A451&lt;&gt;"",IFERROR(IF(FIND(" ",G451)&gt;=1,MID(G451,FIND(" ",G451)+1,LEN(G451)),""),""),"")</f>
        <v/>
      </c>
      <c r="AC451" s="50">
        <f t="shared" ref="AC451:AC514" si="61">IFERROR(VALUE(MID($C451,1,2)),0)</f>
        <v>0</v>
      </c>
      <c r="AD451" s="43">
        <f t="shared" ref="AD451:AD514" si="62">IFERROR(VALUE(MID($C451,4,3)),0)</f>
        <v>0</v>
      </c>
      <c r="AE451" s="50">
        <f t="shared" ref="AE451:AE514" si="63">VALUE(RIGHT("00"&amp;AC451,2)&amp;RIGHT("000"&amp;AD451,3))</f>
        <v>0</v>
      </c>
    </row>
    <row r="452" spans="1:31">
      <c r="A452" s="59" t="str">
        <f t="shared" si="57"/>
        <v/>
      </c>
      <c r="B452" s="59" t="str">
        <f t="shared" si="58"/>
        <v/>
      </c>
      <c r="V452" s="59" t="str">
        <f t="shared" si="59"/>
        <v/>
      </c>
      <c r="W452" s="59" t="str">
        <f t="shared" si="56"/>
        <v/>
      </c>
      <c r="X452" s="59" t="str">
        <f t="shared" si="60"/>
        <v/>
      </c>
      <c r="AC452" s="50">
        <f t="shared" si="61"/>
        <v>0</v>
      </c>
      <c r="AD452" s="43">
        <f t="shared" si="62"/>
        <v>0</v>
      </c>
      <c r="AE452" s="50">
        <f t="shared" si="63"/>
        <v>0</v>
      </c>
    </row>
    <row r="453" spans="1:31">
      <c r="A453" s="59" t="str">
        <f t="shared" si="57"/>
        <v/>
      </c>
      <c r="B453" s="59" t="str">
        <f t="shared" si="58"/>
        <v/>
      </c>
      <c r="V453" s="59" t="str">
        <f t="shared" si="59"/>
        <v/>
      </c>
      <c r="W453" s="59" t="str">
        <f t="shared" si="56"/>
        <v/>
      </c>
      <c r="X453" s="59" t="str">
        <f t="shared" si="60"/>
        <v/>
      </c>
      <c r="AC453" s="50">
        <f t="shared" si="61"/>
        <v>0</v>
      </c>
      <c r="AD453" s="43">
        <f t="shared" si="62"/>
        <v>0</v>
      </c>
      <c r="AE453" s="50">
        <f t="shared" si="63"/>
        <v>0</v>
      </c>
    </row>
    <row r="454" spans="1:31">
      <c r="A454" s="59" t="str">
        <f t="shared" si="57"/>
        <v/>
      </c>
      <c r="B454" s="59" t="str">
        <f t="shared" si="58"/>
        <v/>
      </c>
      <c r="V454" s="59" t="str">
        <f t="shared" si="59"/>
        <v/>
      </c>
      <c r="W454" s="59" t="str">
        <f t="shared" si="56"/>
        <v/>
      </c>
      <c r="X454" s="59" t="str">
        <f t="shared" si="60"/>
        <v/>
      </c>
      <c r="AC454" s="50">
        <f t="shared" si="61"/>
        <v>0</v>
      </c>
      <c r="AD454" s="43">
        <f t="shared" si="62"/>
        <v>0</v>
      </c>
      <c r="AE454" s="50">
        <f t="shared" si="63"/>
        <v>0</v>
      </c>
    </row>
    <row r="455" spans="1:31">
      <c r="A455" s="59" t="str">
        <f t="shared" si="57"/>
        <v/>
      </c>
      <c r="B455" s="59" t="str">
        <f t="shared" si="58"/>
        <v/>
      </c>
      <c r="V455" s="59" t="str">
        <f t="shared" si="59"/>
        <v/>
      </c>
      <c r="W455" s="59" t="str">
        <f t="shared" si="56"/>
        <v/>
      </c>
      <c r="X455" s="59" t="str">
        <f t="shared" si="60"/>
        <v/>
      </c>
      <c r="AC455" s="50">
        <f t="shared" si="61"/>
        <v>0</v>
      </c>
      <c r="AD455" s="43">
        <f t="shared" si="62"/>
        <v>0</v>
      </c>
      <c r="AE455" s="50">
        <f t="shared" si="63"/>
        <v>0</v>
      </c>
    </row>
    <row r="456" spans="1:31">
      <c r="A456" s="59" t="str">
        <f t="shared" si="57"/>
        <v/>
      </c>
      <c r="B456" s="59" t="str">
        <f t="shared" si="58"/>
        <v/>
      </c>
      <c r="V456" s="59" t="str">
        <f t="shared" si="59"/>
        <v/>
      </c>
      <c r="W456" s="59" t="str">
        <f t="shared" si="56"/>
        <v/>
      </c>
      <c r="X456" s="59" t="str">
        <f t="shared" si="60"/>
        <v/>
      </c>
      <c r="AC456" s="50">
        <f t="shared" si="61"/>
        <v>0</v>
      </c>
      <c r="AD456" s="43">
        <f t="shared" si="62"/>
        <v>0</v>
      </c>
      <c r="AE456" s="50">
        <f t="shared" si="63"/>
        <v>0</v>
      </c>
    </row>
    <row r="457" spans="1:31">
      <c r="A457" s="59" t="str">
        <f t="shared" si="57"/>
        <v/>
      </c>
      <c r="B457" s="59" t="str">
        <f t="shared" si="58"/>
        <v/>
      </c>
      <c r="V457" s="59" t="str">
        <f t="shared" si="59"/>
        <v/>
      </c>
      <c r="W457" s="59" t="str">
        <f t="shared" si="56"/>
        <v/>
      </c>
      <c r="X457" s="59" t="str">
        <f t="shared" si="60"/>
        <v/>
      </c>
      <c r="AC457" s="50">
        <f t="shared" si="61"/>
        <v>0</v>
      </c>
      <c r="AD457" s="43">
        <f t="shared" si="62"/>
        <v>0</v>
      </c>
      <c r="AE457" s="50">
        <f t="shared" si="63"/>
        <v>0</v>
      </c>
    </row>
    <row r="458" spans="1:31">
      <c r="A458" s="59" t="str">
        <f t="shared" si="57"/>
        <v/>
      </c>
      <c r="B458" s="59" t="str">
        <f t="shared" si="58"/>
        <v/>
      </c>
      <c r="V458" s="59" t="str">
        <f t="shared" si="59"/>
        <v/>
      </c>
      <c r="W458" s="59" t="str">
        <f t="shared" si="56"/>
        <v/>
      </c>
      <c r="X458" s="59" t="str">
        <f t="shared" si="60"/>
        <v/>
      </c>
      <c r="AC458" s="50">
        <f t="shared" si="61"/>
        <v>0</v>
      </c>
      <c r="AD458" s="43">
        <f t="shared" si="62"/>
        <v>0</v>
      </c>
      <c r="AE458" s="50">
        <f t="shared" si="63"/>
        <v>0</v>
      </c>
    </row>
    <row r="459" spans="1:31">
      <c r="A459" s="59" t="str">
        <f t="shared" si="57"/>
        <v/>
      </c>
      <c r="B459" s="59" t="str">
        <f t="shared" si="58"/>
        <v/>
      </c>
      <c r="V459" s="59" t="str">
        <f t="shared" si="59"/>
        <v/>
      </c>
      <c r="W459" s="59" t="str">
        <f t="shared" si="56"/>
        <v/>
      </c>
      <c r="X459" s="59" t="str">
        <f t="shared" si="60"/>
        <v/>
      </c>
      <c r="AC459" s="50">
        <f t="shared" si="61"/>
        <v>0</v>
      </c>
      <c r="AD459" s="43">
        <f t="shared" si="62"/>
        <v>0</v>
      </c>
      <c r="AE459" s="50">
        <f t="shared" si="63"/>
        <v>0</v>
      </c>
    </row>
    <row r="460" spans="1:31">
      <c r="A460" s="59" t="str">
        <f t="shared" si="57"/>
        <v/>
      </c>
      <c r="B460" s="59" t="str">
        <f t="shared" si="58"/>
        <v/>
      </c>
      <c r="V460" s="59" t="str">
        <f t="shared" si="59"/>
        <v/>
      </c>
      <c r="W460" s="59" t="str">
        <f t="shared" si="56"/>
        <v/>
      </c>
      <c r="X460" s="59" t="str">
        <f t="shared" si="60"/>
        <v/>
      </c>
      <c r="AC460" s="50">
        <f t="shared" si="61"/>
        <v>0</v>
      </c>
      <c r="AD460" s="43">
        <f t="shared" si="62"/>
        <v>0</v>
      </c>
      <c r="AE460" s="50">
        <f t="shared" si="63"/>
        <v>0</v>
      </c>
    </row>
    <row r="461" spans="1:31">
      <c r="A461" s="59" t="str">
        <f t="shared" si="57"/>
        <v/>
      </c>
      <c r="B461" s="59" t="str">
        <f t="shared" si="58"/>
        <v/>
      </c>
      <c r="V461" s="59" t="str">
        <f t="shared" si="59"/>
        <v/>
      </c>
      <c r="W461" s="59" t="str">
        <f t="shared" si="56"/>
        <v/>
      </c>
      <c r="X461" s="59" t="str">
        <f t="shared" si="60"/>
        <v/>
      </c>
      <c r="AC461" s="50">
        <f t="shared" si="61"/>
        <v>0</v>
      </c>
      <c r="AD461" s="43">
        <f t="shared" si="62"/>
        <v>0</v>
      </c>
      <c r="AE461" s="50">
        <f t="shared" si="63"/>
        <v>0</v>
      </c>
    </row>
    <row r="462" spans="1:31">
      <c r="A462" s="59" t="str">
        <f t="shared" si="57"/>
        <v/>
      </c>
      <c r="B462" s="59" t="str">
        <f t="shared" si="58"/>
        <v/>
      </c>
      <c r="V462" s="59" t="str">
        <f t="shared" si="59"/>
        <v/>
      </c>
      <c r="W462" s="59" t="str">
        <f t="shared" si="56"/>
        <v/>
      </c>
      <c r="X462" s="59" t="str">
        <f t="shared" si="60"/>
        <v/>
      </c>
      <c r="AC462" s="50">
        <f t="shared" si="61"/>
        <v>0</v>
      </c>
      <c r="AD462" s="43">
        <f t="shared" si="62"/>
        <v>0</v>
      </c>
      <c r="AE462" s="50">
        <f t="shared" si="63"/>
        <v>0</v>
      </c>
    </row>
    <row r="463" spans="1:31">
      <c r="A463" s="59" t="str">
        <f t="shared" si="57"/>
        <v/>
      </c>
      <c r="B463" s="59" t="str">
        <f t="shared" si="58"/>
        <v/>
      </c>
      <c r="V463" s="59" t="str">
        <f t="shared" si="59"/>
        <v/>
      </c>
      <c r="W463" s="59" t="str">
        <f t="shared" si="56"/>
        <v/>
      </c>
      <c r="X463" s="59" t="str">
        <f t="shared" si="60"/>
        <v/>
      </c>
      <c r="AC463" s="50">
        <f t="shared" si="61"/>
        <v>0</v>
      </c>
      <c r="AD463" s="43">
        <f t="shared" si="62"/>
        <v>0</v>
      </c>
      <c r="AE463" s="50">
        <f t="shared" si="63"/>
        <v>0</v>
      </c>
    </row>
    <row r="464" spans="1:31">
      <c r="A464" s="59" t="str">
        <f t="shared" si="57"/>
        <v/>
      </c>
      <c r="B464" s="59" t="str">
        <f t="shared" si="58"/>
        <v/>
      </c>
      <c r="V464" s="59" t="str">
        <f t="shared" si="59"/>
        <v/>
      </c>
      <c r="W464" s="59" t="str">
        <f t="shared" si="56"/>
        <v/>
      </c>
      <c r="X464" s="59" t="str">
        <f t="shared" si="60"/>
        <v/>
      </c>
      <c r="AC464" s="50">
        <f t="shared" si="61"/>
        <v>0</v>
      </c>
      <c r="AD464" s="43">
        <f t="shared" si="62"/>
        <v>0</v>
      </c>
      <c r="AE464" s="50">
        <f t="shared" si="63"/>
        <v>0</v>
      </c>
    </row>
    <row r="465" spans="1:31">
      <c r="A465" s="59" t="str">
        <f t="shared" si="57"/>
        <v/>
      </c>
      <c r="B465" s="59" t="str">
        <f t="shared" si="58"/>
        <v/>
      </c>
      <c r="V465" s="59" t="str">
        <f t="shared" si="59"/>
        <v/>
      </c>
      <c r="W465" s="59" t="str">
        <f t="shared" si="56"/>
        <v/>
      </c>
      <c r="X465" s="59" t="str">
        <f t="shared" si="60"/>
        <v/>
      </c>
      <c r="AC465" s="50">
        <f t="shared" si="61"/>
        <v>0</v>
      </c>
      <c r="AD465" s="43">
        <f t="shared" si="62"/>
        <v>0</v>
      </c>
      <c r="AE465" s="50">
        <f t="shared" si="63"/>
        <v>0</v>
      </c>
    </row>
    <row r="466" spans="1:31">
      <c r="A466" s="59" t="str">
        <f t="shared" si="57"/>
        <v/>
      </c>
      <c r="B466" s="59" t="str">
        <f t="shared" si="58"/>
        <v/>
      </c>
      <c r="V466" s="59" t="str">
        <f t="shared" si="59"/>
        <v/>
      </c>
      <c r="W466" s="59" t="str">
        <f t="shared" si="56"/>
        <v/>
      </c>
      <c r="X466" s="59" t="str">
        <f t="shared" si="60"/>
        <v/>
      </c>
      <c r="AC466" s="50">
        <f t="shared" si="61"/>
        <v>0</v>
      </c>
      <c r="AD466" s="43">
        <f t="shared" si="62"/>
        <v>0</v>
      </c>
      <c r="AE466" s="50">
        <f t="shared" si="63"/>
        <v>0</v>
      </c>
    </row>
    <row r="467" spans="1:31">
      <c r="A467" s="59" t="str">
        <f t="shared" si="57"/>
        <v/>
      </c>
      <c r="B467" s="59" t="str">
        <f t="shared" si="58"/>
        <v/>
      </c>
      <c r="V467" s="59" t="str">
        <f t="shared" si="59"/>
        <v/>
      </c>
      <c r="W467" s="59" t="str">
        <f t="shared" si="56"/>
        <v/>
      </c>
      <c r="X467" s="59" t="str">
        <f t="shared" si="60"/>
        <v/>
      </c>
      <c r="AC467" s="50">
        <f t="shared" si="61"/>
        <v>0</v>
      </c>
      <c r="AD467" s="43">
        <f t="shared" si="62"/>
        <v>0</v>
      </c>
      <c r="AE467" s="50">
        <f t="shared" si="63"/>
        <v>0</v>
      </c>
    </row>
    <row r="468" spans="1:31">
      <c r="A468" s="59" t="str">
        <f t="shared" si="57"/>
        <v/>
      </c>
      <c r="B468" s="59" t="str">
        <f t="shared" si="58"/>
        <v/>
      </c>
      <c r="V468" s="59" t="str">
        <f t="shared" si="59"/>
        <v/>
      </c>
      <c r="W468" s="59" t="str">
        <f t="shared" si="56"/>
        <v/>
      </c>
      <c r="X468" s="59" t="str">
        <f t="shared" si="60"/>
        <v/>
      </c>
      <c r="AC468" s="50">
        <f t="shared" si="61"/>
        <v>0</v>
      </c>
      <c r="AD468" s="43">
        <f t="shared" si="62"/>
        <v>0</v>
      </c>
      <c r="AE468" s="50">
        <f t="shared" si="63"/>
        <v>0</v>
      </c>
    </row>
    <row r="469" spans="1:31">
      <c r="A469" s="59" t="str">
        <f t="shared" si="57"/>
        <v/>
      </c>
      <c r="B469" s="59" t="str">
        <f t="shared" si="58"/>
        <v/>
      </c>
      <c r="V469" s="59" t="str">
        <f t="shared" si="59"/>
        <v/>
      </c>
      <c r="W469" s="59" t="str">
        <f t="shared" si="56"/>
        <v/>
      </c>
      <c r="X469" s="59" t="str">
        <f t="shared" si="60"/>
        <v/>
      </c>
      <c r="AC469" s="50">
        <f t="shared" si="61"/>
        <v>0</v>
      </c>
      <c r="AD469" s="43">
        <f t="shared" si="62"/>
        <v>0</v>
      </c>
      <c r="AE469" s="50">
        <f t="shared" si="63"/>
        <v>0</v>
      </c>
    </row>
    <row r="470" spans="1:31">
      <c r="A470" s="59" t="str">
        <f t="shared" si="57"/>
        <v/>
      </c>
      <c r="B470" s="59" t="str">
        <f t="shared" si="58"/>
        <v/>
      </c>
      <c r="V470" s="59" t="str">
        <f t="shared" si="59"/>
        <v/>
      </c>
      <c r="W470" s="59" t="str">
        <f t="shared" si="56"/>
        <v/>
      </c>
      <c r="X470" s="59" t="str">
        <f t="shared" si="60"/>
        <v/>
      </c>
      <c r="AC470" s="50">
        <f t="shared" si="61"/>
        <v>0</v>
      </c>
      <c r="AD470" s="43">
        <f t="shared" si="62"/>
        <v>0</v>
      </c>
      <c r="AE470" s="50">
        <f t="shared" si="63"/>
        <v>0</v>
      </c>
    </row>
    <row r="471" spans="1:31">
      <c r="A471" s="59" t="str">
        <f t="shared" si="57"/>
        <v/>
      </c>
      <c r="B471" s="59" t="str">
        <f t="shared" si="58"/>
        <v/>
      </c>
      <c r="V471" s="59" t="str">
        <f t="shared" si="59"/>
        <v/>
      </c>
      <c r="W471" s="59" t="str">
        <f t="shared" si="56"/>
        <v/>
      </c>
      <c r="X471" s="59" t="str">
        <f t="shared" si="60"/>
        <v/>
      </c>
      <c r="AC471" s="50">
        <f t="shared" si="61"/>
        <v>0</v>
      </c>
      <c r="AD471" s="43">
        <f t="shared" si="62"/>
        <v>0</v>
      </c>
      <c r="AE471" s="50">
        <f t="shared" si="63"/>
        <v>0</v>
      </c>
    </row>
    <row r="472" spans="1:31">
      <c r="A472" s="59" t="str">
        <f t="shared" si="57"/>
        <v/>
      </c>
      <c r="B472" s="59" t="str">
        <f t="shared" si="58"/>
        <v/>
      </c>
      <c r="V472" s="59" t="str">
        <f t="shared" si="59"/>
        <v/>
      </c>
      <c r="W472" s="59" t="str">
        <f t="shared" si="56"/>
        <v/>
      </c>
      <c r="X472" s="59" t="str">
        <f t="shared" si="60"/>
        <v/>
      </c>
      <c r="AC472" s="50">
        <f t="shared" si="61"/>
        <v>0</v>
      </c>
      <c r="AD472" s="43">
        <f t="shared" si="62"/>
        <v>0</v>
      </c>
      <c r="AE472" s="50">
        <f t="shared" si="63"/>
        <v>0</v>
      </c>
    </row>
    <row r="473" spans="1:31">
      <c r="A473" s="59" t="str">
        <f t="shared" si="57"/>
        <v/>
      </c>
      <c r="B473" s="59" t="str">
        <f t="shared" si="58"/>
        <v/>
      </c>
      <c r="V473" s="59" t="str">
        <f t="shared" si="59"/>
        <v/>
      </c>
      <c r="W473" s="59" t="str">
        <f t="shared" si="56"/>
        <v/>
      </c>
      <c r="X473" s="59" t="str">
        <f t="shared" si="60"/>
        <v/>
      </c>
      <c r="AC473" s="50">
        <f t="shared" si="61"/>
        <v>0</v>
      </c>
      <c r="AD473" s="43">
        <f t="shared" si="62"/>
        <v>0</v>
      </c>
      <c r="AE473" s="50">
        <f t="shared" si="63"/>
        <v>0</v>
      </c>
    </row>
    <row r="474" spans="1:31">
      <c r="A474" s="59" t="str">
        <f t="shared" si="57"/>
        <v/>
      </c>
      <c r="B474" s="59" t="str">
        <f t="shared" si="58"/>
        <v/>
      </c>
      <c r="V474" s="59" t="str">
        <f t="shared" si="59"/>
        <v/>
      </c>
      <c r="W474" s="59" t="str">
        <f t="shared" si="56"/>
        <v/>
      </c>
      <c r="X474" s="59" t="str">
        <f t="shared" si="60"/>
        <v/>
      </c>
      <c r="AC474" s="50">
        <f t="shared" si="61"/>
        <v>0</v>
      </c>
      <c r="AD474" s="43">
        <f t="shared" si="62"/>
        <v>0</v>
      </c>
      <c r="AE474" s="50">
        <f t="shared" si="63"/>
        <v>0</v>
      </c>
    </row>
    <row r="475" spans="1:31">
      <c r="A475" s="59" t="str">
        <f t="shared" si="57"/>
        <v/>
      </c>
      <c r="B475" s="59" t="str">
        <f t="shared" si="58"/>
        <v/>
      </c>
      <c r="V475" s="59" t="str">
        <f t="shared" si="59"/>
        <v/>
      </c>
      <c r="W475" s="59" t="str">
        <f t="shared" si="56"/>
        <v/>
      </c>
      <c r="X475" s="59" t="str">
        <f t="shared" si="60"/>
        <v/>
      </c>
      <c r="AC475" s="50">
        <f t="shared" si="61"/>
        <v>0</v>
      </c>
      <c r="AD475" s="43">
        <f t="shared" si="62"/>
        <v>0</v>
      </c>
      <c r="AE475" s="50">
        <f t="shared" si="63"/>
        <v>0</v>
      </c>
    </row>
    <row r="476" spans="1:31">
      <c r="A476" s="59" t="str">
        <f t="shared" si="57"/>
        <v/>
      </c>
      <c r="B476" s="59" t="str">
        <f t="shared" si="58"/>
        <v/>
      </c>
      <c r="V476" s="59" t="str">
        <f t="shared" si="59"/>
        <v/>
      </c>
      <c r="W476" s="59" t="str">
        <f t="shared" si="56"/>
        <v/>
      </c>
      <c r="X476" s="59" t="str">
        <f t="shared" si="60"/>
        <v/>
      </c>
      <c r="AC476" s="50">
        <f t="shared" si="61"/>
        <v>0</v>
      </c>
      <c r="AD476" s="43">
        <f t="shared" si="62"/>
        <v>0</v>
      </c>
      <c r="AE476" s="50">
        <f t="shared" si="63"/>
        <v>0</v>
      </c>
    </row>
    <row r="477" spans="1:31">
      <c r="A477" s="59" t="str">
        <f t="shared" si="57"/>
        <v/>
      </c>
      <c r="B477" s="59" t="str">
        <f t="shared" si="58"/>
        <v/>
      </c>
      <c r="V477" s="59" t="str">
        <f t="shared" si="59"/>
        <v/>
      </c>
      <c r="W477" s="59" t="str">
        <f t="shared" si="56"/>
        <v/>
      </c>
      <c r="X477" s="59" t="str">
        <f t="shared" si="60"/>
        <v/>
      </c>
      <c r="AC477" s="50">
        <f t="shared" si="61"/>
        <v>0</v>
      </c>
      <c r="AD477" s="43">
        <f t="shared" si="62"/>
        <v>0</v>
      </c>
      <c r="AE477" s="50">
        <f t="shared" si="63"/>
        <v>0</v>
      </c>
    </row>
    <row r="478" spans="1:31">
      <c r="A478" s="59" t="str">
        <f t="shared" si="57"/>
        <v/>
      </c>
      <c r="B478" s="59" t="str">
        <f t="shared" si="58"/>
        <v/>
      </c>
      <c r="V478" s="59" t="str">
        <f t="shared" si="59"/>
        <v/>
      </c>
      <c r="W478" s="59" t="str">
        <f t="shared" si="56"/>
        <v/>
      </c>
      <c r="X478" s="59" t="str">
        <f t="shared" si="60"/>
        <v/>
      </c>
      <c r="AC478" s="50">
        <f t="shared" si="61"/>
        <v>0</v>
      </c>
      <c r="AD478" s="43">
        <f t="shared" si="62"/>
        <v>0</v>
      </c>
      <c r="AE478" s="50">
        <f t="shared" si="63"/>
        <v>0</v>
      </c>
    </row>
    <row r="479" spans="1:31">
      <c r="A479" s="59" t="str">
        <f t="shared" si="57"/>
        <v/>
      </c>
      <c r="B479" s="59" t="str">
        <f t="shared" si="58"/>
        <v/>
      </c>
      <c r="V479" s="59" t="str">
        <f t="shared" si="59"/>
        <v/>
      </c>
      <c r="W479" s="59" t="str">
        <f t="shared" si="56"/>
        <v/>
      </c>
      <c r="X479" s="59" t="str">
        <f t="shared" si="60"/>
        <v/>
      </c>
      <c r="AC479" s="50">
        <f t="shared" si="61"/>
        <v>0</v>
      </c>
      <c r="AD479" s="43">
        <f t="shared" si="62"/>
        <v>0</v>
      </c>
      <c r="AE479" s="50">
        <f t="shared" si="63"/>
        <v>0</v>
      </c>
    </row>
    <row r="480" spans="1:31">
      <c r="A480" s="59" t="str">
        <f t="shared" si="57"/>
        <v/>
      </c>
      <c r="B480" s="59" t="str">
        <f t="shared" si="58"/>
        <v/>
      </c>
      <c r="V480" s="59" t="str">
        <f t="shared" si="59"/>
        <v/>
      </c>
      <c r="W480" s="59" t="str">
        <f t="shared" si="56"/>
        <v/>
      </c>
      <c r="X480" s="59" t="str">
        <f t="shared" si="60"/>
        <v/>
      </c>
      <c r="AC480" s="50">
        <f t="shared" si="61"/>
        <v>0</v>
      </c>
      <c r="AD480" s="43">
        <f t="shared" si="62"/>
        <v>0</v>
      </c>
      <c r="AE480" s="50">
        <f t="shared" si="63"/>
        <v>0</v>
      </c>
    </row>
    <row r="481" spans="1:31">
      <c r="A481" s="59" t="str">
        <f t="shared" si="57"/>
        <v/>
      </c>
      <c r="B481" s="59" t="str">
        <f t="shared" si="58"/>
        <v/>
      </c>
      <c r="V481" s="59" t="str">
        <f t="shared" si="59"/>
        <v/>
      </c>
      <c r="W481" s="59" t="str">
        <f t="shared" si="56"/>
        <v/>
      </c>
      <c r="X481" s="59" t="str">
        <f t="shared" si="60"/>
        <v/>
      </c>
      <c r="AC481" s="50">
        <f t="shared" si="61"/>
        <v>0</v>
      </c>
      <c r="AD481" s="43">
        <f t="shared" si="62"/>
        <v>0</v>
      </c>
      <c r="AE481" s="50">
        <f t="shared" si="63"/>
        <v>0</v>
      </c>
    </row>
    <row r="482" spans="1:31">
      <c r="A482" s="59" t="str">
        <f t="shared" si="57"/>
        <v/>
      </c>
      <c r="B482" s="59" t="str">
        <f t="shared" si="58"/>
        <v/>
      </c>
      <c r="V482" s="59" t="str">
        <f t="shared" si="59"/>
        <v/>
      </c>
      <c r="W482" s="59" t="str">
        <f t="shared" si="56"/>
        <v/>
      </c>
      <c r="X482" s="59" t="str">
        <f t="shared" si="60"/>
        <v/>
      </c>
      <c r="AC482" s="50">
        <f t="shared" si="61"/>
        <v>0</v>
      </c>
      <c r="AD482" s="43">
        <f t="shared" si="62"/>
        <v>0</v>
      </c>
      <c r="AE482" s="50">
        <f t="shared" si="63"/>
        <v>0</v>
      </c>
    </row>
    <row r="483" spans="1:31">
      <c r="A483" s="59" t="str">
        <f t="shared" si="57"/>
        <v/>
      </c>
      <c r="B483" s="59" t="str">
        <f t="shared" si="58"/>
        <v/>
      </c>
      <c r="V483" s="59" t="str">
        <f t="shared" si="59"/>
        <v/>
      </c>
      <c r="W483" s="59" t="str">
        <f t="shared" si="56"/>
        <v/>
      </c>
      <c r="X483" s="59" t="str">
        <f t="shared" si="60"/>
        <v/>
      </c>
      <c r="AC483" s="50">
        <f t="shared" si="61"/>
        <v>0</v>
      </c>
      <c r="AD483" s="43">
        <f t="shared" si="62"/>
        <v>0</v>
      </c>
      <c r="AE483" s="50">
        <f t="shared" si="63"/>
        <v>0</v>
      </c>
    </row>
    <row r="484" spans="1:31">
      <c r="A484" s="59" t="str">
        <f t="shared" si="57"/>
        <v/>
      </c>
      <c r="B484" s="59" t="str">
        <f t="shared" si="58"/>
        <v/>
      </c>
      <c r="V484" s="59" t="str">
        <f t="shared" si="59"/>
        <v/>
      </c>
      <c r="W484" s="59" t="str">
        <f t="shared" si="56"/>
        <v/>
      </c>
      <c r="X484" s="59" t="str">
        <f t="shared" si="60"/>
        <v/>
      </c>
      <c r="AC484" s="50">
        <f t="shared" si="61"/>
        <v>0</v>
      </c>
      <c r="AD484" s="43">
        <f t="shared" si="62"/>
        <v>0</v>
      </c>
      <c r="AE484" s="50">
        <f t="shared" si="63"/>
        <v>0</v>
      </c>
    </row>
    <row r="485" spans="1:31">
      <c r="A485" s="59" t="str">
        <f t="shared" si="57"/>
        <v/>
      </c>
      <c r="B485" s="59" t="str">
        <f t="shared" si="58"/>
        <v/>
      </c>
      <c r="V485" s="59" t="str">
        <f t="shared" si="59"/>
        <v/>
      </c>
      <c r="W485" s="59" t="str">
        <f t="shared" si="56"/>
        <v/>
      </c>
      <c r="X485" s="59" t="str">
        <f t="shared" si="60"/>
        <v/>
      </c>
      <c r="AC485" s="50">
        <f t="shared" si="61"/>
        <v>0</v>
      </c>
      <c r="AD485" s="43">
        <f t="shared" si="62"/>
        <v>0</v>
      </c>
      <c r="AE485" s="50">
        <f t="shared" si="63"/>
        <v>0</v>
      </c>
    </row>
    <row r="486" spans="1:31">
      <c r="A486" s="59" t="str">
        <f t="shared" si="57"/>
        <v/>
      </c>
      <c r="B486" s="59" t="str">
        <f t="shared" si="58"/>
        <v/>
      </c>
      <c r="V486" s="59" t="str">
        <f t="shared" si="59"/>
        <v/>
      </c>
      <c r="W486" s="59" t="str">
        <f t="shared" si="56"/>
        <v/>
      </c>
      <c r="X486" s="59" t="str">
        <f t="shared" si="60"/>
        <v/>
      </c>
      <c r="AC486" s="50">
        <f t="shared" si="61"/>
        <v>0</v>
      </c>
      <c r="AD486" s="43">
        <f t="shared" si="62"/>
        <v>0</v>
      </c>
      <c r="AE486" s="50">
        <f t="shared" si="63"/>
        <v>0</v>
      </c>
    </row>
    <row r="487" spans="1:31">
      <c r="A487" s="59" t="str">
        <f t="shared" si="57"/>
        <v/>
      </c>
      <c r="B487" s="59" t="str">
        <f t="shared" si="58"/>
        <v/>
      </c>
      <c r="V487" s="59" t="str">
        <f t="shared" si="59"/>
        <v/>
      </c>
      <c r="W487" s="59" t="str">
        <f t="shared" si="56"/>
        <v/>
      </c>
      <c r="X487" s="59" t="str">
        <f t="shared" si="60"/>
        <v/>
      </c>
      <c r="AC487" s="50">
        <f t="shared" si="61"/>
        <v>0</v>
      </c>
      <c r="AD487" s="43">
        <f t="shared" si="62"/>
        <v>0</v>
      </c>
      <c r="AE487" s="50">
        <f t="shared" si="63"/>
        <v>0</v>
      </c>
    </row>
    <row r="488" spans="1:31">
      <c r="A488" s="59" t="str">
        <f t="shared" si="57"/>
        <v/>
      </c>
      <c r="B488" s="59" t="str">
        <f t="shared" si="58"/>
        <v/>
      </c>
      <c r="V488" s="59" t="str">
        <f t="shared" si="59"/>
        <v/>
      </c>
      <c r="W488" s="59" t="str">
        <f t="shared" si="56"/>
        <v/>
      </c>
      <c r="X488" s="59" t="str">
        <f t="shared" si="60"/>
        <v/>
      </c>
      <c r="AC488" s="50">
        <f t="shared" si="61"/>
        <v>0</v>
      </c>
      <c r="AD488" s="43">
        <f t="shared" si="62"/>
        <v>0</v>
      </c>
      <c r="AE488" s="50">
        <f t="shared" si="63"/>
        <v>0</v>
      </c>
    </row>
    <row r="489" spans="1:31">
      <c r="A489" s="59" t="str">
        <f t="shared" si="57"/>
        <v/>
      </c>
      <c r="B489" s="59" t="str">
        <f t="shared" si="58"/>
        <v/>
      </c>
      <c r="V489" s="59" t="str">
        <f t="shared" si="59"/>
        <v/>
      </c>
      <c r="W489" s="59" t="str">
        <f t="shared" si="56"/>
        <v/>
      </c>
      <c r="X489" s="59" t="str">
        <f t="shared" si="60"/>
        <v/>
      </c>
      <c r="AC489" s="50">
        <f t="shared" si="61"/>
        <v>0</v>
      </c>
      <c r="AD489" s="43">
        <f t="shared" si="62"/>
        <v>0</v>
      </c>
      <c r="AE489" s="50">
        <f t="shared" si="63"/>
        <v>0</v>
      </c>
    </row>
    <row r="490" spans="1:31">
      <c r="A490" s="59" t="str">
        <f t="shared" si="57"/>
        <v/>
      </c>
      <c r="B490" s="59" t="str">
        <f t="shared" si="58"/>
        <v/>
      </c>
      <c r="V490" s="59" t="str">
        <f t="shared" si="59"/>
        <v/>
      </c>
      <c r="W490" s="59" t="str">
        <f t="shared" si="56"/>
        <v/>
      </c>
      <c r="X490" s="59" t="str">
        <f t="shared" si="60"/>
        <v/>
      </c>
      <c r="AC490" s="50">
        <f t="shared" si="61"/>
        <v>0</v>
      </c>
      <c r="AD490" s="43">
        <f t="shared" si="62"/>
        <v>0</v>
      </c>
      <c r="AE490" s="50">
        <f t="shared" si="63"/>
        <v>0</v>
      </c>
    </row>
    <row r="491" spans="1:31">
      <c r="A491" s="59" t="str">
        <f t="shared" si="57"/>
        <v/>
      </c>
      <c r="B491" s="59" t="str">
        <f t="shared" si="58"/>
        <v/>
      </c>
      <c r="V491" s="59" t="str">
        <f t="shared" si="59"/>
        <v/>
      </c>
      <c r="W491" s="59" t="str">
        <f t="shared" si="56"/>
        <v/>
      </c>
      <c r="X491" s="59" t="str">
        <f t="shared" si="60"/>
        <v/>
      </c>
      <c r="AC491" s="50">
        <f t="shared" si="61"/>
        <v>0</v>
      </c>
      <c r="AD491" s="43">
        <f t="shared" si="62"/>
        <v>0</v>
      </c>
      <c r="AE491" s="50">
        <f t="shared" si="63"/>
        <v>0</v>
      </c>
    </row>
    <row r="492" spans="1:31">
      <c r="A492" s="59" t="str">
        <f t="shared" si="57"/>
        <v/>
      </c>
      <c r="B492" s="59" t="str">
        <f t="shared" si="58"/>
        <v/>
      </c>
      <c r="V492" s="59" t="str">
        <f t="shared" si="59"/>
        <v/>
      </c>
      <c r="W492" s="59" t="str">
        <f t="shared" si="56"/>
        <v/>
      </c>
      <c r="X492" s="59" t="str">
        <f t="shared" si="60"/>
        <v/>
      </c>
      <c r="AC492" s="50">
        <f t="shared" si="61"/>
        <v>0</v>
      </c>
      <c r="AD492" s="43">
        <f t="shared" si="62"/>
        <v>0</v>
      </c>
      <c r="AE492" s="50">
        <f t="shared" si="63"/>
        <v>0</v>
      </c>
    </row>
    <row r="493" spans="1:31">
      <c r="A493" s="59" t="str">
        <f t="shared" si="57"/>
        <v/>
      </c>
      <c r="B493" s="59" t="str">
        <f t="shared" si="58"/>
        <v/>
      </c>
      <c r="V493" s="59" t="str">
        <f t="shared" si="59"/>
        <v/>
      </c>
      <c r="W493" s="59" t="str">
        <f t="shared" si="56"/>
        <v/>
      </c>
      <c r="X493" s="59" t="str">
        <f t="shared" si="60"/>
        <v/>
      </c>
      <c r="AC493" s="50">
        <f t="shared" si="61"/>
        <v>0</v>
      </c>
      <c r="AD493" s="43">
        <f t="shared" si="62"/>
        <v>0</v>
      </c>
      <c r="AE493" s="50">
        <f t="shared" si="63"/>
        <v>0</v>
      </c>
    </row>
    <row r="494" spans="1:31">
      <c r="A494" s="59" t="str">
        <f t="shared" si="57"/>
        <v/>
      </c>
      <c r="B494" s="59" t="str">
        <f t="shared" si="58"/>
        <v/>
      </c>
      <c r="V494" s="59" t="str">
        <f t="shared" si="59"/>
        <v/>
      </c>
      <c r="W494" s="59" t="str">
        <f t="shared" si="56"/>
        <v/>
      </c>
      <c r="X494" s="59" t="str">
        <f t="shared" si="60"/>
        <v/>
      </c>
      <c r="AC494" s="50">
        <f t="shared" si="61"/>
        <v>0</v>
      </c>
      <c r="AD494" s="43">
        <f t="shared" si="62"/>
        <v>0</v>
      </c>
      <c r="AE494" s="50">
        <f t="shared" si="63"/>
        <v>0</v>
      </c>
    </row>
    <row r="495" spans="1:31">
      <c r="A495" s="59" t="str">
        <f t="shared" si="57"/>
        <v/>
      </c>
      <c r="B495" s="59" t="str">
        <f t="shared" si="58"/>
        <v/>
      </c>
      <c r="V495" s="59" t="str">
        <f t="shared" si="59"/>
        <v/>
      </c>
      <c r="W495" s="59" t="str">
        <f t="shared" si="56"/>
        <v/>
      </c>
      <c r="X495" s="59" t="str">
        <f t="shared" si="60"/>
        <v/>
      </c>
      <c r="AC495" s="50">
        <f t="shared" si="61"/>
        <v>0</v>
      </c>
      <c r="AD495" s="43">
        <f t="shared" si="62"/>
        <v>0</v>
      </c>
      <c r="AE495" s="50">
        <f t="shared" si="63"/>
        <v>0</v>
      </c>
    </row>
    <row r="496" spans="1:31">
      <c r="A496" s="59" t="str">
        <f t="shared" si="57"/>
        <v/>
      </c>
      <c r="B496" s="59" t="str">
        <f t="shared" si="58"/>
        <v/>
      </c>
      <c r="V496" s="59" t="str">
        <f t="shared" si="59"/>
        <v/>
      </c>
      <c r="W496" s="59" t="str">
        <f t="shared" si="56"/>
        <v/>
      </c>
      <c r="X496" s="59" t="str">
        <f t="shared" si="60"/>
        <v/>
      </c>
      <c r="AC496" s="50">
        <f t="shared" si="61"/>
        <v>0</v>
      </c>
      <c r="AD496" s="43">
        <f t="shared" si="62"/>
        <v>0</v>
      </c>
      <c r="AE496" s="50">
        <f t="shared" si="63"/>
        <v>0</v>
      </c>
    </row>
    <row r="497" spans="1:31">
      <c r="A497" s="59" t="str">
        <f t="shared" si="57"/>
        <v/>
      </c>
      <c r="B497" s="59" t="str">
        <f t="shared" si="58"/>
        <v/>
      </c>
      <c r="V497" s="59" t="str">
        <f t="shared" si="59"/>
        <v/>
      </c>
      <c r="W497" s="59" t="str">
        <f t="shared" si="56"/>
        <v/>
      </c>
      <c r="X497" s="59" t="str">
        <f t="shared" si="60"/>
        <v/>
      </c>
      <c r="AC497" s="50">
        <f t="shared" si="61"/>
        <v>0</v>
      </c>
      <c r="AD497" s="43">
        <f t="shared" si="62"/>
        <v>0</v>
      </c>
      <c r="AE497" s="50">
        <f t="shared" si="63"/>
        <v>0</v>
      </c>
    </row>
    <row r="498" spans="1:31">
      <c r="A498" s="59" t="str">
        <f t="shared" si="57"/>
        <v/>
      </c>
      <c r="B498" s="59" t="str">
        <f t="shared" si="58"/>
        <v/>
      </c>
      <c r="V498" s="59" t="str">
        <f t="shared" si="59"/>
        <v/>
      </c>
      <c r="W498" s="59" t="str">
        <f t="shared" si="56"/>
        <v/>
      </c>
      <c r="X498" s="59" t="str">
        <f t="shared" si="60"/>
        <v/>
      </c>
      <c r="AC498" s="50">
        <f t="shared" si="61"/>
        <v>0</v>
      </c>
      <c r="AD498" s="43">
        <f t="shared" si="62"/>
        <v>0</v>
      </c>
      <c r="AE498" s="50">
        <f t="shared" si="63"/>
        <v>0</v>
      </c>
    </row>
    <row r="499" spans="1:31">
      <c r="A499" s="59" t="str">
        <f t="shared" si="57"/>
        <v/>
      </c>
      <c r="B499" s="59" t="str">
        <f t="shared" si="58"/>
        <v/>
      </c>
      <c r="V499" s="59" t="str">
        <f t="shared" si="59"/>
        <v/>
      </c>
      <c r="W499" s="59" t="str">
        <f t="shared" si="56"/>
        <v/>
      </c>
      <c r="X499" s="59" t="str">
        <f t="shared" si="60"/>
        <v/>
      </c>
      <c r="AC499" s="50">
        <f t="shared" si="61"/>
        <v>0</v>
      </c>
      <c r="AD499" s="43">
        <f t="shared" si="62"/>
        <v>0</v>
      </c>
      <c r="AE499" s="50">
        <f t="shared" si="63"/>
        <v>0</v>
      </c>
    </row>
    <row r="500" spans="1:31">
      <c r="A500" s="59" t="str">
        <f t="shared" si="57"/>
        <v/>
      </c>
      <c r="B500" s="59" t="str">
        <f t="shared" si="58"/>
        <v/>
      </c>
      <c r="V500" s="59" t="str">
        <f t="shared" si="59"/>
        <v/>
      </c>
      <c r="W500" s="59" t="str">
        <f t="shared" si="56"/>
        <v/>
      </c>
      <c r="X500" s="59" t="str">
        <f t="shared" si="60"/>
        <v/>
      </c>
      <c r="AC500" s="50">
        <f t="shared" si="61"/>
        <v>0</v>
      </c>
      <c r="AD500" s="43">
        <f t="shared" si="62"/>
        <v>0</v>
      </c>
      <c r="AE500" s="50">
        <f t="shared" si="63"/>
        <v>0</v>
      </c>
    </row>
    <row r="501" spans="1:31">
      <c r="A501" s="59" t="str">
        <f t="shared" si="57"/>
        <v/>
      </c>
      <c r="B501" s="59" t="str">
        <f t="shared" si="58"/>
        <v/>
      </c>
      <c r="V501" s="59" t="str">
        <f t="shared" si="59"/>
        <v/>
      </c>
      <c r="W501" s="59" t="str">
        <f t="shared" si="56"/>
        <v/>
      </c>
      <c r="X501" s="59" t="str">
        <f t="shared" si="60"/>
        <v/>
      </c>
      <c r="AC501" s="50">
        <f t="shared" si="61"/>
        <v>0</v>
      </c>
      <c r="AD501" s="43">
        <f t="shared" si="62"/>
        <v>0</v>
      </c>
      <c r="AE501" s="50">
        <f t="shared" si="63"/>
        <v>0</v>
      </c>
    </row>
    <row r="502" spans="1:31">
      <c r="A502" s="59" t="str">
        <f t="shared" si="57"/>
        <v/>
      </c>
      <c r="B502" s="59" t="str">
        <f t="shared" si="58"/>
        <v/>
      </c>
      <c r="V502" s="59" t="str">
        <f t="shared" si="59"/>
        <v/>
      </c>
      <c r="W502" s="59" t="str">
        <f t="shared" si="56"/>
        <v/>
      </c>
      <c r="X502" s="59" t="str">
        <f t="shared" si="60"/>
        <v/>
      </c>
      <c r="AC502" s="50">
        <f t="shared" si="61"/>
        <v>0</v>
      </c>
      <c r="AD502" s="43">
        <f t="shared" si="62"/>
        <v>0</v>
      </c>
      <c r="AE502" s="50">
        <f t="shared" si="63"/>
        <v>0</v>
      </c>
    </row>
    <row r="503" spans="1:31">
      <c r="A503" s="59" t="str">
        <f t="shared" si="57"/>
        <v/>
      </c>
      <c r="B503" s="59" t="str">
        <f t="shared" si="58"/>
        <v/>
      </c>
      <c r="V503" s="59" t="str">
        <f t="shared" si="59"/>
        <v/>
      </c>
      <c r="W503" s="59" t="str">
        <f t="shared" si="56"/>
        <v/>
      </c>
      <c r="X503" s="59" t="str">
        <f t="shared" si="60"/>
        <v/>
      </c>
      <c r="AC503" s="50">
        <f t="shared" si="61"/>
        <v>0</v>
      </c>
      <c r="AD503" s="43">
        <f t="shared" si="62"/>
        <v>0</v>
      </c>
      <c r="AE503" s="50">
        <f t="shared" si="63"/>
        <v>0</v>
      </c>
    </row>
    <row r="504" spans="1:31">
      <c r="A504" s="59" t="str">
        <f t="shared" si="57"/>
        <v/>
      </c>
      <c r="B504" s="59" t="str">
        <f t="shared" si="58"/>
        <v/>
      </c>
      <c r="V504" s="59" t="str">
        <f t="shared" si="59"/>
        <v/>
      </c>
      <c r="W504" s="59" t="str">
        <f t="shared" si="56"/>
        <v/>
      </c>
      <c r="X504" s="59" t="str">
        <f t="shared" si="60"/>
        <v/>
      </c>
      <c r="AC504" s="50">
        <f t="shared" si="61"/>
        <v>0</v>
      </c>
      <c r="AD504" s="43">
        <f t="shared" si="62"/>
        <v>0</v>
      </c>
      <c r="AE504" s="50">
        <f t="shared" si="63"/>
        <v>0</v>
      </c>
    </row>
    <row r="505" spans="1:31">
      <c r="A505" s="59" t="str">
        <f t="shared" si="57"/>
        <v/>
      </c>
      <c r="B505" s="59" t="str">
        <f t="shared" si="58"/>
        <v/>
      </c>
      <c r="V505" s="59" t="str">
        <f t="shared" si="59"/>
        <v/>
      </c>
      <c r="W505" s="59" t="str">
        <f t="shared" si="56"/>
        <v/>
      </c>
      <c r="X505" s="59" t="str">
        <f t="shared" si="60"/>
        <v/>
      </c>
      <c r="AC505" s="50">
        <f t="shared" si="61"/>
        <v>0</v>
      </c>
      <c r="AD505" s="43">
        <f t="shared" si="62"/>
        <v>0</v>
      </c>
      <c r="AE505" s="50">
        <f t="shared" si="63"/>
        <v>0</v>
      </c>
    </row>
    <row r="506" spans="1:31">
      <c r="A506" s="59" t="str">
        <f t="shared" si="57"/>
        <v/>
      </c>
      <c r="B506" s="59" t="str">
        <f t="shared" si="58"/>
        <v/>
      </c>
      <c r="V506" s="59" t="str">
        <f t="shared" si="59"/>
        <v/>
      </c>
      <c r="W506" s="59" t="str">
        <f t="shared" si="56"/>
        <v/>
      </c>
      <c r="X506" s="59" t="str">
        <f t="shared" si="60"/>
        <v/>
      </c>
      <c r="AC506" s="50">
        <f t="shared" si="61"/>
        <v>0</v>
      </c>
      <c r="AD506" s="43">
        <f t="shared" si="62"/>
        <v>0</v>
      </c>
      <c r="AE506" s="50">
        <f t="shared" si="63"/>
        <v>0</v>
      </c>
    </row>
    <row r="507" spans="1:31">
      <c r="A507" s="59" t="str">
        <f t="shared" si="57"/>
        <v/>
      </c>
      <c r="B507" s="59" t="str">
        <f t="shared" si="58"/>
        <v/>
      </c>
      <c r="V507" s="59" t="str">
        <f t="shared" si="59"/>
        <v/>
      </c>
      <c r="W507" s="59" t="str">
        <f t="shared" si="56"/>
        <v/>
      </c>
      <c r="X507" s="59" t="str">
        <f t="shared" si="60"/>
        <v/>
      </c>
      <c r="AC507" s="50">
        <f t="shared" si="61"/>
        <v>0</v>
      </c>
      <c r="AD507" s="43">
        <f t="shared" si="62"/>
        <v>0</v>
      </c>
      <c r="AE507" s="50">
        <f t="shared" si="63"/>
        <v>0</v>
      </c>
    </row>
    <row r="508" spans="1:31">
      <c r="A508" s="59" t="str">
        <f t="shared" si="57"/>
        <v/>
      </c>
      <c r="B508" s="59" t="str">
        <f t="shared" si="58"/>
        <v/>
      </c>
      <c r="V508" s="59" t="str">
        <f t="shared" si="59"/>
        <v/>
      </c>
      <c r="W508" s="59" t="str">
        <f t="shared" si="56"/>
        <v/>
      </c>
      <c r="X508" s="59" t="str">
        <f t="shared" si="60"/>
        <v/>
      </c>
      <c r="AC508" s="50">
        <f t="shared" si="61"/>
        <v>0</v>
      </c>
      <c r="AD508" s="43">
        <f t="shared" si="62"/>
        <v>0</v>
      </c>
      <c r="AE508" s="50">
        <f t="shared" si="63"/>
        <v>0</v>
      </c>
    </row>
    <row r="509" spans="1:31">
      <c r="A509" s="59" t="str">
        <f t="shared" si="57"/>
        <v/>
      </c>
      <c r="B509" s="59" t="str">
        <f t="shared" si="58"/>
        <v/>
      </c>
      <c r="V509" s="59" t="str">
        <f t="shared" si="59"/>
        <v/>
      </c>
      <c r="W509" s="59" t="str">
        <f t="shared" si="56"/>
        <v/>
      </c>
      <c r="X509" s="59" t="str">
        <f t="shared" si="60"/>
        <v/>
      </c>
      <c r="AC509" s="50">
        <f t="shared" si="61"/>
        <v>0</v>
      </c>
      <c r="AD509" s="43">
        <f t="shared" si="62"/>
        <v>0</v>
      </c>
      <c r="AE509" s="50">
        <f t="shared" si="63"/>
        <v>0</v>
      </c>
    </row>
    <row r="510" spans="1:31">
      <c r="A510" s="59" t="str">
        <f t="shared" si="57"/>
        <v/>
      </c>
      <c r="B510" s="59" t="str">
        <f t="shared" si="58"/>
        <v/>
      </c>
      <c r="V510" s="59" t="str">
        <f t="shared" si="59"/>
        <v/>
      </c>
      <c r="W510" s="59" t="str">
        <f t="shared" si="56"/>
        <v/>
      </c>
      <c r="X510" s="59" t="str">
        <f t="shared" si="60"/>
        <v/>
      </c>
      <c r="AC510" s="50">
        <f t="shared" si="61"/>
        <v>0</v>
      </c>
      <c r="AD510" s="43">
        <f t="shared" si="62"/>
        <v>0</v>
      </c>
      <c r="AE510" s="50">
        <f t="shared" si="63"/>
        <v>0</v>
      </c>
    </row>
    <row r="511" spans="1:31">
      <c r="A511" s="59" t="str">
        <f t="shared" si="57"/>
        <v/>
      </c>
      <c r="B511" s="59" t="str">
        <f t="shared" si="58"/>
        <v/>
      </c>
      <c r="V511" s="59" t="str">
        <f t="shared" si="59"/>
        <v/>
      </c>
      <c r="W511" s="59" t="str">
        <f t="shared" si="56"/>
        <v/>
      </c>
      <c r="X511" s="59" t="str">
        <f t="shared" si="60"/>
        <v/>
      </c>
      <c r="AC511" s="50">
        <f t="shared" si="61"/>
        <v>0</v>
      </c>
      <c r="AD511" s="43">
        <f t="shared" si="62"/>
        <v>0</v>
      </c>
      <c r="AE511" s="50">
        <f t="shared" si="63"/>
        <v>0</v>
      </c>
    </row>
    <row r="512" spans="1:31">
      <c r="A512" s="59" t="str">
        <f t="shared" si="57"/>
        <v/>
      </c>
      <c r="B512" s="59" t="str">
        <f t="shared" si="58"/>
        <v/>
      </c>
      <c r="V512" s="59" t="str">
        <f t="shared" si="59"/>
        <v/>
      </c>
      <c r="W512" s="59" t="str">
        <f t="shared" si="56"/>
        <v/>
      </c>
      <c r="X512" s="59" t="str">
        <f t="shared" si="60"/>
        <v/>
      </c>
      <c r="AC512" s="50">
        <f t="shared" si="61"/>
        <v>0</v>
      </c>
      <c r="AD512" s="43">
        <f t="shared" si="62"/>
        <v>0</v>
      </c>
      <c r="AE512" s="50">
        <f t="shared" si="63"/>
        <v>0</v>
      </c>
    </row>
    <row r="513" spans="1:31">
      <c r="A513" s="59" t="str">
        <f t="shared" si="57"/>
        <v/>
      </c>
      <c r="B513" s="59" t="str">
        <f t="shared" si="58"/>
        <v/>
      </c>
      <c r="V513" s="59" t="str">
        <f t="shared" si="59"/>
        <v/>
      </c>
      <c r="W513" s="59" t="str">
        <f t="shared" si="56"/>
        <v/>
      </c>
      <c r="X513" s="59" t="str">
        <f t="shared" si="60"/>
        <v/>
      </c>
      <c r="AC513" s="50">
        <f t="shared" si="61"/>
        <v>0</v>
      </c>
      <c r="AD513" s="43">
        <f t="shared" si="62"/>
        <v>0</v>
      </c>
      <c r="AE513" s="50">
        <f t="shared" si="63"/>
        <v>0</v>
      </c>
    </row>
    <row r="514" spans="1:31">
      <c r="A514" s="59" t="str">
        <f t="shared" si="57"/>
        <v/>
      </c>
      <c r="B514" s="59" t="str">
        <f t="shared" si="58"/>
        <v/>
      </c>
      <c r="V514" s="59" t="str">
        <f t="shared" si="59"/>
        <v/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59" t="str">
        <f t="shared" si="60"/>
        <v/>
      </c>
      <c r="AC514" s="50">
        <f t="shared" si="61"/>
        <v>0</v>
      </c>
      <c r="AD514" s="43">
        <f t="shared" si="62"/>
        <v>0</v>
      </c>
      <c r="AE514" s="50">
        <f t="shared" si="63"/>
        <v>0</v>
      </c>
    </row>
    <row r="515" spans="1:31">
      <c r="A515" s="59" t="str">
        <f t="shared" ref="A515:A578" si="65">IF(G515&amp;Q515&lt;&gt;"",W515&amp;Q515,"")</f>
        <v/>
      </c>
      <c r="B515" s="59" t="str">
        <f t="shared" ref="B515:B578" si="66">IF(C515&lt;&gt;"",LEFT(C515,9),"")</f>
        <v/>
      </c>
      <c r="V515" s="59" t="str">
        <f t="shared" ref="V515:V578" si="67">W515&amp;H515</f>
        <v/>
      </c>
      <c r="W515" s="59" t="str">
        <f t="shared" si="64"/>
        <v/>
      </c>
      <c r="X515" s="59" t="str">
        <f t="shared" ref="X515:X578" si="68">IF(A515&lt;&gt;"",IFERROR(IF(FIND(" ",G515)&gt;=1,MID(G515,FIND(" ",G515)+1,LEN(G515)),""),""),"")</f>
        <v/>
      </c>
      <c r="AC515" s="50">
        <f t="shared" ref="AC515:AC578" si="69">IFERROR(VALUE(MID($C515,1,2)),0)</f>
        <v>0</v>
      </c>
      <c r="AD515" s="43">
        <f t="shared" ref="AD515:AD578" si="70">IFERROR(VALUE(MID($C515,4,3)),0)</f>
        <v>0</v>
      </c>
      <c r="AE515" s="50">
        <f t="shared" ref="AE515:AE578" si="71">VALUE(RIGHT("00"&amp;AC515,2)&amp;RIGHT("000"&amp;AD515,3))</f>
        <v>0</v>
      </c>
    </row>
    <row r="516" spans="1:31">
      <c r="A516" s="59" t="str">
        <f t="shared" si="65"/>
        <v/>
      </c>
      <c r="B516" s="59" t="str">
        <f t="shared" si="66"/>
        <v/>
      </c>
      <c r="V516" s="59" t="str">
        <f t="shared" si="67"/>
        <v/>
      </c>
      <c r="W516" s="59" t="str">
        <f t="shared" si="64"/>
        <v/>
      </c>
      <c r="X516" s="59" t="str">
        <f t="shared" si="68"/>
        <v/>
      </c>
      <c r="AC516" s="50">
        <f t="shared" si="69"/>
        <v>0</v>
      </c>
      <c r="AD516" s="43">
        <f t="shared" si="70"/>
        <v>0</v>
      </c>
      <c r="AE516" s="50">
        <f t="shared" si="71"/>
        <v>0</v>
      </c>
    </row>
    <row r="517" spans="1:31">
      <c r="A517" s="59" t="str">
        <f t="shared" si="65"/>
        <v/>
      </c>
      <c r="B517" s="59" t="str">
        <f t="shared" si="66"/>
        <v/>
      </c>
      <c r="V517" s="59" t="str">
        <f t="shared" si="67"/>
        <v/>
      </c>
      <c r="W517" s="59" t="str">
        <f t="shared" si="64"/>
        <v/>
      </c>
      <c r="X517" s="59" t="str">
        <f t="shared" si="68"/>
        <v/>
      </c>
      <c r="AC517" s="50">
        <f t="shared" si="69"/>
        <v>0</v>
      </c>
      <c r="AD517" s="43">
        <f t="shared" si="70"/>
        <v>0</v>
      </c>
      <c r="AE517" s="50">
        <f t="shared" si="71"/>
        <v>0</v>
      </c>
    </row>
    <row r="518" spans="1:31">
      <c r="A518" s="59" t="str">
        <f t="shared" si="65"/>
        <v/>
      </c>
      <c r="B518" s="59" t="str">
        <f t="shared" si="66"/>
        <v/>
      </c>
      <c r="V518" s="59" t="str">
        <f t="shared" si="67"/>
        <v/>
      </c>
      <c r="W518" s="59" t="str">
        <f t="shared" si="64"/>
        <v/>
      </c>
      <c r="X518" s="59" t="str">
        <f t="shared" si="68"/>
        <v/>
      </c>
      <c r="AC518" s="50">
        <f t="shared" si="69"/>
        <v>0</v>
      </c>
      <c r="AD518" s="43">
        <f t="shared" si="70"/>
        <v>0</v>
      </c>
      <c r="AE518" s="50">
        <f t="shared" si="71"/>
        <v>0</v>
      </c>
    </row>
    <row r="519" spans="1:31">
      <c r="A519" s="59" t="str">
        <f t="shared" si="65"/>
        <v/>
      </c>
      <c r="B519" s="59" t="str">
        <f t="shared" si="66"/>
        <v/>
      </c>
      <c r="V519" s="59" t="str">
        <f t="shared" si="67"/>
        <v/>
      </c>
      <c r="W519" s="59" t="str">
        <f t="shared" si="64"/>
        <v/>
      </c>
      <c r="X519" s="59" t="str">
        <f t="shared" si="68"/>
        <v/>
      </c>
      <c r="AC519" s="50">
        <f t="shared" si="69"/>
        <v>0</v>
      </c>
      <c r="AD519" s="43">
        <f t="shared" si="70"/>
        <v>0</v>
      </c>
      <c r="AE519" s="50">
        <f t="shared" si="71"/>
        <v>0</v>
      </c>
    </row>
    <row r="520" spans="1:31">
      <c r="A520" s="59" t="str">
        <f t="shared" si="65"/>
        <v/>
      </c>
      <c r="B520" s="59" t="str">
        <f t="shared" si="66"/>
        <v/>
      </c>
      <c r="V520" s="59" t="str">
        <f t="shared" si="67"/>
        <v/>
      </c>
      <c r="W520" s="59" t="str">
        <f t="shared" si="64"/>
        <v/>
      </c>
      <c r="X520" s="59" t="str">
        <f t="shared" si="68"/>
        <v/>
      </c>
      <c r="AC520" s="50">
        <f t="shared" si="69"/>
        <v>0</v>
      </c>
      <c r="AD520" s="43">
        <f t="shared" si="70"/>
        <v>0</v>
      </c>
      <c r="AE520" s="50">
        <f t="shared" si="71"/>
        <v>0</v>
      </c>
    </row>
    <row r="521" spans="1:31">
      <c r="A521" s="59" t="str">
        <f t="shared" si="65"/>
        <v/>
      </c>
      <c r="B521" s="59" t="str">
        <f t="shared" si="66"/>
        <v/>
      </c>
      <c r="V521" s="59" t="str">
        <f t="shared" si="67"/>
        <v/>
      </c>
      <c r="W521" s="59" t="str">
        <f t="shared" si="64"/>
        <v/>
      </c>
      <c r="X521" s="59" t="str">
        <f t="shared" si="68"/>
        <v/>
      </c>
      <c r="AC521" s="50">
        <f t="shared" si="69"/>
        <v>0</v>
      </c>
      <c r="AD521" s="43">
        <f t="shared" si="70"/>
        <v>0</v>
      </c>
      <c r="AE521" s="50">
        <f t="shared" si="71"/>
        <v>0</v>
      </c>
    </row>
    <row r="522" spans="1:31">
      <c r="A522" s="59" t="str">
        <f t="shared" si="65"/>
        <v/>
      </c>
      <c r="B522" s="59" t="str">
        <f t="shared" si="66"/>
        <v/>
      </c>
      <c r="V522" s="59" t="str">
        <f t="shared" si="67"/>
        <v/>
      </c>
      <c r="W522" s="59" t="str">
        <f t="shared" si="64"/>
        <v/>
      </c>
      <c r="X522" s="59" t="str">
        <f t="shared" si="68"/>
        <v/>
      </c>
      <c r="AC522" s="50">
        <f t="shared" si="69"/>
        <v>0</v>
      </c>
      <c r="AD522" s="43">
        <f t="shared" si="70"/>
        <v>0</v>
      </c>
      <c r="AE522" s="50">
        <f t="shared" si="71"/>
        <v>0</v>
      </c>
    </row>
    <row r="523" spans="1:31">
      <c r="A523" s="59" t="str">
        <f t="shared" si="65"/>
        <v/>
      </c>
      <c r="B523" s="59" t="str">
        <f t="shared" si="66"/>
        <v/>
      </c>
      <c r="V523" s="59" t="str">
        <f t="shared" si="67"/>
        <v/>
      </c>
      <c r="W523" s="59" t="str">
        <f t="shared" si="64"/>
        <v/>
      </c>
      <c r="X523" s="59" t="str">
        <f t="shared" si="68"/>
        <v/>
      </c>
      <c r="AC523" s="50">
        <f t="shared" si="69"/>
        <v>0</v>
      </c>
      <c r="AD523" s="43">
        <f t="shared" si="70"/>
        <v>0</v>
      </c>
      <c r="AE523" s="50">
        <f t="shared" si="71"/>
        <v>0</v>
      </c>
    </row>
    <row r="524" spans="1:31">
      <c r="A524" s="59" t="str">
        <f t="shared" si="65"/>
        <v/>
      </c>
      <c r="B524" s="59" t="str">
        <f t="shared" si="66"/>
        <v/>
      </c>
      <c r="V524" s="59" t="str">
        <f t="shared" si="67"/>
        <v/>
      </c>
      <c r="W524" s="59" t="str">
        <f t="shared" si="64"/>
        <v/>
      </c>
      <c r="X524" s="59" t="str">
        <f t="shared" si="68"/>
        <v/>
      </c>
      <c r="AC524" s="50">
        <f t="shared" si="69"/>
        <v>0</v>
      </c>
      <c r="AD524" s="43">
        <f t="shared" si="70"/>
        <v>0</v>
      </c>
      <c r="AE524" s="50">
        <f t="shared" si="71"/>
        <v>0</v>
      </c>
    </row>
    <row r="525" spans="1:31">
      <c r="A525" s="59" t="str">
        <f t="shared" si="65"/>
        <v/>
      </c>
      <c r="B525" s="59" t="str">
        <f t="shared" si="66"/>
        <v/>
      </c>
      <c r="V525" s="59" t="str">
        <f t="shared" si="67"/>
        <v/>
      </c>
      <c r="W525" s="59" t="str">
        <f t="shared" si="64"/>
        <v/>
      </c>
      <c r="X525" s="59" t="str">
        <f t="shared" si="68"/>
        <v/>
      </c>
      <c r="AC525" s="50">
        <f t="shared" si="69"/>
        <v>0</v>
      </c>
      <c r="AD525" s="43">
        <f t="shared" si="70"/>
        <v>0</v>
      </c>
      <c r="AE525" s="50">
        <f t="shared" si="71"/>
        <v>0</v>
      </c>
    </row>
    <row r="526" spans="1:31">
      <c r="A526" s="59" t="str">
        <f t="shared" si="65"/>
        <v/>
      </c>
      <c r="B526" s="59" t="str">
        <f t="shared" si="66"/>
        <v/>
      </c>
      <c r="V526" s="59" t="str">
        <f t="shared" si="67"/>
        <v/>
      </c>
      <c r="W526" s="59" t="str">
        <f t="shared" si="64"/>
        <v/>
      </c>
      <c r="X526" s="59" t="str">
        <f t="shared" si="68"/>
        <v/>
      </c>
      <c r="AC526" s="50">
        <f t="shared" si="69"/>
        <v>0</v>
      </c>
      <c r="AD526" s="43">
        <f t="shared" si="70"/>
        <v>0</v>
      </c>
      <c r="AE526" s="50">
        <f t="shared" si="71"/>
        <v>0</v>
      </c>
    </row>
    <row r="527" spans="1:31">
      <c r="A527" s="59" t="str">
        <f t="shared" si="65"/>
        <v/>
      </c>
      <c r="B527" s="59" t="str">
        <f t="shared" si="66"/>
        <v/>
      </c>
      <c r="V527" s="59" t="str">
        <f t="shared" si="67"/>
        <v/>
      </c>
      <c r="W527" s="59" t="str">
        <f t="shared" si="64"/>
        <v/>
      </c>
      <c r="X527" s="59" t="str">
        <f t="shared" si="68"/>
        <v/>
      </c>
      <c r="AC527" s="50">
        <f t="shared" si="69"/>
        <v>0</v>
      </c>
      <c r="AD527" s="43">
        <f t="shared" si="70"/>
        <v>0</v>
      </c>
      <c r="AE527" s="50">
        <f t="shared" si="71"/>
        <v>0</v>
      </c>
    </row>
    <row r="528" spans="1:31">
      <c r="A528" s="59" t="str">
        <f t="shared" si="65"/>
        <v/>
      </c>
      <c r="B528" s="59" t="str">
        <f t="shared" si="66"/>
        <v/>
      </c>
      <c r="V528" s="59" t="str">
        <f t="shared" si="67"/>
        <v/>
      </c>
      <c r="W528" s="59" t="str">
        <f t="shared" si="64"/>
        <v/>
      </c>
      <c r="X528" s="59" t="str">
        <f t="shared" si="68"/>
        <v/>
      </c>
      <c r="AC528" s="50">
        <f t="shared" si="69"/>
        <v>0</v>
      </c>
      <c r="AD528" s="43">
        <f t="shared" si="70"/>
        <v>0</v>
      </c>
      <c r="AE528" s="50">
        <f t="shared" si="71"/>
        <v>0</v>
      </c>
    </row>
    <row r="529" spans="1:31">
      <c r="A529" s="59" t="str">
        <f t="shared" si="65"/>
        <v/>
      </c>
      <c r="B529" s="59" t="str">
        <f t="shared" si="66"/>
        <v/>
      </c>
      <c r="V529" s="59" t="str">
        <f t="shared" si="67"/>
        <v/>
      </c>
      <c r="W529" s="59" t="str">
        <f t="shared" si="64"/>
        <v/>
      </c>
      <c r="X529" s="59" t="str">
        <f t="shared" si="68"/>
        <v/>
      </c>
      <c r="AC529" s="50">
        <f t="shared" si="69"/>
        <v>0</v>
      </c>
      <c r="AD529" s="43">
        <f t="shared" si="70"/>
        <v>0</v>
      </c>
      <c r="AE529" s="50">
        <f t="shared" si="71"/>
        <v>0</v>
      </c>
    </row>
    <row r="530" spans="1:31">
      <c r="A530" s="59" t="str">
        <f t="shared" si="65"/>
        <v/>
      </c>
      <c r="B530" s="59" t="str">
        <f t="shared" si="66"/>
        <v/>
      </c>
      <c r="V530" s="59" t="str">
        <f t="shared" si="67"/>
        <v/>
      </c>
      <c r="W530" s="59" t="str">
        <f t="shared" si="64"/>
        <v/>
      </c>
      <c r="X530" s="59" t="str">
        <f t="shared" si="68"/>
        <v/>
      </c>
      <c r="AC530" s="50">
        <f t="shared" si="69"/>
        <v>0</v>
      </c>
      <c r="AD530" s="43">
        <f t="shared" si="70"/>
        <v>0</v>
      </c>
      <c r="AE530" s="50">
        <f t="shared" si="71"/>
        <v>0</v>
      </c>
    </row>
    <row r="531" spans="1:31">
      <c r="A531" s="59" t="str">
        <f t="shared" si="65"/>
        <v/>
      </c>
      <c r="B531" s="59" t="str">
        <f t="shared" si="66"/>
        <v/>
      </c>
      <c r="V531" s="59" t="str">
        <f t="shared" si="67"/>
        <v/>
      </c>
      <c r="W531" s="59" t="str">
        <f t="shared" si="64"/>
        <v/>
      </c>
      <c r="X531" s="59" t="str">
        <f t="shared" si="68"/>
        <v/>
      </c>
      <c r="AC531" s="50">
        <f t="shared" si="69"/>
        <v>0</v>
      </c>
      <c r="AD531" s="43">
        <f t="shared" si="70"/>
        <v>0</v>
      </c>
      <c r="AE531" s="50">
        <f t="shared" si="71"/>
        <v>0</v>
      </c>
    </row>
    <row r="532" spans="1:31">
      <c r="A532" s="59" t="str">
        <f t="shared" si="65"/>
        <v/>
      </c>
      <c r="B532" s="59" t="str">
        <f t="shared" si="66"/>
        <v/>
      </c>
      <c r="V532" s="59" t="str">
        <f t="shared" si="67"/>
        <v/>
      </c>
      <c r="W532" s="59" t="str">
        <f t="shared" si="64"/>
        <v/>
      </c>
      <c r="X532" s="59" t="str">
        <f t="shared" si="68"/>
        <v/>
      </c>
      <c r="AC532" s="50">
        <f t="shared" si="69"/>
        <v>0</v>
      </c>
      <c r="AD532" s="43">
        <f t="shared" si="70"/>
        <v>0</v>
      </c>
      <c r="AE532" s="50">
        <f t="shared" si="71"/>
        <v>0</v>
      </c>
    </row>
    <row r="533" spans="1:31">
      <c r="A533" s="59" t="str">
        <f t="shared" si="65"/>
        <v/>
      </c>
      <c r="B533" s="59" t="str">
        <f t="shared" si="66"/>
        <v/>
      </c>
      <c r="V533" s="59" t="str">
        <f t="shared" si="67"/>
        <v/>
      </c>
      <c r="W533" s="59" t="str">
        <f t="shared" si="64"/>
        <v/>
      </c>
      <c r="X533" s="59" t="str">
        <f t="shared" si="68"/>
        <v/>
      </c>
      <c r="AC533" s="50">
        <f t="shared" si="69"/>
        <v>0</v>
      </c>
      <c r="AD533" s="43">
        <f t="shared" si="70"/>
        <v>0</v>
      </c>
      <c r="AE533" s="50">
        <f t="shared" si="71"/>
        <v>0</v>
      </c>
    </row>
    <row r="534" spans="1:31">
      <c r="A534" s="59" t="str">
        <f t="shared" si="65"/>
        <v/>
      </c>
      <c r="B534" s="59" t="str">
        <f t="shared" si="66"/>
        <v/>
      </c>
      <c r="V534" s="59" t="str">
        <f t="shared" si="67"/>
        <v/>
      </c>
      <c r="W534" s="59" t="str">
        <f t="shared" si="64"/>
        <v/>
      </c>
      <c r="X534" s="59" t="str">
        <f t="shared" si="68"/>
        <v/>
      </c>
      <c r="AC534" s="50">
        <f t="shared" si="69"/>
        <v>0</v>
      </c>
      <c r="AD534" s="43">
        <f t="shared" si="70"/>
        <v>0</v>
      </c>
      <c r="AE534" s="50">
        <f t="shared" si="71"/>
        <v>0</v>
      </c>
    </row>
    <row r="535" spans="1:31">
      <c r="A535" s="59" t="str">
        <f t="shared" si="65"/>
        <v/>
      </c>
      <c r="B535" s="59" t="str">
        <f t="shared" si="66"/>
        <v/>
      </c>
      <c r="V535" s="59" t="str">
        <f t="shared" si="67"/>
        <v/>
      </c>
      <c r="W535" s="59" t="str">
        <f t="shared" si="64"/>
        <v/>
      </c>
      <c r="X535" s="59" t="str">
        <f t="shared" si="68"/>
        <v/>
      </c>
      <c r="AC535" s="50">
        <f t="shared" si="69"/>
        <v>0</v>
      </c>
      <c r="AD535" s="43">
        <f t="shared" si="70"/>
        <v>0</v>
      </c>
      <c r="AE535" s="50">
        <f t="shared" si="71"/>
        <v>0</v>
      </c>
    </row>
    <row r="536" spans="1:31">
      <c r="A536" s="59" t="str">
        <f t="shared" si="65"/>
        <v/>
      </c>
      <c r="B536" s="59" t="str">
        <f t="shared" si="66"/>
        <v/>
      </c>
      <c r="V536" s="59" t="str">
        <f t="shared" si="67"/>
        <v/>
      </c>
      <c r="W536" s="59" t="str">
        <f t="shared" si="64"/>
        <v/>
      </c>
      <c r="X536" s="59" t="str">
        <f t="shared" si="68"/>
        <v/>
      </c>
      <c r="AC536" s="50">
        <f t="shared" si="69"/>
        <v>0</v>
      </c>
      <c r="AD536" s="43">
        <f t="shared" si="70"/>
        <v>0</v>
      </c>
      <c r="AE536" s="50">
        <f t="shared" si="71"/>
        <v>0</v>
      </c>
    </row>
    <row r="537" spans="1:31">
      <c r="A537" s="59" t="str">
        <f t="shared" si="65"/>
        <v/>
      </c>
      <c r="B537" s="59" t="str">
        <f t="shared" si="66"/>
        <v/>
      </c>
      <c r="V537" s="59" t="str">
        <f t="shared" si="67"/>
        <v/>
      </c>
      <c r="W537" s="59" t="str">
        <f t="shared" si="64"/>
        <v/>
      </c>
      <c r="X537" s="59" t="str">
        <f t="shared" si="68"/>
        <v/>
      </c>
      <c r="AC537" s="50">
        <f t="shared" si="69"/>
        <v>0</v>
      </c>
      <c r="AD537" s="43">
        <f t="shared" si="70"/>
        <v>0</v>
      </c>
      <c r="AE537" s="50">
        <f t="shared" si="71"/>
        <v>0</v>
      </c>
    </row>
    <row r="538" spans="1:31">
      <c r="A538" s="59" t="str">
        <f t="shared" si="65"/>
        <v/>
      </c>
      <c r="B538" s="59" t="str">
        <f t="shared" si="66"/>
        <v/>
      </c>
      <c r="V538" s="59" t="str">
        <f t="shared" si="67"/>
        <v/>
      </c>
      <c r="W538" s="59" t="str">
        <f t="shared" si="64"/>
        <v/>
      </c>
      <c r="X538" s="59" t="str">
        <f t="shared" si="68"/>
        <v/>
      </c>
      <c r="AC538" s="50">
        <f t="shared" si="69"/>
        <v>0</v>
      </c>
      <c r="AD538" s="43">
        <f t="shared" si="70"/>
        <v>0</v>
      </c>
      <c r="AE538" s="50">
        <f t="shared" si="71"/>
        <v>0</v>
      </c>
    </row>
    <row r="539" spans="1:31">
      <c r="A539" s="59" t="str">
        <f t="shared" si="65"/>
        <v/>
      </c>
      <c r="B539" s="59" t="str">
        <f t="shared" si="66"/>
        <v/>
      </c>
      <c r="V539" s="59" t="str">
        <f t="shared" si="67"/>
        <v/>
      </c>
      <c r="W539" s="59" t="str">
        <f t="shared" si="64"/>
        <v/>
      </c>
      <c r="X539" s="59" t="str">
        <f t="shared" si="68"/>
        <v/>
      </c>
      <c r="AC539" s="50">
        <f t="shared" si="69"/>
        <v>0</v>
      </c>
      <c r="AD539" s="43">
        <f t="shared" si="70"/>
        <v>0</v>
      </c>
      <c r="AE539" s="50">
        <f t="shared" si="71"/>
        <v>0</v>
      </c>
    </row>
    <row r="540" spans="1:31">
      <c r="A540" s="59" t="str">
        <f t="shared" si="65"/>
        <v/>
      </c>
      <c r="B540" s="59" t="str">
        <f t="shared" si="66"/>
        <v/>
      </c>
      <c r="V540" s="59" t="str">
        <f t="shared" si="67"/>
        <v/>
      </c>
      <c r="W540" s="59" t="str">
        <f t="shared" si="64"/>
        <v/>
      </c>
      <c r="X540" s="59" t="str">
        <f t="shared" si="68"/>
        <v/>
      </c>
      <c r="AC540" s="50">
        <f t="shared" si="69"/>
        <v>0</v>
      </c>
      <c r="AD540" s="43">
        <f t="shared" si="70"/>
        <v>0</v>
      </c>
      <c r="AE540" s="50">
        <f t="shared" si="71"/>
        <v>0</v>
      </c>
    </row>
    <row r="541" spans="1:31">
      <c r="A541" s="59" t="str">
        <f t="shared" si="65"/>
        <v/>
      </c>
      <c r="B541" s="59" t="str">
        <f t="shared" si="66"/>
        <v/>
      </c>
      <c r="V541" s="59" t="str">
        <f t="shared" si="67"/>
        <v/>
      </c>
      <c r="W541" s="59" t="str">
        <f t="shared" si="64"/>
        <v/>
      </c>
      <c r="X541" s="59" t="str">
        <f t="shared" si="68"/>
        <v/>
      </c>
      <c r="AC541" s="50">
        <f t="shared" si="69"/>
        <v>0</v>
      </c>
      <c r="AD541" s="43">
        <f t="shared" si="70"/>
        <v>0</v>
      </c>
      <c r="AE541" s="50">
        <f t="shared" si="71"/>
        <v>0</v>
      </c>
    </row>
    <row r="542" spans="1:31">
      <c r="A542" s="59" t="str">
        <f t="shared" si="65"/>
        <v/>
      </c>
      <c r="B542" s="59" t="str">
        <f t="shared" si="66"/>
        <v/>
      </c>
      <c r="V542" s="59" t="str">
        <f t="shared" si="67"/>
        <v/>
      </c>
      <c r="W542" s="59" t="str">
        <f t="shared" si="64"/>
        <v/>
      </c>
      <c r="X542" s="59" t="str">
        <f t="shared" si="68"/>
        <v/>
      </c>
      <c r="AC542" s="50">
        <f t="shared" si="69"/>
        <v>0</v>
      </c>
      <c r="AD542" s="43">
        <f t="shared" si="70"/>
        <v>0</v>
      </c>
      <c r="AE542" s="50">
        <f t="shared" si="71"/>
        <v>0</v>
      </c>
    </row>
    <row r="543" spans="1:31">
      <c r="A543" s="59" t="str">
        <f t="shared" si="65"/>
        <v/>
      </c>
      <c r="B543" s="59" t="str">
        <f t="shared" si="66"/>
        <v/>
      </c>
      <c r="V543" s="59" t="str">
        <f t="shared" si="67"/>
        <v/>
      </c>
      <c r="W543" s="59" t="str">
        <f t="shared" si="64"/>
        <v/>
      </c>
      <c r="X543" s="59" t="str">
        <f t="shared" si="68"/>
        <v/>
      </c>
      <c r="AC543" s="50">
        <f t="shared" si="69"/>
        <v>0</v>
      </c>
      <c r="AD543" s="43">
        <f t="shared" si="70"/>
        <v>0</v>
      </c>
      <c r="AE543" s="50">
        <f t="shared" si="71"/>
        <v>0</v>
      </c>
    </row>
    <row r="544" spans="1:31">
      <c r="A544" s="59" t="str">
        <f t="shared" si="65"/>
        <v/>
      </c>
      <c r="B544" s="59" t="str">
        <f t="shared" si="66"/>
        <v/>
      </c>
      <c r="V544" s="59" t="str">
        <f t="shared" si="67"/>
        <v/>
      </c>
      <c r="W544" s="59" t="str">
        <f t="shared" si="64"/>
        <v/>
      </c>
      <c r="X544" s="59" t="str">
        <f t="shared" si="68"/>
        <v/>
      </c>
      <c r="AC544" s="50">
        <f t="shared" si="69"/>
        <v>0</v>
      </c>
      <c r="AD544" s="43">
        <f t="shared" si="70"/>
        <v>0</v>
      </c>
      <c r="AE544" s="50">
        <f t="shared" si="71"/>
        <v>0</v>
      </c>
    </row>
    <row r="545" spans="1:31">
      <c r="A545" s="59" t="str">
        <f t="shared" si="65"/>
        <v/>
      </c>
      <c r="B545" s="59" t="str">
        <f t="shared" si="66"/>
        <v/>
      </c>
      <c r="V545" s="59" t="str">
        <f t="shared" si="67"/>
        <v/>
      </c>
      <c r="W545" s="59" t="str">
        <f t="shared" si="64"/>
        <v/>
      </c>
      <c r="X545" s="59" t="str">
        <f t="shared" si="68"/>
        <v/>
      </c>
      <c r="AC545" s="50">
        <f t="shared" si="69"/>
        <v>0</v>
      </c>
      <c r="AD545" s="43">
        <f t="shared" si="70"/>
        <v>0</v>
      </c>
      <c r="AE545" s="50">
        <f t="shared" si="71"/>
        <v>0</v>
      </c>
    </row>
    <row r="546" spans="1:31">
      <c r="A546" s="59" t="str">
        <f t="shared" si="65"/>
        <v/>
      </c>
      <c r="B546" s="59" t="str">
        <f t="shared" si="66"/>
        <v/>
      </c>
      <c r="V546" s="59" t="str">
        <f t="shared" si="67"/>
        <v/>
      </c>
      <c r="W546" s="59" t="str">
        <f t="shared" si="64"/>
        <v/>
      </c>
      <c r="X546" s="59" t="str">
        <f t="shared" si="68"/>
        <v/>
      </c>
      <c r="AC546" s="50">
        <f t="shared" si="69"/>
        <v>0</v>
      </c>
      <c r="AD546" s="43">
        <f t="shared" si="70"/>
        <v>0</v>
      </c>
      <c r="AE546" s="50">
        <f t="shared" si="71"/>
        <v>0</v>
      </c>
    </row>
    <row r="547" spans="1:31">
      <c r="A547" s="59" t="str">
        <f t="shared" si="65"/>
        <v/>
      </c>
      <c r="B547" s="59" t="str">
        <f t="shared" si="66"/>
        <v/>
      </c>
      <c r="V547" s="59" t="str">
        <f t="shared" si="67"/>
        <v/>
      </c>
      <c r="W547" s="59" t="str">
        <f t="shared" si="64"/>
        <v/>
      </c>
      <c r="X547" s="59" t="str">
        <f t="shared" si="68"/>
        <v/>
      </c>
      <c r="AC547" s="50">
        <f t="shared" si="69"/>
        <v>0</v>
      </c>
      <c r="AD547" s="43">
        <f t="shared" si="70"/>
        <v>0</v>
      </c>
      <c r="AE547" s="50">
        <f t="shared" si="71"/>
        <v>0</v>
      </c>
    </row>
    <row r="548" spans="1:31">
      <c r="A548" s="59" t="str">
        <f t="shared" si="65"/>
        <v/>
      </c>
      <c r="B548" s="59" t="str">
        <f t="shared" si="66"/>
        <v/>
      </c>
      <c r="V548" s="59" t="str">
        <f t="shared" si="67"/>
        <v/>
      </c>
      <c r="W548" s="59" t="str">
        <f t="shared" si="64"/>
        <v/>
      </c>
      <c r="X548" s="59" t="str">
        <f t="shared" si="68"/>
        <v/>
      </c>
      <c r="AC548" s="50">
        <f t="shared" si="69"/>
        <v>0</v>
      </c>
      <c r="AD548" s="43">
        <f t="shared" si="70"/>
        <v>0</v>
      </c>
      <c r="AE548" s="50">
        <f t="shared" si="71"/>
        <v>0</v>
      </c>
    </row>
    <row r="549" spans="1:31">
      <c r="A549" s="59" t="str">
        <f t="shared" si="65"/>
        <v/>
      </c>
      <c r="B549" s="59" t="str">
        <f t="shared" si="66"/>
        <v/>
      </c>
      <c r="V549" s="59" t="str">
        <f t="shared" si="67"/>
        <v/>
      </c>
      <c r="W549" s="59" t="str">
        <f t="shared" si="64"/>
        <v/>
      </c>
      <c r="X549" s="59" t="str">
        <f t="shared" si="68"/>
        <v/>
      </c>
      <c r="AC549" s="50">
        <f t="shared" si="69"/>
        <v>0</v>
      </c>
      <c r="AD549" s="43">
        <f t="shared" si="70"/>
        <v>0</v>
      </c>
      <c r="AE549" s="50">
        <f t="shared" si="71"/>
        <v>0</v>
      </c>
    </row>
    <row r="550" spans="1:31">
      <c r="A550" s="59" t="str">
        <f t="shared" si="65"/>
        <v/>
      </c>
      <c r="B550" s="59" t="str">
        <f t="shared" si="66"/>
        <v/>
      </c>
      <c r="V550" s="59" t="str">
        <f t="shared" si="67"/>
        <v/>
      </c>
      <c r="W550" s="59" t="str">
        <f t="shared" si="64"/>
        <v/>
      </c>
      <c r="X550" s="59" t="str">
        <f t="shared" si="68"/>
        <v/>
      </c>
      <c r="AC550" s="50">
        <f t="shared" si="69"/>
        <v>0</v>
      </c>
      <c r="AD550" s="43">
        <f t="shared" si="70"/>
        <v>0</v>
      </c>
      <c r="AE550" s="50">
        <f t="shared" si="71"/>
        <v>0</v>
      </c>
    </row>
    <row r="551" spans="1:31">
      <c r="A551" s="59" t="str">
        <f t="shared" si="65"/>
        <v/>
      </c>
      <c r="B551" s="59" t="str">
        <f t="shared" si="66"/>
        <v/>
      </c>
      <c r="V551" s="59" t="str">
        <f t="shared" si="67"/>
        <v/>
      </c>
      <c r="W551" s="59" t="str">
        <f t="shared" si="64"/>
        <v/>
      </c>
      <c r="X551" s="59" t="str">
        <f t="shared" si="68"/>
        <v/>
      </c>
      <c r="AC551" s="50">
        <f t="shared" si="69"/>
        <v>0</v>
      </c>
      <c r="AD551" s="43">
        <f t="shared" si="70"/>
        <v>0</v>
      </c>
      <c r="AE551" s="50">
        <f t="shared" si="71"/>
        <v>0</v>
      </c>
    </row>
    <row r="552" spans="1:31">
      <c r="A552" s="59" t="str">
        <f t="shared" si="65"/>
        <v/>
      </c>
      <c r="B552" s="59" t="str">
        <f t="shared" si="66"/>
        <v/>
      </c>
      <c r="V552" s="59" t="str">
        <f t="shared" si="67"/>
        <v/>
      </c>
      <c r="W552" s="59" t="str">
        <f t="shared" si="64"/>
        <v/>
      </c>
      <c r="X552" s="59" t="str">
        <f t="shared" si="68"/>
        <v/>
      </c>
      <c r="AC552" s="50">
        <f t="shared" si="69"/>
        <v>0</v>
      </c>
      <c r="AD552" s="43">
        <f t="shared" si="70"/>
        <v>0</v>
      </c>
      <c r="AE552" s="50">
        <f t="shared" si="71"/>
        <v>0</v>
      </c>
    </row>
    <row r="553" spans="1:31">
      <c r="A553" s="59" t="str">
        <f t="shared" si="65"/>
        <v/>
      </c>
      <c r="B553" s="59" t="str">
        <f t="shared" si="66"/>
        <v/>
      </c>
      <c r="V553" s="59" t="str">
        <f t="shared" si="67"/>
        <v/>
      </c>
      <c r="W553" s="59" t="str">
        <f t="shared" si="64"/>
        <v/>
      </c>
      <c r="X553" s="59" t="str">
        <f t="shared" si="68"/>
        <v/>
      </c>
      <c r="AC553" s="50">
        <f t="shared" si="69"/>
        <v>0</v>
      </c>
      <c r="AD553" s="43">
        <f t="shared" si="70"/>
        <v>0</v>
      </c>
      <c r="AE553" s="50">
        <f t="shared" si="71"/>
        <v>0</v>
      </c>
    </row>
    <row r="554" spans="1:31">
      <c r="A554" s="59" t="str">
        <f t="shared" si="65"/>
        <v/>
      </c>
      <c r="B554" s="59" t="str">
        <f t="shared" si="66"/>
        <v/>
      </c>
      <c r="V554" s="59" t="str">
        <f t="shared" si="67"/>
        <v/>
      </c>
      <c r="W554" s="59" t="str">
        <f t="shared" si="64"/>
        <v/>
      </c>
      <c r="X554" s="59" t="str">
        <f t="shared" si="68"/>
        <v/>
      </c>
      <c r="AC554" s="50">
        <f t="shared" si="69"/>
        <v>0</v>
      </c>
      <c r="AD554" s="43">
        <f t="shared" si="70"/>
        <v>0</v>
      </c>
      <c r="AE554" s="50">
        <f t="shared" si="71"/>
        <v>0</v>
      </c>
    </row>
    <row r="555" spans="1:31">
      <c r="A555" s="59" t="str">
        <f t="shared" si="65"/>
        <v/>
      </c>
      <c r="B555" s="59" t="str">
        <f t="shared" si="66"/>
        <v/>
      </c>
      <c r="V555" s="59" t="str">
        <f t="shared" si="67"/>
        <v/>
      </c>
      <c r="W555" s="59" t="str">
        <f t="shared" si="64"/>
        <v/>
      </c>
      <c r="X555" s="59" t="str">
        <f t="shared" si="68"/>
        <v/>
      </c>
      <c r="AC555" s="50">
        <f t="shared" si="69"/>
        <v>0</v>
      </c>
      <c r="AD555" s="43">
        <f t="shared" si="70"/>
        <v>0</v>
      </c>
      <c r="AE555" s="50">
        <f t="shared" si="71"/>
        <v>0</v>
      </c>
    </row>
    <row r="556" spans="1:31">
      <c r="A556" s="59" t="str">
        <f t="shared" si="65"/>
        <v/>
      </c>
      <c r="B556" s="59" t="str">
        <f t="shared" si="66"/>
        <v/>
      </c>
      <c r="V556" s="59" t="str">
        <f t="shared" si="67"/>
        <v/>
      </c>
      <c r="W556" s="59" t="str">
        <f t="shared" si="64"/>
        <v/>
      </c>
      <c r="X556" s="59" t="str">
        <f t="shared" si="68"/>
        <v/>
      </c>
      <c r="AC556" s="50">
        <f t="shared" si="69"/>
        <v>0</v>
      </c>
      <c r="AD556" s="43">
        <f t="shared" si="70"/>
        <v>0</v>
      </c>
      <c r="AE556" s="50">
        <f t="shared" si="71"/>
        <v>0</v>
      </c>
    </row>
    <row r="557" spans="1:31">
      <c r="A557" s="59" t="str">
        <f t="shared" si="65"/>
        <v/>
      </c>
      <c r="B557" s="59" t="str">
        <f t="shared" si="66"/>
        <v/>
      </c>
      <c r="V557" s="59" t="str">
        <f t="shared" si="67"/>
        <v/>
      </c>
      <c r="W557" s="59" t="str">
        <f t="shared" si="64"/>
        <v/>
      </c>
      <c r="X557" s="59" t="str">
        <f t="shared" si="68"/>
        <v/>
      </c>
      <c r="AC557" s="50">
        <f t="shared" si="69"/>
        <v>0</v>
      </c>
      <c r="AD557" s="43">
        <f t="shared" si="70"/>
        <v>0</v>
      </c>
      <c r="AE557" s="50">
        <f t="shared" si="71"/>
        <v>0</v>
      </c>
    </row>
    <row r="558" spans="1:31">
      <c r="A558" s="59" t="str">
        <f t="shared" si="65"/>
        <v/>
      </c>
      <c r="B558" s="59" t="str">
        <f t="shared" si="66"/>
        <v/>
      </c>
      <c r="V558" s="59" t="str">
        <f t="shared" si="67"/>
        <v/>
      </c>
      <c r="W558" s="59" t="str">
        <f t="shared" si="64"/>
        <v/>
      </c>
      <c r="X558" s="59" t="str">
        <f t="shared" si="68"/>
        <v/>
      </c>
      <c r="AC558" s="50">
        <f t="shared" si="69"/>
        <v>0</v>
      </c>
      <c r="AD558" s="43">
        <f t="shared" si="70"/>
        <v>0</v>
      </c>
      <c r="AE558" s="50">
        <f t="shared" si="71"/>
        <v>0</v>
      </c>
    </row>
    <row r="559" spans="1:31">
      <c r="A559" s="59" t="str">
        <f t="shared" si="65"/>
        <v/>
      </c>
      <c r="B559" s="59" t="str">
        <f t="shared" si="66"/>
        <v/>
      </c>
      <c r="V559" s="59" t="str">
        <f t="shared" si="67"/>
        <v/>
      </c>
      <c r="W559" s="59" t="str">
        <f t="shared" si="64"/>
        <v/>
      </c>
      <c r="X559" s="59" t="str">
        <f t="shared" si="68"/>
        <v/>
      </c>
      <c r="AC559" s="50">
        <f t="shared" si="69"/>
        <v>0</v>
      </c>
      <c r="AD559" s="43">
        <f t="shared" si="70"/>
        <v>0</v>
      </c>
      <c r="AE559" s="50">
        <f t="shared" si="71"/>
        <v>0</v>
      </c>
    </row>
    <row r="560" spans="1:31">
      <c r="A560" s="59" t="str">
        <f t="shared" si="65"/>
        <v/>
      </c>
      <c r="B560" s="59" t="str">
        <f t="shared" si="66"/>
        <v/>
      </c>
      <c r="V560" s="59" t="str">
        <f t="shared" si="67"/>
        <v/>
      </c>
      <c r="W560" s="59" t="str">
        <f t="shared" si="64"/>
        <v/>
      </c>
      <c r="X560" s="59" t="str">
        <f t="shared" si="68"/>
        <v/>
      </c>
      <c r="AC560" s="50">
        <f t="shared" si="69"/>
        <v>0</v>
      </c>
      <c r="AD560" s="43">
        <f t="shared" si="70"/>
        <v>0</v>
      </c>
      <c r="AE560" s="50">
        <f t="shared" si="71"/>
        <v>0</v>
      </c>
    </row>
    <row r="561" spans="1:31">
      <c r="A561" s="59" t="str">
        <f t="shared" si="65"/>
        <v/>
      </c>
      <c r="B561" s="59" t="str">
        <f t="shared" si="66"/>
        <v/>
      </c>
      <c r="V561" s="59" t="str">
        <f t="shared" si="67"/>
        <v/>
      </c>
      <c r="W561" s="59" t="str">
        <f t="shared" si="64"/>
        <v/>
      </c>
      <c r="X561" s="59" t="str">
        <f t="shared" si="68"/>
        <v/>
      </c>
      <c r="AC561" s="50">
        <f t="shared" si="69"/>
        <v>0</v>
      </c>
      <c r="AD561" s="43">
        <f t="shared" si="70"/>
        <v>0</v>
      </c>
      <c r="AE561" s="50">
        <f t="shared" si="71"/>
        <v>0</v>
      </c>
    </row>
    <row r="562" spans="1:31">
      <c r="A562" s="59" t="str">
        <f t="shared" si="65"/>
        <v/>
      </c>
      <c r="B562" s="59" t="str">
        <f t="shared" si="66"/>
        <v/>
      </c>
      <c r="V562" s="59" t="str">
        <f t="shared" si="67"/>
        <v/>
      </c>
      <c r="W562" s="59" t="str">
        <f t="shared" si="64"/>
        <v/>
      </c>
      <c r="X562" s="59" t="str">
        <f t="shared" si="68"/>
        <v/>
      </c>
      <c r="AC562" s="50">
        <f t="shared" si="69"/>
        <v>0</v>
      </c>
      <c r="AD562" s="43">
        <f t="shared" si="70"/>
        <v>0</v>
      </c>
      <c r="AE562" s="50">
        <f t="shared" si="71"/>
        <v>0</v>
      </c>
    </row>
    <row r="563" spans="1:31">
      <c r="A563" s="59" t="str">
        <f t="shared" si="65"/>
        <v/>
      </c>
      <c r="B563" s="59" t="str">
        <f t="shared" si="66"/>
        <v/>
      </c>
      <c r="V563" s="59" t="str">
        <f t="shared" si="67"/>
        <v/>
      </c>
      <c r="W563" s="59" t="str">
        <f t="shared" si="64"/>
        <v/>
      </c>
      <c r="X563" s="59" t="str">
        <f t="shared" si="68"/>
        <v/>
      </c>
      <c r="AC563" s="50">
        <f t="shared" si="69"/>
        <v>0</v>
      </c>
      <c r="AD563" s="43">
        <f t="shared" si="70"/>
        <v>0</v>
      </c>
      <c r="AE563" s="50">
        <f t="shared" si="71"/>
        <v>0</v>
      </c>
    </row>
    <row r="564" spans="1:31">
      <c r="A564" s="59" t="str">
        <f t="shared" si="65"/>
        <v/>
      </c>
      <c r="B564" s="59" t="str">
        <f t="shared" si="66"/>
        <v/>
      </c>
      <c r="V564" s="59" t="str">
        <f t="shared" si="67"/>
        <v/>
      </c>
      <c r="W564" s="59" t="str">
        <f t="shared" si="64"/>
        <v/>
      </c>
      <c r="X564" s="59" t="str">
        <f t="shared" si="68"/>
        <v/>
      </c>
      <c r="AC564" s="50">
        <f t="shared" si="69"/>
        <v>0</v>
      </c>
      <c r="AD564" s="43">
        <f t="shared" si="70"/>
        <v>0</v>
      </c>
      <c r="AE564" s="50">
        <f t="shared" si="71"/>
        <v>0</v>
      </c>
    </row>
    <row r="565" spans="1:31">
      <c r="A565" s="59" t="str">
        <f t="shared" si="65"/>
        <v/>
      </c>
      <c r="B565" s="59" t="str">
        <f t="shared" si="66"/>
        <v/>
      </c>
      <c r="V565" s="59" t="str">
        <f t="shared" si="67"/>
        <v/>
      </c>
      <c r="W565" s="59" t="str">
        <f t="shared" si="64"/>
        <v/>
      </c>
      <c r="X565" s="59" t="str">
        <f t="shared" si="68"/>
        <v/>
      </c>
      <c r="AC565" s="50">
        <f t="shared" si="69"/>
        <v>0</v>
      </c>
      <c r="AD565" s="43">
        <f t="shared" si="70"/>
        <v>0</v>
      </c>
      <c r="AE565" s="50">
        <f t="shared" si="71"/>
        <v>0</v>
      </c>
    </row>
    <row r="566" spans="1:31">
      <c r="A566" s="59" t="str">
        <f t="shared" si="65"/>
        <v/>
      </c>
      <c r="B566" s="59" t="str">
        <f t="shared" si="66"/>
        <v/>
      </c>
      <c r="V566" s="59" t="str">
        <f t="shared" si="67"/>
        <v/>
      </c>
      <c r="W566" s="59" t="str">
        <f t="shared" si="64"/>
        <v/>
      </c>
      <c r="X566" s="59" t="str">
        <f t="shared" si="68"/>
        <v/>
      </c>
      <c r="AC566" s="50">
        <f t="shared" si="69"/>
        <v>0</v>
      </c>
      <c r="AD566" s="43">
        <f t="shared" si="70"/>
        <v>0</v>
      </c>
      <c r="AE566" s="50">
        <f t="shared" si="71"/>
        <v>0</v>
      </c>
    </row>
    <row r="567" spans="1:31">
      <c r="A567" s="59" t="str">
        <f t="shared" si="65"/>
        <v/>
      </c>
      <c r="B567" s="59" t="str">
        <f t="shared" si="66"/>
        <v/>
      </c>
      <c r="V567" s="59" t="str">
        <f t="shared" si="67"/>
        <v/>
      </c>
      <c r="W567" s="59" t="str">
        <f t="shared" si="64"/>
        <v/>
      </c>
      <c r="X567" s="59" t="str">
        <f t="shared" si="68"/>
        <v/>
      </c>
      <c r="AC567" s="50">
        <f t="shared" si="69"/>
        <v>0</v>
      </c>
      <c r="AD567" s="43">
        <f t="shared" si="70"/>
        <v>0</v>
      </c>
      <c r="AE567" s="50">
        <f t="shared" si="71"/>
        <v>0</v>
      </c>
    </row>
    <row r="568" spans="1:31">
      <c r="A568" s="59" t="str">
        <f t="shared" si="65"/>
        <v/>
      </c>
      <c r="B568" s="59" t="str">
        <f t="shared" si="66"/>
        <v/>
      </c>
      <c r="V568" s="59" t="str">
        <f t="shared" si="67"/>
        <v/>
      </c>
      <c r="W568" s="59" t="str">
        <f t="shared" si="64"/>
        <v/>
      </c>
      <c r="X568" s="59" t="str">
        <f t="shared" si="68"/>
        <v/>
      </c>
      <c r="AC568" s="50">
        <f t="shared" si="69"/>
        <v>0</v>
      </c>
      <c r="AD568" s="43">
        <f t="shared" si="70"/>
        <v>0</v>
      </c>
      <c r="AE568" s="50">
        <f t="shared" si="71"/>
        <v>0</v>
      </c>
    </row>
    <row r="569" spans="1:31">
      <c r="A569" s="59" t="str">
        <f t="shared" si="65"/>
        <v/>
      </c>
      <c r="B569" s="59" t="str">
        <f t="shared" si="66"/>
        <v/>
      </c>
      <c r="V569" s="59" t="str">
        <f t="shared" si="67"/>
        <v/>
      </c>
      <c r="W569" s="59" t="str">
        <f t="shared" si="64"/>
        <v/>
      </c>
      <c r="X569" s="59" t="str">
        <f t="shared" si="68"/>
        <v/>
      </c>
      <c r="AC569" s="50">
        <f t="shared" si="69"/>
        <v>0</v>
      </c>
      <c r="AD569" s="43">
        <f t="shared" si="70"/>
        <v>0</v>
      </c>
      <c r="AE569" s="50">
        <f t="shared" si="71"/>
        <v>0</v>
      </c>
    </row>
    <row r="570" spans="1:31">
      <c r="A570" s="59" t="str">
        <f t="shared" si="65"/>
        <v/>
      </c>
      <c r="B570" s="59" t="str">
        <f t="shared" si="66"/>
        <v/>
      </c>
      <c r="V570" s="59" t="str">
        <f t="shared" si="67"/>
        <v/>
      </c>
      <c r="W570" s="59" t="str">
        <f t="shared" si="64"/>
        <v/>
      </c>
      <c r="X570" s="59" t="str">
        <f t="shared" si="68"/>
        <v/>
      </c>
      <c r="AC570" s="50">
        <f t="shared" si="69"/>
        <v>0</v>
      </c>
      <c r="AD570" s="43">
        <f t="shared" si="70"/>
        <v>0</v>
      </c>
      <c r="AE570" s="50">
        <f t="shared" si="71"/>
        <v>0</v>
      </c>
    </row>
    <row r="571" spans="1:31">
      <c r="A571" s="59" t="str">
        <f t="shared" si="65"/>
        <v/>
      </c>
      <c r="B571" s="59" t="str">
        <f t="shared" si="66"/>
        <v/>
      </c>
      <c r="V571" s="59" t="str">
        <f t="shared" si="67"/>
        <v/>
      </c>
      <c r="W571" s="59" t="str">
        <f t="shared" si="64"/>
        <v/>
      </c>
      <c r="X571" s="59" t="str">
        <f t="shared" si="68"/>
        <v/>
      </c>
      <c r="AC571" s="50">
        <f t="shared" si="69"/>
        <v>0</v>
      </c>
      <c r="AD571" s="43">
        <f t="shared" si="70"/>
        <v>0</v>
      </c>
      <c r="AE571" s="50">
        <f t="shared" si="71"/>
        <v>0</v>
      </c>
    </row>
    <row r="572" spans="1:31">
      <c r="A572" s="59" t="str">
        <f t="shared" si="65"/>
        <v/>
      </c>
      <c r="B572" s="59" t="str">
        <f t="shared" si="66"/>
        <v/>
      </c>
      <c r="V572" s="59" t="str">
        <f t="shared" si="67"/>
        <v/>
      </c>
      <c r="W572" s="59" t="str">
        <f t="shared" si="64"/>
        <v/>
      </c>
      <c r="X572" s="59" t="str">
        <f t="shared" si="68"/>
        <v/>
      </c>
      <c r="AC572" s="50">
        <f t="shared" si="69"/>
        <v>0</v>
      </c>
      <c r="AD572" s="43">
        <f t="shared" si="70"/>
        <v>0</v>
      </c>
      <c r="AE572" s="50">
        <f t="shared" si="71"/>
        <v>0</v>
      </c>
    </row>
    <row r="573" spans="1:31">
      <c r="A573" s="59" t="str">
        <f t="shared" si="65"/>
        <v/>
      </c>
      <c r="B573" s="59" t="str">
        <f t="shared" si="66"/>
        <v/>
      </c>
      <c r="V573" s="59" t="str">
        <f t="shared" si="67"/>
        <v/>
      </c>
      <c r="W573" s="59" t="str">
        <f t="shared" si="64"/>
        <v/>
      </c>
      <c r="X573" s="59" t="str">
        <f t="shared" si="68"/>
        <v/>
      </c>
      <c r="AC573" s="50">
        <f t="shared" si="69"/>
        <v>0</v>
      </c>
      <c r="AD573" s="43">
        <f t="shared" si="70"/>
        <v>0</v>
      </c>
      <c r="AE573" s="50">
        <f t="shared" si="71"/>
        <v>0</v>
      </c>
    </row>
    <row r="574" spans="1:31">
      <c r="A574" s="59" t="str">
        <f t="shared" si="65"/>
        <v/>
      </c>
      <c r="B574" s="59" t="str">
        <f t="shared" si="66"/>
        <v/>
      </c>
      <c r="V574" s="59" t="str">
        <f t="shared" si="67"/>
        <v/>
      </c>
      <c r="W574" s="59" t="str">
        <f t="shared" si="64"/>
        <v/>
      </c>
      <c r="X574" s="59" t="str">
        <f t="shared" si="68"/>
        <v/>
      </c>
      <c r="AC574" s="50">
        <f t="shared" si="69"/>
        <v>0</v>
      </c>
      <c r="AD574" s="43">
        <f t="shared" si="70"/>
        <v>0</v>
      </c>
      <c r="AE574" s="50">
        <f t="shared" si="71"/>
        <v>0</v>
      </c>
    </row>
    <row r="575" spans="1:31">
      <c r="A575" s="59" t="str">
        <f t="shared" si="65"/>
        <v/>
      </c>
      <c r="B575" s="59" t="str">
        <f t="shared" si="66"/>
        <v/>
      </c>
      <c r="V575" s="59" t="str">
        <f t="shared" si="67"/>
        <v/>
      </c>
      <c r="W575" s="59" t="str">
        <f t="shared" si="64"/>
        <v/>
      </c>
      <c r="X575" s="59" t="str">
        <f t="shared" si="68"/>
        <v/>
      </c>
      <c r="AC575" s="50">
        <f t="shared" si="69"/>
        <v>0</v>
      </c>
      <c r="AD575" s="43">
        <f t="shared" si="70"/>
        <v>0</v>
      </c>
      <c r="AE575" s="50">
        <f t="shared" si="71"/>
        <v>0</v>
      </c>
    </row>
    <row r="576" spans="1:31">
      <c r="A576" s="59" t="str">
        <f t="shared" si="65"/>
        <v/>
      </c>
      <c r="B576" s="59" t="str">
        <f t="shared" si="66"/>
        <v/>
      </c>
      <c r="V576" s="59" t="str">
        <f t="shared" si="67"/>
        <v/>
      </c>
      <c r="W576" s="59" t="str">
        <f t="shared" si="64"/>
        <v/>
      </c>
      <c r="X576" s="59" t="str">
        <f t="shared" si="68"/>
        <v/>
      </c>
      <c r="AC576" s="50">
        <f t="shared" si="69"/>
        <v>0</v>
      </c>
      <c r="AD576" s="43">
        <f t="shared" si="70"/>
        <v>0</v>
      </c>
      <c r="AE576" s="50">
        <f t="shared" si="71"/>
        <v>0</v>
      </c>
    </row>
    <row r="577" spans="1:31">
      <c r="A577" s="59" t="str">
        <f t="shared" si="65"/>
        <v/>
      </c>
      <c r="B577" s="59" t="str">
        <f t="shared" si="66"/>
        <v/>
      </c>
      <c r="V577" s="59" t="str">
        <f t="shared" si="67"/>
        <v/>
      </c>
      <c r="W577" s="59" t="str">
        <f t="shared" si="64"/>
        <v/>
      </c>
      <c r="X577" s="59" t="str">
        <f t="shared" si="68"/>
        <v/>
      </c>
      <c r="AC577" s="50">
        <f t="shared" si="69"/>
        <v>0</v>
      </c>
      <c r="AD577" s="43">
        <f t="shared" si="70"/>
        <v>0</v>
      </c>
      <c r="AE577" s="50">
        <f t="shared" si="71"/>
        <v>0</v>
      </c>
    </row>
    <row r="578" spans="1:31">
      <c r="A578" s="59" t="str">
        <f t="shared" si="65"/>
        <v/>
      </c>
      <c r="B578" s="59" t="str">
        <f t="shared" si="66"/>
        <v/>
      </c>
      <c r="V578" s="59" t="str">
        <f t="shared" si="67"/>
        <v/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59" t="str">
        <f t="shared" si="68"/>
        <v/>
      </c>
      <c r="AC578" s="50">
        <f t="shared" si="69"/>
        <v>0</v>
      </c>
      <c r="AD578" s="43">
        <f t="shared" si="70"/>
        <v>0</v>
      </c>
      <c r="AE578" s="50">
        <f t="shared" si="71"/>
        <v>0</v>
      </c>
    </row>
    <row r="579" spans="1:31">
      <c r="A579" s="59" t="str">
        <f t="shared" ref="A579:A642" si="73">IF(G579&amp;Q579&lt;&gt;"",W579&amp;Q579,"")</f>
        <v/>
      </c>
      <c r="B579" s="59" t="str">
        <f t="shared" ref="B579:B642" si="74">IF(C579&lt;&gt;"",LEFT(C579,9),"")</f>
        <v/>
      </c>
      <c r="V579" s="59" t="str">
        <f t="shared" ref="V579:V642" si="75">W579&amp;H579</f>
        <v/>
      </c>
      <c r="W579" s="59" t="str">
        <f t="shared" si="72"/>
        <v/>
      </c>
      <c r="X579" s="59" t="str">
        <f t="shared" ref="X579:X642" si="76">IF(A579&lt;&gt;"",IFERROR(IF(FIND(" ",G579)&gt;=1,MID(G579,FIND(" ",G579)+1,LEN(G579)),""),""),"")</f>
        <v/>
      </c>
      <c r="AC579" s="50">
        <f t="shared" ref="AC579:AC642" si="77">IFERROR(VALUE(MID($C579,1,2)),0)</f>
        <v>0</v>
      </c>
      <c r="AD579" s="43">
        <f t="shared" ref="AD579:AD642" si="78">IFERROR(VALUE(MID($C579,4,3)),0)</f>
        <v>0</v>
      </c>
      <c r="AE579" s="50">
        <f t="shared" ref="AE579:AE642" si="79">VALUE(RIGHT("00"&amp;AC579,2)&amp;RIGHT("000"&amp;AD579,3))</f>
        <v>0</v>
      </c>
    </row>
    <row r="580" spans="1:31">
      <c r="A580" s="59" t="str">
        <f t="shared" si="73"/>
        <v/>
      </c>
      <c r="B580" s="59" t="str">
        <f t="shared" si="74"/>
        <v/>
      </c>
      <c r="V580" s="59" t="str">
        <f t="shared" si="75"/>
        <v/>
      </c>
      <c r="W580" s="59" t="str">
        <f t="shared" si="72"/>
        <v/>
      </c>
      <c r="X580" s="59" t="str">
        <f t="shared" si="76"/>
        <v/>
      </c>
      <c r="AC580" s="50">
        <f t="shared" si="77"/>
        <v>0</v>
      </c>
      <c r="AD580" s="43">
        <f t="shared" si="78"/>
        <v>0</v>
      </c>
      <c r="AE580" s="50">
        <f t="shared" si="79"/>
        <v>0</v>
      </c>
    </row>
    <row r="581" spans="1:31">
      <c r="A581" s="59" t="str">
        <f t="shared" si="73"/>
        <v/>
      </c>
      <c r="B581" s="59" t="str">
        <f t="shared" si="74"/>
        <v/>
      </c>
      <c r="V581" s="59" t="str">
        <f t="shared" si="75"/>
        <v/>
      </c>
      <c r="W581" s="59" t="str">
        <f t="shared" si="72"/>
        <v/>
      </c>
      <c r="X581" s="59" t="str">
        <f t="shared" si="76"/>
        <v/>
      </c>
      <c r="AC581" s="50">
        <f t="shared" si="77"/>
        <v>0</v>
      </c>
      <c r="AD581" s="43">
        <f t="shared" si="78"/>
        <v>0</v>
      </c>
      <c r="AE581" s="50">
        <f t="shared" si="79"/>
        <v>0</v>
      </c>
    </row>
    <row r="582" spans="1:31">
      <c r="A582" s="59" t="str">
        <f t="shared" si="73"/>
        <v/>
      </c>
      <c r="B582" s="59" t="str">
        <f t="shared" si="74"/>
        <v/>
      </c>
      <c r="V582" s="59" t="str">
        <f t="shared" si="75"/>
        <v/>
      </c>
      <c r="W582" s="59" t="str">
        <f t="shared" si="72"/>
        <v/>
      </c>
      <c r="X582" s="59" t="str">
        <f t="shared" si="76"/>
        <v/>
      </c>
      <c r="AC582" s="50">
        <f t="shared" si="77"/>
        <v>0</v>
      </c>
      <c r="AD582" s="43">
        <f t="shared" si="78"/>
        <v>0</v>
      </c>
      <c r="AE582" s="50">
        <f t="shared" si="79"/>
        <v>0</v>
      </c>
    </row>
    <row r="583" spans="1:31">
      <c r="A583" s="59" t="str">
        <f t="shared" si="73"/>
        <v/>
      </c>
      <c r="B583" s="59" t="str">
        <f t="shared" si="74"/>
        <v/>
      </c>
      <c r="V583" s="59" t="str">
        <f t="shared" si="75"/>
        <v/>
      </c>
      <c r="W583" s="59" t="str">
        <f t="shared" si="72"/>
        <v/>
      </c>
      <c r="X583" s="59" t="str">
        <f t="shared" si="76"/>
        <v/>
      </c>
      <c r="AC583" s="50">
        <f t="shared" si="77"/>
        <v>0</v>
      </c>
      <c r="AD583" s="43">
        <f t="shared" si="78"/>
        <v>0</v>
      </c>
      <c r="AE583" s="50">
        <f t="shared" si="79"/>
        <v>0</v>
      </c>
    </row>
    <row r="584" spans="1:31">
      <c r="A584" s="59" t="str">
        <f t="shared" si="73"/>
        <v/>
      </c>
      <c r="B584" s="59" t="str">
        <f t="shared" si="74"/>
        <v/>
      </c>
      <c r="V584" s="59" t="str">
        <f t="shared" si="75"/>
        <v/>
      </c>
      <c r="W584" s="59" t="str">
        <f t="shared" si="72"/>
        <v/>
      </c>
      <c r="X584" s="59" t="str">
        <f t="shared" si="76"/>
        <v/>
      </c>
      <c r="AC584" s="50">
        <f t="shared" si="77"/>
        <v>0</v>
      </c>
      <c r="AD584" s="43">
        <f t="shared" si="78"/>
        <v>0</v>
      </c>
      <c r="AE584" s="50">
        <f t="shared" si="79"/>
        <v>0</v>
      </c>
    </row>
    <row r="585" spans="1:31">
      <c r="A585" s="59" t="str">
        <f t="shared" si="73"/>
        <v/>
      </c>
      <c r="B585" s="59" t="str">
        <f t="shared" si="74"/>
        <v/>
      </c>
      <c r="V585" s="59" t="str">
        <f t="shared" si="75"/>
        <v/>
      </c>
      <c r="W585" s="59" t="str">
        <f t="shared" si="72"/>
        <v/>
      </c>
      <c r="X585" s="59" t="str">
        <f t="shared" si="76"/>
        <v/>
      </c>
      <c r="AC585" s="50">
        <f t="shared" si="77"/>
        <v>0</v>
      </c>
      <c r="AD585" s="43">
        <f t="shared" si="78"/>
        <v>0</v>
      </c>
      <c r="AE585" s="50">
        <f t="shared" si="79"/>
        <v>0</v>
      </c>
    </row>
    <row r="586" spans="1:31">
      <c r="A586" s="59" t="str">
        <f t="shared" si="73"/>
        <v/>
      </c>
      <c r="B586" s="59" t="str">
        <f t="shared" si="74"/>
        <v/>
      </c>
      <c r="V586" s="59" t="str">
        <f t="shared" si="75"/>
        <v/>
      </c>
      <c r="W586" s="59" t="str">
        <f t="shared" si="72"/>
        <v/>
      </c>
      <c r="X586" s="59" t="str">
        <f t="shared" si="76"/>
        <v/>
      </c>
      <c r="AC586" s="50">
        <f t="shared" si="77"/>
        <v>0</v>
      </c>
      <c r="AD586" s="43">
        <f t="shared" si="78"/>
        <v>0</v>
      </c>
      <c r="AE586" s="50">
        <f t="shared" si="79"/>
        <v>0</v>
      </c>
    </row>
    <row r="587" spans="1:31">
      <c r="A587" s="59" t="str">
        <f t="shared" si="73"/>
        <v/>
      </c>
      <c r="B587" s="59" t="str">
        <f t="shared" si="74"/>
        <v/>
      </c>
      <c r="V587" s="59" t="str">
        <f t="shared" si="75"/>
        <v/>
      </c>
      <c r="W587" s="59" t="str">
        <f t="shared" si="72"/>
        <v/>
      </c>
      <c r="X587" s="59" t="str">
        <f t="shared" si="76"/>
        <v/>
      </c>
      <c r="AC587" s="50">
        <f t="shared" si="77"/>
        <v>0</v>
      </c>
      <c r="AD587" s="43">
        <f t="shared" si="78"/>
        <v>0</v>
      </c>
      <c r="AE587" s="50">
        <f t="shared" si="79"/>
        <v>0</v>
      </c>
    </row>
    <row r="588" spans="1:31">
      <c r="A588" s="59" t="str">
        <f t="shared" si="73"/>
        <v/>
      </c>
      <c r="B588" s="59" t="str">
        <f t="shared" si="74"/>
        <v/>
      </c>
      <c r="V588" s="59" t="str">
        <f t="shared" si="75"/>
        <v/>
      </c>
      <c r="W588" s="59" t="str">
        <f t="shared" si="72"/>
        <v/>
      </c>
      <c r="X588" s="59" t="str">
        <f t="shared" si="76"/>
        <v/>
      </c>
      <c r="AC588" s="50">
        <f t="shared" si="77"/>
        <v>0</v>
      </c>
      <c r="AD588" s="43">
        <f t="shared" si="78"/>
        <v>0</v>
      </c>
      <c r="AE588" s="50">
        <f t="shared" si="79"/>
        <v>0</v>
      </c>
    </row>
    <row r="589" spans="1:31">
      <c r="A589" s="59" t="str">
        <f t="shared" si="73"/>
        <v/>
      </c>
      <c r="B589" s="59" t="str">
        <f t="shared" si="74"/>
        <v/>
      </c>
      <c r="V589" s="59" t="str">
        <f t="shared" si="75"/>
        <v/>
      </c>
      <c r="W589" s="59" t="str">
        <f t="shared" si="72"/>
        <v/>
      </c>
      <c r="X589" s="59" t="str">
        <f t="shared" si="76"/>
        <v/>
      </c>
      <c r="AC589" s="50">
        <f t="shared" si="77"/>
        <v>0</v>
      </c>
      <c r="AD589" s="43">
        <f t="shared" si="78"/>
        <v>0</v>
      </c>
      <c r="AE589" s="50">
        <f t="shared" si="79"/>
        <v>0</v>
      </c>
    </row>
    <row r="590" spans="1:31">
      <c r="A590" s="59" t="str">
        <f t="shared" si="73"/>
        <v/>
      </c>
      <c r="B590" s="59" t="str">
        <f t="shared" si="74"/>
        <v/>
      </c>
      <c r="V590" s="59" t="str">
        <f t="shared" si="75"/>
        <v/>
      </c>
      <c r="W590" s="59" t="str">
        <f t="shared" si="72"/>
        <v/>
      </c>
      <c r="X590" s="59" t="str">
        <f t="shared" si="76"/>
        <v/>
      </c>
      <c r="AC590" s="50">
        <f t="shared" si="77"/>
        <v>0</v>
      </c>
      <c r="AD590" s="43">
        <f t="shared" si="78"/>
        <v>0</v>
      </c>
      <c r="AE590" s="50">
        <f t="shared" si="79"/>
        <v>0</v>
      </c>
    </row>
    <row r="591" spans="1:31">
      <c r="A591" s="59" t="str">
        <f t="shared" si="73"/>
        <v/>
      </c>
      <c r="B591" s="59" t="str">
        <f t="shared" si="74"/>
        <v/>
      </c>
      <c r="V591" s="59" t="str">
        <f t="shared" si="75"/>
        <v/>
      </c>
      <c r="W591" s="59" t="str">
        <f t="shared" si="72"/>
        <v/>
      </c>
      <c r="X591" s="59" t="str">
        <f t="shared" si="76"/>
        <v/>
      </c>
      <c r="AC591" s="50">
        <f t="shared" si="77"/>
        <v>0</v>
      </c>
      <c r="AD591" s="43">
        <f t="shared" si="78"/>
        <v>0</v>
      </c>
      <c r="AE591" s="50">
        <f t="shared" si="79"/>
        <v>0</v>
      </c>
    </row>
    <row r="592" spans="1:31">
      <c r="A592" s="59" t="str">
        <f t="shared" si="73"/>
        <v/>
      </c>
      <c r="B592" s="59" t="str">
        <f t="shared" si="74"/>
        <v/>
      </c>
      <c r="V592" s="59" t="str">
        <f t="shared" si="75"/>
        <v/>
      </c>
      <c r="W592" s="59" t="str">
        <f t="shared" si="72"/>
        <v/>
      </c>
      <c r="X592" s="59" t="str">
        <f t="shared" si="76"/>
        <v/>
      </c>
      <c r="AC592" s="50">
        <f t="shared" si="77"/>
        <v>0</v>
      </c>
      <c r="AD592" s="43">
        <f t="shared" si="78"/>
        <v>0</v>
      </c>
      <c r="AE592" s="50">
        <f t="shared" si="79"/>
        <v>0</v>
      </c>
    </row>
    <row r="593" spans="1:31">
      <c r="A593" s="59" t="str">
        <f t="shared" si="73"/>
        <v/>
      </c>
      <c r="B593" s="59" t="str">
        <f t="shared" si="74"/>
        <v/>
      </c>
      <c r="V593" s="59" t="str">
        <f t="shared" si="75"/>
        <v/>
      </c>
      <c r="W593" s="59" t="str">
        <f t="shared" si="72"/>
        <v/>
      </c>
      <c r="X593" s="59" t="str">
        <f t="shared" si="76"/>
        <v/>
      </c>
      <c r="AC593" s="50">
        <f t="shared" si="77"/>
        <v>0</v>
      </c>
      <c r="AD593" s="43">
        <f t="shared" si="78"/>
        <v>0</v>
      </c>
      <c r="AE593" s="50">
        <f t="shared" si="79"/>
        <v>0</v>
      </c>
    </row>
    <row r="594" spans="1:31">
      <c r="A594" s="59" t="str">
        <f t="shared" si="73"/>
        <v/>
      </c>
      <c r="B594" s="59" t="str">
        <f t="shared" si="74"/>
        <v/>
      </c>
      <c r="V594" s="59" t="str">
        <f t="shared" si="75"/>
        <v/>
      </c>
      <c r="W594" s="59" t="str">
        <f t="shared" si="72"/>
        <v/>
      </c>
      <c r="X594" s="59" t="str">
        <f t="shared" si="76"/>
        <v/>
      </c>
      <c r="AC594" s="50">
        <f t="shared" si="77"/>
        <v>0</v>
      </c>
      <c r="AD594" s="43">
        <f t="shared" si="78"/>
        <v>0</v>
      </c>
      <c r="AE594" s="50">
        <f t="shared" si="79"/>
        <v>0</v>
      </c>
    </row>
    <row r="595" spans="1:31">
      <c r="A595" s="59" t="str">
        <f t="shared" si="73"/>
        <v/>
      </c>
      <c r="B595" s="59" t="str">
        <f t="shared" si="74"/>
        <v/>
      </c>
      <c r="V595" s="59" t="str">
        <f t="shared" si="75"/>
        <v/>
      </c>
      <c r="W595" s="59" t="str">
        <f t="shared" si="72"/>
        <v/>
      </c>
      <c r="X595" s="59" t="str">
        <f t="shared" si="76"/>
        <v/>
      </c>
      <c r="AC595" s="50">
        <f t="shared" si="77"/>
        <v>0</v>
      </c>
      <c r="AD595" s="43">
        <f t="shared" si="78"/>
        <v>0</v>
      </c>
      <c r="AE595" s="50">
        <f t="shared" si="79"/>
        <v>0</v>
      </c>
    </row>
    <row r="596" spans="1:31">
      <c r="A596" s="59" t="str">
        <f t="shared" si="73"/>
        <v/>
      </c>
      <c r="B596" s="59" t="str">
        <f t="shared" si="74"/>
        <v/>
      </c>
      <c r="V596" s="59" t="str">
        <f t="shared" si="75"/>
        <v/>
      </c>
      <c r="W596" s="59" t="str">
        <f t="shared" si="72"/>
        <v/>
      </c>
      <c r="X596" s="59" t="str">
        <f t="shared" si="76"/>
        <v/>
      </c>
      <c r="AC596" s="50">
        <f t="shared" si="77"/>
        <v>0</v>
      </c>
      <c r="AD596" s="43">
        <f t="shared" si="78"/>
        <v>0</v>
      </c>
      <c r="AE596" s="50">
        <f t="shared" si="79"/>
        <v>0</v>
      </c>
    </row>
    <row r="597" spans="1:31">
      <c r="A597" s="59" t="str">
        <f t="shared" si="73"/>
        <v/>
      </c>
      <c r="B597" s="59" t="str">
        <f t="shared" si="74"/>
        <v/>
      </c>
      <c r="V597" s="59" t="str">
        <f t="shared" si="75"/>
        <v/>
      </c>
      <c r="W597" s="59" t="str">
        <f t="shared" si="72"/>
        <v/>
      </c>
      <c r="X597" s="59" t="str">
        <f t="shared" si="76"/>
        <v/>
      </c>
      <c r="AC597" s="50">
        <f t="shared" si="77"/>
        <v>0</v>
      </c>
      <c r="AD597" s="43">
        <f t="shared" si="78"/>
        <v>0</v>
      </c>
      <c r="AE597" s="50">
        <f t="shared" si="79"/>
        <v>0</v>
      </c>
    </row>
    <row r="598" spans="1:31">
      <c r="A598" s="59" t="str">
        <f t="shared" si="73"/>
        <v/>
      </c>
      <c r="B598" s="59" t="str">
        <f t="shared" si="74"/>
        <v/>
      </c>
      <c r="V598" s="59" t="str">
        <f t="shared" si="75"/>
        <v/>
      </c>
      <c r="W598" s="59" t="str">
        <f t="shared" si="72"/>
        <v/>
      </c>
      <c r="X598" s="59" t="str">
        <f t="shared" si="76"/>
        <v/>
      </c>
      <c r="AC598" s="50">
        <f t="shared" si="77"/>
        <v>0</v>
      </c>
      <c r="AD598" s="43">
        <f t="shared" si="78"/>
        <v>0</v>
      </c>
      <c r="AE598" s="50">
        <f t="shared" si="79"/>
        <v>0</v>
      </c>
    </row>
    <row r="599" spans="1:31">
      <c r="A599" s="59" t="str">
        <f t="shared" si="73"/>
        <v/>
      </c>
      <c r="B599" s="59" t="str">
        <f t="shared" si="74"/>
        <v/>
      </c>
      <c r="V599" s="59" t="str">
        <f t="shared" si="75"/>
        <v/>
      </c>
      <c r="W599" s="59" t="str">
        <f t="shared" si="72"/>
        <v/>
      </c>
      <c r="X599" s="59" t="str">
        <f t="shared" si="76"/>
        <v/>
      </c>
      <c r="AC599" s="50">
        <f t="shared" si="77"/>
        <v>0</v>
      </c>
      <c r="AD599" s="43">
        <f t="shared" si="78"/>
        <v>0</v>
      </c>
      <c r="AE599" s="50">
        <f t="shared" si="79"/>
        <v>0</v>
      </c>
    </row>
    <row r="600" spans="1:31">
      <c r="A600" s="59" t="str">
        <f t="shared" si="73"/>
        <v/>
      </c>
      <c r="B600" s="59" t="str">
        <f t="shared" si="74"/>
        <v/>
      </c>
      <c r="V600" s="59" t="str">
        <f t="shared" si="75"/>
        <v/>
      </c>
      <c r="W600" s="59" t="str">
        <f t="shared" si="72"/>
        <v/>
      </c>
      <c r="X600" s="59" t="str">
        <f t="shared" si="76"/>
        <v/>
      </c>
      <c r="AC600" s="50">
        <f t="shared" si="77"/>
        <v>0</v>
      </c>
      <c r="AD600" s="43">
        <f t="shared" si="78"/>
        <v>0</v>
      </c>
      <c r="AE600" s="50">
        <f t="shared" si="79"/>
        <v>0</v>
      </c>
    </row>
    <row r="601" spans="1:31">
      <c r="A601" s="59" t="str">
        <f t="shared" si="73"/>
        <v/>
      </c>
      <c r="B601" s="59" t="str">
        <f t="shared" si="74"/>
        <v/>
      </c>
      <c r="V601" s="59" t="str">
        <f t="shared" si="75"/>
        <v/>
      </c>
      <c r="W601" s="59" t="str">
        <f t="shared" si="72"/>
        <v/>
      </c>
      <c r="X601" s="59" t="str">
        <f t="shared" si="76"/>
        <v/>
      </c>
      <c r="AC601" s="50">
        <f t="shared" si="77"/>
        <v>0</v>
      </c>
      <c r="AD601" s="43">
        <f t="shared" si="78"/>
        <v>0</v>
      </c>
      <c r="AE601" s="50">
        <f t="shared" si="79"/>
        <v>0</v>
      </c>
    </row>
    <row r="602" spans="1:31">
      <c r="A602" s="59" t="str">
        <f t="shared" si="73"/>
        <v/>
      </c>
      <c r="B602" s="59" t="str">
        <f t="shared" si="74"/>
        <v/>
      </c>
      <c r="V602" s="59" t="str">
        <f t="shared" si="75"/>
        <v/>
      </c>
      <c r="W602" s="59" t="str">
        <f t="shared" si="72"/>
        <v/>
      </c>
      <c r="X602" s="59" t="str">
        <f t="shared" si="76"/>
        <v/>
      </c>
      <c r="AC602" s="50">
        <f t="shared" si="77"/>
        <v>0</v>
      </c>
      <c r="AD602" s="43">
        <f t="shared" si="78"/>
        <v>0</v>
      </c>
      <c r="AE602" s="50">
        <f t="shared" si="79"/>
        <v>0</v>
      </c>
    </row>
    <row r="603" spans="1:31">
      <c r="A603" s="59" t="str">
        <f t="shared" si="73"/>
        <v/>
      </c>
      <c r="B603" s="59" t="str">
        <f t="shared" si="74"/>
        <v/>
      </c>
      <c r="V603" s="59" t="str">
        <f t="shared" si="75"/>
        <v/>
      </c>
      <c r="W603" s="59" t="str">
        <f t="shared" si="72"/>
        <v/>
      </c>
      <c r="X603" s="59" t="str">
        <f t="shared" si="76"/>
        <v/>
      </c>
      <c r="AC603" s="50">
        <f t="shared" si="77"/>
        <v>0</v>
      </c>
      <c r="AD603" s="43">
        <f t="shared" si="78"/>
        <v>0</v>
      </c>
      <c r="AE603" s="50">
        <f t="shared" si="79"/>
        <v>0</v>
      </c>
    </row>
    <row r="604" spans="1:31">
      <c r="A604" s="59" t="str">
        <f t="shared" si="73"/>
        <v/>
      </c>
      <c r="B604" s="59" t="str">
        <f t="shared" si="74"/>
        <v/>
      </c>
      <c r="V604" s="59" t="str">
        <f t="shared" si="75"/>
        <v/>
      </c>
      <c r="W604" s="59" t="str">
        <f t="shared" si="72"/>
        <v/>
      </c>
      <c r="X604" s="59" t="str">
        <f t="shared" si="76"/>
        <v/>
      </c>
      <c r="AC604" s="50">
        <f t="shared" si="77"/>
        <v>0</v>
      </c>
      <c r="AD604" s="43">
        <f t="shared" si="78"/>
        <v>0</v>
      </c>
      <c r="AE604" s="50">
        <f t="shared" si="79"/>
        <v>0</v>
      </c>
    </row>
    <row r="605" spans="1:31">
      <c r="A605" s="59" t="str">
        <f t="shared" si="73"/>
        <v/>
      </c>
      <c r="B605" s="59" t="str">
        <f t="shared" si="74"/>
        <v/>
      </c>
      <c r="V605" s="59" t="str">
        <f t="shared" si="75"/>
        <v/>
      </c>
      <c r="W605" s="59" t="str">
        <f t="shared" si="72"/>
        <v/>
      </c>
      <c r="X605" s="59" t="str">
        <f t="shared" si="76"/>
        <v/>
      </c>
      <c r="AC605" s="50">
        <f t="shared" si="77"/>
        <v>0</v>
      </c>
      <c r="AD605" s="43">
        <f t="shared" si="78"/>
        <v>0</v>
      </c>
      <c r="AE605" s="50">
        <f t="shared" si="79"/>
        <v>0</v>
      </c>
    </row>
    <row r="606" spans="1:31">
      <c r="A606" s="59" t="str">
        <f t="shared" si="73"/>
        <v/>
      </c>
      <c r="B606" s="59" t="str">
        <f t="shared" si="74"/>
        <v/>
      </c>
      <c r="V606" s="59" t="str">
        <f t="shared" si="75"/>
        <v/>
      </c>
      <c r="W606" s="59" t="str">
        <f t="shared" si="72"/>
        <v/>
      </c>
      <c r="X606" s="59" t="str">
        <f t="shared" si="76"/>
        <v/>
      </c>
      <c r="AC606" s="50">
        <f t="shared" si="77"/>
        <v>0</v>
      </c>
      <c r="AD606" s="43">
        <f t="shared" si="78"/>
        <v>0</v>
      </c>
      <c r="AE606" s="50">
        <f t="shared" si="79"/>
        <v>0</v>
      </c>
    </row>
    <row r="607" spans="1:31">
      <c r="A607" s="59" t="str">
        <f t="shared" si="73"/>
        <v/>
      </c>
      <c r="B607" s="59" t="str">
        <f t="shared" si="74"/>
        <v/>
      </c>
      <c r="V607" s="59" t="str">
        <f t="shared" si="75"/>
        <v/>
      </c>
      <c r="W607" s="59" t="str">
        <f t="shared" si="72"/>
        <v/>
      </c>
      <c r="X607" s="59" t="str">
        <f t="shared" si="76"/>
        <v/>
      </c>
      <c r="AC607" s="50">
        <f t="shared" si="77"/>
        <v>0</v>
      </c>
      <c r="AD607" s="43">
        <f t="shared" si="78"/>
        <v>0</v>
      </c>
      <c r="AE607" s="50">
        <f t="shared" si="79"/>
        <v>0</v>
      </c>
    </row>
    <row r="608" spans="1:31">
      <c r="A608" s="59" t="str">
        <f t="shared" si="73"/>
        <v/>
      </c>
      <c r="B608" s="59" t="str">
        <f t="shared" si="74"/>
        <v/>
      </c>
      <c r="V608" s="59" t="str">
        <f t="shared" si="75"/>
        <v/>
      </c>
      <c r="W608" s="59" t="str">
        <f t="shared" si="72"/>
        <v/>
      </c>
      <c r="X608" s="59" t="str">
        <f t="shared" si="76"/>
        <v/>
      </c>
      <c r="AC608" s="50">
        <f t="shared" si="77"/>
        <v>0</v>
      </c>
      <c r="AD608" s="43">
        <f t="shared" si="78"/>
        <v>0</v>
      </c>
      <c r="AE608" s="50">
        <f t="shared" si="79"/>
        <v>0</v>
      </c>
    </row>
    <row r="609" spans="1:31">
      <c r="A609" s="59" t="str">
        <f t="shared" si="73"/>
        <v/>
      </c>
      <c r="B609" s="59" t="str">
        <f t="shared" si="74"/>
        <v/>
      </c>
      <c r="V609" s="59" t="str">
        <f t="shared" si="75"/>
        <v/>
      </c>
      <c r="W609" s="59" t="str">
        <f t="shared" si="72"/>
        <v/>
      </c>
      <c r="X609" s="59" t="str">
        <f t="shared" si="76"/>
        <v/>
      </c>
      <c r="AC609" s="50">
        <f t="shared" si="77"/>
        <v>0</v>
      </c>
      <c r="AD609" s="43">
        <f t="shared" si="78"/>
        <v>0</v>
      </c>
      <c r="AE609" s="50">
        <f t="shared" si="79"/>
        <v>0</v>
      </c>
    </row>
    <row r="610" spans="1:31">
      <c r="A610" s="59" t="str">
        <f t="shared" si="73"/>
        <v/>
      </c>
      <c r="B610" s="59" t="str">
        <f t="shared" si="74"/>
        <v/>
      </c>
      <c r="V610" s="59" t="str">
        <f t="shared" si="75"/>
        <v/>
      </c>
      <c r="W610" s="59" t="str">
        <f t="shared" si="72"/>
        <v/>
      </c>
      <c r="X610" s="59" t="str">
        <f t="shared" si="76"/>
        <v/>
      </c>
      <c r="AC610" s="50">
        <f t="shared" si="77"/>
        <v>0</v>
      </c>
      <c r="AD610" s="43">
        <f t="shared" si="78"/>
        <v>0</v>
      </c>
      <c r="AE610" s="50">
        <f t="shared" si="79"/>
        <v>0</v>
      </c>
    </row>
    <row r="611" spans="1:31">
      <c r="A611" s="59" t="str">
        <f t="shared" si="73"/>
        <v/>
      </c>
      <c r="B611" s="59" t="str">
        <f t="shared" si="74"/>
        <v/>
      </c>
      <c r="V611" s="59" t="str">
        <f t="shared" si="75"/>
        <v/>
      </c>
      <c r="W611" s="59" t="str">
        <f t="shared" si="72"/>
        <v/>
      </c>
      <c r="X611" s="59" t="str">
        <f t="shared" si="76"/>
        <v/>
      </c>
      <c r="AC611" s="50">
        <f t="shared" si="77"/>
        <v>0</v>
      </c>
      <c r="AD611" s="43">
        <f t="shared" si="78"/>
        <v>0</v>
      </c>
      <c r="AE611" s="50">
        <f t="shared" si="79"/>
        <v>0</v>
      </c>
    </row>
    <row r="612" spans="1:31">
      <c r="A612" s="59" t="str">
        <f t="shared" si="73"/>
        <v/>
      </c>
      <c r="B612" s="59" t="str">
        <f t="shared" si="74"/>
        <v/>
      </c>
      <c r="V612" s="59" t="str">
        <f t="shared" si="75"/>
        <v/>
      </c>
      <c r="W612" s="59" t="str">
        <f t="shared" si="72"/>
        <v/>
      </c>
      <c r="X612" s="59" t="str">
        <f t="shared" si="76"/>
        <v/>
      </c>
      <c r="AC612" s="50">
        <f t="shared" si="77"/>
        <v>0</v>
      </c>
      <c r="AD612" s="43">
        <f t="shared" si="78"/>
        <v>0</v>
      </c>
      <c r="AE612" s="50">
        <f t="shared" si="79"/>
        <v>0</v>
      </c>
    </row>
    <row r="613" spans="1:31">
      <c r="A613" s="59" t="str">
        <f t="shared" si="73"/>
        <v/>
      </c>
      <c r="B613" s="59" t="str">
        <f t="shared" si="74"/>
        <v/>
      </c>
      <c r="V613" s="59" t="str">
        <f t="shared" si="75"/>
        <v/>
      </c>
      <c r="W613" s="59" t="str">
        <f t="shared" si="72"/>
        <v/>
      </c>
      <c r="X613" s="59" t="str">
        <f t="shared" si="76"/>
        <v/>
      </c>
      <c r="AC613" s="50">
        <f t="shared" si="77"/>
        <v>0</v>
      </c>
      <c r="AD613" s="43">
        <f t="shared" si="78"/>
        <v>0</v>
      </c>
      <c r="AE613" s="50">
        <f t="shared" si="79"/>
        <v>0</v>
      </c>
    </row>
    <row r="614" spans="1:31">
      <c r="A614" s="59" t="str">
        <f t="shared" si="73"/>
        <v/>
      </c>
      <c r="B614" s="59" t="str">
        <f t="shared" si="74"/>
        <v/>
      </c>
      <c r="V614" s="59" t="str">
        <f t="shared" si="75"/>
        <v/>
      </c>
      <c r="W614" s="59" t="str">
        <f t="shared" si="72"/>
        <v/>
      </c>
      <c r="X614" s="59" t="str">
        <f t="shared" si="76"/>
        <v/>
      </c>
      <c r="AC614" s="50">
        <f t="shared" si="77"/>
        <v>0</v>
      </c>
      <c r="AD614" s="43">
        <f t="shared" si="78"/>
        <v>0</v>
      </c>
      <c r="AE614" s="50">
        <f t="shared" si="79"/>
        <v>0</v>
      </c>
    </row>
    <row r="615" spans="1:31">
      <c r="A615" s="59" t="str">
        <f t="shared" si="73"/>
        <v/>
      </c>
      <c r="B615" s="59" t="str">
        <f t="shared" si="74"/>
        <v/>
      </c>
      <c r="V615" s="59" t="str">
        <f t="shared" si="75"/>
        <v/>
      </c>
      <c r="W615" s="59" t="str">
        <f t="shared" si="72"/>
        <v/>
      </c>
      <c r="X615" s="59" t="str">
        <f t="shared" si="76"/>
        <v/>
      </c>
      <c r="AC615" s="50">
        <f t="shared" si="77"/>
        <v>0</v>
      </c>
      <c r="AD615" s="43">
        <f t="shared" si="78"/>
        <v>0</v>
      </c>
      <c r="AE615" s="50">
        <f t="shared" si="79"/>
        <v>0</v>
      </c>
    </row>
    <row r="616" spans="1:31">
      <c r="A616" s="59" t="str">
        <f t="shared" si="73"/>
        <v/>
      </c>
      <c r="B616" s="59" t="str">
        <f t="shared" si="74"/>
        <v/>
      </c>
      <c r="V616" s="59" t="str">
        <f t="shared" si="75"/>
        <v/>
      </c>
      <c r="W616" s="59" t="str">
        <f t="shared" si="72"/>
        <v/>
      </c>
      <c r="X616" s="59" t="str">
        <f t="shared" si="76"/>
        <v/>
      </c>
      <c r="AC616" s="50">
        <f t="shared" si="77"/>
        <v>0</v>
      </c>
      <c r="AD616" s="43">
        <f t="shared" si="78"/>
        <v>0</v>
      </c>
      <c r="AE616" s="50">
        <f t="shared" si="79"/>
        <v>0</v>
      </c>
    </row>
    <row r="617" spans="1:31">
      <c r="A617" s="59" t="str">
        <f t="shared" si="73"/>
        <v/>
      </c>
      <c r="B617" s="59" t="str">
        <f t="shared" si="74"/>
        <v/>
      </c>
      <c r="V617" s="59" t="str">
        <f t="shared" si="75"/>
        <v/>
      </c>
      <c r="W617" s="59" t="str">
        <f t="shared" si="72"/>
        <v/>
      </c>
      <c r="X617" s="59" t="str">
        <f t="shared" si="76"/>
        <v/>
      </c>
      <c r="AC617" s="50">
        <f t="shared" si="77"/>
        <v>0</v>
      </c>
      <c r="AD617" s="43">
        <f t="shared" si="78"/>
        <v>0</v>
      </c>
      <c r="AE617" s="50">
        <f t="shared" si="79"/>
        <v>0</v>
      </c>
    </row>
    <row r="618" spans="1:31">
      <c r="A618" s="59" t="str">
        <f t="shared" si="73"/>
        <v/>
      </c>
      <c r="B618" s="59" t="str">
        <f t="shared" si="74"/>
        <v/>
      </c>
      <c r="V618" s="59" t="str">
        <f t="shared" si="75"/>
        <v/>
      </c>
      <c r="W618" s="59" t="str">
        <f t="shared" si="72"/>
        <v/>
      </c>
      <c r="X618" s="59" t="str">
        <f t="shared" si="76"/>
        <v/>
      </c>
      <c r="AC618" s="50">
        <f t="shared" si="77"/>
        <v>0</v>
      </c>
      <c r="AD618" s="43">
        <f t="shared" si="78"/>
        <v>0</v>
      </c>
      <c r="AE618" s="50">
        <f t="shared" si="79"/>
        <v>0</v>
      </c>
    </row>
    <row r="619" spans="1:31">
      <c r="A619" s="59" t="str">
        <f t="shared" si="73"/>
        <v/>
      </c>
      <c r="B619" s="59" t="str">
        <f t="shared" si="74"/>
        <v/>
      </c>
      <c r="V619" s="59" t="str">
        <f t="shared" si="75"/>
        <v/>
      </c>
      <c r="W619" s="59" t="str">
        <f t="shared" si="72"/>
        <v/>
      </c>
      <c r="X619" s="59" t="str">
        <f t="shared" si="76"/>
        <v/>
      </c>
      <c r="AC619" s="50">
        <f t="shared" si="77"/>
        <v>0</v>
      </c>
      <c r="AD619" s="43">
        <f t="shared" si="78"/>
        <v>0</v>
      </c>
      <c r="AE619" s="50">
        <f t="shared" si="79"/>
        <v>0</v>
      </c>
    </row>
    <row r="620" spans="1:31">
      <c r="A620" s="59" t="str">
        <f t="shared" si="73"/>
        <v/>
      </c>
      <c r="B620" s="59" t="str">
        <f t="shared" si="74"/>
        <v/>
      </c>
      <c r="V620" s="59" t="str">
        <f t="shared" si="75"/>
        <v/>
      </c>
      <c r="W620" s="59" t="str">
        <f t="shared" si="72"/>
        <v/>
      </c>
      <c r="X620" s="59" t="str">
        <f t="shared" si="76"/>
        <v/>
      </c>
      <c r="AC620" s="50">
        <f t="shared" si="77"/>
        <v>0</v>
      </c>
      <c r="AD620" s="43">
        <f t="shared" si="78"/>
        <v>0</v>
      </c>
      <c r="AE620" s="50">
        <f t="shared" si="79"/>
        <v>0</v>
      </c>
    </row>
    <row r="621" spans="1:31">
      <c r="A621" s="59" t="str">
        <f t="shared" si="73"/>
        <v/>
      </c>
      <c r="B621" s="59" t="str">
        <f t="shared" si="74"/>
        <v/>
      </c>
      <c r="V621" s="59" t="str">
        <f t="shared" si="75"/>
        <v/>
      </c>
      <c r="W621" s="59" t="str">
        <f t="shared" si="72"/>
        <v/>
      </c>
      <c r="X621" s="59" t="str">
        <f t="shared" si="76"/>
        <v/>
      </c>
      <c r="AC621" s="50">
        <f t="shared" si="77"/>
        <v>0</v>
      </c>
      <c r="AD621" s="43">
        <f t="shared" si="78"/>
        <v>0</v>
      </c>
      <c r="AE621" s="50">
        <f t="shared" si="79"/>
        <v>0</v>
      </c>
    </row>
    <row r="622" spans="1:31">
      <c r="A622" s="59" t="str">
        <f t="shared" si="73"/>
        <v/>
      </c>
      <c r="B622" s="59" t="str">
        <f t="shared" si="74"/>
        <v/>
      </c>
      <c r="V622" s="59" t="str">
        <f t="shared" si="75"/>
        <v/>
      </c>
      <c r="W622" s="59" t="str">
        <f t="shared" si="72"/>
        <v/>
      </c>
      <c r="X622" s="59" t="str">
        <f t="shared" si="76"/>
        <v/>
      </c>
      <c r="AC622" s="50">
        <f t="shared" si="77"/>
        <v>0</v>
      </c>
      <c r="AD622" s="43">
        <f t="shared" si="78"/>
        <v>0</v>
      </c>
      <c r="AE622" s="50">
        <f t="shared" si="79"/>
        <v>0</v>
      </c>
    </row>
    <row r="623" spans="1:31">
      <c r="A623" s="59" t="str">
        <f t="shared" si="73"/>
        <v/>
      </c>
      <c r="B623" s="59" t="str">
        <f t="shared" si="74"/>
        <v/>
      </c>
      <c r="V623" s="59" t="str">
        <f t="shared" si="75"/>
        <v/>
      </c>
      <c r="W623" s="59" t="str">
        <f t="shared" si="72"/>
        <v/>
      </c>
      <c r="X623" s="59" t="str">
        <f t="shared" si="76"/>
        <v/>
      </c>
      <c r="AC623" s="50">
        <f t="shared" si="77"/>
        <v>0</v>
      </c>
      <c r="AD623" s="43">
        <f t="shared" si="78"/>
        <v>0</v>
      </c>
      <c r="AE623" s="50">
        <f t="shared" si="79"/>
        <v>0</v>
      </c>
    </row>
    <row r="624" spans="1:31">
      <c r="A624" s="59" t="str">
        <f t="shared" si="73"/>
        <v/>
      </c>
      <c r="B624" s="59" t="str">
        <f t="shared" si="74"/>
        <v/>
      </c>
      <c r="V624" s="59" t="str">
        <f t="shared" si="75"/>
        <v/>
      </c>
      <c r="W624" s="59" t="str">
        <f t="shared" si="72"/>
        <v/>
      </c>
      <c r="X624" s="59" t="str">
        <f t="shared" si="76"/>
        <v/>
      </c>
      <c r="AC624" s="50">
        <f t="shared" si="77"/>
        <v>0</v>
      </c>
      <c r="AD624" s="43">
        <f t="shared" si="78"/>
        <v>0</v>
      </c>
      <c r="AE624" s="50">
        <f t="shared" si="79"/>
        <v>0</v>
      </c>
    </row>
    <row r="625" spans="1:31">
      <c r="A625" s="59" t="str">
        <f t="shared" si="73"/>
        <v/>
      </c>
      <c r="B625" s="59" t="str">
        <f t="shared" si="74"/>
        <v/>
      </c>
      <c r="V625" s="59" t="str">
        <f t="shared" si="75"/>
        <v/>
      </c>
      <c r="W625" s="59" t="str">
        <f t="shared" si="72"/>
        <v/>
      </c>
      <c r="X625" s="59" t="str">
        <f t="shared" si="76"/>
        <v/>
      </c>
      <c r="AC625" s="50">
        <f t="shared" si="77"/>
        <v>0</v>
      </c>
      <c r="AD625" s="43">
        <f t="shared" si="78"/>
        <v>0</v>
      </c>
      <c r="AE625" s="50">
        <f t="shared" si="79"/>
        <v>0</v>
      </c>
    </row>
    <row r="626" spans="1:31">
      <c r="A626" s="59" t="str">
        <f t="shared" si="73"/>
        <v/>
      </c>
      <c r="B626" s="59" t="str">
        <f t="shared" si="74"/>
        <v/>
      </c>
      <c r="V626" s="59" t="str">
        <f t="shared" si="75"/>
        <v/>
      </c>
      <c r="W626" s="59" t="str">
        <f t="shared" si="72"/>
        <v/>
      </c>
      <c r="X626" s="59" t="str">
        <f t="shared" si="76"/>
        <v/>
      </c>
      <c r="AC626" s="50">
        <f t="shared" si="77"/>
        <v>0</v>
      </c>
      <c r="AD626" s="43">
        <f t="shared" si="78"/>
        <v>0</v>
      </c>
      <c r="AE626" s="50">
        <f t="shared" si="79"/>
        <v>0</v>
      </c>
    </row>
    <row r="627" spans="1:31">
      <c r="A627" s="59" t="str">
        <f t="shared" si="73"/>
        <v/>
      </c>
      <c r="B627" s="59" t="str">
        <f t="shared" si="74"/>
        <v/>
      </c>
      <c r="V627" s="59" t="str">
        <f t="shared" si="75"/>
        <v/>
      </c>
      <c r="W627" s="59" t="str">
        <f t="shared" si="72"/>
        <v/>
      </c>
      <c r="X627" s="59" t="str">
        <f t="shared" si="76"/>
        <v/>
      </c>
      <c r="AC627" s="50">
        <f t="shared" si="77"/>
        <v>0</v>
      </c>
      <c r="AD627" s="43">
        <f t="shared" si="78"/>
        <v>0</v>
      </c>
      <c r="AE627" s="50">
        <f t="shared" si="79"/>
        <v>0</v>
      </c>
    </row>
    <row r="628" spans="1:31">
      <c r="A628" s="59" t="str">
        <f t="shared" si="73"/>
        <v/>
      </c>
      <c r="B628" s="59" t="str">
        <f t="shared" si="74"/>
        <v/>
      </c>
      <c r="V628" s="59" t="str">
        <f t="shared" si="75"/>
        <v/>
      </c>
      <c r="W628" s="59" t="str">
        <f t="shared" si="72"/>
        <v/>
      </c>
      <c r="X628" s="59" t="str">
        <f t="shared" si="76"/>
        <v/>
      </c>
      <c r="AC628" s="50">
        <f t="shared" si="77"/>
        <v>0</v>
      </c>
      <c r="AD628" s="43">
        <f t="shared" si="78"/>
        <v>0</v>
      </c>
      <c r="AE628" s="50">
        <f t="shared" si="79"/>
        <v>0</v>
      </c>
    </row>
    <row r="629" spans="1:31">
      <c r="A629" s="59" t="str">
        <f t="shared" si="73"/>
        <v/>
      </c>
      <c r="B629" s="59" t="str">
        <f t="shared" si="74"/>
        <v/>
      </c>
      <c r="V629" s="59" t="str">
        <f t="shared" si="75"/>
        <v/>
      </c>
      <c r="W629" s="59" t="str">
        <f t="shared" si="72"/>
        <v/>
      </c>
      <c r="X629" s="59" t="str">
        <f t="shared" si="76"/>
        <v/>
      </c>
      <c r="AC629" s="50">
        <f t="shared" si="77"/>
        <v>0</v>
      </c>
      <c r="AD629" s="43">
        <f t="shared" si="78"/>
        <v>0</v>
      </c>
      <c r="AE629" s="50">
        <f t="shared" si="79"/>
        <v>0</v>
      </c>
    </row>
    <row r="630" spans="1:31">
      <c r="A630" s="59" t="str">
        <f t="shared" si="73"/>
        <v/>
      </c>
      <c r="B630" s="59" t="str">
        <f t="shared" si="74"/>
        <v/>
      </c>
      <c r="V630" s="59" t="str">
        <f t="shared" si="75"/>
        <v/>
      </c>
      <c r="W630" s="59" t="str">
        <f t="shared" si="72"/>
        <v/>
      </c>
      <c r="X630" s="59" t="str">
        <f t="shared" si="76"/>
        <v/>
      </c>
      <c r="AC630" s="50">
        <f t="shared" si="77"/>
        <v>0</v>
      </c>
      <c r="AD630" s="43">
        <f t="shared" si="78"/>
        <v>0</v>
      </c>
      <c r="AE630" s="50">
        <f t="shared" si="79"/>
        <v>0</v>
      </c>
    </row>
    <row r="631" spans="1:31">
      <c r="A631" s="59" t="str">
        <f t="shared" si="73"/>
        <v/>
      </c>
      <c r="B631" s="59" t="str">
        <f t="shared" si="74"/>
        <v/>
      </c>
      <c r="V631" s="59" t="str">
        <f t="shared" si="75"/>
        <v/>
      </c>
      <c r="W631" s="59" t="str">
        <f t="shared" si="72"/>
        <v/>
      </c>
      <c r="X631" s="59" t="str">
        <f t="shared" si="76"/>
        <v/>
      </c>
      <c r="AC631" s="50">
        <f t="shared" si="77"/>
        <v>0</v>
      </c>
      <c r="AD631" s="43">
        <f t="shared" si="78"/>
        <v>0</v>
      </c>
      <c r="AE631" s="50">
        <f t="shared" si="79"/>
        <v>0</v>
      </c>
    </row>
    <row r="632" spans="1:31">
      <c r="A632" s="59" t="str">
        <f t="shared" si="73"/>
        <v/>
      </c>
      <c r="B632" s="59" t="str">
        <f t="shared" si="74"/>
        <v/>
      </c>
      <c r="V632" s="59" t="str">
        <f t="shared" si="75"/>
        <v/>
      </c>
      <c r="W632" s="59" t="str">
        <f t="shared" si="72"/>
        <v/>
      </c>
      <c r="X632" s="59" t="str">
        <f t="shared" si="76"/>
        <v/>
      </c>
      <c r="AC632" s="50">
        <f t="shared" si="77"/>
        <v>0</v>
      </c>
      <c r="AD632" s="43">
        <f t="shared" si="78"/>
        <v>0</v>
      </c>
      <c r="AE632" s="50">
        <f t="shared" si="79"/>
        <v>0</v>
      </c>
    </row>
    <row r="633" spans="1:31">
      <c r="A633" s="59" t="str">
        <f t="shared" si="73"/>
        <v/>
      </c>
      <c r="B633" s="59" t="str">
        <f t="shared" si="74"/>
        <v/>
      </c>
      <c r="V633" s="59" t="str">
        <f t="shared" si="75"/>
        <v/>
      </c>
      <c r="W633" s="59" t="str">
        <f t="shared" si="72"/>
        <v/>
      </c>
      <c r="X633" s="59" t="str">
        <f t="shared" si="76"/>
        <v/>
      </c>
      <c r="AC633" s="50">
        <f t="shared" si="77"/>
        <v>0</v>
      </c>
      <c r="AD633" s="43">
        <f t="shared" si="78"/>
        <v>0</v>
      </c>
      <c r="AE633" s="50">
        <f t="shared" si="79"/>
        <v>0</v>
      </c>
    </row>
    <row r="634" spans="1:31">
      <c r="A634" s="59" t="str">
        <f t="shared" si="73"/>
        <v/>
      </c>
      <c r="B634" s="59" t="str">
        <f t="shared" si="74"/>
        <v/>
      </c>
      <c r="V634" s="59" t="str">
        <f t="shared" si="75"/>
        <v/>
      </c>
      <c r="W634" s="59" t="str">
        <f t="shared" si="72"/>
        <v/>
      </c>
      <c r="X634" s="59" t="str">
        <f t="shared" si="76"/>
        <v/>
      </c>
      <c r="AC634" s="50">
        <f t="shared" si="77"/>
        <v>0</v>
      </c>
      <c r="AD634" s="43">
        <f t="shared" si="78"/>
        <v>0</v>
      </c>
      <c r="AE634" s="50">
        <f t="shared" si="79"/>
        <v>0</v>
      </c>
    </row>
    <row r="635" spans="1:31">
      <c r="A635" s="59" t="str">
        <f t="shared" si="73"/>
        <v/>
      </c>
      <c r="B635" s="59" t="str">
        <f t="shared" si="74"/>
        <v/>
      </c>
      <c r="V635" s="59" t="str">
        <f t="shared" si="75"/>
        <v/>
      </c>
      <c r="W635" s="59" t="str">
        <f t="shared" si="72"/>
        <v/>
      </c>
      <c r="X635" s="59" t="str">
        <f t="shared" si="76"/>
        <v/>
      </c>
      <c r="AC635" s="50">
        <f t="shared" si="77"/>
        <v>0</v>
      </c>
      <c r="AD635" s="43">
        <f t="shared" si="78"/>
        <v>0</v>
      </c>
      <c r="AE635" s="50">
        <f t="shared" si="79"/>
        <v>0</v>
      </c>
    </row>
    <row r="636" spans="1:31">
      <c r="A636" s="59" t="str">
        <f t="shared" si="73"/>
        <v/>
      </c>
      <c r="B636" s="59" t="str">
        <f t="shared" si="74"/>
        <v/>
      </c>
      <c r="V636" s="59" t="str">
        <f t="shared" si="75"/>
        <v/>
      </c>
      <c r="W636" s="59" t="str">
        <f t="shared" si="72"/>
        <v/>
      </c>
      <c r="X636" s="59" t="str">
        <f t="shared" si="76"/>
        <v/>
      </c>
      <c r="AC636" s="50">
        <f t="shared" si="77"/>
        <v>0</v>
      </c>
      <c r="AD636" s="43">
        <f t="shared" si="78"/>
        <v>0</v>
      </c>
      <c r="AE636" s="50">
        <f t="shared" si="79"/>
        <v>0</v>
      </c>
    </row>
    <row r="637" spans="1:31">
      <c r="A637" s="59" t="str">
        <f t="shared" si="73"/>
        <v/>
      </c>
      <c r="B637" s="59" t="str">
        <f t="shared" si="74"/>
        <v/>
      </c>
      <c r="V637" s="59" t="str">
        <f t="shared" si="75"/>
        <v/>
      </c>
      <c r="W637" s="59" t="str">
        <f t="shared" si="72"/>
        <v/>
      </c>
      <c r="X637" s="59" t="str">
        <f t="shared" si="76"/>
        <v/>
      </c>
      <c r="AC637" s="50">
        <f t="shared" si="77"/>
        <v>0</v>
      </c>
      <c r="AD637" s="43">
        <f t="shared" si="78"/>
        <v>0</v>
      </c>
      <c r="AE637" s="50">
        <f t="shared" si="79"/>
        <v>0</v>
      </c>
    </row>
    <row r="638" spans="1:31">
      <c r="A638" s="59" t="str">
        <f t="shared" si="73"/>
        <v/>
      </c>
      <c r="B638" s="59" t="str">
        <f t="shared" si="74"/>
        <v/>
      </c>
      <c r="V638" s="59" t="str">
        <f t="shared" si="75"/>
        <v/>
      </c>
      <c r="W638" s="59" t="str">
        <f t="shared" si="72"/>
        <v/>
      </c>
      <c r="X638" s="59" t="str">
        <f t="shared" si="76"/>
        <v/>
      </c>
      <c r="AC638" s="50">
        <f t="shared" si="77"/>
        <v>0</v>
      </c>
      <c r="AD638" s="43">
        <f t="shared" si="78"/>
        <v>0</v>
      </c>
      <c r="AE638" s="50">
        <f t="shared" si="79"/>
        <v>0</v>
      </c>
    </row>
    <row r="639" spans="1:31">
      <c r="A639" s="59" t="str">
        <f t="shared" si="73"/>
        <v/>
      </c>
      <c r="B639" s="59" t="str">
        <f t="shared" si="74"/>
        <v/>
      </c>
      <c r="V639" s="59" t="str">
        <f t="shared" si="75"/>
        <v/>
      </c>
      <c r="W639" s="59" t="str">
        <f t="shared" si="72"/>
        <v/>
      </c>
      <c r="X639" s="59" t="str">
        <f t="shared" si="76"/>
        <v/>
      </c>
      <c r="AC639" s="50">
        <f t="shared" si="77"/>
        <v>0</v>
      </c>
      <c r="AD639" s="43">
        <f t="shared" si="78"/>
        <v>0</v>
      </c>
      <c r="AE639" s="50">
        <f t="shared" si="79"/>
        <v>0</v>
      </c>
    </row>
    <row r="640" spans="1:31">
      <c r="A640" s="59" t="str">
        <f t="shared" si="73"/>
        <v/>
      </c>
      <c r="B640" s="59" t="str">
        <f t="shared" si="74"/>
        <v/>
      </c>
      <c r="V640" s="59" t="str">
        <f t="shared" si="75"/>
        <v/>
      </c>
      <c r="W640" s="59" t="str">
        <f t="shared" si="72"/>
        <v/>
      </c>
      <c r="X640" s="59" t="str">
        <f t="shared" si="76"/>
        <v/>
      </c>
      <c r="AC640" s="50">
        <f t="shared" si="77"/>
        <v>0</v>
      </c>
      <c r="AD640" s="43">
        <f t="shared" si="78"/>
        <v>0</v>
      </c>
      <c r="AE640" s="50">
        <f t="shared" si="79"/>
        <v>0</v>
      </c>
    </row>
    <row r="641" spans="1:31">
      <c r="A641" s="59" t="str">
        <f t="shared" si="73"/>
        <v/>
      </c>
      <c r="B641" s="59" t="str">
        <f t="shared" si="74"/>
        <v/>
      </c>
      <c r="V641" s="59" t="str">
        <f t="shared" si="75"/>
        <v/>
      </c>
      <c r="W641" s="59" t="str">
        <f t="shared" si="72"/>
        <v/>
      </c>
      <c r="X641" s="59" t="str">
        <f t="shared" si="76"/>
        <v/>
      </c>
      <c r="AC641" s="50">
        <f t="shared" si="77"/>
        <v>0</v>
      </c>
      <c r="AD641" s="43">
        <f t="shared" si="78"/>
        <v>0</v>
      </c>
      <c r="AE641" s="50">
        <f t="shared" si="79"/>
        <v>0</v>
      </c>
    </row>
    <row r="642" spans="1:31">
      <c r="A642" s="59" t="str">
        <f t="shared" si="73"/>
        <v/>
      </c>
      <c r="B642" s="59" t="str">
        <f t="shared" si="74"/>
        <v/>
      </c>
      <c r="V642" s="59" t="str">
        <f t="shared" si="75"/>
        <v/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59" t="str">
        <f t="shared" si="76"/>
        <v/>
      </c>
      <c r="AC642" s="50">
        <f t="shared" si="77"/>
        <v>0</v>
      </c>
      <c r="AD642" s="43">
        <f t="shared" si="78"/>
        <v>0</v>
      </c>
      <c r="AE642" s="50">
        <f t="shared" si="79"/>
        <v>0</v>
      </c>
    </row>
    <row r="643" spans="1:31">
      <c r="A643" s="59" t="str">
        <f t="shared" ref="A643:A706" si="81">IF(G643&amp;Q643&lt;&gt;"",W643&amp;Q643,"")</f>
        <v/>
      </c>
      <c r="B643" s="59" t="str">
        <f t="shared" ref="B643:B706" si="82">IF(C643&lt;&gt;"",LEFT(C643,9),"")</f>
        <v/>
      </c>
      <c r="V643" s="59" t="str">
        <f t="shared" ref="V643:V706" si="83">W643&amp;H643</f>
        <v/>
      </c>
      <c r="W643" s="59" t="str">
        <f t="shared" si="80"/>
        <v/>
      </c>
      <c r="X643" s="59" t="str">
        <f t="shared" ref="X643:X706" si="84">IF(A643&lt;&gt;"",IFERROR(IF(FIND(" ",G643)&gt;=1,MID(G643,FIND(" ",G643)+1,LEN(G643)),""),""),"")</f>
        <v/>
      </c>
      <c r="AC643" s="50">
        <f t="shared" ref="AC643:AC706" si="85">IFERROR(VALUE(MID($C643,1,2)),0)</f>
        <v>0</v>
      </c>
      <c r="AD643" s="43">
        <f t="shared" ref="AD643:AD706" si="86">IFERROR(VALUE(MID($C643,4,3)),0)</f>
        <v>0</v>
      </c>
      <c r="AE643" s="50">
        <f t="shared" ref="AE643:AE706" si="87">VALUE(RIGHT("00"&amp;AC643,2)&amp;RIGHT("000"&amp;AD643,3))</f>
        <v>0</v>
      </c>
    </row>
    <row r="644" spans="1:31">
      <c r="A644" s="59" t="str">
        <f t="shared" si="81"/>
        <v/>
      </c>
      <c r="B644" s="59" t="str">
        <f t="shared" si="82"/>
        <v/>
      </c>
      <c r="V644" s="59" t="str">
        <f t="shared" si="83"/>
        <v/>
      </c>
      <c r="W644" s="59" t="str">
        <f t="shared" si="80"/>
        <v/>
      </c>
      <c r="X644" s="59" t="str">
        <f t="shared" si="84"/>
        <v/>
      </c>
      <c r="AC644" s="50">
        <f t="shared" si="85"/>
        <v>0</v>
      </c>
      <c r="AD644" s="43">
        <f t="shared" si="86"/>
        <v>0</v>
      </c>
      <c r="AE644" s="50">
        <f t="shared" si="87"/>
        <v>0</v>
      </c>
    </row>
    <row r="645" spans="1:31">
      <c r="A645" s="59" t="str">
        <f t="shared" si="81"/>
        <v/>
      </c>
      <c r="B645" s="59" t="str">
        <f t="shared" si="82"/>
        <v/>
      </c>
      <c r="V645" s="59" t="str">
        <f t="shared" si="83"/>
        <v/>
      </c>
      <c r="W645" s="59" t="str">
        <f t="shared" si="80"/>
        <v/>
      </c>
      <c r="X645" s="59" t="str">
        <f t="shared" si="84"/>
        <v/>
      </c>
      <c r="AC645" s="50">
        <f t="shared" si="85"/>
        <v>0</v>
      </c>
      <c r="AD645" s="43">
        <f t="shared" si="86"/>
        <v>0</v>
      </c>
      <c r="AE645" s="50">
        <f t="shared" si="87"/>
        <v>0</v>
      </c>
    </row>
    <row r="646" spans="1:31">
      <c r="A646" s="59" t="str">
        <f t="shared" si="81"/>
        <v/>
      </c>
      <c r="B646" s="59" t="str">
        <f t="shared" si="82"/>
        <v/>
      </c>
      <c r="V646" s="59" t="str">
        <f t="shared" si="83"/>
        <v/>
      </c>
      <c r="W646" s="59" t="str">
        <f t="shared" si="80"/>
        <v/>
      </c>
      <c r="X646" s="59" t="str">
        <f t="shared" si="84"/>
        <v/>
      </c>
      <c r="AC646" s="50">
        <f t="shared" si="85"/>
        <v>0</v>
      </c>
      <c r="AD646" s="43">
        <f t="shared" si="86"/>
        <v>0</v>
      </c>
      <c r="AE646" s="50">
        <f t="shared" si="87"/>
        <v>0</v>
      </c>
    </row>
    <row r="647" spans="1:31">
      <c r="A647" s="59" t="str">
        <f t="shared" si="81"/>
        <v/>
      </c>
      <c r="B647" s="59" t="str">
        <f t="shared" si="82"/>
        <v/>
      </c>
      <c r="V647" s="59" t="str">
        <f t="shared" si="83"/>
        <v/>
      </c>
      <c r="W647" s="59" t="str">
        <f t="shared" si="80"/>
        <v/>
      </c>
      <c r="X647" s="59" t="str">
        <f t="shared" si="84"/>
        <v/>
      </c>
      <c r="AC647" s="50">
        <f t="shared" si="85"/>
        <v>0</v>
      </c>
      <c r="AD647" s="43">
        <f t="shared" si="86"/>
        <v>0</v>
      </c>
      <c r="AE647" s="50">
        <f t="shared" si="87"/>
        <v>0</v>
      </c>
    </row>
    <row r="648" spans="1:31">
      <c r="A648" s="59" t="str">
        <f t="shared" si="81"/>
        <v/>
      </c>
      <c r="B648" s="59" t="str">
        <f t="shared" si="82"/>
        <v/>
      </c>
      <c r="V648" s="59" t="str">
        <f t="shared" si="83"/>
        <v/>
      </c>
      <c r="W648" s="59" t="str">
        <f t="shared" si="80"/>
        <v/>
      </c>
      <c r="X648" s="59" t="str">
        <f t="shared" si="84"/>
        <v/>
      </c>
      <c r="AC648" s="50">
        <f t="shared" si="85"/>
        <v>0</v>
      </c>
      <c r="AD648" s="43">
        <f t="shared" si="86"/>
        <v>0</v>
      </c>
      <c r="AE648" s="50">
        <f t="shared" si="87"/>
        <v>0</v>
      </c>
    </row>
    <row r="649" spans="1:31">
      <c r="A649" s="59" t="str">
        <f t="shared" si="81"/>
        <v/>
      </c>
      <c r="B649" s="59" t="str">
        <f t="shared" si="82"/>
        <v/>
      </c>
      <c r="V649" s="59" t="str">
        <f t="shared" si="83"/>
        <v/>
      </c>
      <c r="W649" s="59" t="str">
        <f t="shared" si="80"/>
        <v/>
      </c>
      <c r="X649" s="59" t="str">
        <f t="shared" si="84"/>
        <v/>
      </c>
      <c r="AC649" s="50">
        <f t="shared" si="85"/>
        <v>0</v>
      </c>
      <c r="AD649" s="43">
        <f t="shared" si="86"/>
        <v>0</v>
      </c>
      <c r="AE649" s="50">
        <f t="shared" si="87"/>
        <v>0</v>
      </c>
    </row>
    <row r="650" spans="1:31">
      <c r="A650" s="59" t="str">
        <f t="shared" si="81"/>
        <v/>
      </c>
      <c r="B650" s="59" t="str">
        <f t="shared" si="82"/>
        <v/>
      </c>
      <c r="V650" s="59" t="str">
        <f t="shared" si="83"/>
        <v/>
      </c>
      <c r="W650" s="59" t="str">
        <f t="shared" si="80"/>
        <v/>
      </c>
      <c r="X650" s="59" t="str">
        <f t="shared" si="84"/>
        <v/>
      </c>
      <c r="AC650" s="50">
        <f t="shared" si="85"/>
        <v>0</v>
      </c>
      <c r="AD650" s="43">
        <f t="shared" si="86"/>
        <v>0</v>
      </c>
      <c r="AE650" s="50">
        <f t="shared" si="87"/>
        <v>0</v>
      </c>
    </row>
    <row r="651" spans="1:31">
      <c r="A651" s="59" t="str">
        <f t="shared" si="81"/>
        <v/>
      </c>
      <c r="B651" s="59" t="str">
        <f t="shared" si="82"/>
        <v/>
      </c>
      <c r="V651" s="59" t="str">
        <f t="shared" si="83"/>
        <v/>
      </c>
      <c r="W651" s="59" t="str">
        <f t="shared" si="80"/>
        <v/>
      </c>
      <c r="X651" s="59" t="str">
        <f t="shared" si="84"/>
        <v/>
      </c>
      <c r="AC651" s="50">
        <f t="shared" si="85"/>
        <v>0</v>
      </c>
      <c r="AD651" s="43">
        <f t="shared" si="86"/>
        <v>0</v>
      </c>
      <c r="AE651" s="50">
        <f t="shared" si="87"/>
        <v>0</v>
      </c>
    </row>
    <row r="652" spans="1:31">
      <c r="A652" s="59" t="str">
        <f t="shared" si="81"/>
        <v/>
      </c>
      <c r="B652" s="59" t="str">
        <f t="shared" si="82"/>
        <v/>
      </c>
      <c r="V652" s="59" t="str">
        <f t="shared" si="83"/>
        <v/>
      </c>
      <c r="W652" s="59" t="str">
        <f t="shared" si="80"/>
        <v/>
      </c>
      <c r="X652" s="59" t="str">
        <f t="shared" si="84"/>
        <v/>
      </c>
      <c r="AC652" s="50">
        <f t="shared" si="85"/>
        <v>0</v>
      </c>
      <c r="AD652" s="43">
        <f t="shared" si="86"/>
        <v>0</v>
      </c>
      <c r="AE652" s="50">
        <f t="shared" si="87"/>
        <v>0</v>
      </c>
    </row>
    <row r="653" spans="1:31">
      <c r="A653" s="59" t="str">
        <f t="shared" si="81"/>
        <v/>
      </c>
      <c r="B653" s="59" t="str">
        <f t="shared" si="82"/>
        <v/>
      </c>
      <c r="V653" s="59" t="str">
        <f t="shared" si="83"/>
        <v/>
      </c>
      <c r="W653" s="59" t="str">
        <f t="shared" si="80"/>
        <v/>
      </c>
      <c r="X653" s="59" t="str">
        <f t="shared" si="84"/>
        <v/>
      </c>
      <c r="AC653" s="50">
        <f t="shared" si="85"/>
        <v>0</v>
      </c>
      <c r="AD653" s="43">
        <f t="shared" si="86"/>
        <v>0</v>
      </c>
      <c r="AE653" s="50">
        <f t="shared" si="87"/>
        <v>0</v>
      </c>
    </row>
    <row r="654" spans="1:31">
      <c r="A654" s="59" t="str">
        <f t="shared" si="81"/>
        <v/>
      </c>
      <c r="B654" s="59" t="str">
        <f t="shared" si="82"/>
        <v/>
      </c>
      <c r="V654" s="59" t="str">
        <f t="shared" si="83"/>
        <v/>
      </c>
      <c r="W654" s="59" t="str">
        <f t="shared" si="80"/>
        <v/>
      </c>
      <c r="X654" s="59" t="str">
        <f t="shared" si="84"/>
        <v/>
      </c>
      <c r="AC654" s="50">
        <f t="shared" si="85"/>
        <v>0</v>
      </c>
      <c r="AD654" s="43">
        <f t="shared" si="86"/>
        <v>0</v>
      </c>
      <c r="AE654" s="50">
        <f t="shared" si="87"/>
        <v>0</v>
      </c>
    </row>
    <row r="655" spans="1:31">
      <c r="A655" s="59" t="str">
        <f t="shared" si="81"/>
        <v/>
      </c>
      <c r="B655" s="59" t="str">
        <f t="shared" si="82"/>
        <v/>
      </c>
      <c r="V655" s="59" t="str">
        <f t="shared" si="83"/>
        <v/>
      </c>
      <c r="W655" s="59" t="str">
        <f t="shared" si="80"/>
        <v/>
      </c>
      <c r="X655" s="59" t="str">
        <f t="shared" si="84"/>
        <v/>
      </c>
      <c r="AC655" s="50">
        <f t="shared" si="85"/>
        <v>0</v>
      </c>
      <c r="AD655" s="43">
        <f t="shared" si="86"/>
        <v>0</v>
      </c>
      <c r="AE655" s="50">
        <f t="shared" si="87"/>
        <v>0</v>
      </c>
    </row>
    <row r="656" spans="1:31">
      <c r="A656" s="59" t="str">
        <f t="shared" si="81"/>
        <v/>
      </c>
      <c r="B656" s="59" t="str">
        <f t="shared" si="82"/>
        <v/>
      </c>
      <c r="V656" s="59" t="str">
        <f t="shared" si="83"/>
        <v/>
      </c>
      <c r="W656" s="59" t="str">
        <f t="shared" si="80"/>
        <v/>
      </c>
      <c r="X656" s="59" t="str">
        <f t="shared" si="84"/>
        <v/>
      </c>
      <c r="AC656" s="50">
        <f t="shared" si="85"/>
        <v>0</v>
      </c>
      <c r="AD656" s="43">
        <f t="shared" si="86"/>
        <v>0</v>
      </c>
      <c r="AE656" s="50">
        <f t="shared" si="87"/>
        <v>0</v>
      </c>
    </row>
    <row r="657" spans="1:31">
      <c r="A657" s="59" t="str">
        <f t="shared" si="81"/>
        <v/>
      </c>
      <c r="B657" s="59" t="str">
        <f t="shared" si="82"/>
        <v/>
      </c>
      <c r="V657" s="59" t="str">
        <f t="shared" si="83"/>
        <v/>
      </c>
      <c r="W657" s="59" t="str">
        <f t="shared" si="80"/>
        <v/>
      </c>
      <c r="X657" s="59" t="str">
        <f t="shared" si="84"/>
        <v/>
      </c>
      <c r="AC657" s="50">
        <f t="shared" si="85"/>
        <v>0</v>
      </c>
      <c r="AD657" s="43">
        <f t="shared" si="86"/>
        <v>0</v>
      </c>
      <c r="AE657" s="50">
        <f t="shared" si="87"/>
        <v>0</v>
      </c>
    </row>
    <row r="658" spans="1:31">
      <c r="A658" s="59" t="str">
        <f t="shared" si="81"/>
        <v/>
      </c>
      <c r="B658" s="59" t="str">
        <f t="shared" si="82"/>
        <v/>
      </c>
      <c r="V658" s="59" t="str">
        <f t="shared" si="83"/>
        <v/>
      </c>
      <c r="W658" s="59" t="str">
        <f t="shared" si="80"/>
        <v/>
      </c>
      <c r="X658" s="59" t="str">
        <f t="shared" si="84"/>
        <v/>
      </c>
      <c r="AC658" s="50">
        <f t="shared" si="85"/>
        <v>0</v>
      </c>
      <c r="AD658" s="43">
        <f t="shared" si="86"/>
        <v>0</v>
      </c>
      <c r="AE658" s="50">
        <f t="shared" si="87"/>
        <v>0</v>
      </c>
    </row>
    <row r="659" spans="1:31">
      <c r="A659" s="59" t="str">
        <f t="shared" si="81"/>
        <v/>
      </c>
      <c r="B659" s="59" t="str">
        <f t="shared" si="82"/>
        <v/>
      </c>
      <c r="V659" s="59" t="str">
        <f t="shared" si="83"/>
        <v/>
      </c>
      <c r="W659" s="59" t="str">
        <f t="shared" si="80"/>
        <v/>
      </c>
      <c r="X659" s="59" t="str">
        <f t="shared" si="84"/>
        <v/>
      </c>
      <c r="AC659" s="50">
        <f t="shared" si="85"/>
        <v>0</v>
      </c>
      <c r="AD659" s="43">
        <f t="shared" si="86"/>
        <v>0</v>
      </c>
      <c r="AE659" s="50">
        <f t="shared" si="87"/>
        <v>0</v>
      </c>
    </row>
    <row r="660" spans="1:31">
      <c r="A660" s="59" t="str">
        <f t="shared" si="81"/>
        <v/>
      </c>
      <c r="B660" s="59" t="str">
        <f t="shared" si="82"/>
        <v/>
      </c>
      <c r="V660" s="59" t="str">
        <f t="shared" si="83"/>
        <v/>
      </c>
      <c r="W660" s="59" t="str">
        <f t="shared" si="80"/>
        <v/>
      </c>
      <c r="X660" s="59" t="str">
        <f t="shared" si="84"/>
        <v/>
      </c>
      <c r="AC660" s="50">
        <f t="shared" si="85"/>
        <v>0</v>
      </c>
      <c r="AD660" s="43">
        <f t="shared" si="86"/>
        <v>0</v>
      </c>
      <c r="AE660" s="50">
        <f t="shared" si="87"/>
        <v>0</v>
      </c>
    </row>
    <row r="661" spans="1:31">
      <c r="A661" s="59" t="str">
        <f t="shared" si="81"/>
        <v/>
      </c>
      <c r="B661" s="59" t="str">
        <f t="shared" si="82"/>
        <v/>
      </c>
      <c r="V661" s="59" t="str">
        <f t="shared" si="83"/>
        <v/>
      </c>
      <c r="W661" s="59" t="str">
        <f t="shared" si="80"/>
        <v/>
      </c>
      <c r="X661" s="59" t="str">
        <f t="shared" si="84"/>
        <v/>
      </c>
      <c r="AC661" s="50">
        <f t="shared" si="85"/>
        <v>0</v>
      </c>
      <c r="AD661" s="43">
        <f t="shared" si="86"/>
        <v>0</v>
      </c>
      <c r="AE661" s="50">
        <f t="shared" si="87"/>
        <v>0</v>
      </c>
    </row>
    <row r="662" spans="1:31">
      <c r="A662" s="59" t="str">
        <f t="shared" si="81"/>
        <v/>
      </c>
      <c r="B662" s="59" t="str">
        <f t="shared" si="82"/>
        <v/>
      </c>
      <c r="V662" s="59" t="str">
        <f t="shared" si="83"/>
        <v/>
      </c>
      <c r="W662" s="59" t="str">
        <f t="shared" si="80"/>
        <v/>
      </c>
      <c r="X662" s="59" t="str">
        <f t="shared" si="84"/>
        <v/>
      </c>
      <c r="AC662" s="50">
        <f t="shared" si="85"/>
        <v>0</v>
      </c>
      <c r="AD662" s="43">
        <f t="shared" si="86"/>
        <v>0</v>
      </c>
      <c r="AE662" s="50">
        <f t="shared" si="87"/>
        <v>0</v>
      </c>
    </row>
    <row r="663" spans="1:31">
      <c r="A663" s="59" t="str">
        <f t="shared" si="81"/>
        <v/>
      </c>
      <c r="B663" s="59" t="str">
        <f t="shared" si="82"/>
        <v/>
      </c>
      <c r="V663" s="59" t="str">
        <f t="shared" si="83"/>
        <v/>
      </c>
      <c r="W663" s="59" t="str">
        <f t="shared" si="80"/>
        <v/>
      </c>
      <c r="X663" s="59" t="str">
        <f t="shared" si="84"/>
        <v/>
      </c>
      <c r="AC663" s="50">
        <f t="shared" si="85"/>
        <v>0</v>
      </c>
      <c r="AD663" s="43">
        <f t="shared" si="86"/>
        <v>0</v>
      </c>
      <c r="AE663" s="50">
        <f t="shared" si="87"/>
        <v>0</v>
      </c>
    </row>
    <row r="664" spans="1:31">
      <c r="A664" s="59" t="str">
        <f t="shared" si="81"/>
        <v/>
      </c>
      <c r="B664" s="59" t="str">
        <f t="shared" si="82"/>
        <v/>
      </c>
      <c r="V664" s="59" t="str">
        <f t="shared" si="83"/>
        <v/>
      </c>
      <c r="W664" s="59" t="str">
        <f t="shared" si="80"/>
        <v/>
      </c>
      <c r="X664" s="59" t="str">
        <f t="shared" si="84"/>
        <v/>
      </c>
      <c r="AC664" s="50">
        <f t="shared" si="85"/>
        <v>0</v>
      </c>
      <c r="AD664" s="43">
        <f t="shared" si="86"/>
        <v>0</v>
      </c>
      <c r="AE664" s="50">
        <f t="shared" si="87"/>
        <v>0</v>
      </c>
    </row>
    <row r="665" spans="1:31">
      <c r="A665" s="59" t="str">
        <f t="shared" si="81"/>
        <v/>
      </c>
      <c r="B665" s="59" t="str">
        <f t="shared" si="82"/>
        <v/>
      </c>
      <c r="V665" s="59" t="str">
        <f t="shared" si="83"/>
        <v/>
      </c>
      <c r="W665" s="59" t="str">
        <f t="shared" si="80"/>
        <v/>
      </c>
      <c r="X665" s="59" t="str">
        <f t="shared" si="84"/>
        <v/>
      </c>
      <c r="AC665" s="50">
        <f t="shared" si="85"/>
        <v>0</v>
      </c>
      <c r="AD665" s="43">
        <f t="shared" si="86"/>
        <v>0</v>
      </c>
      <c r="AE665" s="50">
        <f t="shared" si="87"/>
        <v>0</v>
      </c>
    </row>
    <row r="666" spans="1:31">
      <c r="A666" s="59" t="str">
        <f t="shared" si="81"/>
        <v/>
      </c>
      <c r="B666" s="59" t="str">
        <f t="shared" si="82"/>
        <v/>
      </c>
      <c r="V666" s="59" t="str">
        <f t="shared" si="83"/>
        <v/>
      </c>
      <c r="W666" s="59" t="str">
        <f t="shared" si="80"/>
        <v/>
      </c>
      <c r="X666" s="59" t="str">
        <f t="shared" si="84"/>
        <v/>
      </c>
      <c r="AC666" s="50">
        <f t="shared" si="85"/>
        <v>0</v>
      </c>
      <c r="AD666" s="43">
        <f t="shared" si="86"/>
        <v>0</v>
      </c>
      <c r="AE666" s="50">
        <f t="shared" si="87"/>
        <v>0</v>
      </c>
    </row>
    <row r="667" spans="1:31">
      <c r="A667" s="59" t="str">
        <f t="shared" si="81"/>
        <v/>
      </c>
      <c r="B667" s="59" t="str">
        <f t="shared" si="82"/>
        <v/>
      </c>
      <c r="V667" s="59" t="str">
        <f t="shared" si="83"/>
        <v/>
      </c>
      <c r="W667" s="59" t="str">
        <f t="shared" si="80"/>
        <v/>
      </c>
      <c r="X667" s="59" t="str">
        <f t="shared" si="84"/>
        <v/>
      </c>
      <c r="AC667" s="50">
        <f t="shared" si="85"/>
        <v>0</v>
      </c>
      <c r="AD667" s="43">
        <f t="shared" si="86"/>
        <v>0</v>
      </c>
      <c r="AE667" s="50">
        <f t="shared" si="87"/>
        <v>0</v>
      </c>
    </row>
    <row r="668" spans="1:31">
      <c r="A668" s="59" t="str">
        <f t="shared" si="81"/>
        <v/>
      </c>
      <c r="B668" s="59" t="str">
        <f t="shared" si="82"/>
        <v/>
      </c>
      <c r="V668" s="59" t="str">
        <f t="shared" si="83"/>
        <v/>
      </c>
      <c r="W668" s="59" t="str">
        <f t="shared" si="80"/>
        <v/>
      </c>
      <c r="X668" s="59" t="str">
        <f t="shared" si="84"/>
        <v/>
      </c>
      <c r="AC668" s="50">
        <f t="shared" si="85"/>
        <v>0</v>
      </c>
      <c r="AD668" s="43">
        <f t="shared" si="86"/>
        <v>0</v>
      </c>
      <c r="AE668" s="50">
        <f t="shared" si="87"/>
        <v>0</v>
      </c>
    </row>
    <row r="669" spans="1:31">
      <c r="A669" s="59" t="str">
        <f t="shared" si="81"/>
        <v/>
      </c>
      <c r="B669" s="59" t="str">
        <f t="shared" si="82"/>
        <v/>
      </c>
      <c r="V669" s="59" t="str">
        <f t="shared" si="83"/>
        <v/>
      </c>
      <c r="W669" s="59" t="str">
        <f t="shared" si="80"/>
        <v/>
      </c>
      <c r="X669" s="59" t="str">
        <f t="shared" si="84"/>
        <v/>
      </c>
      <c r="AC669" s="50">
        <f t="shared" si="85"/>
        <v>0</v>
      </c>
      <c r="AD669" s="43">
        <f t="shared" si="86"/>
        <v>0</v>
      </c>
      <c r="AE669" s="50">
        <f t="shared" si="87"/>
        <v>0</v>
      </c>
    </row>
    <row r="670" spans="1:31">
      <c r="A670" s="59" t="str">
        <f t="shared" si="81"/>
        <v/>
      </c>
      <c r="B670" s="59" t="str">
        <f t="shared" si="82"/>
        <v/>
      </c>
      <c r="V670" s="59" t="str">
        <f t="shared" si="83"/>
        <v/>
      </c>
      <c r="W670" s="59" t="str">
        <f t="shared" si="80"/>
        <v/>
      </c>
      <c r="X670" s="59" t="str">
        <f t="shared" si="84"/>
        <v/>
      </c>
      <c r="AC670" s="50">
        <f t="shared" si="85"/>
        <v>0</v>
      </c>
      <c r="AD670" s="43">
        <f t="shared" si="86"/>
        <v>0</v>
      </c>
      <c r="AE670" s="50">
        <f t="shared" si="87"/>
        <v>0</v>
      </c>
    </row>
    <row r="671" spans="1:31">
      <c r="A671" s="59" t="str">
        <f t="shared" si="81"/>
        <v/>
      </c>
      <c r="B671" s="59" t="str">
        <f t="shared" si="82"/>
        <v/>
      </c>
      <c r="V671" s="59" t="str">
        <f t="shared" si="83"/>
        <v/>
      </c>
      <c r="W671" s="59" t="str">
        <f t="shared" si="80"/>
        <v/>
      </c>
      <c r="X671" s="59" t="str">
        <f t="shared" si="84"/>
        <v/>
      </c>
      <c r="AC671" s="50">
        <f t="shared" si="85"/>
        <v>0</v>
      </c>
      <c r="AD671" s="43">
        <f t="shared" si="86"/>
        <v>0</v>
      </c>
      <c r="AE671" s="50">
        <f t="shared" si="87"/>
        <v>0</v>
      </c>
    </row>
    <row r="672" spans="1:31">
      <c r="A672" s="59" t="str">
        <f t="shared" si="81"/>
        <v/>
      </c>
      <c r="B672" s="59" t="str">
        <f t="shared" si="82"/>
        <v/>
      </c>
      <c r="V672" s="59" t="str">
        <f t="shared" si="83"/>
        <v/>
      </c>
      <c r="W672" s="59" t="str">
        <f t="shared" si="80"/>
        <v/>
      </c>
      <c r="X672" s="59" t="str">
        <f t="shared" si="84"/>
        <v/>
      </c>
      <c r="AC672" s="50">
        <f t="shared" si="85"/>
        <v>0</v>
      </c>
      <c r="AD672" s="43">
        <f t="shared" si="86"/>
        <v>0</v>
      </c>
      <c r="AE672" s="50">
        <f t="shared" si="87"/>
        <v>0</v>
      </c>
    </row>
    <row r="673" spans="1:31">
      <c r="A673" s="59" t="str">
        <f t="shared" si="81"/>
        <v/>
      </c>
      <c r="B673" s="59" t="str">
        <f t="shared" si="82"/>
        <v/>
      </c>
      <c r="V673" s="59" t="str">
        <f t="shared" si="83"/>
        <v/>
      </c>
      <c r="W673" s="59" t="str">
        <f t="shared" si="80"/>
        <v/>
      </c>
      <c r="X673" s="59" t="str">
        <f t="shared" si="84"/>
        <v/>
      </c>
      <c r="AC673" s="50">
        <f t="shared" si="85"/>
        <v>0</v>
      </c>
      <c r="AD673" s="43">
        <f t="shared" si="86"/>
        <v>0</v>
      </c>
      <c r="AE673" s="50">
        <f t="shared" si="87"/>
        <v>0</v>
      </c>
    </row>
    <row r="674" spans="1:31">
      <c r="A674" s="59" t="str">
        <f t="shared" si="81"/>
        <v/>
      </c>
      <c r="B674" s="59" t="str">
        <f t="shared" si="82"/>
        <v/>
      </c>
      <c r="V674" s="59" t="str">
        <f t="shared" si="83"/>
        <v/>
      </c>
      <c r="W674" s="59" t="str">
        <f t="shared" si="80"/>
        <v/>
      </c>
      <c r="X674" s="59" t="str">
        <f t="shared" si="84"/>
        <v/>
      </c>
      <c r="AC674" s="50">
        <f t="shared" si="85"/>
        <v>0</v>
      </c>
      <c r="AD674" s="43">
        <f t="shared" si="86"/>
        <v>0</v>
      </c>
      <c r="AE674" s="50">
        <f t="shared" si="87"/>
        <v>0</v>
      </c>
    </row>
    <row r="675" spans="1:31">
      <c r="A675" s="59" t="str">
        <f t="shared" si="81"/>
        <v/>
      </c>
      <c r="B675" s="59" t="str">
        <f t="shared" si="82"/>
        <v/>
      </c>
      <c r="V675" s="59" t="str">
        <f t="shared" si="83"/>
        <v/>
      </c>
      <c r="W675" s="59" t="str">
        <f t="shared" si="80"/>
        <v/>
      </c>
      <c r="X675" s="59" t="str">
        <f t="shared" si="84"/>
        <v/>
      </c>
      <c r="AC675" s="50">
        <f t="shared" si="85"/>
        <v>0</v>
      </c>
      <c r="AD675" s="43">
        <f t="shared" si="86"/>
        <v>0</v>
      </c>
      <c r="AE675" s="50">
        <f t="shared" si="87"/>
        <v>0</v>
      </c>
    </row>
    <row r="676" spans="1:31">
      <c r="A676" s="59" t="str">
        <f t="shared" si="81"/>
        <v/>
      </c>
      <c r="B676" s="59" t="str">
        <f t="shared" si="82"/>
        <v/>
      </c>
      <c r="V676" s="59" t="str">
        <f t="shared" si="83"/>
        <v/>
      </c>
      <c r="W676" s="59" t="str">
        <f t="shared" si="80"/>
        <v/>
      </c>
      <c r="X676" s="59" t="str">
        <f t="shared" si="84"/>
        <v/>
      </c>
      <c r="AC676" s="50">
        <f t="shared" si="85"/>
        <v>0</v>
      </c>
      <c r="AD676" s="43">
        <f t="shared" si="86"/>
        <v>0</v>
      </c>
      <c r="AE676" s="50">
        <f t="shared" si="87"/>
        <v>0</v>
      </c>
    </row>
    <row r="677" spans="1:31">
      <c r="A677" s="59" t="str">
        <f t="shared" si="81"/>
        <v/>
      </c>
      <c r="B677" s="59" t="str">
        <f t="shared" si="82"/>
        <v/>
      </c>
      <c r="V677" s="59" t="str">
        <f t="shared" si="83"/>
        <v/>
      </c>
      <c r="W677" s="59" t="str">
        <f t="shared" si="80"/>
        <v/>
      </c>
      <c r="X677" s="59" t="str">
        <f t="shared" si="84"/>
        <v/>
      </c>
      <c r="AC677" s="50">
        <f t="shared" si="85"/>
        <v>0</v>
      </c>
      <c r="AD677" s="43">
        <f t="shared" si="86"/>
        <v>0</v>
      </c>
      <c r="AE677" s="50">
        <f t="shared" si="87"/>
        <v>0</v>
      </c>
    </row>
    <row r="678" spans="1:31">
      <c r="A678" s="59" t="str">
        <f t="shared" si="81"/>
        <v/>
      </c>
      <c r="B678" s="59" t="str">
        <f t="shared" si="82"/>
        <v/>
      </c>
      <c r="V678" s="59" t="str">
        <f t="shared" si="83"/>
        <v/>
      </c>
      <c r="W678" s="59" t="str">
        <f t="shared" si="80"/>
        <v/>
      </c>
      <c r="X678" s="59" t="str">
        <f t="shared" si="84"/>
        <v/>
      </c>
      <c r="AC678" s="50">
        <f t="shared" si="85"/>
        <v>0</v>
      </c>
      <c r="AD678" s="43">
        <f t="shared" si="86"/>
        <v>0</v>
      </c>
      <c r="AE678" s="50">
        <f t="shared" si="87"/>
        <v>0</v>
      </c>
    </row>
    <row r="679" spans="1:31">
      <c r="A679" s="59" t="str">
        <f t="shared" si="81"/>
        <v/>
      </c>
      <c r="B679" s="59" t="str">
        <f t="shared" si="82"/>
        <v/>
      </c>
      <c r="V679" s="59" t="str">
        <f t="shared" si="83"/>
        <v/>
      </c>
      <c r="W679" s="59" t="str">
        <f t="shared" si="80"/>
        <v/>
      </c>
      <c r="X679" s="59" t="str">
        <f t="shared" si="84"/>
        <v/>
      </c>
      <c r="AC679" s="50">
        <f t="shared" si="85"/>
        <v>0</v>
      </c>
      <c r="AD679" s="43">
        <f t="shared" si="86"/>
        <v>0</v>
      </c>
      <c r="AE679" s="50">
        <f t="shared" si="87"/>
        <v>0</v>
      </c>
    </row>
    <row r="680" spans="1:31">
      <c r="A680" s="59" t="str">
        <f t="shared" si="81"/>
        <v/>
      </c>
      <c r="B680" s="59" t="str">
        <f t="shared" si="82"/>
        <v/>
      </c>
      <c r="V680" s="59" t="str">
        <f t="shared" si="83"/>
        <v/>
      </c>
      <c r="W680" s="59" t="str">
        <f t="shared" si="80"/>
        <v/>
      </c>
      <c r="X680" s="59" t="str">
        <f t="shared" si="84"/>
        <v/>
      </c>
      <c r="AC680" s="50">
        <f t="shared" si="85"/>
        <v>0</v>
      </c>
      <c r="AD680" s="43">
        <f t="shared" si="86"/>
        <v>0</v>
      </c>
      <c r="AE680" s="50">
        <f t="shared" si="87"/>
        <v>0</v>
      </c>
    </row>
    <row r="681" spans="1:31">
      <c r="A681" s="59" t="str">
        <f t="shared" si="81"/>
        <v/>
      </c>
      <c r="B681" s="59" t="str">
        <f t="shared" si="82"/>
        <v/>
      </c>
      <c r="V681" s="59" t="str">
        <f t="shared" si="83"/>
        <v/>
      </c>
      <c r="W681" s="59" t="str">
        <f t="shared" si="80"/>
        <v/>
      </c>
      <c r="X681" s="59" t="str">
        <f t="shared" si="84"/>
        <v/>
      </c>
      <c r="AC681" s="50">
        <f t="shared" si="85"/>
        <v>0</v>
      </c>
      <c r="AD681" s="43">
        <f t="shared" si="86"/>
        <v>0</v>
      </c>
      <c r="AE681" s="50">
        <f t="shared" si="87"/>
        <v>0</v>
      </c>
    </row>
    <row r="682" spans="1:31">
      <c r="A682" s="59" t="str">
        <f t="shared" si="81"/>
        <v/>
      </c>
      <c r="B682" s="59" t="str">
        <f t="shared" si="82"/>
        <v/>
      </c>
      <c r="V682" s="59" t="str">
        <f t="shared" si="83"/>
        <v/>
      </c>
      <c r="W682" s="59" t="str">
        <f t="shared" si="80"/>
        <v/>
      </c>
      <c r="X682" s="59" t="str">
        <f t="shared" si="84"/>
        <v/>
      </c>
      <c r="AC682" s="50">
        <f t="shared" si="85"/>
        <v>0</v>
      </c>
      <c r="AD682" s="43">
        <f t="shared" si="86"/>
        <v>0</v>
      </c>
      <c r="AE682" s="50">
        <f t="shared" si="87"/>
        <v>0</v>
      </c>
    </row>
    <row r="683" spans="1:31">
      <c r="A683" s="59" t="str">
        <f t="shared" si="81"/>
        <v/>
      </c>
      <c r="B683" s="59" t="str">
        <f t="shared" si="82"/>
        <v/>
      </c>
      <c r="V683" s="59" t="str">
        <f t="shared" si="83"/>
        <v/>
      </c>
      <c r="W683" s="59" t="str">
        <f t="shared" si="80"/>
        <v/>
      </c>
      <c r="X683" s="59" t="str">
        <f t="shared" si="84"/>
        <v/>
      </c>
      <c r="AC683" s="50">
        <f t="shared" si="85"/>
        <v>0</v>
      </c>
      <c r="AD683" s="43">
        <f t="shared" si="86"/>
        <v>0</v>
      </c>
      <c r="AE683" s="50">
        <f t="shared" si="87"/>
        <v>0</v>
      </c>
    </row>
    <row r="684" spans="1:31">
      <c r="A684" s="59" t="str">
        <f t="shared" si="81"/>
        <v/>
      </c>
      <c r="B684" s="59" t="str">
        <f t="shared" si="82"/>
        <v/>
      </c>
      <c r="V684" s="59" t="str">
        <f t="shared" si="83"/>
        <v/>
      </c>
      <c r="W684" s="59" t="str">
        <f t="shared" si="80"/>
        <v/>
      </c>
      <c r="X684" s="59" t="str">
        <f t="shared" si="84"/>
        <v/>
      </c>
      <c r="AC684" s="50">
        <f t="shared" si="85"/>
        <v>0</v>
      </c>
      <c r="AD684" s="43">
        <f t="shared" si="86"/>
        <v>0</v>
      </c>
      <c r="AE684" s="50">
        <f t="shared" si="87"/>
        <v>0</v>
      </c>
    </row>
    <row r="685" spans="1:31">
      <c r="A685" s="59" t="str">
        <f t="shared" si="81"/>
        <v/>
      </c>
      <c r="B685" s="59" t="str">
        <f t="shared" si="82"/>
        <v/>
      </c>
      <c r="V685" s="59" t="str">
        <f t="shared" si="83"/>
        <v/>
      </c>
      <c r="W685" s="59" t="str">
        <f t="shared" si="80"/>
        <v/>
      </c>
      <c r="X685" s="59" t="str">
        <f t="shared" si="84"/>
        <v/>
      </c>
      <c r="AC685" s="50">
        <f t="shared" si="85"/>
        <v>0</v>
      </c>
      <c r="AD685" s="43">
        <f t="shared" si="86"/>
        <v>0</v>
      </c>
      <c r="AE685" s="50">
        <f t="shared" si="87"/>
        <v>0</v>
      </c>
    </row>
    <row r="686" spans="1:31">
      <c r="A686" s="59" t="str">
        <f t="shared" si="81"/>
        <v/>
      </c>
      <c r="B686" s="59" t="str">
        <f t="shared" si="82"/>
        <v/>
      </c>
      <c r="V686" s="59" t="str">
        <f t="shared" si="83"/>
        <v/>
      </c>
      <c r="W686" s="59" t="str">
        <f t="shared" si="80"/>
        <v/>
      </c>
      <c r="X686" s="59" t="str">
        <f t="shared" si="84"/>
        <v/>
      </c>
      <c r="AC686" s="50">
        <f t="shared" si="85"/>
        <v>0</v>
      </c>
      <c r="AD686" s="43">
        <f t="shared" si="86"/>
        <v>0</v>
      </c>
      <c r="AE686" s="50">
        <f t="shared" si="87"/>
        <v>0</v>
      </c>
    </row>
    <row r="687" spans="1:31">
      <c r="A687" s="59" t="str">
        <f t="shared" si="81"/>
        <v/>
      </c>
      <c r="B687" s="59" t="str">
        <f t="shared" si="82"/>
        <v/>
      </c>
      <c r="V687" s="59" t="str">
        <f t="shared" si="83"/>
        <v/>
      </c>
      <c r="W687" s="59" t="str">
        <f t="shared" si="80"/>
        <v/>
      </c>
      <c r="X687" s="59" t="str">
        <f t="shared" si="84"/>
        <v/>
      </c>
      <c r="AC687" s="50">
        <f t="shared" si="85"/>
        <v>0</v>
      </c>
      <c r="AD687" s="43">
        <f t="shared" si="86"/>
        <v>0</v>
      </c>
      <c r="AE687" s="50">
        <f t="shared" si="87"/>
        <v>0</v>
      </c>
    </row>
    <row r="688" spans="1:31">
      <c r="A688" s="59" t="str">
        <f t="shared" si="81"/>
        <v/>
      </c>
      <c r="B688" s="59" t="str">
        <f t="shared" si="82"/>
        <v/>
      </c>
      <c r="V688" s="59" t="str">
        <f t="shared" si="83"/>
        <v/>
      </c>
      <c r="W688" s="59" t="str">
        <f t="shared" si="80"/>
        <v/>
      </c>
      <c r="X688" s="59" t="str">
        <f t="shared" si="84"/>
        <v/>
      </c>
      <c r="AC688" s="50">
        <f t="shared" si="85"/>
        <v>0</v>
      </c>
      <c r="AD688" s="43">
        <f t="shared" si="86"/>
        <v>0</v>
      </c>
      <c r="AE688" s="50">
        <f t="shared" si="87"/>
        <v>0</v>
      </c>
    </row>
    <row r="689" spans="1:31">
      <c r="A689" s="59" t="str">
        <f t="shared" si="81"/>
        <v/>
      </c>
      <c r="B689" s="59" t="str">
        <f t="shared" si="82"/>
        <v/>
      </c>
      <c r="V689" s="59" t="str">
        <f t="shared" si="83"/>
        <v/>
      </c>
      <c r="W689" s="59" t="str">
        <f t="shared" si="80"/>
        <v/>
      </c>
      <c r="X689" s="59" t="str">
        <f t="shared" si="84"/>
        <v/>
      </c>
      <c r="AC689" s="50">
        <f t="shared" si="85"/>
        <v>0</v>
      </c>
      <c r="AD689" s="43">
        <f t="shared" si="86"/>
        <v>0</v>
      </c>
      <c r="AE689" s="50">
        <f t="shared" si="87"/>
        <v>0</v>
      </c>
    </row>
    <row r="690" spans="1:31">
      <c r="A690" s="59" t="str">
        <f t="shared" si="81"/>
        <v/>
      </c>
      <c r="B690" s="59" t="str">
        <f t="shared" si="82"/>
        <v/>
      </c>
      <c r="V690" s="59" t="str">
        <f t="shared" si="83"/>
        <v/>
      </c>
      <c r="W690" s="59" t="str">
        <f t="shared" si="80"/>
        <v/>
      </c>
      <c r="X690" s="59" t="str">
        <f t="shared" si="84"/>
        <v/>
      </c>
      <c r="AC690" s="50">
        <f t="shared" si="85"/>
        <v>0</v>
      </c>
      <c r="AD690" s="43">
        <f t="shared" si="86"/>
        <v>0</v>
      </c>
      <c r="AE690" s="50">
        <f t="shared" si="87"/>
        <v>0</v>
      </c>
    </row>
    <row r="691" spans="1:31">
      <c r="A691" s="59" t="str">
        <f t="shared" si="81"/>
        <v/>
      </c>
      <c r="B691" s="59" t="str">
        <f t="shared" si="82"/>
        <v/>
      </c>
      <c r="V691" s="59" t="str">
        <f t="shared" si="83"/>
        <v/>
      </c>
      <c r="W691" s="59" t="str">
        <f t="shared" si="80"/>
        <v/>
      </c>
      <c r="X691" s="59" t="str">
        <f t="shared" si="84"/>
        <v/>
      </c>
      <c r="AC691" s="50">
        <f t="shared" si="85"/>
        <v>0</v>
      </c>
      <c r="AD691" s="43">
        <f t="shared" si="86"/>
        <v>0</v>
      </c>
      <c r="AE691" s="50">
        <f t="shared" si="87"/>
        <v>0</v>
      </c>
    </row>
    <row r="692" spans="1:31">
      <c r="A692" s="59" t="str">
        <f t="shared" si="81"/>
        <v/>
      </c>
      <c r="B692" s="59" t="str">
        <f t="shared" si="82"/>
        <v/>
      </c>
      <c r="V692" s="59" t="str">
        <f t="shared" si="83"/>
        <v/>
      </c>
      <c r="W692" s="59" t="str">
        <f t="shared" si="80"/>
        <v/>
      </c>
      <c r="X692" s="59" t="str">
        <f t="shared" si="84"/>
        <v/>
      </c>
      <c r="AC692" s="50">
        <f t="shared" si="85"/>
        <v>0</v>
      </c>
      <c r="AD692" s="43">
        <f t="shared" si="86"/>
        <v>0</v>
      </c>
      <c r="AE692" s="50">
        <f t="shared" si="87"/>
        <v>0</v>
      </c>
    </row>
    <row r="693" spans="1:31">
      <c r="A693" s="59" t="str">
        <f t="shared" si="81"/>
        <v/>
      </c>
      <c r="B693" s="59" t="str">
        <f t="shared" si="82"/>
        <v/>
      </c>
      <c r="V693" s="59" t="str">
        <f t="shared" si="83"/>
        <v/>
      </c>
      <c r="W693" s="59" t="str">
        <f t="shared" si="80"/>
        <v/>
      </c>
      <c r="X693" s="59" t="str">
        <f t="shared" si="84"/>
        <v/>
      </c>
      <c r="AC693" s="50">
        <f t="shared" si="85"/>
        <v>0</v>
      </c>
      <c r="AD693" s="43">
        <f t="shared" si="86"/>
        <v>0</v>
      </c>
      <c r="AE693" s="50">
        <f t="shared" si="87"/>
        <v>0</v>
      </c>
    </row>
    <row r="694" spans="1:31">
      <c r="A694" s="59" t="str">
        <f t="shared" si="81"/>
        <v/>
      </c>
      <c r="B694" s="59" t="str">
        <f t="shared" si="82"/>
        <v/>
      </c>
      <c r="V694" s="59" t="str">
        <f t="shared" si="83"/>
        <v/>
      </c>
      <c r="W694" s="59" t="str">
        <f t="shared" si="80"/>
        <v/>
      </c>
      <c r="X694" s="59" t="str">
        <f t="shared" si="84"/>
        <v/>
      </c>
      <c r="AC694" s="50">
        <f t="shared" si="85"/>
        <v>0</v>
      </c>
      <c r="AD694" s="43">
        <f t="shared" si="86"/>
        <v>0</v>
      </c>
      <c r="AE694" s="50">
        <f t="shared" si="87"/>
        <v>0</v>
      </c>
    </row>
    <row r="695" spans="1:31">
      <c r="A695" s="59" t="str">
        <f t="shared" si="81"/>
        <v/>
      </c>
      <c r="B695" s="59" t="str">
        <f t="shared" si="82"/>
        <v/>
      </c>
      <c r="V695" s="59" t="str">
        <f t="shared" si="83"/>
        <v/>
      </c>
      <c r="W695" s="59" t="str">
        <f t="shared" si="80"/>
        <v/>
      </c>
      <c r="X695" s="59" t="str">
        <f t="shared" si="84"/>
        <v/>
      </c>
      <c r="AC695" s="50">
        <f t="shared" si="85"/>
        <v>0</v>
      </c>
      <c r="AD695" s="43">
        <f t="shared" si="86"/>
        <v>0</v>
      </c>
      <c r="AE695" s="50">
        <f t="shared" si="87"/>
        <v>0</v>
      </c>
    </row>
    <row r="696" spans="1:31">
      <c r="A696" s="59" t="str">
        <f t="shared" si="81"/>
        <v/>
      </c>
      <c r="B696" s="59" t="str">
        <f t="shared" si="82"/>
        <v/>
      </c>
      <c r="V696" s="59" t="str">
        <f t="shared" si="83"/>
        <v/>
      </c>
      <c r="W696" s="59" t="str">
        <f t="shared" si="80"/>
        <v/>
      </c>
      <c r="X696" s="59" t="str">
        <f t="shared" si="84"/>
        <v/>
      </c>
      <c r="AC696" s="50">
        <f t="shared" si="85"/>
        <v>0</v>
      </c>
      <c r="AD696" s="43">
        <f t="shared" si="86"/>
        <v>0</v>
      </c>
      <c r="AE696" s="50">
        <f t="shared" si="87"/>
        <v>0</v>
      </c>
    </row>
    <row r="697" spans="1:31">
      <c r="A697" s="59" t="str">
        <f t="shared" si="81"/>
        <v/>
      </c>
      <c r="B697" s="59" t="str">
        <f t="shared" si="82"/>
        <v/>
      </c>
      <c r="V697" s="59" t="str">
        <f t="shared" si="83"/>
        <v/>
      </c>
      <c r="W697" s="59" t="str">
        <f t="shared" si="80"/>
        <v/>
      </c>
      <c r="X697" s="59" t="str">
        <f t="shared" si="84"/>
        <v/>
      </c>
      <c r="AC697" s="50">
        <f t="shared" si="85"/>
        <v>0</v>
      </c>
      <c r="AD697" s="43">
        <f t="shared" si="86"/>
        <v>0</v>
      </c>
      <c r="AE697" s="50">
        <f t="shared" si="87"/>
        <v>0</v>
      </c>
    </row>
    <row r="698" spans="1:31">
      <c r="A698" s="59" t="str">
        <f t="shared" si="81"/>
        <v/>
      </c>
      <c r="B698" s="59" t="str">
        <f t="shared" si="82"/>
        <v/>
      </c>
      <c r="V698" s="59" t="str">
        <f t="shared" si="83"/>
        <v/>
      </c>
      <c r="W698" s="59" t="str">
        <f t="shared" si="80"/>
        <v/>
      </c>
      <c r="X698" s="59" t="str">
        <f t="shared" si="84"/>
        <v/>
      </c>
      <c r="AC698" s="50">
        <f t="shared" si="85"/>
        <v>0</v>
      </c>
      <c r="AD698" s="43">
        <f t="shared" si="86"/>
        <v>0</v>
      </c>
      <c r="AE698" s="50">
        <f t="shared" si="87"/>
        <v>0</v>
      </c>
    </row>
    <row r="699" spans="1:31">
      <c r="A699" s="59" t="str">
        <f t="shared" si="81"/>
        <v/>
      </c>
      <c r="B699" s="59" t="str">
        <f t="shared" si="82"/>
        <v/>
      </c>
      <c r="V699" s="59" t="str">
        <f t="shared" si="83"/>
        <v/>
      </c>
      <c r="W699" s="59" t="str">
        <f t="shared" si="80"/>
        <v/>
      </c>
      <c r="X699" s="59" t="str">
        <f t="shared" si="84"/>
        <v/>
      </c>
      <c r="AC699" s="50">
        <f t="shared" si="85"/>
        <v>0</v>
      </c>
      <c r="AD699" s="43">
        <f t="shared" si="86"/>
        <v>0</v>
      </c>
      <c r="AE699" s="50">
        <f t="shared" si="87"/>
        <v>0</v>
      </c>
    </row>
    <row r="700" spans="1:31">
      <c r="A700" s="59" t="str">
        <f t="shared" si="81"/>
        <v/>
      </c>
      <c r="B700" s="59" t="str">
        <f t="shared" si="82"/>
        <v/>
      </c>
      <c r="V700" s="59" t="str">
        <f t="shared" si="83"/>
        <v/>
      </c>
      <c r="W700" s="59" t="str">
        <f t="shared" si="80"/>
        <v/>
      </c>
      <c r="X700" s="59" t="str">
        <f t="shared" si="84"/>
        <v/>
      </c>
      <c r="AC700" s="50">
        <f t="shared" si="85"/>
        <v>0</v>
      </c>
      <c r="AD700" s="43">
        <f t="shared" si="86"/>
        <v>0</v>
      </c>
      <c r="AE700" s="50">
        <f t="shared" si="87"/>
        <v>0</v>
      </c>
    </row>
    <row r="701" spans="1:31">
      <c r="A701" s="59" t="str">
        <f t="shared" si="81"/>
        <v/>
      </c>
      <c r="B701" s="59" t="str">
        <f t="shared" si="82"/>
        <v/>
      </c>
      <c r="V701" s="59" t="str">
        <f t="shared" si="83"/>
        <v/>
      </c>
      <c r="W701" s="59" t="str">
        <f t="shared" si="80"/>
        <v/>
      </c>
      <c r="X701" s="59" t="str">
        <f t="shared" si="84"/>
        <v/>
      </c>
      <c r="AC701" s="50">
        <f t="shared" si="85"/>
        <v>0</v>
      </c>
      <c r="AD701" s="43">
        <f t="shared" si="86"/>
        <v>0</v>
      </c>
      <c r="AE701" s="50">
        <f t="shared" si="87"/>
        <v>0</v>
      </c>
    </row>
    <row r="702" spans="1:31">
      <c r="A702" s="59" t="str">
        <f t="shared" si="81"/>
        <v/>
      </c>
      <c r="B702" s="59" t="str">
        <f t="shared" si="82"/>
        <v/>
      </c>
      <c r="V702" s="59" t="str">
        <f t="shared" si="83"/>
        <v/>
      </c>
      <c r="W702" s="59" t="str">
        <f t="shared" si="80"/>
        <v/>
      </c>
      <c r="X702" s="59" t="str">
        <f t="shared" si="84"/>
        <v/>
      </c>
      <c r="AC702" s="50">
        <f t="shared" si="85"/>
        <v>0</v>
      </c>
      <c r="AD702" s="43">
        <f t="shared" si="86"/>
        <v>0</v>
      </c>
      <c r="AE702" s="50">
        <f t="shared" si="87"/>
        <v>0</v>
      </c>
    </row>
    <row r="703" spans="1:31">
      <c r="A703" s="59" t="str">
        <f t="shared" si="81"/>
        <v/>
      </c>
      <c r="B703" s="59" t="str">
        <f t="shared" si="82"/>
        <v/>
      </c>
      <c r="V703" s="59" t="str">
        <f t="shared" si="83"/>
        <v/>
      </c>
      <c r="W703" s="59" t="str">
        <f t="shared" si="80"/>
        <v/>
      </c>
      <c r="X703" s="59" t="str">
        <f t="shared" si="84"/>
        <v/>
      </c>
      <c r="AC703" s="50">
        <f t="shared" si="85"/>
        <v>0</v>
      </c>
      <c r="AD703" s="43">
        <f t="shared" si="86"/>
        <v>0</v>
      </c>
      <c r="AE703" s="50">
        <f t="shared" si="87"/>
        <v>0</v>
      </c>
    </row>
    <row r="704" spans="1:31">
      <c r="A704" s="59" t="str">
        <f t="shared" si="81"/>
        <v/>
      </c>
      <c r="B704" s="59" t="str">
        <f t="shared" si="82"/>
        <v/>
      </c>
      <c r="V704" s="59" t="str">
        <f t="shared" si="83"/>
        <v/>
      </c>
      <c r="W704" s="59" t="str">
        <f t="shared" si="80"/>
        <v/>
      </c>
      <c r="X704" s="59" t="str">
        <f t="shared" si="84"/>
        <v/>
      </c>
      <c r="AC704" s="50">
        <f t="shared" si="85"/>
        <v>0</v>
      </c>
      <c r="AD704" s="43">
        <f t="shared" si="86"/>
        <v>0</v>
      </c>
      <c r="AE704" s="50">
        <f t="shared" si="87"/>
        <v>0</v>
      </c>
    </row>
    <row r="705" spans="1:31">
      <c r="A705" s="59" t="str">
        <f t="shared" si="81"/>
        <v/>
      </c>
      <c r="B705" s="59" t="str">
        <f t="shared" si="82"/>
        <v/>
      </c>
      <c r="V705" s="59" t="str">
        <f t="shared" si="83"/>
        <v/>
      </c>
      <c r="W705" s="59" t="str">
        <f t="shared" si="80"/>
        <v/>
      </c>
      <c r="X705" s="59" t="str">
        <f t="shared" si="84"/>
        <v/>
      </c>
      <c r="AC705" s="50">
        <f t="shared" si="85"/>
        <v>0</v>
      </c>
      <c r="AD705" s="43">
        <f t="shared" si="86"/>
        <v>0</v>
      </c>
      <c r="AE705" s="50">
        <f t="shared" si="87"/>
        <v>0</v>
      </c>
    </row>
    <row r="706" spans="1:31">
      <c r="A706" s="59" t="str">
        <f t="shared" si="81"/>
        <v/>
      </c>
      <c r="B706" s="59" t="str">
        <f t="shared" si="82"/>
        <v/>
      </c>
      <c r="V706" s="59" t="str">
        <f t="shared" si="83"/>
        <v/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59" t="str">
        <f t="shared" si="84"/>
        <v/>
      </c>
      <c r="AC706" s="50">
        <f t="shared" si="85"/>
        <v>0</v>
      </c>
      <c r="AD706" s="43">
        <f t="shared" si="86"/>
        <v>0</v>
      </c>
      <c r="AE706" s="50">
        <f t="shared" si="87"/>
        <v>0</v>
      </c>
    </row>
    <row r="707" spans="1:31">
      <c r="A707" s="59" t="str">
        <f t="shared" ref="A707:A770" si="89">IF(G707&amp;Q707&lt;&gt;"",W707&amp;Q707,"")</f>
        <v/>
      </c>
      <c r="B707" s="59" t="str">
        <f t="shared" ref="B707:B770" si="90">IF(C707&lt;&gt;"",LEFT(C707,9),"")</f>
        <v/>
      </c>
      <c r="V707" s="59" t="str">
        <f t="shared" ref="V707:V770" si="91">W707&amp;H707</f>
        <v/>
      </c>
      <c r="W707" s="59" t="str">
        <f t="shared" si="88"/>
        <v/>
      </c>
      <c r="X707" s="59" t="str">
        <f t="shared" ref="X707:X770" si="92">IF(A707&lt;&gt;"",IFERROR(IF(FIND(" ",G707)&gt;=1,MID(G707,FIND(" ",G707)+1,LEN(G707)),""),""),"")</f>
        <v/>
      </c>
      <c r="AC707" s="50">
        <f t="shared" ref="AC707:AC770" si="93">IFERROR(VALUE(MID($C707,1,2)),0)</f>
        <v>0</v>
      </c>
      <c r="AD707" s="43">
        <f t="shared" ref="AD707:AD770" si="94">IFERROR(VALUE(MID($C707,4,3)),0)</f>
        <v>0</v>
      </c>
      <c r="AE707" s="50">
        <f t="shared" ref="AE707:AE770" si="95">VALUE(RIGHT("00"&amp;AC707,2)&amp;RIGHT("000"&amp;AD707,3))</f>
        <v>0</v>
      </c>
    </row>
    <row r="708" spans="1:31">
      <c r="A708" s="59" t="str">
        <f t="shared" si="89"/>
        <v/>
      </c>
      <c r="B708" s="59" t="str">
        <f t="shared" si="90"/>
        <v/>
      </c>
      <c r="V708" s="59" t="str">
        <f t="shared" si="91"/>
        <v/>
      </c>
      <c r="W708" s="59" t="str">
        <f t="shared" si="88"/>
        <v/>
      </c>
      <c r="X708" s="59" t="str">
        <f t="shared" si="92"/>
        <v/>
      </c>
      <c r="AC708" s="50">
        <f t="shared" si="93"/>
        <v>0</v>
      </c>
      <c r="AD708" s="43">
        <f t="shared" si="94"/>
        <v>0</v>
      </c>
      <c r="AE708" s="50">
        <f t="shared" si="95"/>
        <v>0</v>
      </c>
    </row>
    <row r="709" spans="1:31">
      <c r="A709" s="59" t="str">
        <f t="shared" si="89"/>
        <v/>
      </c>
      <c r="B709" s="59" t="str">
        <f t="shared" si="90"/>
        <v/>
      </c>
      <c r="V709" s="59" t="str">
        <f t="shared" si="91"/>
        <v/>
      </c>
      <c r="W709" s="59" t="str">
        <f t="shared" si="88"/>
        <v/>
      </c>
      <c r="X709" s="59" t="str">
        <f t="shared" si="92"/>
        <v/>
      </c>
      <c r="AC709" s="50">
        <f t="shared" si="93"/>
        <v>0</v>
      </c>
      <c r="AD709" s="43">
        <f t="shared" si="94"/>
        <v>0</v>
      </c>
      <c r="AE709" s="50">
        <f t="shared" si="95"/>
        <v>0</v>
      </c>
    </row>
    <row r="710" spans="1:31">
      <c r="A710" s="59" t="str">
        <f t="shared" si="89"/>
        <v/>
      </c>
      <c r="B710" s="59" t="str">
        <f t="shared" si="90"/>
        <v/>
      </c>
      <c r="V710" s="59" t="str">
        <f t="shared" si="91"/>
        <v/>
      </c>
      <c r="W710" s="59" t="str">
        <f t="shared" si="88"/>
        <v/>
      </c>
      <c r="X710" s="59" t="str">
        <f t="shared" si="92"/>
        <v/>
      </c>
      <c r="AC710" s="50">
        <f t="shared" si="93"/>
        <v>0</v>
      </c>
      <c r="AD710" s="43">
        <f t="shared" si="94"/>
        <v>0</v>
      </c>
      <c r="AE710" s="50">
        <f t="shared" si="95"/>
        <v>0</v>
      </c>
    </row>
    <row r="711" spans="1:31">
      <c r="A711" s="59" t="str">
        <f t="shared" si="89"/>
        <v/>
      </c>
      <c r="B711" s="59" t="str">
        <f t="shared" si="90"/>
        <v/>
      </c>
      <c r="V711" s="59" t="str">
        <f t="shared" si="91"/>
        <v/>
      </c>
      <c r="W711" s="59" t="str">
        <f t="shared" si="88"/>
        <v/>
      </c>
      <c r="X711" s="59" t="str">
        <f t="shared" si="92"/>
        <v/>
      </c>
      <c r="AC711" s="50">
        <f t="shared" si="93"/>
        <v>0</v>
      </c>
      <c r="AD711" s="43">
        <f t="shared" si="94"/>
        <v>0</v>
      </c>
      <c r="AE711" s="50">
        <f t="shared" si="95"/>
        <v>0</v>
      </c>
    </row>
    <row r="712" spans="1:31">
      <c r="A712" s="59" t="str">
        <f t="shared" si="89"/>
        <v/>
      </c>
      <c r="B712" s="59" t="str">
        <f t="shared" si="90"/>
        <v/>
      </c>
      <c r="V712" s="59" t="str">
        <f t="shared" si="91"/>
        <v/>
      </c>
      <c r="W712" s="59" t="str">
        <f t="shared" si="88"/>
        <v/>
      </c>
      <c r="X712" s="59" t="str">
        <f t="shared" si="92"/>
        <v/>
      </c>
      <c r="AC712" s="50">
        <f t="shared" si="93"/>
        <v>0</v>
      </c>
      <c r="AD712" s="43">
        <f t="shared" si="94"/>
        <v>0</v>
      </c>
      <c r="AE712" s="50">
        <f t="shared" si="95"/>
        <v>0</v>
      </c>
    </row>
    <row r="713" spans="1:31">
      <c r="A713" s="59" t="str">
        <f t="shared" si="89"/>
        <v/>
      </c>
      <c r="B713" s="59" t="str">
        <f t="shared" si="90"/>
        <v/>
      </c>
      <c r="V713" s="59" t="str">
        <f t="shared" si="91"/>
        <v/>
      </c>
      <c r="W713" s="59" t="str">
        <f t="shared" si="88"/>
        <v/>
      </c>
      <c r="X713" s="59" t="str">
        <f t="shared" si="92"/>
        <v/>
      </c>
      <c r="AC713" s="50">
        <f t="shared" si="93"/>
        <v>0</v>
      </c>
      <c r="AD713" s="43">
        <f t="shared" si="94"/>
        <v>0</v>
      </c>
      <c r="AE713" s="50">
        <f t="shared" si="95"/>
        <v>0</v>
      </c>
    </row>
    <row r="714" spans="1:31">
      <c r="A714" s="59" t="str">
        <f t="shared" si="89"/>
        <v/>
      </c>
      <c r="B714" s="59" t="str">
        <f t="shared" si="90"/>
        <v/>
      </c>
      <c r="V714" s="59" t="str">
        <f t="shared" si="91"/>
        <v/>
      </c>
      <c r="W714" s="59" t="str">
        <f t="shared" si="88"/>
        <v/>
      </c>
      <c r="X714" s="59" t="str">
        <f t="shared" si="92"/>
        <v/>
      </c>
      <c r="AC714" s="50">
        <f t="shared" si="93"/>
        <v>0</v>
      </c>
      <c r="AD714" s="43">
        <f t="shared" si="94"/>
        <v>0</v>
      </c>
      <c r="AE714" s="50">
        <f t="shared" si="95"/>
        <v>0</v>
      </c>
    </row>
    <row r="715" spans="1:31">
      <c r="A715" s="59" t="str">
        <f t="shared" si="89"/>
        <v/>
      </c>
      <c r="B715" s="59" t="str">
        <f t="shared" si="90"/>
        <v/>
      </c>
      <c r="V715" s="59" t="str">
        <f t="shared" si="91"/>
        <v/>
      </c>
      <c r="W715" s="59" t="str">
        <f t="shared" si="88"/>
        <v/>
      </c>
      <c r="X715" s="59" t="str">
        <f t="shared" si="92"/>
        <v/>
      </c>
      <c r="AC715" s="50">
        <f t="shared" si="93"/>
        <v>0</v>
      </c>
      <c r="AD715" s="43">
        <f t="shared" si="94"/>
        <v>0</v>
      </c>
      <c r="AE715" s="50">
        <f t="shared" si="95"/>
        <v>0</v>
      </c>
    </row>
    <row r="716" spans="1:31">
      <c r="A716" s="59" t="str">
        <f t="shared" si="89"/>
        <v/>
      </c>
      <c r="B716" s="59" t="str">
        <f t="shared" si="90"/>
        <v/>
      </c>
      <c r="V716" s="59" t="str">
        <f t="shared" si="91"/>
        <v/>
      </c>
      <c r="W716" s="59" t="str">
        <f t="shared" si="88"/>
        <v/>
      </c>
      <c r="X716" s="59" t="str">
        <f t="shared" si="92"/>
        <v/>
      </c>
      <c r="AC716" s="50">
        <f t="shared" si="93"/>
        <v>0</v>
      </c>
      <c r="AD716" s="43">
        <f t="shared" si="94"/>
        <v>0</v>
      </c>
      <c r="AE716" s="50">
        <f t="shared" si="95"/>
        <v>0</v>
      </c>
    </row>
    <row r="717" spans="1:31">
      <c r="A717" s="59" t="str">
        <f t="shared" si="89"/>
        <v/>
      </c>
      <c r="B717" s="59" t="str">
        <f t="shared" si="90"/>
        <v/>
      </c>
      <c r="V717" s="59" t="str">
        <f t="shared" si="91"/>
        <v/>
      </c>
      <c r="W717" s="59" t="str">
        <f t="shared" si="88"/>
        <v/>
      </c>
      <c r="X717" s="59" t="str">
        <f t="shared" si="92"/>
        <v/>
      </c>
      <c r="AC717" s="50">
        <f t="shared" si="93"/>
        <v>0</v>
      </c>
      <c r="AD717" s="43">
        <f t="shared" si="94"/>
        <v>0</v>
      </c>
      <c r="AE717" s="50">
        <f t="shared" si="95"/>
        <v>0</v>
      </c>
    </row>
    <row r="718" spans="1:31">
      <c r="A718" s="59" t="str">
        <f t="shared" si="89"/>
        <v/>
      </c>
      <c r="B718" s="59" t="str">
        <f t="shared" si="90"/>
        <v/>
      </c>
      <c r="V718" s="59" t="str">
        <f t="shared" si="91"/>
        <v/>
      </c>
      <c r="W718" s="59" t="str">
        <f t="shared" si="88"/>
        <v/>
      </c>
      <c r="X718" s="59" t="str">
        <f t="shared" si="92"/>
        <v/>
      </c>
      <c r="AC718" s="50">
        <f t="shared" si="93"/>
        <v>0</v>
      </c>
      <c r="AD718" s="43">
        <f t="shared" si="94"/>
        <v>0</v>
      </c>
      <c r="AE718" s="50">
        <f t="shared" si="95"/>
        <v>0</v>
      </c>
    </row>
    <row r="719" spans="1:31">
      <c r="A719" s="59" t="str">
        <f t="shared" si="89"/>
        <v/>
      </c>
      <c r="B719" s="59" t="str">
        <f t="shared" si="90"/>
        <v/>
      </c>
      <c r="V719" s="59" t="str">
        <f t="shared" si="91"/>
        <v/>
      </c>
      <c r="W719" s="59" t="str">
        <f t="shared" si="88"/>
        <v/>
      </c>
      <c r="X719" s="59" t="str">
        <f t="shared" si="92"/>
        <v/>
      </c>
      <c r="AC719" s="50">
        <f t="shared" si="93"/>
        <v>0</v>
      </c>
      <c r="AD719" s="43">
        <f t="shared" si="94"/>
        <v>0</v>
      </c>
      <c r="AE719" s="50">
        <f t="shared" si="95"/>
        <v>0</v>
      </c>
    </row>
    <row r="720" spans="1:31">
      <c r="A720" s="59" t="str">
        <f t="shared" si="89"/>
        <v/>
      </c>
      <c r="B720" s="59" t="str">
        <f t="shared" si="90"/>
        <v/>
      </c>
      <c r="V720" s="59" t="str">
        <f t="shared" si="91"/>
        <v/>
      </c>
      <c r="W720" s="59" t="str">
        <f t="shared" si="88"/>
        <v/>
      </c>
      <c r="X720" s="59" t="str">
        <f t="shared" si="92"/>
        <v/>
      </c>
      <c r="AC720" s="50">
        <f t="shared" si="93"/>
        <v>0</v>
      </c>
      <c r="AD720" s="43">
        <f t="shared" si="94"/>
        <v>0</v>
      </c>
      <c r="AE720" s="50">
        <f t="shared" si="95"/>
        <v>0</v>
      </c>
    </row>
    <row r="721" spans="1:31">
      <c r="A721" s="59" t="str">
        <f t="shared" si="89"/>
        <v/>
      </c>
      <c r="B721" s="59" t="str">
        <f t="shared" si="90"/>
        <v/>
      </c>
      <c r="V721" s="59" t="str">
        <f t="shared" si="91"/>
        <v/>
      </c>
      <c r="W721" s="59" t="str">
        <f t="shared" si="88"/>
        <v/>
      </c>
      <c r="X721" s="59" t="str">
        <f t="shared" si="92"/>
        <v/>
      </c>
      <c r="AC721" s="50">
        <f t="shared" si="93"/>
        <v>0</v>
      </c>
      <c r="AD721" s="43">
        <f t="shared" si="94"/>
        <v>0</v>
      </c>
      <c r="AE721" s="50">
        <f t="shared" si="95"/>
        <v>0</v>
      </c>
    </row>
    <row r="722" spans="1:31">
      <c r="A722" s="59" t="str">
        <f t="shared" si="89"/>
        <v/>
      </c>
      <c r="B722" s="59" t="str">
        <f t="shared" si="90"/>
        <v/>
      </c>
      <c r="V722" s="59" t="str">
        <f t="shared" si="91"/>
        <v/>
      </c>
      <c r="W722" s="59" t="str">
        <f t="shared" si="88"/>
        <v/>
      </c>
      <c r="X722" s="59" t="str">
        <f t="shared" si="92"/>
        <v/>
      </c>
      <c r="AC722" s="50">
        <f t="shared" si="93"/>
        <v>0</v>
      </c>
      <c r="AD722" s="43">
        <f t="shared" si="94"/>
        <v>0</v>
      </c>
      <c r="AE722" s="50">
        <f t="shared" si="95"/>
        <v>0</v>
      </c>
    </row>
    <row r="723" spans="1:31">
      <c r="A723" s="59" t="str">
        <f t="shared" si="89"/>
        <v/>
      </c>
      <c r="B723" s="59" t="str">
        <f t="shared" si="90"/>
        <v/>
      </c>
      <c r="V723" s="59" t="str">
        <f t="shared" si="91"/>
        <v/>
      </c>
      <c r="W723" s="59" t="str">
        <f t="shared" si="88"/>
        <v/>
      </c>
      <c r="X723" s="59" t="str">
        <f t="shared" si="92"/>
        <v/>
      </c>
      <c r="AC723" s="50">
        <f t="shared" si="93"/>
        <v>0</v>
      </c>
      <c r="AD723" s="43">
        <f t="shared" si="94"/>
        <v>0</v>
      </c>
      <c r="AE723" s="50">
        <f t="shared" si="95"/>
        <v>0</v>
      </c>
    </row>
    <row r="724" spans="1:31">
      <c r="A724" s="59" t="str">
        <f t="shared" si="89"/>
        <v/>
      </c>
      <c r="B724" s="59" t="str">
        <f t="shared" si="90"/>
        <v/>
      </c>
      <c r="V724" s="59" t="str">
        <f t="shared" si="91"/>
        <v/>
      </c>
      <c r="W724" s="59" t="str">
        <f t="shared" si="88"/>
        <v/>
      </c>
      <c r="X724" s="59" t="str">
        <f t="shared" si="92"/>
        <v/>
      </c>
      <c r="AC724" s="50">
        <f t="shared" si="93"/>
        <v>0</v>
      </c>
      <c r="AD724" s="43">
        <f t="shared" si="94"/>
        <v>0</v>
      </c>
      <c r="AE724" s="50">
        <f t="shared" si="95"/>
        <v>0</v>
      </c>
    </row>
    <row r="725" spans="1:31">
      <c r="A725" s="59" t="str">
        <f t="shared" si="89"/>
        <v/>
      </c>
      <c r="B725" s="59" t="str">
        <f t="shared" si="90"/>
        <v/>
      </c>
      <c r="V725" s="59" t="str">
        <f t="shared" si="91"/>
        <v/>
      </c>
      <c r="W725" s="59" t="str">
        <f t="shared" si="88"/>
        <v/>
      </c>
      <c r="X725" s="59" t="str">
        <f t="shared" si="92"/>
        <v/>
      </c>
      <c r="AC725" s="50">
        <f t="shared" si="93"/>
        <v>0</v>
      </c>
      <c r="AD725" s="43">
        <f t="shared" si="94"/>
        <v>0</v>
      </c>
      <c r="AE725" s="50">
        <f t="shared" si="95"/>
        <v>0</v>
      </c>
    </row>
    <row r="726" spans="1:31">
      <c r="A726" s="59" t="str">
        <f t="shared" si="89"/>
        <v/>
      </c>
      <c r="B726" s="59" t="str">
        <f t="shared" si="90"/>
        <v/>
      </c>
      <c r="V726" s="59" t="str">
        <f t="shared" si="91"/>
        <v/>
      </c>
      <c r="W726" s="59" t="str">
        <f t="shared" si="88"/>
        <v/>
      </c>
      <c r="X726" s="59" t="str">
        <f t="shared" si="92"/>
        <v/>
      </c>
      <c r="AC726" s="50">
        <f t="shared" si="93"/>
        <v>0</v>
      </c>
      <c r="AD726" s="43">
        <f t="shared" si="94"/>
        <v>0</v>
      </c>
      <c r="AE726" s="50">
        <f t="shared" si="95"/>
        <v>0</v>
      </c>
    </row>
    <row r="727" spans="1:31">
      <c r="A727" s="59" t="str">
        <f t="shared" si="89"/>
        <v/>
      </c>
      <c r="B727" s="59" t="str">
        <f t="shared" si="90"/>
        <v/>
      </c>
      <c r="V727" s="59" t="str">
        <f t="shared" si="91"/>
        <v/>
      </c>
      <c r="W727" s="59" t="str">
        <f t="shared" si="88"/>
        <v/>
      </c>
      <c r="X727" s="59" t="str">
        <f t="shared" si="92"/>
        <v/>
      </c>
      <c r="AC727" s="50">
        <f t="shared" si="93"/>
        <v>0</v>
      </c>
      <c r="AD727" s="43">
        <f t="shared" si="94"/>
        <v>0</v>
      </c>
      <c r="AE727" s="50">
        <f t="shared" si="95"/>
        <v>0</v>
      </c>
    </row>
    <row r="728" spans="1:31">
      <c r="A728" s="59" t="str">
        <f t="shared" si="89"/>
        <v/>
      </c>
      <c r="B728" s="59" t="str">
        <f t="shared" si="90"/>
        <v/>
      </c>
      <c r="V728" s="59" t="str">
        <f t="shared" si="91"/>
        <v/>
      </c>
      <c r="W728" s="59" t="str">
        <f t="shared" si="88"/>
        <v/>
      </c>
      <c r="X728" s="59" t="str">
        <f t="shared" si="92"/>
        <v/>
      </c>
      <c r="AC728" s="50">
        <f t="shared" si="93"/>
        <v>0</v>
      </c>
      <c r="AD728" s="43">
        <f t="shared" si="94"/>
        <v>0</v>
      </c>
      <c r="AE728" s="50">
        <f t="shared" si="95"/>
        <v>0</v>
      </c>
    </row>
    <row r="729" spans="1:31">
      <c r="A729" s="59" t="str">
        <f t="shared" si="89"/>
        <v/>
      </c>
      <c r="B729" s="59" t="str">
        <f t="shared" si="90"/>
        <v/>
      </c>
      <c r="V729" s="59" t="str">
        <f t="shared" si="91"/>
        <v/>
      </c>
      <c r="W729" s="59" t="str">
        <f t="shared" si="88"/>
        <v/>
      </c>
      <c r="X729" s="59" t="str">
        <f t="shared" si="92"/>
        <v/>
      </c>
      <c r="AC729" s="50">
        <f t="shared" si="93"/>
        <v>0</v>
      </c>
      <c r="AD729" s="43">
        <f t="shared" si="94"/>
        <v>0</v>
      </c>
      <c r="AE729" s="50">
        <f t="shared" si="95"/>
        <v>0</v>
      </c>
    </row>
    <row r="730" spans="1:31">
      <c r="A730" s="59" t="str">
        <f t="shared" si="89"/>
        <v/>
      </c>
      <c r="B730" s="59" t="str">
        <f t="shared" si="90"/>
        <v/>
      </c>
      <c r="V730" s="59" t="str">
        <f t="shared" si="91"/>
        <v/>
      </c>
      <c r="W730" s="59" t="str">
        <f t="shared" si="88"/>
        <v/>
      </c>
      <c r="X730" s="59" t="str">
        <f t="shared" si="92"/>
        <v/>
      </c>
      <c r="AC730" s="50">
        <f t="shared" si="93"/>
        <v>0</v>
      </c>
      <c r="AD730" s="43">
        <f t="shared" si="94"/>
        <v>0</v>
      </c>
      <c r="AE730" s="50">
        <f t="shared" si="95"/>
        <v>0</v>
      </c>
    </row>
    <row r="731" spans="1:31">
      <c r="A731" s="59" t="str">
        <f t="shared" si="89"/>
        <v/>
      </c>
      <c r="B731" s="59" t="str">
        <f t="shared" si="90"/>
        <v/>
      </c>
      <c r="V731" s="59" t="str">
        <f t="shared" si="91"/>
        <v/>
      </c>
      <c r="W731" s="59" t="str">
        <f t="shared" si="88"/>
        <v/>
      </c>
      <c r="X731" s="59" t="str">
        <f t="shared" si="92"/>
        <v/>
      </c>
      <c r="AC731" s="50">
        <f t="shared" si="93"/>
        <v>0</v>
      </c>
      <c r="AD731" s="43">
        <f t="shared" si="94"/>
        <v>0</v>
      </c>
      <c r="AE731" s="50">
        <f t="shared" si="95"/>
        <v>0</v>
      </c>
    </row>
    <row r="732" spans="1:31">
      <c r="A732" s="59" t="str">
        <f t="shared" si="89"/>
        <v/>
      </c>
      <c r="B732" s="59" t="str">
        <f t="shared" si="90"/>
        <v/>
      </c>
      <c r="V732" s="59" t="str">
        <f t="shared" si="91"/>
        <v/>
      </c>
      <c r="W732" s="59" t="str">
        <f t="shared" si="88"/>
        <v/>
      </c>
      <c r="X732" s="59" t="str">
        <f t="shared" si="92"/>
        <v/>
      </c>
      <c r="AC732" s="50">
        <f t="shared" si="93"/>
        <v>0</v>
      </c>
      <c r="AD732" s="43">
        <f t="shared" si="94"/>
        <v>0</v>
      </c>
      <c r="AE732" s="50">
        <f t="shared" si="95"/>
        <v>0</v>
      </c>
    </row>
    <row r="733" spans="1:31">
      <c r="A733" s="59" t="str">
        <f t="shared" si="89"/>
        <v/>
      </c>
      <c r="B733" s="59" t="str">
        <f t="shared" si="90"/>
        <v/>
      </c>
      <c r="V733" s="59" t="str">
        <f t="shared" si="91"/>
        <v/>
      </c>
      <c r="W733" s="59" t="str">
        <f t="shared" si="88"/>
        <v/>
      </c>
      <c r="X733" s="59" t="str">
        <f t="shared" si="92"/>
        <v/>
      </c>
      <c r="AC733" s="50">
        <f t="shared" si="93"/>
        <v>0</v>
      </c>
      <c r="AD733" s="43">
        <f t="shared" si="94"/>
        <v>0</v>
      </c>
      <c r="AE733" s="50">
        <f t="shared" si="95"/>
        <v>0</v>
      </c>
    </row>
    <row r="734" spans="1:31">
      <c r="A734" s="59" t="str">
        <f t="shared" si="89"/>
        <v/>
      </c>
      <c r="B734" s="59" t="str">
        <f t="shared" si="90"/>
        <v/>
      </c>
      <c r="V734" s="59" t="str">
        <f t="shared" si="91"/>
        <v/>
      </c>
      <c r="W734" s="59" t="str">
        <f t="shared" si="88"/>
        <v/>
      </c>
      <c r="X734" s="59" t="str">
        <f t="shared" si="92"/>
        <v/>
      </c>
      <c r="AC734" s="50">
        <f t="shared" si="93"/>
        <v>0</v>
      </c>
      <c r="AD734" s="43">
        <f t="shared" si="94"/>
        <v>0</v>
      </c>
      <c r="AE734" s="50">
        <f t="shared" si="95"/>
        <v>0</v>
      </c>
    </row>
    <row r="735" spans="1:31">
      <c r="A735" s="59" t="str">
        <f t="shared" si="89"/>
        <v/>
      </c>
      <c r="B735" s="59" t="str">
        <f t="shared" si="90"/>
        <v/>
      </c>
      <c r="V735" s="59" t="str">
        <f t="shared" si="91"/>
        <v/>
      </c>
      <c r="W735" s="59" t="str">
        <f t="shared" si="88"/>
        <v/>
      </c>
      <c r="X735" s="59" t="str">
        <f t="shared" si="92"/>
        <v/>
      </c>
      <c r="AC735" s="50">
        <f t="shared" si="93"/>
        <v>0</v>
      </c>
      <c r="AD735" s="43">
        <f t="shared" si="94"/>
        <v>0</v>
      </c>
      <c r="AE735" s="50">
        <f t="shared" si="95"/>
        <v>0</v>
      </c>
    </row>
    <row r="736" spans="1:31">
      <c r="A736" s="59" t="str">
        <f t="shared" si="89"/>
        <v/>
      </c>
      <c r="B736" s="59" t="str">
        <f t="shared" si="90"/>
        <v/>
      </c>
      <c r="V736" s="59" t="str">
        <f t="shared" si="91"/>
        <v/>
      </c>
      <c r="W736" s="59" t="str">
        <f t="shared" si="88"/>
        <v/>
      </c>
      <c r="X736" s="59" t="str">
        <f t="shared" si="92"/>
        <v/>
      </c>
      <c r="AC736" s="50">
        <f t="shared" si="93"/>
        <v>0</v>
      </c>
      <c r="AD736" s="43">
        <f t="shared" si="94"/>
        <v>0</v>
      </c>
      <c r="AE736" s="50">
        <f t="shared" si="95"/>
        <v>0</v>
      </c>
    </row>
    <row r="737" spans="1:31">
      <c r="A737" s="59" t="str">
        <f t="shared" si="89"/>
        <v/>
      </c>
      <c r="B737" s="59" t="str">
        <f t="shared" si="90"/>
        <v/>
      </c>
      <c r="V737" s="59" t="str">
        <f t="shared" si="91"/>
        <v/>
      </c>
      <c r="W737" s="59" t="str">
        <f t="shared" si="88"/>
        <v/>
      </c>
      <c r="X737" s="59" t="str">
        <f t="shared" si="92"/>
        <v/>
      </c>
      <c r="AC737" s="50">
        <f t="shared" si="93"/>
        <v>0</v>
      </c>
      <c r="AD737" s="43">
        <f t="shared" si="94"/>
        <v>0</v>
      </c>
      <c r="AE737" s="50">
        <f t="shared" si="95"/>
        <v>0</v>
      </c>
    </row>
    <row r="738" spans="1:31">
      <c r="A738" s="59" t="str">
        <f t="shared" si="89"/>
        <v/>
      </c>
      <c r="B738" s="59" t="str">
        <f t="shared" si="90"/>
        <v/>
      </c>
      <c r="V738" s="59" t="str">
        <f t="shared" si="91"/>
        <v/>
      </c>
      <c r="W738" s="59" t="str">
        <f t="shared" si="88"/>
        <v/>
      </c>
      <c r="X738" s="59" t="str">
        <f t="shared" si="92"/>
        <v/>
      </c>
      <c r="AC738" s="50">
        <f t="shared" si="93"/>
        <v>0</v>
      </c>
      <c r="AD738" s="43">
        <f t="shared" si="94"/>
        <v>0</v>
      </c>
      <c r="AE738" s="50">
        <f t="shared" si="95"/>
        <v>0</v>
      </c>
    </row>
    <row r="739" spans="1:31">
      <c r="A739" s="59" t="str">
        <f t="shared" si="89"/>
        <v/>
      </c>
      <c r="B739" s="59" t="str">
        <f t="shared" si="90"/>
        <v/>
      </c>
      <c r="V739" s="59" t="str">
        <f t="shared" si="91"/>
        <v/>
      </c>
      <c r="W739" s="59" t="str">
        <f t="shared" si="88"/>
        <v/>
      </c>
      <c r="X739" s="59" t="str">
        <f t="shared" si="92"/>
        <v/>
      </c>
      <c r="AC739" s="50">
        <f t="shared" si="93"/>
        <v>0</v>
      </c>
      <c r="AD739" s="43">
        <f t="shared" si="94"/>
        <v>0</v>
      </c>
      <c r="AE739" s="50">
        <f t="shared" si="95"/>
        <v>0</v>
      </c>
    </row>
    <row r="740" spans="1:31">
      <c r="A740" s="59" t="str">
        <f t="shared" si="89"/>
        <v/>
      </c>
      <c r="B740" s="59" t="str">
        <f t="shared" si="90"/>
        <v/>
      </c>
      <c r="V740" s="59" t="str">
        <f t="shared" si="91"/>
        <v/>
      </c>
      <c r="W740" s="59" t="str">
        <f t="shared" si="88"/>
        <v/>
      </c>
      <c r="X740" s="59" t="str">
        <f t="shared" si="92"/>
        <v/>
      </c>
      <c r="AC740" s="50">
        <f t="shared" si="93"/>
        <v>0</v>
      </c>
      <c r="AD740" s="43">
        <f t="shared" si="94"/>
        <v>0</v>
      </c>
      <c r="AE740" s="50">
        <f t="shared" si="95"/>
        <v>0</v>
      </c>
    </row>
    <row r="741" spans="1:31">
      <c r="A741" s="59" t="str">
        <f t="shared" si="89"/>
        <v/>
      </c>
      <c r="B741" s="59" t="str">
        <f t="shared" si="90"/>
        <v/>
      </c>
      <c r="V741" s="59" t="str">
        <f t="shared" si="91"/>
        <v/>
      </c>
      <c r="W741" s="59" t="str">
        <f t="shared" si="88"/>
        <v/>
      </c>
      <c r="X741" s="59" t="str">
        <f t="shared" si="92"/>
        <v/>
      </c>
      <c r="AC741" s="50">
        <f t="shared" si="93"/>
        <v>0</v>
      </c>
      <c r="AD741" s="43">
        <f t="shared" si="94"/>
        <v>0</v>
      </c>
      <c r="AE741" s="50">
        <f t="shared" si="95"/>
        <v>0</v>
      </c>
    </row>
    <row r="742" spans="1:31">
      <c r="A742" s="59" t="str">
        <f t="shared" si="89"/>
        <v/>
      </c>
      <c r="B742" s="59" t="str">
        <f t="shared" si="90"/>
        <v/>
      </c>
      <c r="V742" s="59" t="str">
        <f t="shared" si="91"/>
        <v/>
      </c>
      <c r="W742" s="59" t="str">
        <f t="shared" si="88"/>
        <v/>
      </c>
      <c r="X742" s="59" t="str">
        <f t="shared" si="92"/>
        <v/>
      </c>
      <c r="AC742" s="50">
        <f t="shared" si="93"/>
        <v>0</v>
      </c>
      <c r="AD742" s="43">
        <f t="shared" si="94"/>
        <v>0</v>
      </c>
      <c r="AE742" s="50">
        <f t="shared" si="95"/>
        <v>0</v>
      </c>
    </row>
    <row r="743" spans="1:31">
      <c r="A743" s="59" t="str">
        <f t="shared" si="89"/>
        <v/>
      </c>
      <c r="B743" s="59" t="str">
        <f t="shared" si="90"/>
        <v/>
      </c>
      <c r="V743" s="59" t="str">
        <f t="shared" si="91"/>
        <v/>
      </c>
      <c r="W743" s="59" t="str">
        <f t="shared" si="88"/>
        <v/>
      </c>
      <c r="X743" s="59" t="str">
        <f t="shared" si="92"/>
        <v/>
      </c>
      <c r="AC743" s="50">
        <f t="shared" si="93"/>
        <v>0</v>
      </c>
      <c r="AD743" s="43">
        <f t="shared" si="94"/>
        <v>0</v>
      </c>
      <c r="AE743" s="50">
        <f t="shared" si="95"/>
        <v>0</v>
      </c>
    </row>
    <row r="744" spans="1:31">
      <c r="A744" s="59" t="str">
        <f t="shared" si="89"/>
        <v/>
      </c>
      <c r="B744" s="59" t="str">
        <f t="shared" si="90"/>
        <v/>
      </c>
      <c r="V744" s="59" t="str">
        <f t="shared" si="91"/>
        <v/>
      </c>
      <c r="W744" s="59" t="str">
        <f t="shared" si="88"/>
        <v/>
      </c>
      <c r="X744" s="59" t="str">
        <f t="shared" si="92"/>
        <v/>
      </c>
      <c r="AC744" s="50">
        <f t="shared" si="93"/>
        <v>0</v>
      </c>
      <c r="AD744" s="43">
        <f t="shared" si="94"/>
        <v>0</v>
      </c>
      <c r="AE744" s="50">
        <f t="shared" si="95"/>
        <v>0</v>
      </c>
    </row>
    <row r="745" spans="1:31">
      <c r="A745" s="59" t="str">
        <f t="shared" si="89"/>
        <v/>
      </c>
      <c r="B745" s="59" t="str">
        <f t="shared" si="90"/>
        <v/>
      </c>
      <c r="V745" s="59" t="str">
        <f t="shared" si="91"/>
        <v/>
      </c>
      <c r="W745" s="59" t="str">
        <f t="shared" si="88"/>
        <v/>
      </c>
      <c r="X745" s="59" t="str">
        <f t="shared" si="92"/>
        <v/>
      </c>
      <c r="AC745" s="50">
        <f t="shared" si="93"/>
        <v>0</v>
      </c>
      <c r="AD745" s="43">
        <f t="shared" si="94"/>
        <v>0</v>
      </c>
      <c r="AE745" s="50">
        <f t="shared" si="95"/>
        <v>0</v>
      </c>
    </row>
    <row r="746" spans="1:31">
      <c r="A746" s="59" t="str">
        <f t="shared" si="89"/>
        <v/>
      </c>
      <c r="B746" s="59" t="str">
        <f t="shared" si="90"/>
        <v/>
      </c>
      <c r="V746" s="59" t="str">
        <f t="shared" si="91"/>
        <v/>
      </c>
      <c r="W746" s="59" t="str">
        <f t="shared" si="88"/>
        <v/>
      </c>
      <c r="X746" s="59" t="str">
        <f t="shared" si="92"/>
        <v/>
      </c>
      <c r="AC746" s="50">
        <f t="shared" si="93"/>
        <v>0</v>
      </c>
      <c r="AD746" s="43">
        <f t="shared" si="94"/>
        <v>0</v>
      </c>
      <c r="AE746" s="50">
        <f t="shared" si="95"/>
        <v>0</v>
      </c>
    </row>
    <row r="747" spans="1:31">
      <c r="A747" s="59" t="str">
        <f t="shared" si="89"/>
        <v/>
      </c>
      <c r="B747" s="59" t="str">
        <f t="shared" si="90"/>
        <v/>
      </c>
      <c r="V747" s="59" t="str">
        <f t="shared" si="91"/>
        <v/>
      </c>
      <c r="W747" s="59" t="str">
        <f t="shared" si="88"/>
        <v/>
      </c>
      <c r="X747" s="59" t="str">
        <f t="shared" si="92"/>
        <v/>
      </c>
      <c r="AC747" s="50">
        <f t="shared" si="93"/>
        <v>0</v>
      </c>
      <c r="AD747" s="43">
        <f t="shared" si="94"/>
        <v>0</v>
      </c>
      <c r="AE747" s="50">
        <f t="shared" si="95"/>
        <v>0</v>
      </c>
    </row>
    <row r="748" spans="1:31">
      <c r="A748" s="59" t="str">
        <f t="shared" si="89"/>
        <v/>
      </c>
      <c r="B748" s="59" t="str">
        <f t="shared" si="90"/>
        <v/>
      </c>
      <c r="V748" s="59" t="str">
        <f t="shared" si="91"/>
        <v/>
      </c>
      <c r="W748" s="59" t="str">
        <f t="shared" si="88"/>
        <v/>
      </c>
      <c r="X748" s="59" t="str">
        <f t="shared" si="92"/>
        <v/>
      </c>
      <c r="AC748" s="50">
        <f t="shared" si="93"/>
        <v>0</v>
      </c>
      <c r="AD748" s="43">
        <f t="shared" si="94"/>
        <v>0</v>
      </c>
      <c r="AE748" s="50">
        <f t="shared" si="95"/>
        <v>0</v>
      </c>
    </row>
    <row r="749" spans="1:31">
      <c r="A749" s="59" t="str">
        <f t="shared" si="89"/>
        <v/>
      </c>
      <c r="B749" s="59" t="str">
        <f t="shared" si="90"/>
        <v/>
      </c>
      <c r="V749" s="59" t="str">
        <f t="shared" si="91"/>
        <v/>
      </c>
      <c r="W749" s="59" t="str">
        <f t="shared" si="88"/>
        <v/>
      </c>
      <c r="X749" s="59" t="str">
        <f t="shared" si="92"/>
        <v/>
      </c>
      <c r="AC749" s="50">
        <f t="shared" si="93"/>
        <v>0</v>
      </c>
      <c r="AD749" s="43">
        <f t="shared" si="94"/>
        <v>0</v>
      </c>
      <c r="AE749" s="50">
        <f t="shared" si="95"/>
        <v>0</v>
      </c>
    </row>
    <row r="750" spans="1:31">
      <c r="A750" s="59" t="str">
        <f t="shared" si="89"/>
        <v/>
      </c>
      <c r="B750" s="59" t="str">
        <f t="shared" si="90"/>
        <v/>
      </c>
      <c r="V750" s="59" t="str">
        <f t="shared" si="91"/>
        <v/>
      </c>
      <c r="W750" s="59" t="str">
        <f t="shared" si="88"/>
        <v/>
      </c>
      <c r="X750" s="59" t="str">
        <f t="shared" si="92"/>
        <v/>
      </c>
      <c r="AC750" s="50">
        <f t="shared" si="93"/>
        <v>0</v>
      </c>
      <c r="AD750" s="43">
        <f t="shared" si="94"/>
        <v>0</v>
      </c>
      <c r="AE750" s="50">
        <f t="shared" si="95"/>
        <v>0</v>
      </c>
    </row>
    <row r="751" spans="1:31">
      <c r="A751" s="59" t="str">
        <f t="shared" si="89"/>
        <v/>
      </c>
      <c r="B751" s="59" t="str">
        <f t="shared" si="90"/>
        <v/>
      </c>
      <c r="V751" s="59" t="str">
        <f t="shared" si="91"/>
        <v/>
      </c>
      <c r="W751" s="59" t="str">
        <f t="shared" si="88"/>
        <v/>
      </c>
      <c r="X751" s="59" t="str">
        <f t="shared" si="92"/>
        <v/>
      </c>
      <c r="AC751" s="50">
        <f t="shared" si="93"/>
        <v>0</v>
      </c>
      <c r="AD751" s="43">
        <f t="shared" si="94"/>
        <v>0</v>
      </c>
      <c r="AE751" s="50">
        <f t="shared" si="95"/>
        <v>0</v>
      </c>
    </row>
    <row r="752" spans="1:31">
      <c r="A752" s="59" t="str">
        <f t="shared" si="89"/>
        <v/>
      </c>
      <c r="B752" s="59" t="str">
        <f t="shared" si="90"/>
        <v/>
      </c>
      <c r="V752" s="59" t="str">
        <f t="shared" si="91"/>
        <v/>
      </c>
      <c r="W752" s="59" t="str">
        <f t="shared" si="88"/>
        <v/>
      </c>
      <c r="X752" s="59" t="str">
        <f t="shared" si="92"/>
        <v/>
      </c>
      <c r="AC752" s="50">
        <f t="shared" si="93"/>
        <v>0</v>
      </c>
      <c r="AD752" s="43">
        <f t="shared" si="94"/>
        <v>0</v>
      </c>
      <c r="AE752" s="50">
        <f t="shared" si="95"/>
        <v>0</v>
      </c>
    </row>
    <row r="753" spans="1:31">
      <c r="A753" s="59" t="str">
        <f t="shared" si="89"/>
        <v/>
      </c>
      <c r="B753" s="59" t="str">
        <f t="shared" si="90"/>
        <v/>
      </c>
      <c r="V753" s="59" t="str">
        <f t="shared" si="91"/>
        <v/>
      </c>
      <c r="W753" s="59" t="str">
        <f t="shared" si="88"/>
        <v/>
      </c>
      <c r="X753" s="59" t="str">
        <f t="shared" si="92"/>
        <v/>
      </c>
      <c r="AC753" s="50">
        <f t="shared" si="93"/>
        <v>0</v>
      </c>
      <c r="AD753" s="43">
        <f t="shared" si="94"/>
        <v>0</v>
      </c>
      <c r="AE753" s="50">
        <f t="shared" si="95"/>
        <v>0</v>
      </c>
    </row>
    <row r="754" spans="1:31">
      <c r="A754" s="59" t="str">
        <f t="shared" si="89"/>
        <v/>
      </c>
      <c r="B754" s="59" t="str">
        <f t="shared" si="90"/>
        <v/>
      </c>
      <c r="V754" s="59" t="str">
        <f t="shared" si="91"/>
        <v/>
      </c>
      <c r="W754" s="59" t="str">
        <f t="shared" si="88"/>
        <v/>
      </c>
      <c r="X754" s="59" t="str">
        <f t="shared" si="92"/>
        <v/>
      </c>
      <c r="AC754" s="50">
        <f t="shared" si="93"/>
        <v>0</v>
      </c>
      <c r="AD754" s="43">
        <f t="shared" si="94"/>
        <v>0</v>
      </c>
      <c r="AE754" s="50">
        <f t="shared" si="95"/>
        <v>0</v>
      </c>
    </row>
    <row r="755" spans="1:31">
      <c r="A755" s="59" t="str">
        <f t="shared" si="89"/>
        <v/>
      </c>
      <c r="B755" s="59" t="str">
        <f t="shared" si="90"/>
        <v/>
      </c>
      <c r="V755" s="59" t="str">
        <f t="shared" si="91"/>
        <v/>
      </c>
      <c r="W755" s="59" t="str">
        <f t="shared" si="88"/>
        <v/>
      </c>
      <c r="X755" s="59" t="str">
        <f t="shared" si="92"/>
        <v/>
      </c>
      <c r="AC755" s="50">
        <f t="shared" si="93"/>
        <v>0</v>
      </c>
      <c r="AD755" s="43">
        <f t="shared" si="94"/>
        <v>0</v>
      </c>
      <c r="AE755" s="50">
        <f t="shared" si="95"/>
        <v>0</v>
      </c>
    </row>
    <row r="756" spans="1:31">
      <c r="A756" s="59" t="str">
        <f t="shared" si="89"/>
        <v/>
      </c>
      <c r="B756" s="59" t="str">
        <f t="shared" si="90"/>
        <v/>
      </c>
      <c r="V756" s="59" t="str">
        <f t="shared" si="91"/>
        <v/>
      </c>
      <c r="W756" s="59" t="str">
        <f t="shared" si="88"/>
        <v/>
      </c>
      <c r="X756" s="59" t="str">
        <f t="shared" si="92"/>
        <v/>
      </c>
      <c r="AC756" s="50">
        <f t="shared" si="93"/>
        <v>0</v>
      </c>
      <c r="AD756" s="43">
        <f t="shared" si="94"/>
        <v>0</v>
      </c>
      <c r="AE756" s="50">
        <f t="shared" si="95"/>
        <v>0</v>
      </c>
    </row>
    <row r="757" spans="1:31">
      <c r="A757" s="59" t="str">
        <f t="shared" si="89"/>
        <v/>
      </c>
      <c r="B757" s="59" t="str">
        <f t="shared" si="90"/>
        <v/>
      </c>
      <c r="V757" s="59" t="str">
        <f t="shared" si="91"/>
        <v/>
      </c>
      <c r="W757" s="59" t="str">
        <f t="shared" si="88"/>
        <v/>
      </c>
      <c r="X757" s="59" t="str">
        <f t="shared" si="92"/>
        <v/>
      </c>
      <c r="AC757" s="50">
        <f t="shared" si="93"/>
        <v>0</v>
      </c>
      <c r="AD757" s="43">
        <f t="shared" si="94"/>
        <v>0</v>
      </c>
      <c r="AE757" s="50">
        <f t="shared" si="95"/>
        <v>0</v>
      </c>
    </row>
    <row r="758" spans="1:31">
      <c r="A758" s="59" t="str">
        <f t="shared" si="89"/>
        <v/>
      </c>
      <c r="B758" s="59" t="str">
        <f t="shared" si="90"/>
        <v/>
      </c>
      <c r="V758" s="59" t="str">
        <f t="shared" si="91"/>
        <v/>
      </c>
      <c r="W758" s="59" t="str">
        <f t="shared" si="88"/>
        <v/>
      </c>
      <c r="X758" s="59" t="str">
        <f t="shared" si="92"/>
        <v/>
      </c>
      <c r="AC758" s="50">
        <f t="shared" si="93"/>
        <v>0</v>
      </c>
      <c r="AD758" s="43">
        <f t="shared" si="94"/>
        <v>0</v>
      </c>
      <c r="AE758" s="50">
        <f t="shared" si="95"/>
        <v>0</v>
      </c>
    </row>
    <row r="759" spans="1:31">
      <c r="A759" s="59" t="str">
        <f t="shared" si="89"/>
        <v/>
      </c>
      <c r="B759" s="59" t="str">
        <f t="shared" si="90"/>
        <v/>
      </c>
      <c r="V759" s="59" t="str">
        <f t="shared" si="91"/>
        <v/>
      </c>
      <c r="W759" s="59" t="str">
        <f t="shared" si="88"/>
        <v/>
      </c>
      <c r="X759" s="59" t="str">
        <f t="shared" si="92"/>
        <v/>
      </c>
      <c r="AC759" s="50">
        <f t="shared" si="93"/>
        <v>0</v>
      </c>
      <c r="AD759" s="43">
        <f t="shared" si="94"/>
        <v>0</v>
      </c>
      <c r="AE759" s="50">
        <f t="shared" si="95"/>
        <v>0</v>
      </c>
    </row>
    <row r="760" spans="1:31">
      <c r="A760" s="59" t="str">
        <f t="shared" si="89"/>
        <v/>
      </c>
      <c r="B760" s="59" t="str">
        <f t="shared" si="90"/>
        <v/>
      </c>
      <c r="V760" s="59" t="str">
        <f t="shared" si="91"/>
        <v/>
      </c>
      <c r="W760" s="59" t="str">
        <f t="shared" si="88"/>
        <v/>
      </c>
      <c r="X760" s="59" t="str">
        <f t="shared" si="92"/>
        <v/>
      </c>
      <c r="AC760" s="50">
        <f t="shared" si="93"/>
        <v>0</v>
      </c>
      <c r="AD760" s="43">
        <f t="shared" si="94"/>
        <v>0</v>
      </c>
      <c r="AE760" s="50">
        <f t="shared" si="95"/>
        <v>0</v>
      </c>
    </row>
    <row r="761" spans="1:31">
      <c r="A761" s="59" t="str">
        <f t="shared" si="89"/>
        <v/>
      </c>
      <c r="B761" s="59" t="str">
        <f t="shared" si="90"/>
        <v/>
      </c>
      <c r="V761" s="59" t="str">
        <f t="shared" si="91"/>
        <v/>
      </c>
      <c r="W761" s="59" t="str">
        <f t="shared" si="88"/>
        <v/>
      </c>
      <c r="X761" s="59" t="str">
        <f t="shared" si="92"/>
        <v/>
      </c>
      <c r="AC761" s="50">
        <f t="shared" si="93"/>
        <v>0</v>
      </c>
      <c r="AD761" s="43">
        <f t="shared" si="94"/>
        <v>0</v>
      </c>
      <c r="AE761" s="50">
        <f t="shared" si="95"/>
        <v>0</v>
      </c>
    </row>
    <row r="762" spans="1:31">
      <c r="A762" s="59" t="str">
        <f t="shared" si="89"/>
        <v/>
      </c>
      <c r="B762" s="59" t="str">
        <f t="shared" si="90"/>
        <v/>
      </c>
      <c r="V762" s="59" t="str">
        <f t="shared" si="91"/>
        <v/>
      </c>
      <c r="W762" s="59" t="str">
        <f t="shared" si="88"/>
        <v/>
      </c>
      <c r="X762" s="59" t="str">
        <f t="shared" si="92"/>
        <v/>
      </c>
      <c r="AC762" s="50">
        <f t="shared" si="93"/>
        <v>0</v>
      </c>
      <c r="AD762" s="43">
        <f t="shared" si="94"/>
        <v>0</v>
      </c>
      <c r="AE762" s="50">
        <f t="shared" si="95"/>
        <v>0</v>
      </c>
    </row>
    <row r="763" spans="1:31">
      <c r="A763" s="59" t="str">
        <f t="shared" si="89"/>
        <v/>
      </c>
      <c r="B763" s="59" t="str">
        <f t="shared" si="90"/>
        <v/>
      </c>
      <c r="V763" s="59" t="str">
        <f t="shared" si="91"/>
        <v/>
      </c>
      <c r="W763" s="59" t="str">
        <f t="shared" si="88"/>
        <v/>
      </c>
      <c r="X763" s="59" t="str">
        <f t="shared" si="92"/>
        <v/>
      </c>
      <c r="AC763" s="50">
        <f t="shared" si="93"/>
        <v>0</v>
      </c>
      <c r="AD763" s="43">
        <f t="shared" si="94"/>
        <v>0</v>
      </c>
      <c r="AE763" s="50">
        <f t="shared" si="95"/>
        <v>0</v>
      </c>
    </row>
    <row r="764" spans="1:31">
      <c r="A764" s="59" t="str">
        <f t="shared" si="89"/>
        <v/>
      </c>
      <c r="B764" s="59" t="str">
        <f t="shared" si="90"/>
        <v/>
      </c>
      <c r="V764" s="59" t="str">
        <f t="shared" si="91"/>
        <v/>
      </c>
      <c r="W764" s="59" t="str">
        <f t="shared" si="88"/>
        <v/>
      </c>
      <c r="X764" s="59" t="str">
        <f t="shared" si="92"/>
        <v/>
      </c>
      <c r="AC764" s="50">
        <f t="shared" si="93"/>
        <v>0</v>
      </c>
      <c r="AD764" s="43">
        <f t="shared" si="94"/>
        <v>0</v>
      </c>
      <c r="AE764" s="50">
        <f t="shared" si="95"/>
        <v>0</v>
      </c>
    </row>
    <row r="765" spans="1:31">
      <c r="A765" s="59" t="str">
        <f t="shared" si="89"/>
        <v/>
      </c>
      <c r="B765" s="59" t="str">
        <f t="shared" si="90"/>
        <v/>
      </c>
      <c r="V765" s="59" t="str">
        <f t="shared" si="91"/>
        <v/>
      </c>
      <c r="W765" s="59" t="str">
        <f t="shared" si="88"/>
        <v/>
      </c>
      <c r="X765" s="59" t="str">
        <f t="shared" si="92"/>
        <v/>
      </c>
      <c r="AC765" s="50">
        <f t="shared" si="93"/>
        <v>0</v>
      </c>
      <c r="AD765" s="43">
        <f t="shared" si="94"/>
        <v>0</v>
      </c>
      <c r="AE765" s="50">
        <f t="shared" si="95"/>
        <v>0</v>
      </c>
    </row>
    <row r="766" spans="1:31">
      <c r="A766" s="59" t="str">
        <f t="shared" si="89"/>
        <v/>
      </c>
      <c r="B766" s="59" t="str">
        <f t="shared" si="90"/>
        <v/>
      </c>
      <c r="V766" s="59" t="str">
        <f t="shared" si="91"/>
        <v/>
      </c>
      <c r="W766" s="59" t="str">
        <f t="shared" si="88"/>
        <v/>
      </c>
      <c r="X766" s="59" t="str">
        <f t="shared" si="92"/>
        <v/>
      </c>
      <c r="AC766" s="50">
        <f t="shared" si="93"/>
        <v>0</v>
      </c>
      <c r="AD766" s="43">
        <f t="shared" si="94"/>
        <v>0</v>
      </c>
      <c r="AE766" s="50">
        <f t="shared" si="95"/>
        <v>0</v>
      </c>
    </row>
    <row r="767" spans="1:31">
      <c r="A767" s="59" t="str">
        <f t="shared" si="89"/>
        <v/>
      </c>
      <c r="B767" s="59" t="str">
        <f t="shared" si="90"/>
        <v/>
      </c>
      <c r="V767" s="59" t="str">
        <f t="shared" si="91"/>
        <v/>
      </c>
      <c r="W767" s="59" t="str">
        <f t="shared" si="88"/>
        <v/>
      </c>
      <c r="X767" s="59" t="str">
        <f t="shared" si="92"/>
        <v/>
      </c>
      <c r="AC767" s="50">
        <f t="shared" si="93"/>
        <v>0</v>
      </c>
      <c r="AD767" s="43">
        <f t="shared" si="94"/>
        <v>0</v>
      </c>
      <c r="AE767" s="50">
        <f t="shared" si="95"/>
        <v>0</v>
      </c>
    </row>
    <row r="768" spans="1:31">
      <c r="A768" s="59" t="str">
        <f t="shared" si="89"/>
        <v/>
      </c>
      <c r="B768" s="59" t="str">
        <f t="shared" si="90"/>
        <v/>
      </c>
      <c r="V768" s="59" t="str">
        <f t="shared" si="91"/>
        <v/>
      </c>
      <c r="W768" s="59" t="str">
        <f t="shared" si="88"/>
        <v/>
      </c>
      <c r="X768" s="59" t="str">
        <f t="shared" si="92"/>
        <v/>
      </c>
      <c r="AC768" s="50">
        <f t="shared" si="93"/>
        <v>0</v>
      </c>
      <c r="AD768" s="43">
        <f t="shared" si="94"/>
        <v>0</v>
      </c>
      <c r="AE768" s="50">
        <f t="shared" si="95"/>
        <v>0</v>
      </c>
    </row>
    <row r="769" spans="1:31">
      <c r="A769" s="59" t="str">
        <f t="shared" si="89"/>
        <v/>
      </c>
      <c r="B769" s="59" t="str">
        <f t="shared" si="90"/>
        <v/>
      </c>
      <c r="V769" s="59" t="str">
        <f t="shared" si="91"/>
        <v/>
      </c>
      <c r="W769" s="59" t="str">
        <f t="shared" si="88"/>
        <v/>
      </c>
      <c r="X769" s="59" t="str">
        <f t="shared" si="92"/>
        <v/>
      </c>
      <c r="AC769" s="50">
        <f t="shared" si="93"/>
        <v>0</v>
      </c>
      <c r="AD769" s="43">
        <f t="shared" si="94"/>
        <v>0</v>
      </c>
      <c r="AE769" s="50">
        <f t="shared" si="95"/>
        <v>0</v>
      </c>
    </row>
    <row r="770" spans="1:31">
      <c r="A770" s="59" t="str">
        <f t="shared" si="89"/>
        <v/>
      </c>
      <c r="B770" s="59" t="str">
        <f t="shared" si="90"/>
        <v/>
      </c>
      <c r="V770" s="59" t="str">
        <f t="shared" si="91"/>
        <v/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59" t="str">
        <f t="shared" si="92"/>
        <v/>
      </c>
      <c r="AC770" s="50">
        <f t="shared" si="93"/>
        <v>0</v>
      </c>
      <c r="AD770" s="43">
        <f t="shared" si="94"/>
        <v>0</v>
      </c>
      <c r="AE770" s="50">
        <f t="shared" si="95"/>
        <v>0</v>
      </c>
    </row>
    <row r="771" spans="1:31">
      <c r="A771" s="59" t="str">
        <f t="shared" ref="A771:A834" si="97">IF(G771&amp;Q771&lt;&gt;"",W771&amp;Q771,"")</f>
        <v/>
      </c>
      <c r="B771" s="59" t="str">
        <f t="shared" ref="B771:B834" si="98">IF(C771&lt;&gt;"",LEFT(C771,9),"")</f>
        <v/>
      </c>
      <c r="V771" s="59" t="str">
        <f t="shared" ref="V771:V834" si="99">W771&amp;H771</f>
        <v/>
      </c>
      <c r="W771" s="59" t="str">
        <f t="shared" si="96"/>
        <v/>
      </c>
      <c r="X771" s="59" t="str">
        <f t="shared" ref="X771:X834" si="100">IF(A771&lt;&gt;"",IFERROR(IF(FIND(" ",G771)&gt;=1,MID(G771,FIND(" ",G771)+1,LEN(G771)),""),""),"")</f>
        <v/>
      </c>
      <c r="AC771" s="50">
        <f t="shared" ref="AC771:AC834" si="101">IFERROR(VALUE(MID($C771,1,2)),0)</f>
        <v>0</v>
      </c>
      <c r="AD771" s="43">
        <f t="shared" ref="AD771:AD834" si="102">IFERROR(VALUE(MID($C771,4,3)),0)</f>
        <v>0</v>
      </c>
      <c r="AE771" s="50">
        <f t="shared" ref="AE771:AE834" si="103">VALUE(RIGHT("00"&amp;AC771,2)&amp;RIGHT("000"&amp;AD771,3))</f>
        <v>0</v>
      </c>
    </row>
    <row r="772" spans="1:31">
      <c r="A772" s="59" t="str">
        <f t="shared" si="97"/>
        <v/>
      </c>
      <c r="B772" s="59" t="str">
        <f t="shared" si="98"/>
        <v/>
      </c>
      <c r="V772" s="59" t="str">
        <f t="shared" si="99"/>
        <v/>
      </c>
      <c r="W772" s="59" t="str">
        <f t="shared" si="96"/>
        <v/>
      </c>
      <c r="X772" s="59" t="str">
        <f t="shared" si="100"/>
        <v/>
      </c>
      <c r="AC772" s="50">
        <f t="shared" si="101"/>
        <v>0</v>
      </c>
      <c r="AD772" s="43">
        <f t="shared" si="102"/>
        <v>0</v>
      </c>
      <c r="AE772" s="50">
        <f t="shared" si="103"/>
        <v>0</v>
      </c>
    </row>
    <row r="773" spans="1:31">
      <c r="A773" s="59" t="str">
        <f t="shared" si="97"/>
        <v/>
      </c>
      <c r="B773" s="59" t="str">
        <f t="shared" si="98"/>
        <v/>
      </c>
      <c r="V773" s="59" t="str">
        <f t="shared" si="99"/>
        <v/>
      </c>
      <c r="W773" s="59" t="str">
        <f t="shared" si="96"/>
        <v/>
      </c>
      <c r="X773" s="59" t="str">
        <f t="shared" si="100"/>
        <v/>
      </c>
      <c r="AC773" s="50">
        <f t="shared" si="101"/>
        <v>0</v>
      </c>
      <c r="AD773" s="43">
        <f t="shared" si="102"/>
        <v>0</v>
      </c>
      <c r="AE773" s="50">
        <f t="shared" si="103"/>
        <v>0</v>
      </c>
    </row>
    <row r="774" spans="1:31">
      <c r="A774" s="59" t="str">
        <f t="shared" si="97"/>
        <v/>
      </c>
      <c r="B774" s="59" t="str">
        <f t="shared" si="98"/>
        <v/>
      </c>
      <c r="V774" s="59" t="str">
        <f t="shared" si="99"/>
        <v/>
      </c>
      <c r="W774" s="59" t="str">
        <f t="shared" si="96"/>
        <v/>
      </c>
      <c r="X774" s="59" t="str">
        <f t="shared" si="100"/>
        <v/>
      </c>
      <c r="AC774" s="50">
        <f t="shared" si="101"/>
        <v>0</v>
      </c>
      <c r="AD774" s="43">
        <f t="shared" si="102"/>
        <v>0</v>
      </c>
      <c r="AE774" s="50">
        <f t="shared" si="103"/>
        <v>0</v>
      </c>
    </row>
    <row r="775" spans="1:31">
      <c r="A775" s="59" t="str">
        <f t="shared" si="97"/>
        <v/>
      </c>
      <c r="B775" s="59" t="str">
        <f t="shared" si="98"/>
        <v/>
      </c>
      <c r="V775" s="59" t="str">
        <f t="shared" si="99"/>
        <v/>
      </c>
      <c r="W775" s="59" t="str">
        <f t="shared" si="96"/>
        <v/>
      </c>
      <c r="X775" s="59" t="str">
        <f t="shared" si="100"/>
        <v/>
      </c>
      <c r="AC775" s="50">
        <f t="shared" si="101"/>
        <v>0</v>
      </c>
      <c r="AD775" s="43">
        <f t="shared" si="102"/>
        <v>0</v>
      </c>
      <c r="AE775" s="50">
        <f t="shared" si="103"/>
        <v>0</v>
      </c>
    </row>
    <row r="776" spans="1:31">
      <c r="A776" s="59" t="str">
        <f t="shared" si="97"/>
        <v/>
      </c>
      <c r="B776" s="59" t="str">
        <f t="shared" si="98"/>
        <v/>
      </c>
      <c r="V776" s="59" t="str">
        <f t="shared" si="99"/>
        <v/>
      </c>
      <c r="W776" s="59" t="str">
        <f t="shared" si="96"/>
        <v/>
      </c>
      <c r="X776" s="59" t="str">
        <f t="shared" si="100"/>
        <v/>
      </c>
      <c r="AC776" s="50">
        <f t="shared" si="101"/>
        <v>0</v>
      </c>
      <c r="AD776" s="43">
        <f t="shared" si="102"/>
        <v>0</v>
      </c>
      <c r="AE776" s="50">
        <f t="shared" si="103"/>
        <v>0</v>
      </c>
    </row>
    <row r="777" spans="1:31">
      <c r="A777" s="59" t="str">
        <f t="shared" si="97"/>
        <v/>
      </c>
      <c r="B777" s="59" t="str">
        <f t="shared" si="98"/>
        <v/>
      </c>
      <c r="V777" s="59" t="str">
        <f t="shared" si="99"/>
        <v/>
      </c>
      <c r="W777" s="59" t="str">
        <f t="shared" si="96"/>
        <v/>
      </c>
      <c r="X777" s="59" t="str">
        <f t="shared" si="100"/>
        <v/>
      </c>
      <c r="AC777" s="50">
        <f t="shared" si="101"/>
        <v>0</v>
      </c>
      <c r="AD777" s="43">
        <f t="shared" si="102"/>
        <v>0</v>
      </c>
      <c r="AE777" s="50">
        <f t="shared" si="103"/>
        <v>0</v>
      </c>
    </row>
    <row r="778" spans="1:31">
      <c r="A778" s="59" t="str">
        <f t="shared" si="97"/>
        <v/>
      </c>
      <c r="B778" s="59" t="str">
        <f t="shared" si="98"/>
        <v/>
      </c>
      <c r="V778" s="59" t="str">
        <f t="shared" si="99"/>
        <v/>
      </c>
      <c r="W778" s="59" t="str">
        <f t="shared" si="96"/>
        <v/>
      </c>
      <c r="X778" s="59" t="str">
        <f t="shared" si="100"/>
        <v/>
      </c>
      <c r="AC778" s="50">
        <f t="shared" si="101"/>
        <v>0</v>
      </c>
      <c r="AD778" s="43">
        <f t="shared" si="102"/>
        <v>0</v>
      </c>
      <c r="AE778" s="50">
        <f t="shared" si="103"/>
        <v>0</v>
      </c>
    </row>
    <row r="779" spans="1:31">
      <c r="A779" s="59" t="str">
        <f t="shared" si="97"/>
        <v/>
      </c>
      <c r="B779" s="59" t="str">
        <f t="shared" si="98"/>
        <v/>
      </c>
      <c r="V779" s="59" t="str">
        <f t="shared" si="99"/>
        <v/>
      </c>
      <c r="W779" s="59" t="str">
        <f t="shared" si="96"/>
        <v/>
      </c>
      <c r="X779" s="59" t="str">
        <f t="shared" si="100"/>
        <v/>
      </c>
      <c r="AC779" s="50">
        <f t="shared" si="101"/>
        <v>0</v>
      </c>
      <c r="AD779" s="43">
        <f t="shared" si="102"/>
        <v>0</v>
      </c>
      <c r="AE779" s="50">
        <f t="shared" si="103"/>
        <v>0</v>
      </c>
    </row>
    <row r="780" spans="1:31">
      <c r="A780" s="59" t="str">
        <f t="shared" si="97"/>
        <v/>
      </c>
      <c r="B780" s="59" t="str">
        <f t="shared" si="98"/>
        <v/>
      </c>
      <c r="V780" s="59" t="str">
        <f t="shared" si="99"/>
        <v/>
      </c>
      <c r="W780" s="59" t="str">
        <f t="shared" si="96"/>
        <v/>
      </c>
      <c r="X780" s="59" t="str">
        <f t="shared" si="100"/>
        <v/>
      </c>
      <c r="AC780" s="50">
        <f t="shared" si="101"/>
        <v>0</v>
      </c>
      <c r="AD780" s="43">
        <f t="shared" si="102"/>
        <v>0</v>
      </c>
      <c r="AE780" s="50">
        <f t="shared" si="103"/>
        <v>0</v>
      </c>
    </row>
    <row r="781" spans="1:31">
      <c r="A781" s="59" t="str">
        <f t="shared" si="97"/>
        <v/>
      </c>
      <c r="B781" s="59" t="str">
        <f t="shared" si="98"/>
        <v/>
      </c>
      <c r="V781" s="59" t="str">
        <f t="shared" si="99"/>
        <v/>
      </c>
      <c r="W781" s="59" t="str">
        <f t="shared" si="96"/>
        <v/>
      </c>
      <c r="X781" s="59" t="str">
        <f t="shared" si="100"/>
        <v/>
      </c>
      <c r="AC781" s="50">
        <f t="shared" si="101"/>
        <v>0</v>
      </c>
      <c r="AD781" s="43">
        <f t="shared" si="102"/>
        <v>0</v>
      </c>
      <c r="AE781" s="50">
        <f t="shared" si="103"/>
        <v>0</v>
      </c>
    </row>
    <row r="782" spans="1:31">
      <c r="A782" s="59" t="str">
        <f t="shared" si="97"/>
        <v/>
      </c>
      <c r="B782" s="59" t="str">
        <f t="shared" si="98"/>
        <v/>
      </c>
      <c r="V782" s="59" t="str">
        <f t="shared" si="99"/>
        <v/>
      </c>
      <c r="W782" s="59" t="str">
        <f t="shared" si="96"/>
        <v/>
      </c>
      <c r="X782" s="59" t="str">
        <f t="shared" si="100"/>
        <v/>
      </c>
      <c r="AC782" s="50">
        <f t="shared" si="101"/>
        <v>0</v>
      </c>
      <c r="AD782" s="43">
        <f t="shared" si="102"/>
        <v>0</v>
      </c>
      <c r="AE782" s="50">
        <f t="shared" si="103"/>
        <v>0</v>
      </c>
    </row>
    <row r="783" spans="1:31">
      <c r="A783" s="59" t="str">
        <f t="shared" si="97"/>
        <v/>
      </c>
      <c r="B783" s="59" t="str">
        <f t="shared" si="98"/>
        <v/>
      </c>
      <c r="V783" s="59" t="str">
        <f t="shared" si="99"/>
        <v/>
      </c>
      <c r="W783" s="59" t="str">
        <f t="shared" si="96"/>
        <v/>
      </c>
      <c r="X783" s="59" t="str">
        <f t="shared" si="100"/>
        <v/>
      </c>
      <c r="AC783" s="50">
        <f t="shared" si="101"/>
        <v>0</v>
      </c>
      <c r="AD783" s="43">
        <f t="shared" si="102"/>
        <v>0</v>
      </c>
      <c r="AE783" s="50">
        <f t="shared" si="103"/>
        <v>0</v>
      </c>
    </row>
    <row r="784" spans="1:31">
      <c r="A784" s="59" t="str">
        <f t="shared" si="97"/>
        <v/>
      </c>
      <c r="B784" s="59" t="str">
        <f t="shared" si="98"/>
        <v/>
      </c>
      <c r="V784" s="59" t="str">
        <f t="shared" si="99"/>
        <v/>
      </c>
      <c r="W784" s="59" t="str">
        <f t="shared" si="96"/>
        <v/>
      </c>
      <c r="X784" s="59" t="str">
        <f t="shared" si="100"/>
        <v/>
      </c>
      <c r="AC784" s="50">
        <f t="shared" si="101"/>
        <v>0</v>
      </c>
      <c r="AD784" s="43">
        <f t="shared" si="102"/>
        <v>0</v>
      </c>
      <c r="AE784" s="50">
        <f t="shared" si="103"/>
        <v>0</v>
      </c>
    </row>
    <row r="785" spans="1:31">
      <c r="A785" s="59" t="str">
        <f t="shared" si="97"/>
        <v/>
      </c>
      <c r="B785" s="59" t="str">
        <f t="shared" si="98"/>
        <v/>
      </c>
      <c r="V785" s="59" t="str">
        <f t="shared" si="99"/>
        <v/>
      </c>
      <c r="W785" s="59" t="str">
        <f t="shared" si="96"/>
        <v/>
      </c>
      <c r="X785" s="59" t="str">
        <f t="shared" si="100"/>
        <v/>
      </c>
      <c r="AC785" s="50">
        <f t="shared" si="101"/>
        <v>0</v>
      </c>
      <c r="AD785" s="43">
        <f t="shared" si="102"/>
        <v>0</v>
      </c>
      <c r="AE785" s="50">
        <f t="shared" si="103"/>
        <v>0</v>
      </c>
    </row>
    <row r="786" spans="1:31">
      <c r="A786" s="59" t="str">
        <f t="shared" si="97"/>
        <v/>
      </c>
      <c r="B786" s="59" t="str">
        <f t="shared" si="98"/>
        <v/>
      </c>
      <c r="V786" s="59" t="str">
        <f t="shared" si="99"/>
        <v/>
      </c>
      <c r="W786" s="59" t="str">
        <f t="shared" si="96"/>
        <v/>
      </c>
      <c r="X786" s="59" t="str">
        <f t="shared" si="100"/>
        <v/>
      </c>
      <c r="AC786" s="50">
        <f t="shared" si="101"/>
        <v>0</v>
      </c>
      <c r="AD786" s="43">
        <f t="shared" si="102"/>
        <v>0</v>
      </c>
      <c r="AE786" s="50">
        <f t="shared" si="103"/>
        <v>0</v>
      </c>
    </row>
    <row r="787" spans="1:31">
      <c r="A787" s="59" t="str">
        <f t="shared" si="97"/>
        <v/>
      </c>
      <c r="B787" s="59" t="str">
        <f t="shared" si="98"/>
        <v/>
      </c>
      <c r="V787" s="59" t="str">
        <f t="shared" si="99"/>
        <v/>
      </c>
      <c r="W787" s="59" t="str">
        <f t="shared" si="96"/>
        <v/>
      </c>
      <c r="X787" s="59" t="str">
        <f t="shared" si="100"/>
        <v/>
      </c>
      <c r="AC787" s="50">
        <f t="shared" si="101"/>
        <v>0</v>
      </c>
      <c r="AD787" s="43">
        <f t="shared" si="102"/>
        <v>0</v>
      </c>
      <c r="AE787" s="50">
        <f t="shared" si="103"/>
        <v>0</v>
      </c>
    </row>
    <row r="788" spans="1:31">
      <c r="A788" s="59" t="str">
        <f t="shared" si="97"/>
        <v/>
      </c>
      <c r="B788" s="59" t="str">
        <f t="shared" si="98"/>
        <v/>
      </c>
      <c r="V788" s="59" t="str">
        <f t="shared" si="99"/>
        <v/>
      </c>
      <c r="W788" s="59" t="str">
        <f t="shared" si="96"/>
        <v/>
      </c>
      <c r="X788" s="59" t="str">
        <f t="shared" si="100"/>
        <v/>
      </c>
      <c r="AC788" s="50">
        <f t="shared" si="101"/>
        <v>0</v>
      </c>
      <c r="AD788" s="43">
        <f t="shared" si="102"/>
        <v>0</v>
      </c>
      <c r="AE788" s="50">
        <f t="shared" si="103"/>
        <v>0</v>
      </c>
    </row>
    <row r="789" spans="1:31">
      <c r="A789" s="59" t="str">
        <f t="shared" si="97"/>
        <v/>
      </c>
      <c r="B789" s="59" t="str">
        <f t="shared" si="98"/>
        <v/>
      </c>
      <c r="V789" s="59" t="str">
        <f t="shared" si="99"/>
        <v/>
      </c>
      <c r="W789" s="59" t="str">
        <f t="shared" si="96"/>
        <v/>
      </c>
      <c r="X789" s="59" t="str">
        <f t="shared" si="100"/>
        <v/>
      </c>
      <c r="AC789" s="50">
        <f t="shared" si="101"/>
        <v>0</v>
      </c>
      <c r="AD789" s="43">
        <f t="shared" si="102"/>
        <v>0</v>
      </c>
      <c r="AE789" s="50">
        <f t="shared" si="103"/>
        <v>0</v>
      </c>
    </row>
    <row r="790" spans="1:31">
      <c r="A790" s="59" t="str">
        <f t="shared" si="97"/>
        <v/>
      </c>
      <c r="B790" s="59" t="str">
        <f t="shared" si="98"/>
        <v/>
      </c>
      <c r="V790" s="59" t="str">
        <f t="shared" si="99"/>
        <v/>
      </c>
      <c r="W790" s="59" t="str">
        <f t="shared" si="96"/>
        <v/>
      </c>
      <c r="X790" s="59" t="str">
        <f t="shared" si="100"/>
        <v/>
      </c>
      <c r="AC790" s="50">
        <f t="shared" si="101"/>
        <v>0</v>
      </c>
      <c r="AD790" s="43">
        <f t="shared" si="102"/>
        <v>0</v>
      </c>
      <c r="AE790" s="50">
        <f t="shared" si="103"/>
        <v>0</v>
      </c>
    </row>
    <row r="791" spans="1:31">
      <c r="A791" s="59" t="str">
        <f t="shared" si="97"/>
        <v/>
      </c>
      <c r="B791" s="59" t="str">
        <f t="shared" si="98"/>
        <v/>
      </c>
      <c r="V791" s="59" t="str">
        <f t="shared" si="99"/>
        <v/>
      </c>
      <c r="W791" s="59" t="str">
        <f t="shared" si="96"/>
        <v/>
      </c>
      <c r="X791" s="59" t="str">
        <f t="shared" si="100"/>
        <v/>
      </c>
      <c r="AC791" s="50">
        <f t="shared" si="101"/>
        <v>0</v>
      </c>
      <c r="AD791" s="43">
        <f t="shared" si="102"/>
        <v>0</v>
      </c>
      <c r="AE791" s="50">
        <f t="shared" si="103"/>
        <v>0</v>
      </c>
    </row>
    <row r="792" spans="1:31">
      <c r="A792" s="59" t="str">
        <f t="shared" si="97"/>
        <v/>
      </c>
      <c r="B792" s="59" t="str">
        <f t="shared" si="98"/>
        <v/>
      </c>
      <c r="V792" s="59" t="str">
        <f t="shared" si="99"/>
        <v/>
      </c>
      <c r="W792" s="59" t="str">
        <f t="shared" si="96"/>
        <v/>
      </c>
      <c r="X792" s="59" t="str">
        <f t="shared" si="100"/>
        <v/>
      </c>
      <c r="AC792" s="50">
        <f t="shared" si="101"/>
        <v>0</v>
      </c>
      <c r="AD792" s="43">
        <f t="shared" si="102"/>
        <v>0</v>
      </c>
      <c r="AE792" s="50">
        <f t="shared" si="103"/>
        <v>0</v>
      </c>
    </row>
    <row r="793" spans="1:31">
      <c r="A793" s="59" t="str">
        <f t="shared" si="97"/>
        <v/>
      </c>
      <c r="B793" s="59" t="str">
        <f t="shared" si="98"/>
        <v/>
      </c>
      <c r="V793" s="59" t="str">
        <f t="shared" si="99"/>
        <v/>
      </c>
      <c r="W793" s="59" t="str">
        <f t="shared" si="96"/>
        <v/>
      </c>
      <c r="X793" s="59" t="str">
        <f t="shared" si="100"/>
        <v/>
      </c>
      <c r="AC793" s="50">
        <f t="shared" si="101"/>
        <v>0</v>
      </c>
      <c r="AD793" s="43">
        <f t="shared" si="102"/>
        <v>0</v>
      </c>
      <c r="AE793" s="50">
        <f t="shared" si="103"/>
        <v>0</v>
      </c>
    </row>
    <row r="794" spans="1:31">
      <c r="A794" s="59" t="str">
        <f t="shared" si="97"/>
        <v/>
      </c>
      <c r="B794" s="59" t="str">
        <f t="shared" si="98"/>
        <v/>
      </c>
      <c r="V794" s="59" t="str">
        <f t="shared" si="99"/>
        <v/>
      </c>
      <c r="W794" s="59" t="str">
        <f t="shared" si="96"/>
        <v/>
      </c>
      <c r="X794" s="59" t="str">
        <f t="shared" si="100"/>
        <v/>
      </c>
      <c r="AC794" s="50">
        <f t="shared" si="101"/>
        <v>0</v>
      </c>
      <c r="AD794" s="43">
        <f t="shared" si="102"/>
        <v>0</v>
      </c>
      <c r="AE794" s="50">
        <f t="shared" si="103"/>
        <v>0</v>
      </c>
    </row>
    <row r="795" spans="1:31">
      <c r="A795" s="59" t="str">
        <f t="shared" si="97"/>
        <v/>
      </c>
      <c r="B795" s="59" t="str">
        <f t="shared" si="98"/>
        <v/>
      </c>
      <c r="V795" s="59" t="str">
        <f t="shared" si="99"/>
        <v/>
      </c>
      <c r="W795" s="59" t="str">
        <f t="shared" si="96"/>
        <v/>
      </c>
      <c r="X795" s="59" t="str">
        <f t="shared" si="100"/>
        <v/>
      </c>
      <c r="AC795" s="50">
        <f t="shared" si="101"/>
        <v>0</v>
      </c>
      <c r="AD795" s="43">
        <f t="shared" si="102"/>
        <v>0</v>
      </c>
      <c r="AE795" s="50">
        <f t="shared" si="103"/>
        <v>0</v>
      </c>
    </row>
    <row r="796" spans="1:31">
      <c r="A796" s="59" t="str">
        <f t="shared" si="97"/>
        <v/>
      </c>
      <c r="B796" s="59" t="str">
        <f t="shared" si="98"/>
        <v/>
      </c>
      <c r="V796" s="59" t="str">
        <f t="shared" si="99"/>
        <v/>
      </c>
      <c r="W796" s="59" t="str">
        <f t="shared" si="96"/>
        <v/>
      </c>
      <c r="X796" s="59" t="str">
        <f t="shared" si="100"/>
        <v/>
      </c>
      <c r="AC796" s="50">
        <f t="shared" si="101"/>
        <v>0</v>
      </c>
      <c r="AD796" s="43">
        <f t="shared" si="102"/>
        <v>0</v>
      </c>
      <c r="AE796" s="50">
        <f t="shared" si="103"/>
        <v>0</v>
      </c>
    </row>
    <row r="797" spans="1:31">
      <c r="A797" s="59" t="str">
        <f t="shared" si="97"/>
        <v/>
      </c>
      <c r="B797" s="59" t="str">
        <f t="shared" si="98"/>
        <v/>
      </c>
      <c r="V797" s="59" t="str">
        <f t="shared" si="99"/>
        <v/>
      </c>
      <c r="W797" s="59" t="str">
        <f t="shared" si="96"/>
        <v/>
      </c>
      <c r="X797" s="59" t="str">
        <f t="shared" si="100"/>
        <v/>
      </c>
      <c r="AC797" s="50">
        <f t="shared" si="101"/>
        <v>0</v>
      </c>
      <c r="AD797" s="43">
        <f t="shared" si="102"/>
        <v>0</v>
      </c>
      <c r="AE797" s="50">
        <f t="shared" si="103"/>
        <v>0</v>
      </c>
    </row>
    <row r="798" spans="1:31">
      <c r="A798" s="59" t="str">
        <f t="shared" si="97"/>
        <v/>
      </c>
      <c r="B798" s="59" t="str">
        <f t="shared" si="98"/>
        <v/>
      </c>
      <c r="V798" s="59" t="str">
        <f t="shared" si="99"/>
        <v/>
      </c>
      <c r="W798" s="59" t="str">
        <f t="shared" si="96"/>
        <v/>
      </c>
      <c r="X798" s="59" t="str">
        <f t="shared" si="100"/>
        <v/>
      </c>
      <c r="AC798" s="50">
        <f t="shared" si="101"/>
        <v>0</v>
      </c>
      <c r="AD798" s="43">
        <f t="shared" si="102"/>
        <v>0</v>
      </c>
      <c r="AE798" s="50">
        <f t="shared" si="103"/>
        <v>0</v>
      </c>
    </row>
    <row r="799" spans="1:31">
      <c r="A799" s="59" t="str">
        <f t="shared" si="97"/>
        <v/>
      </c>
      <c r="B799" s="59" t="str">
        <f t="shared" si="98"/>
        <v/>
      </c>
      <c r="V799" s="59" t="str">
        <f t="shared" si="99"/>
        <v/>
      </c>
      <c r="W799" s="59" t="str">
        <f t="shared" si="96"/>
        <v/>
      </c>
      <c r="X799" s="59" t="str">
        <f t="shared" si="100"/>
        <v/>
      </c>
      <c r="AC799" s="50">
        <f t="shared" si="101"/>
        <v>0</v>
      </c>
      <c r="AD799" s="43">
        <f t="shared" si="102"/>
        <v>0</v>
      </c>
      <c r="AE799" s="50">
        <f t="shared" si="103"/>
        <v>0</v>
      </c>
    </row>
    <row r="800" spans="1:31">
      <c r="A800" s="59" t="str">
        <f t="shared" si="97"/>
        <v/>
      </c>
      <c r="B800" s="59" t="str">
        <f t="shared" si="98"/>
        <v/>
      </c>
      <c r="V800" s="59" t="str">
        <f t="shared" si="99"/>
        <v/>
      </c>
      <c r="W800" s="59" t="str">
        <f t="shared" si="96"/>
        <v/>
      </c>
      <c r="X800" s="59" t="str">
        <f t="shared" si="100"/>
        <v/>
      </c>
      <c r="AC800" s="50">
        <f t="shared" si="101"/>
        <v>0</v>
      </c>
      <c r="AD800" s="43">
        <f t="shared" si="102"/>
        <v>0</v>
      </c>
      <c r="AE800" s="50">
        <f t="shared" si="103"/>
        <v>0</v>
      </c>
    </row>
    <row r="801" spans="1:31">
      <c r="A801" s="59" t="str">
        <f t="shared" si="97"/>
        <v/>
      </c>
      <c r="B801" s="59" t="str">
        <f t="shared" si="98"/>
        <v/>
      </c>
      <c r="V801" s="59" t="str">
        <f t="shared" si="99"/>
        <v/>
      </c>
      <c r="W801" s="59" t="str">
        <f t="shared" si="96"/>
        <v/>
      </c>
      <c r="X801" s="59" t="str">
        <f t="shared" si="100"/>
        <v/>
      </c>
      <c r="AC801" s="50">
        <f t="shared" si="101"/>
        <v>0</v>
      </c>
      <c r="AD801" s="43">
        <f t="shared" si="102"/>
        <v>0</v>
      </c>
      <c r="AE801" s="50">
        <f t="shared" si="103"/>
        <v>0</v>
      </c>
    </row>
    <row r="802" spans="1:31">
      <c r="A802" s="59" t="str">
        <f t="shared" si="97"/>
        <v/>
      </c>
      <c r="B802" s="59" t="str">
        <f t="shared" si="98"/>
        <v/>
      </c>
      <c r="V802" s="59" t="str">
        <f t="shared" si="99"/>
        <v/>
      </c>
      <c r="W802" s="59" t="str">
        <f t="shared" si="96"/>
        <v/>
      </c>
      <c r="X802" s="59" t="str">
        <f t="shared" si="100"/>
        <v/>
      </c>
      <c r="AC802" s="50">
        <f t="shared" si="101"/>
        <v>0</v>
      </c>
      <c r="AD802" s="43">
        <f t="shared" si="102"/>
        <v>0</v>
      </c>
      <c r="AE802" s="50">
        <f t="shared" si="103"/>
        <v>0</v>
      </c>
    </row>
    <row r="803" spans="1:31">
      <c r="A803" s="59" t="str">
        <f t="shared" si="97"/>
        <v/>
      </c>
      <c r="B803" s="59" t="str">
        <f t="shared" si="98"/>
        <v/>
      </c>
      <c r="V803" s="59" t="str">
        <f t="shared" si="99"/>
        <v/>
      </c>
      <c r="W803" s="59" t="str">
        <f t="shared" si="96"/>
        <v/>
      </c>
      <c r="X803" s="59" t="str">
        <f t="shared" si="100"/>
        <v/>
      </c>
      <c r="AC803" s="50">
        <f t="shared" si="101"/>
        <v>0</v>
      </c>
      <c r="AD803" s="43">
        <f t="shared" si="102"/>
        <v>0</v>
      </c>
      <c r="AE803" s="50">
        <f t="shared" si="103"/>
        <v>0</v>
      </c>
    </row>
    <row r="804" spans="1:31">
      <c r="A804" s="59" t="str">
        <f t="shared" si="97"/>
        <v/>
      </c>
      <c r="B804" s="59" t="str">
        <f t="shared" si="98"/>
        <v/>
      </c>
      <c r="V804" s="59" t="str">
        <f t="shared" si="99"/>
        <v/>
      </c>
      <c r="W804" s="59" t="str">
        <f t="shared" si="96"/>
        <v/>
      </c>
      <c r="X804" s="59" t="str">
        <f t="shared" si="100"/>
        <v/>
      </c>
      <c r="AC804" s="50">
        <f t="shared" si="101"/>
        <v>0</v>
      </c>
      <c r="AD804" s="43">
        <f t="shared" si="102"/>
        <v>0</v>
      </c>
      <c r="AE804" s="50">
        <f t="shared" si="103"/>
        <v>0</v>
      </c>
    </row>
    <row r="805" spans="1:31">
      <c r="A805" s="59" t="str">
        <f t="shared" si="97"/>
        <v/>
      </c>
      <c r="B805" s="59" t="str">
        <f t="shared" si="98"/>
        <v/>
      </c>
      <c r="V805" s="59" t="str">
        <f t="shared" si="99"/>
        <v/>
      </c>
      <c r="W805" s="59" t="str">
        <f t="shared" si="96"/>
        <v/>
      </c>
      <c r="X805" s="59" t="str">
        <f t="shared" si="100"/>
        <v/>
      </c>
      <c r="AC805" s="50">
        <f t="shared" si="101"/>
        <v>0</v>
      </c>
      <c r="AD805" s="43">
        <f t="shared" si="102"/>
        <v>0</v>
      </c>
      <c r="AE805" s="50">
        <f t="shared" si="103"/>
        <v>0</v>
      </c>
    </row>
    <row r="806" spans="1:31">
      <c r="A806" s="59" t="str">
        <f t="shared" si="97"/>
        <v/>
      </c>
      <c r="B806" s="59" t="str">
        <f t="shared" si="98"/>
        <v/>
      </c>
      <c r="V806" s="59" t="str">
        <f t="shared" si="99"/>
        <v/>
      </c>
      <c r="W806" s="59" t="str">
        <f t="shared" si="96"/>
        <v/>
      </c>
      <c r="X806" s="59" t="str">
        <f t="shared" si="100"/>
        <v/>
      </c>
      <c r="AC806" s="50">
        <f t="shared" si="101"/>
        <v>0</v>
      </c>
      <c r="AD806" s="43">
        <f t="shared" si="102"/>
        <v>0</v>
      </c>
      <c r="AE806" s="50">
        <f t="shared" si="103"/>
        <v>0</v>
      </c>
    </row>
    <row r="807" spans="1:31">
      <c r="A807" s="59" t="str">
        <f t="shared" si="97"/>
        <v/>
      </c>
      <c r="B807" s="59" t="str">
        <f t="shared" si="98"/>
        <v/>
      </c>
      <c r="V807" s="59" t="str">
        <f t="shared" si="99"/>
        <v/>
      </c>
      <c r="W807" s="59" t="str">
        <f t="shared" si="96"/>
        <v/>
      </c>
      <c r="X807" s="59" t="str">
        <f t="shared" si="100"/>
        <v/>
      </c>
      <c r="AC807" s="50">
        <f t="shared" si="101"/>
        <v>0</v>
      </c>
      <c r="AD807" s="43">
        <f t="shared" si="102"/>
        <v>0</v>
      </c>
      <c r="AE807" s="50">
        <f t="shared" si="103"/>
        <v>0</v>
      </c>
    </row>
    <row r="808" spans="1:31">
      <c r="A808" s="59" t="str">
        <f t="shared" si="97"/>
        <v/>
      </c>
      <c r="B808" s="59" t="str">
        <f t="shared" si="98"/>
        <v/>
      </c>
      <c r="V808" s="59" t="str">
        <f t="shared" si="99"/>
        <v/>
      </c>
      <c r="W808" s="59" t="str">
        <f t="shared" si="96"/>
        <v/>
      </c>
      <c r="X808" s="59" t="str">
        <f t="shared" si="100"/>
        <v/>
      </c>
      <c r="AC808" s="50">
        <f t="shared" si="101"/>
        <v>0</v>
      </c>
      <c r="AD808" s="43">
        <f t="shared" si="102"/>
        <v>0</v>
      </c>
      <c r="AE808" s="50">
        <f t="shared" si="103"/>
        <v>0</v>
      </c>
    </row>
    <row r="809" spans="1:31">
      <c r="A809" s="59" t="str">
        <f t="shared" si="97"/>
        <v/>
      </c>
      <c r="B809" s="59" t="str">
        <f t="shared" si="98"/>
        <v/>
      </c>
      <c r="V809" s="59" t="str">
        <f t="shared" si="99"/>
        <v/>
      </c>
      <c r="W809" s="59" t="str">
        <f t="shared" si="96"/>
        <v/>
      </c>
      <c r="X809" s="59" t="str">
        <f t="shared" si="100"/>
        <v/>
      </c>
      <c r="AC809" s="50">
        <f t="shared" si="101"/>
        <v>0</v>
      </c>
      <c r="AD809" s="43">
        <f t="shared" si="102"/>
        <v>0</v>
      </c>
      <c r="AE809" s="50">
        <f t="shared" si="103"/>
        <v>0</v>
      </c>
    </row>
    <row r="810" spans="1:31">
      <c r="A810" s="59" t="str">
        <f t="shared" si="97"/>
        <v/>
      </c>
      <c r="B810" s="59" t="str">
        <f t="shared" si="98"/>
        <v/>
      </c>
      <c r="V810" s="59" t="str">
        <f t="shared" si="99"/>
        <v/>
      </c>
      <c r="W810" s="59" t="str">
        <f t="shared" si="96"/>
        <v/>
      </c>
      <c r="X810" s="59" t="str">
        <f t="shared" si="100"/>
        <v/>
      </c>
      <c r="AC810" s="50">
        <f t="shared" si="101"/>
        <v>0</v>
      </c>
      <c r="AD810" s="43">
        <f t="shared" si="102"/>
        <v>0</v>
      </c>
      <c r="AE810" s="50">
        <f t="shared" si="103"/>
        <v>0</v>
      </c>
    </row>
    <row r="811" spans="1:31">
      <c r="A811" s="59" t="str">
        <f t="shared" si="97"/>
        <v/>
      </c>
      <c r="B811" s="59" t="str">
        <f t="shared" si="98"/>
        <v/>
      </c>
      <c r="V811" s="59" t="str">
        <f t="shared" si="99"/>
        <v/>
      </c>
      <c r="W811" s="59" t="str">
        <f t="shared" si="96"/>
        <v/>
      </c>
      <c r="X811" s="59" t="str">
        <f t="shared" si="100"/>
        <v/>
      </c>
      <c r="AC811" s="50">
        <f t="shared" si="101"/>
        <v>0</v>
      </c>
      <c r="AD811" s="43">
        <f t="shared" si="102"/>
        <v>0</v>
      </c>
      <c r="AE811" s="50">
        <f t="shared" si="103"/>
        <v>0</v>
      </c>
    </row>
    <row r="812" spans="1:31">
      <c r="A812" s="59" t="str">
        <f t="shared" si="97"/>
        <v/>
      </c>
      <c r="B812" s="59" t="str">
        <f t="shared" si="98"/>
        <v/>
      </c>
      <c r="V812" s="59" t="str">
        <f t="shared" si="99"/>
        <v/>
      </c>
      <c r="W812" s="59" t="str">
        <f t="shared" si="96"/>
        <v/>
      </c>
      <c r="X812" s="59" t="str">
        <f t="shared" si="100"/>
        <v/>
      </c>
      <c r="AC812" s="50">
        <f t="shared" si="101"/>
        <v>0</v>
      </c>
      <c r="AD812" s="43">
        <f t="shared" si="102"/>
        <v>0</v>
      </c>
      <c r="AE812" s="50">
        <f t="shared" si="103"/>
        <v>0</v>
      </c>
    </row>
    <row r="813" spans="1:31">
      <c r="A813" s="59" t="str">
        <f t="shared" si="97"/>
        <v/>
      </c>
      <c r="B813" s="59" t="str">
        <f t="shared" si="98"/>
        <v/>
      </c>
      <c r="V813" s="59" t="str">
        <f t="shared" si="99"/>
        <v/>
      </c>
      <c r="W813" s="59" t="str">
        <f t="shared" si="96"/>
        <v/>
      </c>
      <c r="X813" s="59" t="str">
        <f t="shared" si="100"/>
        <v/>
      </c>
      <c r="AC813" s="50">
        <f t="shared" si="101"/>
        <v>0</v>
      </c>
      <c r="AD813" s="43">
        <f t="shared" si="102"/>
        <v>0</v>
      </c>
      <c r="AE813" s="50">
        <f t="shared" si="103"/>
        <v>0</v>
      </c>
    </row>
    <row r="814" spans="1:31">
      <c r="A814" s="59" t="str">
        <f t="shared" si="97"/>
        <v/>
      </c>
      <c r="B814" s="59" t="str">
        <f t="shared" si="98"/>
        <v/>
      </c>
      <c r="V814" s="59" t="str">
        <f t="shared" si="99"/>
        <v/>
      </c>
      <c r="W814" s="59" t="str">
        <f t="shared" si="96"/>
        <v/>
      </c>
      <c r="X814" s="59" t="str">
        <f t="shared" si="100"/>
        <v/>
      </c>
      <c r="AC814" s="50">
        <f t="shared" si="101"/>
        <v>0</v>
      </c>
      <c r="AD814" s="43">
        <f t="shared" si="102"/>
        <v>0</v>
      </c>
      <c r="AE814" s="50">
        <f t="shared" si="103"/>
        <v>0</v>
      </c>
    </row>
    <row r="815" spans="1:31">
      <c r="A815" s="59" t="str">
        <f t="shared" si="97"/>
        <v/>
      </c>
      <c r="B815" s="59" t="str">
        <f t="shared" si="98"/>
        <v/>
      </c>
      <c r="V815" s="59" t="str">
        <f t="shared" si="99"/>
        <v/>
      </c>
      <c r="W815" s="59" t="str">
        <f t="shared" si="96"/>
        <v/>
      </c>
      <c r="X815" s="59" t="str">
        <f t="shared" si="100"/>
        <v/>
      </c>
      <c r="AC815" s="50">
        <f t="shared" si="101"/>
        <v>0</v>
      </c>
      <c r="AD815" s="43">
        <f t="shared" si="102"/>
        <v>0</v>
      </c>
      <c r="AE815" s="50">
        <f t="shared" si="103"/>
        <v>0</v>
      </c>
    </row>
    <row r="816" spans="1:31">
      <c r="A816" s="59" t="str">
        <f t="shared" si="97"/>
        <v/>
      </c>
      <c r="B816" s="59" t="str">
        <f t="shared" si="98"/>
        <v/>
      </c>
      <c r="V816" s="59" t="str">
        <f t="shared" si="99"/>
        <v/>
      </c>
      <c r="W816" s="59" t="str">
        <f t="shared" si="96"/>
        <v/>
      </c>
      <c r="X816" s="59" t="str">
        <f t="shared" si="100"/>
        <v/>
      </c>
      <c r="AC816" s="50">
        <f t="shared" si="101"/>
        <v>0</v>
      </c>
      <c r="AD816" s="43">
        <f t="shared" si="102"/>
        <v>0</v>
      </c>
      <c r="AE816" s="50">
        <f t="shared" si="103"/>
        <v>0</v>
      </c>
    </row>
    <row r="817" spans="1:31">
      <c r="A817" s="59" t="str">
        <f t="shared" si="97"/>
        <v/>
      </c>
      <c r="B817" s="59" t="str">
        <f t="shared" si="98"/>
        <v/>
      </c>
      <c r="V817" s="59" t="str">
        <f t="shared" si="99"/>
        <v/>
      </c>
      <c r="W817" s="59" t="str">
        <f t="shared" si="96"/>
        <v/>
      </c>
      <c r="X817" s="59" t="str">
        <f t="shared" si="100"/>
        <v/>
      </c>
      <c r="AC817" s="50">
        <f t="shared" si="101"/>
        <v>0</v>
      </c>
      <c r="AD817" s="43">
        <f t="shared" si="102"/>
        <v>0</v>
      </c>
      <c r="AE817" s="50">
        <f t="shared" si="103"/>
        <v>0</v>
      </c>
    </row>
    <row r="818" spans="1:31">
      <c r="A818" s="59" t="str">
        <f t="shared" si="97"/>
        <v/>
      </c>
      <c r="B818" s="59" t="str">
        <f t="shared" si="98"/>
        <v/>
      </c>
      <c r="V818" s="59" t="str">
        <f t="shared" si="99"/>
        <v/>
      </c>
      <c r="W818" s="59" t="str">
        <f t="shared" si="96"/>
        <v/>
      </c>
      <c r="X818" s="59" t="str">
        <f t="shared" si="100"/>
        <v/>
      </c>
      <c r="AC818" s="50">
        <f t="shared" si="101"/>
        <v>0</v>
      </c>
      <c r="AD818" s="43">
        <f t="shared" si="102"/>
        <v>0</v>
      </c>
      <c r="AE818" s="50">
        <f t="shared" si="103"/>
        <v>0</v>
      </c>
    </row>
    <row r="819" spans="1:31">
      <c r="A819" s="59" t="str">
        <f t="shared" si="97"/>
        <v/>
      </c>
      <c r="B819" s="59" t="str">
        <f t="shared" si="98"/>
        <v/>
      </c>
      <c r="V819" s="59" t="str">
        <f t="shared" si="99"/>
        <v/>
      </c>
      <c r="W819" s="59" t="str">
        <f t="shared" si="96"/>
        <v/>
      </c>
      <c r="X819" s="59" t="str">
        <f t="shared" si="100"/>
        <v/>
      </c>
      <c r="AC819" s="50">
        <f t="shared" si="101"/>
        <v>0</v>
      </c>
      <c r="AD819" s="43">
        <f t="shared" si="102"/>
        <v>0</v>
      </c>
      <c r="AE819" s="50">
        <f t="shared" si="103"/>
        <v>0</v>
      </c>
    </row>
    <row r="820" spans="1:31">
      <c r="A820" s="59" t="str">
        <f t="shared" si="97"/>
        <v/>
      </c>
      <c r="B820" s="59" t="str">
        <f t="shared" si="98"/>
        <v/>
      </c>
      <c r="V820" s="59" t="str">
        <f t="shared" si="99"/>
        <v/>
      </c>
      <c r="W820" s="59" t="str">
        <f t="shared" si="96"/>
        <v/>
      </c>
      <c r="X820" s="59" t="str">
        <f t="shared" si="100"/>
        <v/>
      </c>
      <c r="AC820" s="50">
        <f t="shared" si="101"/>
        <v>0</v>
      </c>
      <c r="AD820" s="43">
        <f t="shared" si="102"/>
        <v>0</v>
      </c>
      <c r="AE820" s="50">
        <f t="shared" si="103"/>
        <v>0</v>
      </c>
    </row>
    <row r="821" spans="1:31">
      <c r="A821" s="59" t="str">
        <f t="shared" si="97"/>
        <v/>
      </c>
      <c r="B821" s="59" t="str">
        <f t="shared" si="98"/>
        <v/>
      </c>
      <c r="V821" s="59" t="str">
        <f t="shared" si="99"/>
        <v/>
      </c>
      <c r="W821" s="59" t="str">
        <f t="shared" si="96"/>
        <v/>
      </c>
      <c r="X821" s="59" t="str">
        <f t="shared" si="100"/>
        <v/>
      </c>
      <c r="AC821" s="50">
        <f t="shared" si="101"/>
        <v>0</v>
      </c>
      <c r="AD821" s="43">
        <f t="shared" si="102"/>
        <v>0</v>
      </c>
      <c r="AE821" s="50">
        <f t="shared" si="103"/>
        <v>0</v>
      </c>
    </row>
    <row r="822" spans="1:31">
      <c r="A822" s="59" t="str">
        <f t="shared" si="97"/>
        <v/>
      </c>
      <c r="B822" s="59" t="str">
        <f t="shared" si="98"/>
        <v/>
      </c>
      <c r="V822" s="59" t="str">
        <f t="shared" si="99"/>
        <v/>
      </c>
      <c r="W822" s="59" t="str">
        <f t="shared" si="96"/>
        <v/>
      </c>
      <c r="X822" s="59" t="str">
        <f t="shared" si="100"/>
        <v/>
      </c>
      <c r="AC822" s="50">
        <f t="shared" si="101"/>
        <v>0</v>
      </c>
      <c r="AD822" s="43">
        <f t="shared" si="102"/>
        <v>0</v>
      </c>
      <c r="AE822" s="50">
        <f t="shared" si="103"/>
        <v>0</v>
      </c>
    </row>
    <row r="823" spans="1:31">
      <c r="A823" s="59" t="str">
        <f t="shared" si="97"/>
        <v/>
      </c>
      <c r="B823" s="59" t="str">
        <f t="shared" si="98"/>
        <v/>
      </c>
      <c r="V823" s="59" t="str">
        <f t="shared" si="99"/>
        <v/>
      </c>
      <c r="W823" s="59" t="str">
        <f t="shared" si="96"/>
        <v/>
      </c>
      <c r="X823" s="59" t="str">
        <f t="shared" si="100"/>
        <v/>
      </c>
      <c r="AC823" s="50">
        <f t="shared" si="101"/>
        <v>0</v>
      </c>
      <c r="AD823" s="43">
        <f t="shared" si="102"/>
        <v>0</v>
      </c>
      <c r="AE823" s="50">
        <f t="shared" si="103"/>
        <v>0</v>
      </c>
    </row>
    <row r="824" spans="1:31">
      <c r="A824" s="59" t="str">
        <f t="shared" si="97"/>
        <v/>
      </c>
      <c r="B824" s="59" t="str">
        <f t="shared" si="98"/>
        <v/>
      </c>
      <c r="V824" s="59" t="str">
        <f t="shared" si="99"/>
        <v/>
      </c>
      <c r="W824" s="59" t="str">
        <f t="shared" si="96"/>
        <v/>
      </c>
      <c r="X824" s="59" t="str">
        <f t="shared" si="100"/>
        <v/>
      </c>
      <c r="AC824" s="50">
        <f t="shared" si="101"/>
        <v>0</v>
      </c>
      <c r="AD824" s="43">
        <f t="shared" si="102"/>
        <v>0</v>
      </c>
      <c r="AE824" s="50">
        <f t="shared" si="103"/>
        <v>0</v>
      </c>
    </row>
    <row r="825" spans="1:31">
      <c r="A825" s="59" t="str">
        <f t="shared" si="97"/>
        <v/>
      </c>
      <c r="B825" s="59" t="str">
        <f t="shared" si="98"/>
        <v/>
      </c>
      <c r="V825" s="59" t="str">
        <f t="shared" si="99"/>
        <v/>
      </c>
      <c r="W825" s="59" t="str">
        <f t="shared" si="96"/>
        <v/>
      </c>
      <c r="X825" s="59" t="str">
        <f t="shared" si="100"/>
        <v/>
      </c>
      <c r="AC825" s="50">
        <f t="shared" si="101"/>
        <v>0</v>
      </c>
      <c r="AD825" s="43">
        <f t="shared" si="102"/>
        <v>0</v>
      </c>
      <c r="AE825" s="50">
        <f t="shared" si="103"/>
        <v>0</v>
      </c>
    </row>
    <row r="826" spans="1:31">
      <c r="A826" s="59" t="str">
        <f t="shared" si="97"/>
        <v/>
      </c>
      <c r="B826" s="59" t="str">
        <f t="shared" si="98"/>
        <v/>
      </c>
      <c r="V826" s="59" t="str">
        <f t="shared" si="99"/>
        <v/>
      </c>
      <c r="W826" s="59" t="str">
        <f t="shared" si="96"/>
        <v/>
      </c>
      <c r="X826" s="59" t="str">
        <f t="shared" si="100"/>
        <v/>
      </c>
      <c r="AC826" s="50">
        <f t="shared" si="101"/>
        <v>0</v>
      </c>
      <c r="AD826" s="43">
        <f t="shared" si="102"/>
        <v>0</v>
      </c>
      <c r="AE826" s="50">
        <f t="shared" si="103"/>
        <v>0</v>
      </c>
    </row>
    <row r="827" spans="1:31">
      <c r="A827" s="59" t="str">
        <f t="shared" si="97"/>
        <v/>
      </c>
      <c r="B827" s="59" t="str">
        <f t="shared" si="98"/>
        <v/>
      </c>
      <c r="V827" s="59" t="str">
        <f t="shared" si="99"/>
        <v/>
      </c>
      <c r="W827" s="59" t="str">
        <f t="shared" si="96"/>
        <v/>
      </c>
      <c r="X827" s="59" t="str">
        <f t="shared" si="100"/>
        <v/>
      </c>
      <c r="AC827" s="50">
        <f t="shared" si="101"/>
        <v>0</v>
      </c>
      <c r="AD827" s="43">
        <f t="shared" si="102"/>
        <v>0</v>
      </c>
      <c r="AE827" s="50">
        <f t="shared" si="103"/>
        <v>0</v>
      </c>
    </row>
    <row r="828" spans="1:31">
      <c r="A828" s="59" t="str">
        <f t="shared" si="97"/>
        <v/>
      </c>
      <c r="B828" s="59" t="str">
        <f t="shared" si="98"/>
        <v/>
      </c>
      <c r="V828" s="59" t="str">
        <f t="shared" si="99"/>
        <v/>
      </c>
      <c r="W828" s="59" t="str">
        <f t="shared" si="96"/>
        <v/>
      </c>
      <c r="X828" s="59" t="str">
        <f t="shared" si="100"/>
        <v/>
      </c>
      <c r="AC828" s="50">
        <f t="shared" si="101"/>
        <v>0</v>
      </c>
      <c r="AD828" s="43">
        <f t="shared" si="102"/>
        <v>0</v>
      </c>
      <c r="AE828" s="50">
        <f t="shared" si="103"/>
        <v>0</v>
      </c>
    </row>
    <row r="829" spans="1:31">
      <c r="A829" s="59" t="str">
        <f t="shared" si="97"/>
        <v/>
      </c>
      <c r="B829" s="59" t="str">
        <f t="shared" si="98"/>
        <v/>
      </c>
      <c r="V829" s="59" t="str">
        <f t="shared" si="99"/>
        <v/>
      </c>
      <c r="W829" s="59" t="str">
        <f t="shared" si="96"/>
        <v/>
      </c>
      <c r="X829" s="59" t="str">
        <f t="shared" si="100"/>
        <v/>
      </c>
      <c r="AC829" s="50">
        <f t="shared" si="101"/>
        <v>0</v>
      </c>
      <c r="AD829" s="43">
        <f t="shared" si="102"/>
        <v>0</v>
      </c>
      <c r="AE829" s="50">
        <f t="shared" si="103"/>
        <v>0</v>
      </c>
    </row>
    <row r="830" spans="1:31">
      <c r="A830" s="59" t="str">
        <f t="shared" si="97"/>
        <v/>
      </c>
      <c r="B830" s="59" t="str">
        <f t="shared" si="98"/>
        <v/>
      </c>
      <c r="V830" s="59" t="str">
        <f t="shared" si="99"/>
        <v/>
      </c>
      <c r="W830" s="59" t="str">
        <f t="shared" si="96"/>
        <v/>
      </c>
      <c r="X830" s="59" t="str">
        <f t="shared" si="100"/>
        <v/>
      </c>
      <c r="AC830" s="50">
        <f t="shared" si="101"/>
        <v>0</v>
      </c>
      <c r="AD830" s="43">
        <f t="shared" si="102"/>
        <v>0</v>
      </c>
      <c r="AE830" s="50">
        <f t="shared" si="103"/>
        <v>0</v>
      </c>
    </row>
    <row r="831" spans="1:31">
      <c r="A831" s="59" t="str">
        <f t="shared" si="97"/>
        <v/>
      </c>
      <c r="B831" s="59" t="str">
        <f t="shared" si="98"/>
        <v/>
      </c>
      <c r="V831" s="59" t="str">
        <f t="shared" si="99"/>
        <v/>
      </c>
      <c r="W831" s="59" t="str">
        <f t="shared" si="96"/>
        <v/>
      </c>
      <c r="X831" s="59" t="str">
        <f t="shared" si="100"/>
        <v/>
      </c>
      <c r="AC831" s="50">
        <f t="shared" si="101"/>
        <v>0</v>
      </c>
      <c r="AD831" s="43">
        <f t="shared" si="102"/>
        <v>0</v>
      </c>
      <c r="AE831" s="50">
        <f t="shared" si="103"/>
        <v>0</v>
      </c>
    </row>
    <row r="832" spans="1:31">
      <c r="A832" s="59" t="str">
        <f t="shared" si="97"/>
        <v/>
      </c>
      <c r="B832" s="59" t="str">
        <f t="shared" si="98"/>
        <v/>
      </c>
      <c r="V832" s="59" t="str">
        <f t="shared" si="99"/>
        <v/>
      </c>
      <c r="W832" s="59" t="str">
        <f t="shared" si="96"/>
        <v/>
      </c>
      <c r="X832" s="59" t="str">
        <f t="shared" si="100"/>
        <v/>
      </c>
      <c r="AC832" s="50">
        <f t="shared" si="101"/>
        <v>0</v>
      </c>
      <c r="AD832" s="43">
        <f t="shared" si="102"/>
        <v>0</v>
      </c>
      <c r="AE832" s="50">
        <f t="shared" si="103"/>
        <v>0</v>
      </c>
    </row>
    <row r="833" spans="1:31">
      <c r="A833" s="59" t="str">
        <f t="shared" si="97"/>
        <v/>
      </c>
      <c r="B833" s="59" t="str">
        <f t="shared" si="98"/>
        <v/>
      </c>
      <c r="V833" s="59" t="str">
        <f t="shared" si="99"/>
        <v/>
      </c>
      <c r="W833" s="59" t="str">
        <f t="shared" si="96"/>
        <v/>
      </c>
      <c r="X833" s="59" t="str">
        <f t="shared" si="100"/>
        <v/>
      </c>
      <c r="AC833" s="50">
        <f t="shared" si="101"/>
        <v>0</v>
      </c>
      <c r="AD833" s="43">
        <f t="shared" si="102"/>
        <v>0</v>
      </c>
      <c r="AE833" s="50">
        <f t="shared" si="103"/>
        <v>0</v>
      </c>
    </row>
    <row r="834" spans="1:31">
      <c r="A834" s="59" t="str">
        <f t="shared" si="97"/>
        <v/>
      </c>
      <c r="B834" s="59" t="str">
        <f t="shared" si="98"/>
        <v/>
      </c>
      <c r="V834" s="59" t="str">
        <f t="shared" si="99"/>
        <v/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59" t="str">
        <f t="shared" si="100"/>
        <v/>
      </c>
      <c r="AC834" s="50">
        <f t="shared" si="101"/>
        <v>0</v>
      </c>
      <c r="AD834" s="43">
        <f t="shared" si="102"/>
        <v>0</v>
      </c>
      <c r="AE834" s="50">
        <f t="shared" si="103"/>
        <v>0</v>
      </c>
    </row>
    <row r="835" spans="1:31">
      <c r="A835" s="59" t="str">
        <f t="shared" ref="A835:A898" si="105">IF(G835&amp;Q835&lt;&gt;"",W835&amp;Q835,"")</f>
        <v/>
      </c>
      <c r="B835" s="59" t="str">
        <f t="shared" ref="B835:B898" si="106">IF(C835&lt;&gt;"",LEFT(C835,9),"")</f>
        <v/>
      </c>
      <c r="V835" s="59" t="str">
        <f t="shared" ref="V835:V898" si="107">W835&amp;H835</f>
        <v/>
      </c>
      <c r="W835" s="59" t="str">
        <f t="shared" si="104"/>
        <v/>
      </c>
      <c r="X835" s="59" t="str">
        <f t="shared" ref="X835:X898" si="108">IF(A835&lt;&gt;"",IFERROR(IF(FIND(" ",G835)&gt;=1,MID(G835,FIND(" ",G835)+1,LEN(G835)),""),""),"")</f>
        <v/>
      </c>
      <c r="AC835" s="50">
        <f t="shared" ref="AC835:AC898" si="109">IFERROR(VALUE(MID($C835,1,2)),0)</f>
        <v>0</v>
      </c>
      <c r="AD835" s="43">
        <f t="shared" ref="AD835:AD898" si="110">IFERROR(VALUE(MID($C835,4,3)),0)</f>
        <v>0</v>
      </c>
      <c r="AE835" s="50">
        <f t="shared" ref="AE835:AE898" si="111">VALUE(RIGHT("00"&amp;AC835,2)&amp;RIGHT("000"&amp;AD835,3))</f>
        <v>0</v>
      </c>
    </row>
    <row r="836" spans="1:31">
      <c r="A836" s="59" t="str">
        <f t="shared" si="105"/>
        <v/>
      </c>
      <c r="B836" s="59" t="str">
        <f t="shared" si="106"/>
        <v/>
      </c>
      <c r="V836" s="59" t="str">
        <f t="shared" si="107"/>
        <v/>
      </c>
      <c r="W836" s="59" t="str">
        <f t="shared" si="104"/>
        <v/>
      </c>
      <c r="X836" s="59" t="str">
        <f t="shared" si="108"/>
        <v/>
      </c>
      <c r="AC836" s="50">
        <f t="shared" si="109"/>
        <v>0</v>
      </c>
      <c r="AD836" s="43">
        <f t="shared" si="110"/>
        <v>0</v>
      </c>
      <c r="AE836" s="50">
        <f t="shared" si="111"/>
        <v>0</v>
      </c>
    </row>
    <row r="837" spans="1:31">
      <c r="A837" s="59" t="str">
        <f t="shared" si="105"/>
        <v/>
      </c>
      <c r="B837" s="59" t="str">
        <f t="shared" si="106"/>
        <v/>
      </c>
      <c r="V837" s="59" t="str">
        <f t="shared" si="107"/>
        <v/>
      </c>
      <c r="W837" s="59" t="str">
        <f t="shared" si="104"/>
        <v/>
      </c>
      <c r="X837" s="59" t="str">
        <f t="shared" si="108"/>
        <v/>
      </c>
      <c r="AC837" s="50">
        <f t="shared" si="109"/>
        <v>0</v>
      </c>
      <c r="AD837" s="43">
        <f t="shared" si="110"/>
        <v>0</v>
      </c>
      <c r="AE837" s="50">
        <f t="shared" si="111"/>
        <v>0</v>
      </c>
    </row>
    <row r="838" spans="1:31">
      <c r="A838" s="59" t="str">
        <f t="shared" si="105"/>
        <v/>
      </c>
      <c r="B838" s="59" t="str">
        <f t="shared" si="106"/>
        <v/>
      </c>
      <c r="V838" s="59" t="str">
        <f t="shared" si="107"/>
        <v/>
      </c>
      <c r="W838" s="59" t="str">
        <f t="shared" si="104"/>
        <v/>
      </c>
      <c r="X838" s="59" t="str">
        <f t="shared" si="108"/>
        <v/>
      </c>
      <c r="AC838" s="50">
        <f t="shared" si="109"/>
        <v>0</v>
      </c>
      <c r="AD838" s="43">
        <f t="shared" si="110"/>
        <v>0</v>
      </c>
      <c r="AE838" s="50">
        <f t="shared" si="111"/>
        <v>0</v>
      </c>
    </row>
    <row r="839" spans="1:31">
      <c r="A839" s="59" t="str">
        <f t="shared" si="105"/>
        <v/>
      </c>
      <c r="B839" s="59" t="str">
        <f t="shared" si="106"/>
        <v/>
      </c>
      <c r="V839" s="59" t="str">
        <f t="shared" si="107"/>
        <v/>
      </c>
      <c r="W839" s="59" t="str">
        <f t="shared" si="104"/>
        <v/>
      </c>
      <c r="X839" s="59" t="str">
        <f t="shared" si="108"/>
        <v/>
      </c>
      <c r="AC839" s="50">
        <f t="shared" si="109"/>
        <v>0</v>
      </c>
      <c r="AD839" s="43">
        <f t="shared" si="110"/>
        <v>0</v>
      </c>
      <c r="AE839" s="50">
        <f t="shared" si="111"/>
        <v>0</v>
      </c>
    </row>
    <row r="840" spans="1:31">
      <c r="A840" s="59" t="str">
        <f t="shared" si="105"/>
        <v/>
      </c>
      <c r="B840" s="59" t="str">
        <f t="shared" si="106"/>
        <v/>
      </c>
      <c r="V840" s="59" t="str">
        <f t="shared" si="107"/>
        <v/>
      </c>
      <c r="W840" s="59" t="str">
        <f t="shared" si="104"/>
        <v/>
      </c>
      <c r="X840" s="59" t="str">
        <f t="shared" si="108"/>
        <v/>
      </c>
      <c r="AC840" s="50">
        <f t="shared" si="109"/>
        <v>0</v>
      </c>
      <c r="AD840" s="43">
        <f t="shared" si="110"/>
        <v>0</v>
      </c>
      <c r="AE840" s="50">
        <f t="shared" si="111"/>
        <v>0</v>
      </c>
    </row>
    <row r="841" spans="1:31">
      <c r="A841" s="59" t="str">
        <f t="shared" si="105"/>
        <v/>
      </c>
      <c r="B841" s="59" t="str">
        <f t="shared" si="106"/>
        <v/>
      </c>
      <c r="V841" s="59" t="str">
        <f t="shared" si="107"/>
        <v/>
      </c>
      <c r="W841" s="59" t="str">
        <f t="shared" si="104"/>
        <v/>
      </c>
      <c r="X841" s="59" t="str">
        <f t="shared" si="108"/>
        <v/>
      </c>
      <c r="AC841" s="50">
        <f t="shared" si="109"/>
        <v>0</v>
      </c>
      <c r="AD841" s="43">
        <f t="shared" si="110"/>
        <v>0</v>
      </c>
      <c r="AE841" s="50">
        <f t="shared" si="111"/>
        <v>0</v>
      </c>
    </row>
    <row r="842" spans="1:31">
      <c r="A842" s="59" t="str">
        <f t="shared" si="105"/>
        <v/>
      </c>
      <c r="B842" s="59" t="str">
        <f t="shared" si="106"/>
        <v/>
      </c>
      <c r="V842" s="59" t="str">
        <f t="shared" si="107"/>
        <v/>
      </c>
      <c r="W842" s="59" t="str">
        <f t="shared" si="104"/>
        <v/>
      </c>
      <c r="X842" s="59" t="str">
        <f t="shared" si="108"/>
        <v/>
      </c>
      <c r="AC842" s="50">
        <f t="shared" si="109"/>
        <v>0</v>
      </c>
      <c r="AD842" s="43">
        <f t="shared" si="110"/>
        <v>0</v>
      </c>
      <c r="AE842" s="50">
        <f t="shared" si="111"/>
        <v>0</v>
      </c>
    </row>
    <row r="843" spans="1:31">
      <c r="A843" s="59" t="str">
        <f t="shared" si="105"/>
        <v/>
      </c>
      <c r="B843" s="59" t="str">
        <f t="shared" si="106"/>
        <v/>
      </c>
      <c r="V843" s="59" t="str">
        <f t="shared" si="107"/>
        <v/>
      </c>
      <c r="W843" s="59" t="str">
        <f t="shared" si="104"/>
        <v/>
      </c>
      <c r="X843" s="59" t="str">
        <f t="shared" si="108"/>
        <v/>
      </c>
      <c r="AC843" s="50">
        <f t="shared" si="109"/>
        <v>0</v>
      </c>
      <c r="AD843" s="43">
        <f t="shared" si="110"/>
        <v>0</v>
      </c>
      <c r="AE843" s="50">
        <f t="shared" si="111"/>
        <v>0</v>
      </c>
    </row>
    <row r="844" spans="1:31">
      <c r="A844" s="59" t="str">
        <f t="shared" si="105"/>
        <v/>
      </c>
      <c r="B844" s="59" t="str">
        <f t="shared" si="106"/>
        <v/>
      </c>
      <c r="V844" s="59" t="str">
        <f t="shared" si="107"/>
        <v/>
      </c>
      <c r="W844" s="59" t="str">
        <f t="shared" si="104"/>
        <v/>
      </c>
      <c r="X844" s="59" t="str">
        <f t="shared" si="108"/>
        <v/>
      </c>
      <c r="AC844" s="50">
        <f t="shared" si="109"/>
        <v>0</v>
      </c>
      <c r="AD844" s="43">
        <f t="shared" si="110"/>
        <v>0</v>
      </c>
      <c r="AE844" s="50">
        <f t="shared" si="111"/>
        <v>0</v>
      </c>
    </row>
    <row r="845" spans="1:31">
      <c r="A845" s="59" t="str">
        <f t="shared" si="105"/>
        <v/>
      </c>
      <c r="B845" s="59" t="str">
        <f t="shared" si="106"/>
        <v/>
      </c>
      <c r="V845" s="59" t="str">
        <f t="shared" si="107"/>
        <v/>
      </c>
      <c r="W845" s="59" t="str">
        <f t="shared" si="104"/>
        <v/>
      </c>
      <c r="X845" s="59" t="str">
        <f t="shared" si="108"/>
        <v/>
      </c>
      <c r="AC845" s="50">
        <f t="shared" si="109"/>
        <v>0</v>
      </c>
      <c r="AD845" s="43">
        <f t="shared" si="110"/>
        <v>0</v>
      </c>
      <c r="AE845" s="50">
        <f t="shared" si="111"/>
        <v>0</v>
      </c>
    </row>
    <row r="846" spans="1:31">
      <c r="A846" s="59" t="str">
        <f t="shared" si="105"/>
        <v/>
      </c>
      <c r="B846" s="59" t="str">
        <f t="shared" si="106"/>
        <v/>
      </c>
      <c r="V846" s="59" t="str">
        <f t="shared" si="107"/>
        <v/>
      </c>
      <c r="W846" s="59" t="str">
        <f t="shared" si="104"/>
        <v/>
      </c>
      <c r="X846" s="59" t="str">
        <f t="shared" si="108"/>
        <v/>
      </c>
      <c r="AC846" s="50">
        <f t="shared" si="109"/>
        <v>0</v>
      </c>
      <c r="AD846" s="43">
        <f t="shared" si="110"/>
        <v>0</v>
      </c>
      <c r="AE846" s="50">
        <f t="shared" si="111"/>
        <v>0</v>
      </c>
    </row>
    <row r="847" spans="1:31">
      <c r="A847" s="59" t="str">
        <f t="shared" si="105"/>
        <v/>
      </c>
      <c r="B847" s="59" t="str">
        <f t="shared" si="106"/>
        <v/>
      </c>
      <c r="V847" s="59" t="str">
        <f t="shared" si="107"/>
        <v/>
      </c>
      <c r="W847" s="59" t="str">
        <f t="shared" si="104"/>
        <v/>
      </c>
      <c r="X847" s="59" t="str">
        <f t="shared" si="108"/>
        <v/>
      </c>
      <c r="AC847" s="50">
        <f t="shared" si="109"/>
        <v>0</v>
      </c>
      <c r="AD847" s="43">
        <f t="shared" si="110"/>
        <v>0</v>
      </c>
      <c r="AE847" s="50">
        <f t="shared" si="111"/>
        <v>0</v>
      </c>
    </row>
    <row r="848" spans="1:31">
      <c r="A848" s="59" t="str">
        <f t="shared" si="105"/>
        <v/>
      </c>
      <c r="B848" s="59" t="str">
        <f t="shared" si="106"/>
        <v/>
      </c>
      <c r="V848" s="59" t="str">
        <f t="shared" si="107"/>
        <v/>
      </c>
      <c r="W848" s="59" t="str">
        <f t="shared" si="104"/>
        <v/>
      </c>
      <c r="X848" s="59" t="str">
        <f t="shared" si="108"/>
        <v/>
      </c>
      <c r="AC848" s="50">
        <f t="shared" si="109"/>
        <v>0</v>
      </c>
      <c r="AD848" s="43">
        <f t="shared" si="110"/>
        <v>0</v>
      </c>
      <c r="AE848" s="50">
        <f t="shared" si="111"/>
        <v>0</v>
      </c>
    </row>
    <row r="849" spans="1:31">
      <c r="A849" s="59" t="str">
        <f t="shared" si="105"/>
        <v/>
      </c>
      <c r="B849" s="59" t="str">
        <f t="shared" si="106"/>
        <v/>
      </c>
      <c r="V849" s="59" t="str">
        <f t="shared" si="107"/>
        <v/>
      </c>
      <c r="W849" s="59" t="str">
        <f t="shared" si="104"/>
        <v/>
      </c>
      <c r="X849" s="59" t="str">
        <f t="shared" si="108"/>
        <v/>
      </c>
      <c r="AC849" s="50">
        <f t="shared" si="109"/>
        <v>0</v>
      </c>
      <c r="AD849" s="43">
        <f t="shared" si="110"/>
        <v>0</v>
      </c>
      <c r="AE849" s="50">
        <f t="shared" si="111"/>
        <v>0</v>
      </c>
    </row>
    <row r="850" spans="1:31">
      <c r="A850" s="59" t="str">
        <f t="shared" si="105"/>
        <v/>
      </c>
      <c r="B850" s="59" t="str">
        <f t="shared" si="106"/>
        <v/>
      </c>
      <c r="V850" s="59" t="str">
        <f t="shared" si="107"/>
        <v/>
      </c>
      <c r="W850" s="59" t="str">
        <f t="shared" si="104"/>
        <v/>
      </c>
      <c r="X850" s="59" t="str">
        <f t="shared" si="108"/>
        <v/>
      </c>
      <c r="AC850" s="50">
        <f t="shared" si="109"/>
        <v>0</v>
      </c>
      <c r="AD850" s="43">
        <f t="shared" si="110"/>
        <v>0</v>
      </c>
      <c r="AE850" s="50">
        <f t="shared" si="111"/>
        <v>0</v>
      </c>
    </row>
    <row r="851" spans="1:31">
      <c r="A851" s="59" t="str">
        <f t="shared" si="105"/>
        <v/>
      </c>
      <c r="B851" s="59" t="str">
        <f t="shared" si="106"/>
        <v/>
      </c>
      <c r="V851" s="59" t="str">
        <f t="shared" si="107"/>
        <v/>
      </c>
      <c r="W851" s="59" t="str">
        <f t="shared" si="104"/>
        <v/>
      </c>
      <c r="X851" s="59" t="str">
        <f t="shared" si="108"/>
        <v/>
      </c>
      <c r="AC851" s="50">
        <f t="shared" si="109"/>
        <v>0</v>
      </c>
      <c r="AD851" s="43">
        <f t="shared" si="110"/>
        <v>0</v>
      </c>
      <c r="AE851" s="50">
        <f t="shared" si="111"/>
        <v>0</v>
      </c>
    </row>
    <row r="852" spans="1:31">
      <c r="A852" s="59" t="str">
        <f t="shared" si="105"/>
        <v/>
      </c>
      <c r="B852" s="59" t="str">
        <f t="shared" si="106"/>
        <v/>
      </c>
      <c r="V852" s="59" t="str">
        <f t="shared" si="107"/>
        <v/>
      </c>
      <c r="W852" s="59" t="str">
        <f t="shared" si="104"/>
        <v/>
      </c>
      <c r="X852" s="59" t="str">
        <f t="shared" si="108"/>
        <v/>
      </c>
      <c r="AC852" s="50">
        <f t="shared" si="109"/>
        <v>0</v>
      </c>
      <c r="AD852" s="43">
        <f t="shared" si="110"/>
        <v>0</v>
      </c>
      <c r="AE852" s="50">
        <f t="shared" si="111"/>
        <v>0</v>
      </c>
    </row>
    <row r="853" spans="1:31">
      <c r="A853" s="59" t="str">
        <f t="shared" si="105"/>
        <v/>
      </c>
      <c r="B853" s="59" t="str">
        <f t="shared" si="106"/>
        <v/>
      </c>
      <c r="V853" s="59" t="str">
        <f t="shared" si="107"/>
        <v/>
      </c>
      <c r="W853" s="59" t="str">
        <f t="shared" si="104"/>
        <v/>
      </c>
      <c r="X853" s="59" t="str">
        <f t="shared" si="108"/>
        <v/>
      </c>
      <c r="AC853" s="50">
        <f t="shared" si="109"/>
        <v>0</v>
      </c>
      <c r="AD853" s="43">
        <f t="shared" si="110"/>
        <v>0</v>
      </c>
      <c r="AE853" s="50">
        <f t="shared" si="111"/>
        <v>0</v>
      </c>
    </row>
    <row r="854" spans="1:31">
      <c r="A854" s="59" t="str">
        <f t="shared" si="105"/>
        <v/>
      </c>
      <c r="B854" s="59" t="str">
        <f t="shared" si="106"/>
        <v/>
      </c>
      <c r="V854" s="59" t="str">
        <f t="shared" si="107"/>
        <v/>
      </c>
      <c r="W854" s="59" t="str">
        <f t="shared" si="104"/>
        <v/>
      </c>
      <c r="X854" s="59" t="str">
        <f t="shared" si="108"/>
        <v/>
      </c>
      <c r="AC854" s="50">
        <f t="shared" si="109"/>
        <v>0</v>
      </c>
      <c r="AD854" s="43">
        <f t="shared" si="110"/>
        <v>0</v>
      </c>
      <c r="AE854" s="50">
        <f t="shared" si="111"/>
        <v>0</v>
      </c>
    </row>
    <row r="855" spans="1:31">
      <c r="A855" s="59" t="str">
        <f t="shared" si="105"/>
        <v/>
      </c>
      <c r="B855" s="59" t="str">
        <f t="shared" si="106"/>
        <v/>
      </c>
      <c r="V855" s="59" t="str">
        <f t="shared" si="107"/>
        <v/>
      </c>
      <c r="W855" s="59" t="str">
        <f t="shared" si="104"/>
        <v/>
      </c>
      <c r="X855" s="59" t="str">
        <f t="shared" si="108"/>
        <v/>
      </c>
      <c r="AC855" s="50">
        <f t="shared" si="109"/>
        <v>0</v>
      </c>
      <c r="AD855" s="43">
        <f t="shared" si="110"/>
        <v>0</v>
      </c>
      <c r="AE855" s="50">
        <f t="shared" si="111"/>
        <v>0</v>
      </c>
    </row>
    <row r="856" spans="1:31">
      <c r="A856" s="59" t="str">
        <f t="shared" si="105"/>
        <v/>
      </c>
      <c r="B856" s="59" t="str">
        <f t="shared" si="106"/>
        <v/>
      </c>
      <c r="V856" s="59" t="str">
        <f t="shared" si="107"/>
        <v/>
      </c>
      <c r="W856" s="59" t="str">
        <f t="shared" si="104"/>
        <v/>
      </c>
      <c r="X856" s="59" t="str">
        <f t="shared" si="108"/>
        <v/>
      </c>
      <c r="AC856" s="50">
        <f t="shared" si="109"/>
        <v>0</v>
      </c>
      <c r="AD856" s="43">
        <f t="shared" si="110"/>
        <v>0</v>
      </c>
      <c r="AE856" s="50">
        <f t="shared" si="111"/>
        <v>0</v>
      </c>
    </row>
    <row r="857" spans="1:31">
      <c r="A857" s="59" t="str">
        <f t="shared" si="105"/>
        <v/>
      </c>
      <c r="B857" s="59" t="str">
        <f t="shared" si="106"/>
        <v/>
      </c>
      <c r="V857" s="59" t="str">
        <f t="shared" si="107"/>
        <v/>
      </c>
      <c r="W857" s="59" t="str">
        <f t="shared" si="104"/>
        <v/>
      </c>
      <c r="X857" s="59" t="str">
        <f t="shared" si="108"/>
        <v/>
      </c>
      <c r="AC857" s="50">
        <f t="shared" si="109"/>
        <v>0</v>
      </c>
      <c r="AD857" s="43">
        <f t="shared" si="110"/>
        <v>0</v>
      </c>
      <c r="AE857" s="50">
        <f t="shared" si="111"/>
        <v>0</v>
      </c>
    </row>
    <row r="858" spans="1:31">
      <c r="A858" s="59" t="str">
        <f t="shared" si="105"/>
        <v/>
      </c>
      <c r="B858" s="59" t="str">
        <f t="shared" si="106"/>
        <v/>
      </c>
      <c r="V858" s="59" t="str">
        <f t="shared" si="107"/>
        <v/>
      </c>
      <c r="W858" s="59" t="str">
        <f t="shared" si="104"/>
        <v/>
      </c>
      <c r="X858" s="59" t="str">
        <f t="shared" si="108"/>
        <v/>
      </c>
      <c r="AC858" s="50">
        <f t="shared" si="109"/>
        <v>0</v>
      </c>
      <c r="AD858" s="43">
        <f t="shared" si="110"/>
        <v>0</v>
      </c>
      <c r="AE858" s="50">
        <f t="shared" si="111"/>
        <v>0</v>
      </c>
    </row>
    <row r="859" spans="1:31">
      <c r="A859" s="59" t="str">
        <f t="shared" si="105"/>
        <v/>
      </c>
      <c r="B859" s="59" t="str">
        <f t="shared" si="106"/>
        <v/>
      </c>
      <c r="V859" s="59" t="str">
        <f t="shared" si="107"/>
        <v/>
      </c>
      <c r="W859" s="59" t="str">
        <f t="shared" si="104"/>
        <v/>
      </c>
      <c r="X859" s="59" t="str">
        <f t="shared" si="108"/>
        <v/>
      </c>
      <c r="AC859" s="50">
        <f t="shared" si="109"/>
        <v>0</v>
      </c>
      <c r="AD859" s="43">
        <f t="shared" si="110"/>
        <v>0</v>
      </c>
      <c r="AE859" s="50">
        <f t="shared" si="111"/>
        <v>0</v>
      </c>
    </row>
    <row r="860" spans="1:31">
      <c r="A860" s="59" t="str">
        <f t="shared" si="105"/>
        <v/>
      </c>
      <c r="B860" s="59" t="str">
        <f t="shared" si="106"/>
        <v/>
      </c>
      <c r="V860" s="59" t="str">
        <f t="shared" si="107"/>
        <v/>
      </c>
      <c r="W860" s="59" t="str">
        <f t="shared" si="104"/>
        <v/>
      </c>
      <c r="X860" s="59" t="str">
        <f t="shared" si="108"/>
        <v/>
      </c>
      <c r="AC860" s="50">
        <f t="shared" si="109"/>
        <v>0</v>
      </c>
      <c r="AD860" s="43">
        <f t="shared" si="110"/>
        <v>0</v>
      </c>
      <c r="AE860" s="50">
        <f t="shared" si="111"/>
        <v>0</v>
      </c>
    </row>
    <row r="861" spans="1:31">
      <c r="A861" s="59" t="str">
        <f t="shared" si="105"/>
        <v/>
      </c>
      <c r="B861" s="59" t="str">
        <f t="shared" si="106"/>
        <v/>
      </c>
      <c r="V861" s="59" t="str">
        <f t="shared" si="107"/>
        <v/>
      </c>
      <c r="W861" s="59" t="str">
        <f t="shared" si="104"/>
        <v/>
      </c>
      <c r="X861" s="59" t="str">
        <f t="shared" si="108"/>
        <v/>
      </c>
      <c r="AC861" s="50">
        <f t="shared" si="109"/>
        <v>0</v>
      </c>
      <c r="AD861" s="43">
        <f t="shared" si="110"/>
        <v>0</v>
      </c>
      <c r="AE861" s="50">
        <f t="shared" si="111"/>
        <v>0</v>
      </c>
    </row>
    <row r="862" spans="1:31">
      <c r="A862" s="59" t="str">
        <f t="shared" si="105"/>
        <v/>
      </c>
      <c r="B862" s="59" t="str">
        <f t="shared" si="106"/>
        <v/>
      </c>
      <c r="V862" s="59" t="str">
        <f t="shared" si="107"/>
        <v/>
      </c>
      <c r="W862" s="59" t="str">
        <f t="shared" si="104"/>
        <v/>
      </c>
      <c r="X862" s="59" t="str">
        <f t="shared" si="108"/>
        <v/>
      </c>
      <c r="AC862" s="50">
        <f t="shared" si="109"/>
        <v>0</v>
      </c>
      <c r="AD862" s="43">
        <f t="shared" si="110"/>
        <v>0</v>
      </c>
      <c r="AE862" s="50">
        <f t="shared" si="111"/>
        <v>0</v>
      </c>
    </row>
    <row r="863" spans="1:31">
      <c r="A863" s="59" t="str">
        <f t="shared" si="105"/>
        <v/>
      </c>
      <c r="B863" s="59" t="str">
        <f t="shared" si="106"/>
        <v/>
      </c>
      <c r="V863" s="59" t="str">
        <f t="shared" si="107"/>
        <v/>
      </c>
      <c r="W863" s="59" t="str">
        <f t="shared" si="104"/>
        <v/>
      </c>
      <c r="X863" s="59" t="str">
        <f t="shared" si="108"/>
        <v/>
      </c>
      <c r="AC863" s="50">
        <f t="shared" si="109"/>
        <v>0</v>
      </c>
      <c r="AD863" s="43">
        <f t="shared" si="110"/>
        <v>0</v>
      </c>
      <c r="AE863" s="50">
        <f t="shared" si="111"/>
        <v>0</v>
      </c>
    </row>
    <row r="864" spans="1:31">
      <c r="A864" s="59" t="str">
        <f t="shared" si="105"/>
        <v/>
      </c>
      <c r="B864" s="59" t="str">
        <f t="shared" si="106"/>
        <v/>
      </c>
      <c r="V864" s="59" t="str">
        <f t="shared" si="107"/>
        <v/>
      </c>
      <c r="W864" s="59" t="str">
        <f t="shared" si="104"/>
        <v/>
      </c>
      <c r="X864" s="59" t="str">
        <f t="shared" si="108"/>
        <v/>
      </c>
      <c r="AC864" s="50">
        <f t="shared" si="109"/>
        <v>0</v>
      </c>
      <c r="AD864" s="43">
        <f t="shared" si="110"/>
        <v>0</v>
      </c>
      <c r="AE864" s="50">
        <f t="shared" si="111"/>
        <v>0</v>
      </c>
    </row>
    <row r="865" spans="1:31">
      <c r="A865" s="59" t="str">
        <f t="shared" si="105"/>
        <v/>
      </c>
      <c r="B865" s="59" t="str">
        <f t="shared" si="106"/>
        <v/>
      </c>
      <c r="V865" s="59" t="str">
        <f t="shared" si="107"/>
        <v/>
      </c>
      <c r="W865" s="59" t="str">
        <f t="shared" si="104"/>
        <v/>
      </c>
      <c r="X865" s="59" t="str">
        <f t="shared" si="108"/>
        <v/>
      </c>
      <c r="AC865" s="50">
        <f t="shared" si="109"/>
        <v>0</v>
      </c>
      <c r="AD865" s="43">
        <f t="shared" si="110"/>
        <v>0</v>
      </c>
      <c r="AE865" s="50">
        <f t="shared" si="111"/>
        <v>0</v>
      </c>
    </row>
    <row r="866" spans="1:31">
      <c r="A866" s="59" t="str">
        <f t="shared" si="105"/>
        <v/>
      </c>
      <c r="B866" s="59" t="str">
        <f t="shared" si="106"/>
        <v/>
      </c>
      <c r="V866" s="59" t="str">
        <f t="shared" si="107"/>
        <v/>
      </c>
      <c r="W866" s="59" t="str">
        <f t="shared" si="104"/>
        <v/>
      </c>
      <c r="X866" s="59" t="str">
        <f t="shared" si="108"/>
        <v/>
      </c>
      <c r="AC866" s="50">
        <f t="shared" si="109"/>
        <v>0</v>
      </c>
      <c r="AD866" s="43">
        <f t="shared" si="110"/>
        <v>0</v>
      </c>
      <c r="AE866" s="50">
        <f t="shared" si="111"/>
        <v>0</v>
      </c>
    </row>
    <row r="867" spans="1:31">
      <c r="A867" s="59" t="str">
        <f t="shared" si="105"/>
        <v/>
      </c>
      <c r="B867" s="59" t="str">
        <f t="shared" si="106"/>
        <v/>
      </c>
      <c r="V867" s="59" t="str">
        <f t="shared" si="107"/>
        <v/>
      </c>
      <c r="W867" s="59" t="str">
        <f t="shared" si="104"/>
        <v/>
      </c>
      <c r="X867" s="59" t="str">
        <f t="shared" si="108"/>
        <v/>
      </c>
      <c r="AC867" s="50">
        <f t="shared" si="109"/>
        <v>0</v>
      </c>
      <c r="AD867" s="43">
        <f t="shared" si="110"/>
        <v>0</v>
      </c>
      <c r="AE867" s="50">
        <f t="shared" si="111"/>
        <v>0</v>
      </c>
    </row>
    <row r="868" spans="1:31">
      <c r="A868" s="59" t="str">
        <f t="shared" si="105"/>
        <v/>
      </c>
      <c r="B868" s="59" t="str">
        <f t="shared" si="106"/>
        <v/>
      </c>
      <c r="V868" s="59" t="str">
        <f t="shared" si="107"/>
        <v/>
      </c>
      <c r="W868" s="59" t="str">
        <f t="shared" si="104"/>
        <v/>
      </c>
      <c r="X868" s="59" t="str">
        <f t="shared" si="108"/>
        <v/>
      </c>
      <c r="AC868" s="50">
        <f t="shared" si="109"/>
        <v>0</v>
      </c>
      <c r="AD868" s="43">
        <f t="shared" si="110"/>
        <v>0</v>
      </c>
      <c r="AE868" s="50">
        <f t="shared" si="111"/>
        <v>0</v>
      </c>
    </row>
    <row r="869" spans="1:31">
      <c r="A869" s="59" t="str">
        <f t="shared" si="105"/>
        <v/>
      </c>
      <c r="B869" s="59" t="str">
        <f t="shared" si="106"/>
        <v/>
      </c>
      <c r="V869" s="59" t="str">
        <f t="shared" si="107"/>
        <v/>
      </c>
      <c r="W869" s="59" t="str">
        <f t="shared" si="104"/>
        <v/>
      </c>
      <c r="X869" s="59" t="str">
        <f t="shared" si="108"/>
        <v/>
      </c>
      <c r="AC869" s="50">
        <f t="shared" si="109"/>
        <v>0</v>
      </c>
      <c r="AD869" s="43">
        <f t="shared" si="110"/>
        <v>0</v>
      </c>
      <c r="AE869" s="50">
        <f t="shared" si="111"/>
        <v>0</v>
      </c>
    </row>
    <row r="870" spans="1:31">
      <c r="A870" s="59" t="str">
        <f t="shared" si="105"/>
        <v/>
      </c>
      <c r="B870" s="59" t="str">
        <f t="shared" si="106"/>
        <v/>
      </c>
      <c r="V870" s="59" t="str">
        <f t="shared" si="107"/>
        <v/>
      </c>
      <c r="W870" s="59" t="str">
        <f t="shared" si="104"/>
        <v/>
      </c>
      <c r="X870" s="59" t="str">
        <f t="shared" si="108"/>
        <v/>
      </c>
      <c r="AC870" s="50">
        <f t="shared" si="109"/>
        <v>0</v>
      </c>
      <c r="AD870" s="43">
        <f t="shared" si="110"/>
        <v>0</v>
      </c>
      <c r="AE870" s="50">
        <f t="shared" si="111"/>
        <v>0</v>
      </c>
    </row>
    <row r="871" spans="1:31">
      <c r="A871" s="59" t="str">
        <f t="shared" si="105"/>
        <v/>
      </c>
      <c r="B871" s="59" t="str">
        <f t="shared" si="106"/>
        <v/>
      </c>
      <c r="V871" s="59" t="str">
        <f t="shared" si="107"/>
        <v/>
      </c>
      <c r="W871" s="59" t="str">
        <f t="shared" si="104"/>
        <v/>
      </c>
      <c r="X871" s="59" t="str">
        <f t="shared" si="108"/>
        <v/>
      </c>
      <c r="AC871" s="50">
        <f t="shared" si="109"/>
        <v>0</v>
      </c>
      <c r="AD871" s="43">
        <f t="shared" si="110"/>
        <v>0</v>
      </c>
      <c r="AE871" s="50">
        <f t="shared" si="111"/>
        <v>0</v>
      </c>
    </row>
    <row r="872" spans="1:31">
      <c r="A872" s="59" t="str">
        <f t="shared" si="105"/>
        <v/>
      </c>
      <c r="B872" s="59" t="str">
        <f t="shared" si="106"/>
        <v/>
      </c>
      <c r="V872" s="59" t="str">
        <f t="shared" si="107"/>
        <v/>
      </c>
      <c r="W872" s="59" t="str">
        <f t="shared" si="104"/>
        <v/>
      </c>
      <c r="X872" s="59" t="str">
        <f t="shared" si="108"/>
        <v/>
      </c>
      <c r="AC872" s="50">
        <f t="shared" si="109"/>
        <v>0</v>
      </c>
      <c r="AD872" s="43">
        <f t="shared" si="110"/>
        <v>0</v>
      </c>
      <c r="AE872" s="50">
        <f t="shared" si="111"/>
        <v>0</v>
      </c>
    </row>
    <row r="873" spans="1:31">
      <c r="A873" s="59" t="str">
        <f t="shared" si="105"/>
        <v/>
      </c>
      <c r="B873" s="59" t="str">
        <f t="shared" si="106"/>
        <v/>
      </c>
      <c r="V873" s="59" t="str">
        <f t="shared" si="107"/>
        <v/>
      </c>
      <c r="W873" s="59" t="str">
        <f t="shared" si="104"/>
        <v/>
      </c>
      <c r="X873" s="59" t="str">
        <f t="shared" si="108"/>
        <v/>
      </c>
      <c r="AC873" s="50">
        <f t="shared" si="109"/>
        <v>0</v>
      </c>
      <c r="AD873" s="43">
        <f t="shared" si="110"/>
        <v>0</v>
      </c>
      <c r="AE873" s="50">
        <f t="shared" si="111"/>
        <v>0</v>
      </c>
    </row>
    <row r="874" spans="1:31">
      <c r="A874" s="59" t="str">
        <f t="shared" si="105"/>
        <v/>
      </c>
      <c r="B874" s="59" t="str">
        <f t="shared" si="106"/>
        <v/>
      </c>
      <c r="V874" s="59" t="str">
        <f t="shared" si="107"/>
        <v/>
      </c>
      <c r="W874" s="59" t="str">
        <f t="shared" si="104"/>
        <v/>
      </c>
      <c r="X874" s="59" t="str">
        <f t="shared" si="108"/>
        <v/>
      </c>
      <c r="AC874" s="50">
        <f t="shared" si="109"/>
        <v>0</v>
      </c>
      <c r="AD874" s="43">
        <f t="shared" si="110"/>
        <v>0</v>
      </c>
      <c r="AE874" s="50">
        <f t="shared" si="111"/>
        <v>0</v>
      </c>
    </row>
    <row r="875" spans="1:31">
      <c r="A875" s="59" t="str">
        <f t="shared" si="105"/>
        <v/>
      </c>
      <c r="B875" s="59" t="str">
        <f t="shared" si="106"/>
        <v/>
      </c>
      <c r="V875" s="59" t="str">
        <f t="shared" si="107"/>
        <v/>
      </c>
      <c r="W875" s="59" t="str">
        <f t="shared" si="104"/>
        <v/>
      </c>
      <c r="X875" s="59" t="str">
        <f t="shared" si="108"/>
        <v/>
      </c>
      <c r="AC875" s="50">
        <f t="shared" si="109"/>
        <v>0</v>
      </c>
      <c r="AD875" s="43">
        <f t="shared" si="110"/>
        <v>0</v>
      </c>
      <c r="AE875" s="50">
        <f t="shared" si="111"/>
        <v>0</v>
      </c>
    </row>
    <row r="876" spans="1:31">
      <c r="A876" s="59" t="str">
        <f t="shared" si="105"/>
        <v/>
      </c>
      <c r="B876" s="59" t="str">
        <f t="shared" si="106"/>
        <v/>
      </c>
      <c r="V876" s="59" t="str">
        <f t="shared" si="107"/>
        <v/>
      </c>
      <c r="W876" s="59" t="str">
        <f t="shared" si="104"/>
        <v/>
      </c>
      <c r="X876" s="59" t="str">
        <f t="shared" si="108"/>
        <v/>
      </c>
      <c r="AC876" s="50">
        <f t="shared" si="109"/>
        <v>0</v>
      </c>
      <c r="AD876" s="43">
        <f t="shared" si="110"/>
        <v>0</v>
      </c>
      <c r="AE876" s="50">
        <f t="shared" si="111"/>
        <v>0</v>
      </c>
    </row>
    <row r="877" spans="1:31">
      <c r="A877" s="59" t="str">
        <f t="shared" si="105"/>
        <v/>
      </c>
      <c r="B877" s="59" t="str">
        <f t="shared" si="106"/>
        <v/>
      </c>
      <c r="V877" s="59" t="str">
        <f t="shared" si="107"/>
        <v/>
      </c>
      <c r="W877" s="59" t="str">
        <f t="shared" si="104"/>
        <v/>
      </c>
      <c r="X877" s="59" t="str">
        <f t="shared" si="108"/>
        <v/>
      </c>
      <c r="AC877" s="50">
        <f t="shared" si="109"/>
        <v>0</v>
      </c>
      <c r="AD877" s="43">
        <f t="shared" si="110"/>
        <v>0</v>
      </c>
      <c r="AE877" s="50">
        <f t="shared" si="111"/>
        <v>0</v>
      </c>
    </row>
    <row r="878" spans="1:31">
      <c r="A878" s="59" t="str">
        <f t="shared" si="105"/>
        <v/>
      </c>
      <c r="B878" s="59" t="str">
        <f t="shared" si="106"/>
        <v/>
      </c>
      <c r="V878" s="59" t="str">
        <f t="shared" si="107"/>
        <v/>
      </c>
      <c r="W878" s="59" t="str">
        <f t="shared" si="104"/>
        <v/>
      </c>
      <c r="X878" s="59" t="str">
        <f t="shared" si="108"/>
        <v/>
      </c>
      <c r="AC878" s="50">
        <f t="shared" si="109"/>
        <v>0</v>
      </c>
      <c r="AD878" s="43">
        <f t="shared" si="110"/>
        <v>0</v>
      </c>
      <c r="AE878" s="50">
        <f t="shared" si="111"/>
        <v>0</v>
      </c>
    </row>
    <row r="879" spans="1:31">
      <c r="A879" s="59" t="str">
        <f t="shared" si="105"/>
        <v/>
      </c>
      <c r="B879" s="59" t="str">
        <f t="shared" si="106"/>
        <v/>
      </c>
      <c r="V879" s="59" t="str">
        <f t="shared" si="107"/>
        <v/>
      </c>
      <c r="W879" s="59" t="str">
        <f t="shared" si="104"/>
        <v/>
      </c>
      <c r="X879" s="59" t="str">
        <f t="shared" si="108"/>
        <v/>
      </c>
      <c r="AC879" s="50">
        <f t="shared" si="109"/>
        <v>0</v>
      </c>
      <c r="AD879" s="43">
        <f t="shared" si="110"/>
        <v>0</v>
      </c>
      <c r="AE879" s="50">
        <f t="shared" si="111"/>
        <v>0</v>
      </c>
    </row>
    <row r="880" spans="1:31">
      <c r="A880" s="59" t="str">
        <f t="shared" si="105"/>
        <v/>
      </c>
      <c r="B880" s="59" t="str">
        <f t="shared" si="106"/>
        <v/>
      </c>
      <c r="V880" s="59" t="str">
        <f t="shared" si="107"/>
        <v/>
      </c>
      <c r="W880" s="59" t="str">
        <f t="shared" si="104"/>
        <v/>
      </c>
      <c r="X880" s="59" t="str">
        <f t="shared" si="108"/>
        <v/>
      </c>
      <c r="AC880" s="50">
        <f t="shared" si="109"/>
        <v>0</v>
      </c>
      <c r="AD880" s="43">
        <f t="shared" si="110"/>
        <v>0</v>
      </c>
      <c r="AE880" s="50">
        <f t="shared" si="111"/>
        <v>0</v>
      </c>
    </row>
    <row r="881" spans="1:31">
      <c r="A881" s="59" t="str">
        <f t="shared" si="105"/>
        <v/>
      </c>
      <c r="B881" s="59" t="str">
        <f t="shared" si="106"/>
        <v/>
      </c>
      <c r="V881" s="59" t="str">
        <f t="shared" si="107"/>
        <v/>
      </c>
      <c r="W881" s="59" t="str">
        <f t="shared" si="104"/>
        <v/>
      </c>
      <c r="X881" s="59" t="str">
        <f t="shared" si="108"/>
        <v/>
      </c>
      <c r="AC881" s="50">
        <f t="shared" si="109"/>
        <v>0</v>
      </c>
      <c r="AD881" s="43">
        <f t="shared" si="110"/>
        <v>0</v>
      </c>
      <c r="AE881" s="50">
        <f t="shared" si="111"/>
        <v>0</v>
      </c>
    </row>
    <row r="882" spans="1:31">
      <c r="A882" s="59" t="str">
        <f t="shared" si="105"/>
        <v/>
      </c>
      <c r="B882" s="59" t="str">
        <f t="shared" si="106"/>
        <v/>
      </c>
      <c r="V882" s="59" t="str">
        <f t="shared" si="107"/>
        <v/>
      </c>
      <c r="W882" s="59" t="str">
        <f t="shared" si="104"/>
        <v/>
      </c>
      <c r="X882" s="59" t="str">
        <f t="shared" si="108"/>
        <v/>
      </c>
      <c r="AC882" s="50">
        <f t="shared" si="109"/>
        <v>0</v>
      </c>
      <c r="AD882" s="43">
        <f t="shared" si="110"/>
        <v>0</v>
      </c>
      <c r="AE882" s="50">
        <f t="shared" si="111"/>
        <v>0</v>
      </c>
    </row>
    <row r="883" spans="1:31">
      <c r="A883" s="59" t="str">
        <f t="shared" si="105"/>
        <v/>
      </c>
      <c r="B883" s="59" t="str">
        <f t="shared" si="106"/>
        <v/>
      </c>
      <c r="V883" s="59" t="str">
        <f t="shared" si="107"/>
        <v/>
      </c>
      <c r="W883" s="59" t="str">
        <f t="shared" si="104"/>
        <v/>
      </c>
      <c r="X883" s="59" t="str">
        <f t="shared" si="108"/>
        <v/>
      </c>
      <c r="AC883" s="50">
        <f t="shared" si="109"/>
        <v>0</v>
      </c>
      <c r="AD883" s="43">
        <f t="shared" si="110"/>
        <v>0</v>
      </c>
      <c r="AE883" s="50">
        <f t="shared" si="111"/>
        <v>0</v>
      </c>
    </row>
    <row r="884" spans="1:31">
      <c r="A884" s="59" t="str">
        <f t="shared" si="105"/>
        <v/>
      </c>
      <c r="B884" s="59" t="str">
        <f t="shared" si="106"/>
        <v/>
      </c>
      <c r="V884" s="59" t="str">
        <f t="shared" si="107"/>
        <v/>
      </c>
      <c r="W884" s="59" t="str">
        <f t="shared" si="104"/>
        <v/>
      </c>
      <c r="X884" s="59" t="str">
        <f t="shared" si="108"/>
        <v/>
      </c>
      <c r="AC884" s="50">
        <f t="shared" si="109"/>
        <v>0</v>
      </c>
      <c r="AD884" s="43">
        <f t="shared" si="110"/>
        <v>0</v>
      </c>
      <c r="AE884" s="50">
        <f t="shared" si="111"/>
        <v>0</v>
      </c>
    </row>
    <row r="885" spans="1:31">
      <c r="A885" s="59" t="str">
        <f t="shared" si="105"/>
        <v/>
      </c>
      <c r="B885" s="59" t="str">
        <f t="shared" si="106"/>
        <v/>
      </c>
      <c r="V885" s="59" t="str">
        <f t="shared" si="107"/>
        <v/>
      </c>
      <c r="W885" s="59" t="str">
        <f t="shared" si="104"/>
        <v/>
      </c>
      <c r="X885" s="59" t="str">
        <f t="shared" si="108"/>
        <v/>
      </c>
      <c r="AC885" s="50">
        <f t="shared" si="109"/>
        <v>0</v>
      </c>
      <c r="AD885" s="43">
        <f t="shared" si="110"/>
        <v>0</v>
      </c>
      <c r="AE885" s="50">
        <f t="shared" si="111"/>
        <v>0</v>
      </c>
    </row>
    <row r="886" spans="1:31">
      <c r="A886" s="59" t="str">
        <f t="shared" si="105"/>
        <v/>
      </c>
      <c r="B886" s="59" t="str">
        <f t="shared" si="106"/>
        <v/>
      </c>
      <c r="V886" s="59" t="str">
        <f t="shared" si="107"/>
        <v/>
      </c>
      <c r="W886" s="59" t="str">
        <f t="shared" si="104"/>
        <v/>
      </c>
      <c r="X886" s="59" t="str">
        <f t="shared" si="108"/>
        <v/>
      </c>
      <c r="AC886" s="50">
        <f t="shared" si="109"/>
        <v>0</v>
      </c>
      <c r="AD886" s="43">
        <f t="shared" si="110"/>
        <v>0</v>
      </c>
      <c r="AE886" s="50">
        <f t="shared" si="111"/>
        <v>0</v>
      </c>
    </row>
    <row r="887" spans="1:31">
      <c r="A887" s="59" t="str">
        <f t="shared" si="105"/>
        <v/>
      </c>
      <c r="B887" s="59" t="str">
        <f t="shared" si="106"/>
        <v/>
      </c>
      <c r="V887" s="59" t="str">
        <f t="shared" si="107"/>
        <v/>
      </c>
      <c r="W887" s="59" t="str">
        <f t="shared" si="104"/>
        <v/>
      </c>
      <c r="X887" s="59" t="str">
        <f t="shared" si="108"/>
        <v/>
      </c>
      <c r="AC887" s="50">
        <f t="shared" si="109"/>
        <v>0</v>
      </c>
      <c r="AD887" s="43">
        <f t="shared" si="110"/>
        <v>0</v>
      </c>
      <c r="AE887" s="50">
        <f t="shared" si="111"/>
        <v>0</v>
      </c>
    </row>
    <row r="888" spans="1:31">
      <c r="A888" s="59" t="str">
        <f t="shared" si="105"/>
        <v/>
      </c>
      <c r="B888" s="59" t="str">
        <f t="shared" si="106"/>
        <v/>
      </c>
      <c r="V888" s="59" t="str">
        <f t="shared" si="107"/>
        <v/>
      </c>
      <c r="W888" s="59" t="str">
        <f t="shared" si="104"/>
        <v/>
      </c>
      <c r="X888" s="59" t="str">
        <f t="shared" si="108"/>
        <v/>
      </c>
      <c r="AC888" s="50">
        <f t="shared" si="109"/>
        <v>0</v>
      </c>
      <c r="AD888" s="43">
        <f t="shared" si="110"/>
        <v>0</v>
      </c>
      <c r="AE888" s="50">
        <f t="shared" si="111"/>
        <v>0</v>
      </c>
    </row>
    <row r="889" spans="1:31">
      <c r="A889" s="59" t="str">
        <f t="shared" si="105"/>
        <v/>
      </c>
      <c r="B889" s="59" t="str">
        <f t="shared" si="106"/>
        <v/>
      </c>
      <c r="V889" s="59" t="str">
        <f t="shared" si="107"/>
        <v/>
      </c>
      <c r="W889" s="59" t="str">
        <f t="shared" si="104"/>
        <v/>
      </c>
      <c r="X889" s="59" t="str">
        <f t="shared" si="108"/>
        <v/>
      </c>
      <c r="AC889" s="50">
        <f t="shared" si="109"/>
        <v>0</v>
      </c>
      <c r="AD889" s="43">
        <f t="shared" si="110"/>
        <v>0</v>
      </c>
      <c r="AE889" s="50">
        <f t="shared" si="111"/>
        <v>0</v>
      </c>
    </row>
    <row r="890" spans="1:31">
      <c r="A890" s="59" t="str">
        <f t="shared" si="105"/>
        <v/>
      </c>
      <c r="B890" s="59" t="str">
        <f t="shared" si="106"/>
        <v/>
      </c>
      <c r="V890" s="59" t="str">
        <f t="shared" si="107"/>
        <v/>
      </c>
      <c r="W890" s="59" t="str">
        <f t="shared" si="104"/>
        <v/>
      </c>
      <c r="X890" s="59" t="str">
        <f t="shared" si="108"/>
        <v/>
      </c>
      <c r="AC890" s="50">
        <f t="shared" si="109"/>
        <v>0</v>
      </c>
      <c r="AD890" s="43">
        <f t="shared" si="110"/>
        <v>0</v>
      </c>
      <c r="AE890" s="50">
        <f t="shared" si="111"/>
        <v>0</v>
      </c>
    </row>
    <row r="891" spans="1:31">
      <c r="A891" s="59" t="str">
        <f t="shared" si="105"/>
        <v/>
      </c>
      <c r="B891" s="59" t="str">
        <f t="shared" si="106"/>
        <v/>
      </c>
      <c r="V891" s="59" t="str">
        <f t="shared" si="107"/>
        <v/>
      </c>
      <c r="W891" s="59" t="str">
        <f t="shared" si="104"/>
        <v/>
      </c>
      <c r="X891" s="59" t="str">
        <f t="shared" si="108"/>
        <v/>
      </c>
      <c r="AC891" s="50">
        <f t="shared" si="109"/>
        <v>0</v>
      </c>
      <c r="AD891" s="43">
        <f t="shared" si="110"/>
        <v>0</v>
      </c>
      <c r="AE891" s="50">
        <f t="shared" si="111"/>
        <v>0</v>
      </c>
    </row>
    <row r="892" spans="1:31">
      <c r="A892" s="59" t="str">
        <f t="shared" si="105"/>
        <v/>
      </c>
      <c r="B892" s="59" t="str">
        <f t="shared" si="106"/>
        <v/>
      </c>
      <c r="V892" s="59" t="str">
        <f t="shared" si="107"/>
        <v/>
      </c>
      <c r="W892" s="59" t="str">
        <f t="shared" si="104"/>
        <v/>
      </c>
      <c r="X892" s="59" t="str">
        <f t="shared" si="108"/>
        <v/>
      </c>
      <c r="AC892" s="50">
        <f t="shared" si="109"/>
        <v>0</v>
      </c>
      <c r="AD892" s="43">
        <f t="shared" si="110"/>
        <v>0</v>
      </c>
      <c r="AE892" s="50">
        <f t="shared" si="111"/>
        <v>0</v>
      </c>
    </row>
    <row r="893" spans="1:31">
      <c r="A893" s="59" t="str">
        <f t="shared" si="105"/>
        <v/>
      </c>
      <c r="B893" s="59" t="str">
        <f t="shared" si="106"/>
        <v/>
      </c>
      <c r="V893" s="59" t="str">
        <f t="shared" si="107"/>
        <v/>
      </c>
      <c r="W893" s="59" t="str">
        <f t="shared" si="104"/>
        <v/>
      </c>
      <c r="X893" s="59" t="str">
        <f t="shared" si="108"/>
        <v/>
      </c>
      <c r="AC893" s="50">
        <f t="shared" si="109"/>
        <v>0</v>
      </c>
      <c r="AD893" s="43">
        <f t="shared" si="110"/>
        <v>0</v>
      </c>
      <c r="AE893" s="50">
        <f t="shared" si="111"/>
        <v>0</v>
      </c>
    </row>
    <row r="894" spans="1:31">
      <c r="A894" s="59" t="str">
        <f t="shared" si="105"/>
        <v/>
      </c>
      <c r="B894" s="59" t="str">
        <f t="shared" si="106"/>
        <v/>
      </c>
      <c r="V894" s="59" t="str">
        <f t="shared" si="107"/>
        <v/>
      </c>
      <c r="W894" s="59" t="str">
        <f t="shared" si="104"/>
        <v/>
      </c>
      <c r="X894" s="59" t="str">
        <f t="shared" si="108"/>
        <v/>
      </c>
      <c r="AC894" s="50">
        <f t="shared" si="109"/>
        <v>0</v>
      </c>
      <c r="AD894" s="43">
        <f t="shared" si="110"/>
        <v>0</v>
      </c>
      <c r="AE894" s="50">
        <f t="shared" si="111"/>
        <v>0</v>
      </c>
    </row>
    <row r="895" spans="1:31">
      <c r="A895" s="59" t="str">
        <f t="shared" si="105"/>
        <v/>
      </c>
      <c r="B895" s="59" t="str">
        <f t="shared" si="106"/>
        <v/>
      </c>
      <c r="V895" s="59" t="str">
        <f t="shared" si="107"/>
        <v/>
      </c>
      <c r="W895" s="59" t="str">
        <f t="shared" si="104"/>
        <v/>
      </c>
      <c r="X895" s="59" t="str">
        <f t="shared" si="108"/>
        <v/>
      </c>
      <c r="AC895" s="50">
        <f t="shared" si="109"/>
        <v>0</v>
      </c>
      <c r="AD895" s="43">
        <f t="shared" si="110"/>
        <v>0</v>
      </c>
      <c r="AE895" s="50">
        <f t="shared" si="111"/>
        <v>0</v>
      </c>
    </row>
    <row r="896" spans="1:31">
      <c r="A896" s="59" t="str">
        <f t="shared" si="105"/>
        <v/>
      </c>
      <c r="B896" s="59" t="str">
        <f t="shared" si="106"/>
        <v/>
      </c>
      <c r="V896" s="59" t="str">
        <f t="shared" si="107"/>
        <v/>
      </c>
      <c r="W896" s="59" t="str">
        <f t="shared" si="104"/>
        <v/>
      </c>
      <c r="X896" s="59" t="str">
        <f t="shared" si="108"/>
        <v/>
      </c>
      <c r="AC896" s="50">
        <f t="shared" si="109"/>
        <v>0</v>
      </c>
      <c r="AD896" s="43">
        <f t="shared" si="110"/>
        <v>0</v>
      </c>
      <c r="AE896" s="50">
        <f t="shared" si="111"/>
        <v>0</v>
      </c>
    </row>
    <row r="897" spans="1:31">
      <c r="A897" s="59" t="str">
        <f t="shared" si="105"/>
        <v/>
      </c>
      <c r="B897" s="59" t="str">
        <f t="shared" si="106"/>
        <v/>
      </c>
      <c r="V897" s="59" t="str">
        <f t="shared" si="107"/>
        <v/>
      </c>
      <c r="W897" s="59" t="str">
        <f t="shared" si="104"/>
        <v/>
      </c>
      <c r="X897" s="59" t="str">
        <f t="shared" si="108"/>
        <v/>
      </c>
      <c r="AC897" s="50">
        <f t="shared" si="109"/>
        <v>0</v>
      </c>
      <c r="AD897" s="43">
        <f t="shared" si="110"/>
        <v>0</v>
      </c>
      <c r="AE897" s="50">
        <f t="shared" si="111"/>
        <v>0</v>
      </c>
    </row>
    <row r="898" spans="1:31">
      <c r="A898" s="59" t="str">
        <f t="shared" si="105"/>
        <v/>
      </c>
      <c r="B898" s="59" t="str">
        <f t="shared" si="106"/>
        <v/>
      </c>
      <c r="V898" s="59" t="str">
        <f t="shared" si="107"/>
        <v/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59" t="str">
        <f t="shared" si="108"/>
        <v/>
      </c>
      <c r="AC898" s="50">
        <f t="shared" si="109"/>
        <v>0</v>
      </c>
      <c r="AD898" s="43">
        <f t="shared" si="110"/>
        <v>0</v>
      </c>
      <c r="AE898" s="50">
        <f t="shared" si="111"/>
        <v>0</v>
      </c>
    </row>
    <row r="899" spans="1:31">
      <c r="A899" s="59" t="str">
        <f t="shared" ref="A899:A962" si="113">IF(G899&amp;Q899&lt;&gt;"",W899&amp;Q899,"")</f>
        <v/>
      </c>
      <c r="B899" s="59" t="str">
        <f t="shared" ref="B899:B962" si="114">IF(C899&lt;&gt;"",LEFT(C899,9),"")</f>
        <v/>
      </c>
      <c r="V899" s="59" t="str">
        <f t="shared" ref="V899:V962" si="115">W899&amp;H899</f>
        <v/>
      </c>
      <c r="W899" s="59" t="str">
        <f t="shared" si="112"/>
        <v/>
      </c>
      <c r="X899" s="59" t="str">
        <f t="shared" ref="X899:X962" si="116">IF(A899&lt;&gt;"",IFERROR(IF(FIND(" ",G899)&gt;=1,MID(G899,FIND(" ",G899)+1,LEN(G899)),""),""),"")</f>
        <v/>
      </c>
      <c r="AC899" s="50">
        <f t="shared" ref="AC899:AC962" si="117">IFERROR(VALUE(MID($C899,1,2)),0)</f>
        <v>0</v>
      </c>
      <c r="AD899" s="43">
        <f t="shared" ref="AD899:AD962" si="118">IFERROR(VALUE(MID($C899,4,3)),0)</f>
        <v>0</v>
      </c>
      <c r="AE899" s="50">
        <f t="shared" ref="AE899:AE962" si="119">VALUE(RIGHT("00"&amp;AC899,2)&amp;RIGHT("000"&amp;AD899,3))</f>
        <v>0</v>
      </c>
    </row>
    <row r="900" spans="1:31">
      <c r="A900" s="59" t="str">
        <f t="shared" si="113"/>
        <v/>
      </c>
      <c r="B900" s="59" t="str">
        <f t="shared" si="114"/>
        <v/>
      </c>
      <c r="V900" s="59" t="str">
        <f t="shared" si="115"/>
        <v/>
      </c>
      <c r="W900" s="59" t="str">
        <f t="shared" si="112"/>
        <v/>
      </c>
      <c r="X900" s="59" t="str">
        <f t="shared" si="116"/>
        <v/>
      </c>
      <c r="AC900" s="50">
        <f t="shared" si="117"/>
        <v>0</v>
      </c>
      <c r="AD900" s="43">
        <f t="shared" si="118"/>
        <v>0</v>
      </c>
      <c r="AE900" s="50">
        <f t="shared" si="119"/>
        <v>0</v>
      </c>
    </row>
    <row r="901" spans="1:31">
      <c r="A901" s="59" t="str">
        <f t="shared" si="113"/>
        <v/>
      </c>
      <c r="B901" s="59" t="str">
        <f t="shared" si="114"/>
        <v/>
      </c>
      <c r="V901" s="59" t="str">
        <f t="shared" si="115"/>
        <v/>
      </c>
      <c r="W901" s="59" t="str">
        <f t="shared" si="112"/>
        <v/>
      </c>
      <c r="X901" s="59" t="str">
        <f t="shared" si="116"/>
        <v/>
      </c>
      <c r="AC901" s="50">
        <f t="shared" si="117"/>
        <v>0</v>
      </c>
      <c r="AD901" s="43">
        <f t="shared" si="118"/>
        <v>0</v>
      </c>
      <c r="AE901" s="50">
        <f t="shared" si="119"/>
        <v>0</v>
      </c>
    </row>
    <row r="902" spans="1:31">
      <c r="A902" s="59" t="str">
        <f t="shared" si="113"/>
        <v/>
      </c>
      <c r="B902" s="59" t="str">
        <f t="shared" si="114"/>
        <v/>
      </c>
      <c r="V902" s="59" t="str">
        <f t="shared" si="115"/>
        <v/>
      </c>
      <c r="W902" s="59" t="str">
        <f t="shared" si="112"/>
        <v/>
      </c>
      <c r="X902" s="59" t="str">
        <f t="shared" si="116"/>
        <v/>
      </c>
      <c r="AC902" s="50">
        <f t="shared" si="117"/>
        <v>0</v>
      </c>
      <c r="AD902" s="43">
        <f t="shared" si="118"/>
        <v>0</v>
      </c>
      <c r="AE902" s="50">
        <f t="shared" si="119"/>
        <v>0</v>
      </c>
    </row>
    <row r="903" spans="1:31">
      <c r="A903" s="59" t="str">
        <f t="shared" si="113"/>
        <v/>
      </c>
      <c r="B903" s="59" t="str">
        <f t="shared" si="114"/>
        <v/>
      </c>
      <c r="V903" s="59" t="str">
        <f t="shared" si="115"/>
        <v/>
      </c>
      <c r="W903" s="59" t="str">
        <f t="shared" si="112"/>
        <v/>
      </c>
      <c r="X903" s="59" t="str">
        <f t="shared" si="116"/>
        <v/>
      </c>
      <c r="AC903" s="50">
        <f t="shared" si="117"/>
        <v>0</v>
      </c>
      <c r="AD903" s="43">
        <f t="shared" si="118"/>
        <v>0</v>
      </c>
      <c r="AE903" s="50">
        <f t="shared" si="119"/>
        <v>0</v>
      </c>
    </row>
    <row r="904" spans="1:31">
      <c r="A904" s="59" t="str">
        <f t="shared" si="113"/>
        <v/>
      </c>
      <c r="B904" s="59" t="str">
        <f t="shared" si="114"/>
        <v/>
      </c>
      <c r="V904" s="59" t="str">
        <f t="shared" si="115"/>
        <v/>
      </c>
      <c r="W904" s="59" t="str">
        <f t="shared" si="112"/>
        <v/>
      </c>
      <c r="X904" s="59" t="str">
        <f t="shared" si="116"/>
        <v/>
      </c>
      <c r="AC904" s="50">
        <f t="shared" si="117"/>
        <v>0</v>
      </c>
      <c r="AD904" s="43">
        <f t="shared" si="118"/>
        <v>0</v>
      </c>
      <c r="AE904" s="50">
        <f t="shared" si="119"/>
        <v>0</v>
      </c>
    </row>
    <row r="905" spans="1:31">
      <c r="A905" s="59" t="str">
        <f t="shared" si="113"/>
        <v/>
      </c>
      <c r="B905" s="59" t="str">
        <f t="shared" si="114"/>
        <v/>
      </c>
      <c r="V905" s="59" t="str">
        <f t="shared" si="115"/>
        <v/>
      </c>
      <c r="W905" s="59" t="str">
        <f t="shared" si="112"/>
        <v/>
      </c>
      <c r="X905" s="59" t="str">
        <f t="shared" si="116"/>
        <v/>
      </c>
      <c r="AC905" s="50">
        <f t="shared" si="117"/>
        <v>0</v>
      </c>
      <c r="AD905" s="43">
        <f t="shared" si="118"/>
        <v>0</v>
      </c>
      <c r="AE905" s="50">
        <f t="shared" si="119"/>
        <v>0</v>
      </c>
    </row>
    <row r="906" spans="1:31">
      <c r="A906" s="59" t="str">
        <f t="shared" si="113"/>
        <v/>
      </c>
      <c r="B906" s="59" t="str">
        <f t="shared" si="114"/>
        <v/>
      </c>
      <c r="V906" s="59" t="str">
        <f t="shared" si="115"/>
        <v/>
      </c>
      <c r="W906" s="59" t="str">
        <f t="shared" si="112"/>
        <v/>
      </c>
      <c r="X906" s="59" t="str">
        <f t="shared" si="116"/>
        <v/>
      </c>
      <c r="AC906" s="50">
        <f t="shared" si="117"/>
        <v>0</v>
      </c>
      <c r="AD906" s="43">
        <f t="shared" si="118"/>
        <v>0</v>
      </c>
      <c r="AE906" s="50">
        <f t="shared" si="119"/>
        <v>0</v>
      </c>
    </row>
    <row r="907" spans="1:31">
      <c r="A907" s="59" t="str">
        <f t="shared" si="113"/>
        <v/>
      </c>
      <c r="B907" s="59" t="str">
        <f t="shared" si="114"/>
        <v/>
      </c>
      <c r="V907" s="59" t="str">
        <f t="shared" si="115"/>
        <v/>
      </c>
      <c r="W907" s="59" t="str">
        <f t="shared" si="112"/>
        <v/>
      </c>
      <c r="X907" s="59" t="str">
        <f t="shared" si="116"/>
        <v/>
      </c>
      <c r="AC907" s="50">
        <f t="shared" si="117"/>
        <v>0</v>
      </c>
      <c r="AD907" s="43">
        <f t="shared" si="118"/>
        <v>0</v>
      </c>
      <c r="AE907" s="50">
        <f t="shared" si="119"/>
        <v>0</v>
      </c>
    </row>
    <row r="908" spans="1:31">
      <c r="A908" s="59" t="str">
        <f t="shared" si="113"/>
        <v/>
      </c>
      <c r="B908" s="59" t="str">
        <f t="shared" si="114"/>
        <v/>
      </c>
      <c r="V908" s="59" t="str">
        <f t="shared" si="115"/>
        <v/>
      </c>
      <c r="W908" s="59" t="str">
        <f t="shared" si="112"/>
        <v/>
      </c>
      <c r="X908" s="59" t="str">
        <f t="shared" si="116"/>
        <v/>
      </c>
      <c r="AC908" s="50">
        <f t="shared" si="117"/>
        <v>0</v>
      </c>
      <c r="AD908" s="43">
        <f t="shared" si="118"/>
        <v>0</v>
      </c>
      <c r="AE908" s="50">
        <f t="shared" si="119"/>
        <v>0</v>
      </c>
    </row>
    <row r="909" spans="1:31">
      <c r="A909" s="59" t="str">
        <f t="shared" si="113"/>
        <v/>
      </c>
      <c r="B909" s="59" t="str">
        <f t="shared" si="114"/>
        <v/>
      </c>
      <c r="V909" s="59" t="str">
        <f t="shared" si="115"/>
        <v/>
      </c>
      <c r="W909" s="59" t="str">
        <f t="shared" si="112"/>
        <v/>
      </c>
      <c r="X909" s="59" t="str">
        <f t="shared" si="116"/>
        <v/>
      </c>
      <c r="AC909" s="50">
        <f t="shared" si="117"/>
        <v>0</v>
      </c>
      <c r="AD909" s="43">
        <f t="shared" si="118"/>
        <v>0</v>
      </c>
      <c r="AE909" s="50">
        <f t="shared" si="119"/>
        <v>0</v>
      </c>
    </row>
    <row r="910" spans="1:31">
      <c r="A910" s="59" t="str">
        <f t="shared" si="113"/>
        <v/>
      </c>
      <c r="B910" s="59" t="str">
        <f t="shared" si="114"/>
        <v/>
      </c>
      <c r="V910" s="59" t="str">
        <f t="shared" si="115"/>
        <v/>
      </c>
      <c r="W910" s="59" t="str">
        <f t="shared" si="112"/>
        <v/>
      </c>
      <c r="X910" s="59" t="str">
        <f t="shared" si="116"/>
        <v/>
      </c>
      <c r="AC910" s="50">
        <f t="shared" si="117"/>
        <v>0</v>
      </c>
      <c r="AD910" s="43">
        <f t="shared" si="118"/>
        <v>0</v>
      </c>
      <c r="AE910" s="50">
        <f t="shared" si="119"/>
        <v>0</v>
      </c>
    </row>
    <row r="911" spans="1:31">
      <c r="A911" s="59" t="str">
        <f t="shared" si="113"/>
        <v/>
      </c>
      <c r="B911" s="59" t="str">
        <f t="shared" si="114"/>
        <v/>
      </c>
      <c r="V911" s="59" t="str">
        <f t="shared" si="115"/>
        <v/>
      </c>
      <c r="W911" s="59" t="str">
        <f t="shared" si="112"/>
        <v/>
      </c>
      <c r="X911" s="59" t="str">
        <f t="shared" si="116"/>
        <v/>
      </c>
      <c r="AC911" s="50">
        <f t="shared" si="117"/>
        <v>0</v>
      </c>
      <c r="AD911" s="43">
        <f t="shared" si="118"/>
        <v>0</v>
      </c>
      <c r="AE911" s="50">
        <f t="shared" si="119"/>
        <v>0</v>
      </c>
    </row>
    <row r="912" spans="1:31">
      <c r="A912" s="59" t="str">
        <f t="shared" si="113"/>
        <v/>
      </c>
      <c r="B912" s="59" t="str">
        <f t="shared" si="114"/>
        <v/>
      </c>
      <c r="V912" s="59" t="str">
        <f t="shared" si="115"/>
        <v/>
      </c>
      <c r="W912" s="59" t="str">
        <f t="shared" si="112"/>
        <v/>
      </c>
      <c r="X912" s="59" t="str">
        <f t="shared" si="116"/>
        <v/>
      </c>
      <c r="AC912" s="50">
        <f t="shared" si="117"/>
        <v>0</v>
      </c>
      <c r="AD912" s="43">
        <f t="shared" si="118"/>
        <v>0</v>
      </c>
      <c r="AE912" s="50">
        <f t="shared" si="119"/>
        <v>0</v>
      </c>
    </row>
    <row r="913" spans="1:31">
      <c r="A913" s="59" t="str">
        <f t="shared" si="113"/>
        <v/>
      </c>
      <c r="B913" s="59" t="str">
        <f t="shared" si="114"/>
        <v/>
      </c>
      <c r="V913" s="59" t="str">
        <f t="shared" si="115"/>
        <v/>
      </c>
      <c r="W913" s="59" t="str">
        <f t="shared" si="112"/>
        <v/>
      </c>
      <c r="X913" s="59" t="str">
        <f t="shared" si="116"/>
        <v/>
      </c>
      <c r="AC913" s="50">
        <f t="shared" si="117"/>
        <v>0</v>
      </c>
      <c r="AD913" s="43">
        <f t="shared" si="118"/>
        <v>0</v>
      </c>
      <c r="AE913" s="50">
        <f t="shared" si="119"/>
        <v>0</v>
      </c>
    </row>
    <row r="914" spans="1:31">
      <c r="A914" s="59" t="str">
        <f t="shared" si="113"/>
        <v/>
      </c>
      <c r="B914" s="59" t="str">
        <f t="shared" si="114"/>
        <v/>
      </c>
      <c r="V914" s="59" t="str">
        <f t="shared" si="115"/>
        <v/>
      </c>
      <c r="W914" s="59" t="str">
        <f t="shared" si="112"/>
        <v/>
      </c>
      <c r="X914" s="59" t="str">
        <f t="shared" si="116"/>
        <v/>
      </c>
      <c r="AC914" s="50">
        <f t="shared" si="117"/>
        <v>0</v>
      </c>
      <c r="AD914" s="43">
        <f t="shared" si="118"/>
        <v>0</v>
      </c>
      <c r="AE914" s="50">
        <f t="shared" si="119"/>
        <v>0</v>
      </c>
    </row>
    <row r="915" spans="1:31">
      <c r="A915" s="59" t="str">
        <f t="shared" si="113"/>
        <v/>
      </c>
      <c r="B915" s="59" t="str">
        <f t="shared" si="114"/>
        <v/>
      </c>
      <c r="V915" s="59" t="str">
        <f t="shared" si="115"/>
        <v/>
      </c>
      <c r="W915" s="59" t="str">
        <f t="shared" si="112"/>
        <v/>
      </c>
      <c r="X915" s="59" t="str">
        <f t="shared" si="116"/>
        <v/>
      </c>
      <c r="AC915" s="50">
        <f t="shared" si="117"/>
        <v>0</v>
      </c>
      <c r="AD915" s="43">
        <f t="shared" si="118"/>
        <v>0</v>
      </c>
      <c r="AE915" s="50">
        <f t="shared" si="119"/>
        <v>0</v>
      </c>
    </row>
    <row r="916" spans="1:31">
      <c r="A916" s="59" t="str">
        <f t="shared" si="113"/>
        <v/>
      </c>
      <c r="B916" s="59" t="str">
        <f t="shared" si="114"/>
        <v/>
      </c>
      <c r="V916" s="59" t="str">
        <f t="shared" si="115"/>
        <v/>
      </c>
      <c r="W916" s="59" t="str">
        <f t="shared" si="112"/>
        <v/>
      </c>
      <c r="X916" s="59" t="str">
        <f t="shared" si="116"/>
        <v/>
      </c>
      <c r="AC916" s="50">
        <f t="shared" si="117"/>
        <v>0</v>
      </c>
      <c r="AD916" s="43">
        <f t="shared" si="118"/>
        <v>0</v>
      </c>
      <c r="AE916" s="50">
        <f t="shared" si="119"/>
        <v>0</v>
      </c>
    </row>
    <row r="917" spans="1:31">
      <c r="A917" s="59" t="str">
        <f t="shared" si="113"/>
        <v/>
      </c>
      <c r="B917" s="59" t="str">
        <f t="shared" si="114"/>
        <v/>
      </c>
      <c r="V917" s="59" t="str">
        <f t="shared" si="115"/>
        <v/>
      </c>
      <c r="W917" s="59" t="str">
        <f t="shared" si="112"/>
        <v/>
      </c>
      <c r="X917" s="59" t="str">
        <f t="shared" si="116"/>
        <v/>
      </c>
      <c r="AC917" s="50">
        <f t="shared" si="117"/>
        <v>0</v>
      </c>
      <c r="AD917" s="43">
        <f t="shared" si="118"/>
        <v>0</v>
      </c>
      <c r="AE917" s="50">
        <f t="shared" si="119"/>
        <v>0</v>
      </c>
    </row>
    <row r="918" spans="1:31">
      <c r="A918" s="59" t="str">
        <f t="shared" si="113"/>
        <v/>
      </c>
      <c r="B918" s="59" t="str">
        <f t="shared" si="114"/>
        <v/>
      </c>
      <c r="V918" s="59" t="str">
        <f t="shared" si="115"/>
        <v/>
      </c>
      <c r="W918" s="59" t="str">
        <f t="shared" si="112"/>
        <v/>
      </c>
      <c r="X918" s="59" t="str">
        <f t="shared" si="116"/>
        <v/>
      </c>
      <c r="AC918" s="50">
        <f t="shared" si="117"/>
        <v>0</v>
      </c>
      <c r="AD918" s="43">
        <f t="shared" si="118"/>
        <v>0</v>
      </c>
      <c r="AE918" s="50">
        <f t="shared" si="119"/>
        <v>0</v>
      </c>
    </row>
    <row r="919" spans="1:31">
      <c r="A919" s="59" t="str">
        <f t="shared" si="113"/>
        <v/>
      </c>
      <c r="B919" s="59" t="str">
        <f t="shared" si="114"/>
        <v/>
      </c>
      <c r="V919" s="59" t="str">
        <f t="shared" si="115"/>
        <v/>
      </c>
      <c r="W919" s="59" t="str">
        <f t="shared" si="112"/>
        <v/>
      </c>
      <c r="X919" s="59" t="str">
        <f t="shared" si="116"/>
        <v/>
      </c>
      <c r="AC919" s="50">
        <f t="shared" si="117"/>
        <v>0</v>
      </c>
      <c r="AD919" s="43">
        <f t="shared" si="118"/>
        <v>0</v>
      </c>
      <c r="AE919" s="50">
        <f t="shared" si="119"/>
        <v>0</v>
      </c>
    </row>
    <row r="920" spans="1:31">
      <c r="A920" s="59" t="str">
        <f t="shared" si="113"/>
        <v/>
      </c>
      <c r="B920" s="59" t="str">
        <f t="shared" si="114"/>
        <v/>
      </c>
      <c r="V920" s="59" t="str">
        <f t="shared" si="115"/>
        <v/>
      </c>
      <c r="W920" s="59" t="str">
        <f t="shared" si="112"/>
        <v/>
      </c>
      <c r="X920" s="59" t="str">
        <f t="shared" si="116"/>
        <v/>
      </c>
      <c r="AC920" s="50">
        <f t="shared" si="117"/>
        <v>0</v>
      </c>
      <c r="AD920" s="43">
        <f t="shared" si="118"/>
        <v>0</v>
      </c>
      <c r="AE920" s="50">
        <f t="shared" si="119"/>
        <v>0</v>
      </c>
    </row>
    <row r="921" spans="1:31">
      <c r="A921" s="59" t="str">
        <f t="shared" si="113"/>
        <v/>
      </c>
      <c r="B921" s="59" t="str">
        <f t="shared" si="114"/>
        <v/>
      </c>
      <c r="V921" s="59" t="str">
        <f t="shared" si="115"/>
        <v/>
      </c>
      <c r="W921" s="59" t="str">
        <f t="shared" si="112"/>
        <v/>
      </c>
      <c r="X921" s="59" t="str">
        <f t="shared" si="116"/>
        <v/>
      </c>
      <c r="AC921" s="50">
        <f t="shared" si="117"/>
        <v>0</v>
      </c>
      <c r="AD921" s="43">
        <f t="shared" si="118"/>
        <v>0</v>
      </c>
      <c r="AE921" s="50">
        <f t="shared" si="119"/>
        <v>0</v>
      </c>
    </row>
    <row r="922" spans="1:31">
      <c r="A922" s="59" t="str">
        <f t="shared" si="113"/>
        <v/>
      </c>
      <c r="B922" s="59" t="str">
        <f t="shared" si="114"/>
        <v/>
      </c>
      <c r="V922" s="59" t="str">
        <f t="shared" si="115"/>
        <v/>
      </c>
      <c r="W922" s="59" t="str">
        <f t="shared" si="112"/>
        <v/>
      </c>
      <c r="X922" s="59" t="str">
        <f t="shared" si="116"/>
        <v/>
      </c>
      <c r="AC922" s="50">
        <f t="shared" si="117"/>
        <v>0</v>
      </c>
      <c r="AD922" s="43">
        <f t="shared" si="118"/>
        <v>0</v>
      </c>
      <c r="AE922" s="50">
        <f t="shared" si="119"/>
        <v>0</v>
      </c>
    </row>
    <row r="923" spans="1:31">
      <c r="A923" s="59" t="str">
        <f t="shared" si="113"/>
        <v/>
      </c>
      <c r="B923" s="59" t="str">
        <f t="shared" si="114"/>
        <v/>
      </c>
      <c r="V923" s="59" t="str">
        <f t="shared" si="115"/>
        <v/>
      </c>
      <c r="W923" s="59" t="str">
        <f t="shared" si="112"/>
        <v/>
      </c>
      <c r="X923" s="59" t="str">
        <f t="shared" si="116"/>
        <v/>
      </c>
      <c r="AC923" s="50">
        <f t="shared" si="117"/>
        <v>0</v>
      </c>
      <c r="AD923" s="43">
        <f t="shared" si="118"/>
        <v>0</v>
      </c>
      <c r="AE923" s="50">
        <f t="shared" si="119"/>
        <v>0</v>
      </c>
    </row>
    <row r="924" spans="1:31">
      <c r="A924" s="59" t="str">
        <f t="shared" si="113"/>
        <v/>
      </c>
      <c r="B924" s="59" t="str">
        <f t="shared" si="114"/>
        <v/>
      </c>
      <c r="V924" s="59" t="str">
        <f t="shared" si="115"/>
        <v/>
      </c>
      <c r="W924" s="59" t="str">
        <f t="shared" si="112"/>
        <v/>
      </c>
      <c r="X924" s="59" t="str">
        <f t="shared" si="116"/>
        <v/>
      </c>
      <c r="AC924" s="50">
        <f t="shared" si="117"/>
        <v>0</v>
      </c>
      <c r="AD924" s="43">
        <f t="shared" si="118"/>
        <v>0</v>
      </c>
      <c r="AE924" s="50">
        <f t="shared" si="119"/>
        <v>0</v>
      </c>
    </row>
    <row r="925" spans="1:31">
      <c r="A925" s="59" t="str">
        <f t="shared" si="113"/>
        <v/>
      </c>
      <c r="B925" s="59" t="str">
        <f t="shared" si="114"/>
        <v/>
      </c>
      <c r="V925" s="59" t="str">
        <f t="shared" si="115"/>
        <v/>
      </c>
      <c r="W925" s="59" t="str">
        <f t="shared" si="112"/>
        <v/>
      </c>
      <c r="X925" s="59" t="str">
        <f t="shared" si="116"/>
        <v/>
      </c>
      <c r="AC925" s="50">
        <f t="shared" si="117"/>
        <v>0</v>
      </c>
      <c r="AD925" s="43">
        <f t="shared" si="118"/>
        <v>0</v>
      </c>
      <c r="AE925" s="50">
        <f t="shared" si="119"/>
        <v>0</v>
      </c>
    </row>
    <row r="926" spans="1:31">
      <c r="A926" s="59" t="str">
        <f t="shared" si="113"/>
        <v/>
      </c>
      <c r="B926" s="59" t="str">
        <f t="shared" si="114"/>
        <v/>
      </c>
      <c r="V926" s="59" t="str">
        <f t="shared" si="115"/>
        <v/>
      </c>
      <c r="W926" s="59" t="str">
        <f t="shared" si="112"/>
        <v/>
      </c>
      <c r="X926" s="59" t="str">
        <f t="shared" si="116"/>
        <v/>
      </c>
      <c r="AC926" s="50">
        <f t="shared" si="117"/>
        <v>0</v>
      </c>
      <c r="AD926" s="43">
        <f t="shared" si="118"/>
        <v>0</v>
      </c>
      <c r="AE926" s="50">
        <f t="shared" si="119"/>
        <v>0</v>
      </c>
    </row>
    <row r="927" spans="1:31">
      <c r="A927" s="59" t="str">
        <f t="shared" si="113"/>
        <v/>
      </c>
      <c r="B927" s="59" t="str">
        <f t="shared" si="114"/>
        <v/>
      </c>
      <c r="V927" s="59" t="str">
        <f t="shared" si="115"/>
        <v/>
      </c>
      <c r="W927" s="59" t="str">
        <f t="shared" si="112"/>
        <v/>
      </c>
      <c r="X927" s="59" t="str">
        <f t="shared" si="116"/>
        <v/>
      </c>
      <c r="AC927" s="50">
        <f t="shared" si="117"/>
        <v>0</v>
      </c>
      <c r="AD927" s="43">
        <f t="shared" si="118"/>
        <v>0</v>
      </c>
      <c r="AE927" s="50">
        <f t="shared" si="119"/>
        <v>0</v>
      </c>
    </row>
    <row r="928" spans="1:31">
      <c r="A928" s="59" t="str">
        <f t="shared" si="113"/>
        <v/>
      </c>
      <c r="B928" s="59" t="str">
        <f t="shared" si="114"/>
        <v/>
      </c>
      <c r="V928" s="59" t="str">
        <f t="shared" si="115"/>
        <v/>
      </c>
      <c r="W928" s="59" t="str">
        <f t="shared" si="112"/>
        <v/>
      </c>
      <c r="X928" s="59" t="str">
        <f t="shared" si="116"/>
        <v/>
      </c>
      <c r="AC928" s="50">
        <f t="shared" si="117"/>
        <v>0</v>
      </c>
      <c r="AD928" s="43">
        <f t="shared" si="118"/>
        <v>0</v>
      </c>
      <c r="AE928" s="50">
        <f t="shared" si="119"/>
        <v>0</v>
      </c>
    </row>
    <row r="929" spans="1:31">
      <c r="A929" s="59" t="str">
        <f t="shared" si="113"/>
        <v/>
      </c>
      <c r="B929" s="59" t="str">
        <f t="shared" si="114"/>
        <v/>
      </c>
      <c r="V929" s="59" t="str">
        <f t="shared" si="115"/>
        <v/>
      </c>
      <c r="W929" s="59" t="str">
        <f t="shared" si="112"/>
        <v/>
      </c>
      <c r="X929" s="59" t="str">
        <f t="shared" si="116"/>
        <v/>
      </c>
      <c r="AC929" s="50">
        <f t="shared" si="117"/>
        <v>0</v>
      </c>
      <c r="AD929" s="43">
        <f t="shared" si="118"/>
        <v>0</v>
      </c>
      <c r="AE929" s="50">
        <f t="shared" si="119"/>
        <v>0</v>
      </c>
    </row>
    <row r="930" spans="1:31">
      <c r="A930" s="59" t="str">
        <f t="shared" si="113"/>
        <v/>
      </c>
      <c r="B930" s="59" t="str">
        <f t="shared" si="114"/>
        <v/>
      </c>
      <c r="V930" s="59" t="str">
        <f t="shared" si="115"/>
        <v/>
      </c>
      <c r="W930" s="59" t="str">
        <f t="shared" si="112"/>
        <v/>
      </c>
      <c r="X930" s="59" t="str">
        <f t="shared" si="116"/>
        <v/>
      </c>
      <c r="AC930" s="50">
        <f t="shared" si="117"/>
        <v>0</v>
      </c>
      <c r="AD930" s="43">
        <f t="shared" si="118"/>
        <v>0</v>
      </c>
      <c r="AE930" s="50">
        <f t="shared" si="119"/>
        <v>0</v>
      </c>
    </row>
    <row r="931" spans="1:31">
      <c r="A931" s="59" t="str">
        <f t="shared" si="113"/>
        <v/>
      </c>
      <c r="B931" s="59" t="str">
        <f t="shared" si="114"/>
        <v/>
      </c>
      <c r="V931" s="59" t="str">
        <f t="shared" si="115"/>
        <v/>
      </c>
      <c r="W931" s="59" t="str">
        <f t="shared" si="112"/>
        <v/>
      </c>
      <c r="X931" s="59" t="str">
        <f t="shared" si="116"/>
        <v/>
      </c>
      <c r="AC931" s="50">
        <f t="shared" si="117"/>
        <v>0</v>
      </c>
      <c r="AD931" s="43">
        <f t="shared" si="118"/>
        <v>0</v>
      </c>
      <c r="AE931" s="50">
        <f t="shared" si="119"/>
        <v>0</v>
      </c>
    </row>
    <row r="932" spans="1:31">
      <c r="A932" s="59" t="str">
        <f t="shared" si="113"/>
        <v/>
      </c>
      <c r="B932" s="59" t="str">
        <f t="shared" si="114"/>
        <v/>
      </c>
      <c r="V932" s="59" t="str">
        <f t="shared" si="115"/>
        <v/>
      </c>
      <c r="W932" s="59" t="str">
        <f t="shared" si="112"/>
        <v/>
      </c>
      <c r="X932" s="59" t="str">
        <f t="shared" si="116"/>
        <v/>
      </c>
      <c r="AC932" s="50">
        <f t="shared" si="117"/>
        <v>0</v>
      </c>
      <c r="AD932" s="43">
        <f t="shared" si="118"/>
        <v>0</v>
      </c>
      <c r="AE932" s="50">
        <f t="shared" si="119"/>
        <v>0</v>
      </c>
    </row>
    <row r="933" spans="1:31">
      <c r="A933" s="59" t="str">
        <f t="shared" si="113"/>
        <v/>
      </c>
      <c r="B933" s="59" t="str">
        <f t="shared" si="114"/>
        <v/>
      </c>
      <c r="V933" s="59" t="str">
        <f t="shared" si="115"/>
        <v/>
      </c>
      <c r="W933" s="59" t="str">
        <f t="shared" si="112"/>
        <v/>
      </c>
      <c r="X933" s="59" t="str">
        <f t="shared" si="116"/>
        <v/>
      </c>
      <c r="AC933" s="50">
        <f t="shared" si="117"/>
        <v>0</v>
      </c>
      <c r="AD933" s="43">
        <f t="shared" si="118"/>
        <v>0</v>
      </c>
      <c r="AE933" s="50">
        <f t="shared" si="119"/>
        <v>0</v>
      </c>
    </row>
    <row r="934" spans="1:31">
      <c r="A934" s="59" t="str">
        <f t="shared" si="113"/>
        <v/>
      </c>
      <c r="B934" s="59" t="str">
        <f t="shared" si="114"/>
        <v/>
      </c>
      <c r="V934" s="59" t="str">
        <f t="shared" si="115"/>
        <v/>
      </c>
      <c r="W934" s="59" t="str">
        <f t="shared" si="112"/>
        <v/>
      </c>
      <c r="X934" s="59" t="str">
        <f t="shared" si="116"/>
        <v/>
      </c>
      <c r="AC934" s="50">
        <f t="shared" si="117"/>
        <v>0</v>
      </c>
      <c r="AD934" s="43">
        <f t="shared" si="118"/>
        <v>0</v>
      </c>
      <c r="AE934" s="50">
        <f t="shared" si="119"/>
        <v>0</v>
      </c>
    </row>
    <row r="935" spans="1:31">
      <c r="A935" s="59" t="str">
        <f t="shared" si="113"/>
        <v/>
      </c>
      <c r="B935" s="59" t="str">
        <f t="shared" si="114"/>
        <v/>
      </c>
      <c r="V935" s="59" t="str">
        <f t="shared" si="115"/>
        <v/>
      </c>
      <c r="W935" s="59" t="str">
        <f t="shared" si="112"/>
        <v/>
      </c>
      <c r="X935" s="59" t="str">
        <f t="shared" si="116"/>
        <v/>
      </c>
      <c r="AC935" s="50">
        <f t="shared" si="117"/>
        <v>0</v>
      </c>
      <c r="AD935" s="43">
        <f t="shared" si="118"/>
        <v>0</v>
      </c>
      <c r="AE935" s="50">
        <f t="shared" si="119"/>
        <v>0</v>
      </c>
    </row>
    <row r="936" spans="1:31">
      <c r="A936" s="59" t="str">
        <f t="shared" si="113"/>
        <v/>
      </c>
      <c r="B936" s="59" t="str">
        <f t="shared" si="114"/>
        <v/>
      </c>
      <c r="V936" s="59" t="str">
        <f t="shared" si="115"/>
        <v/>
      </c>
      <c r="W936" s="59" t="str">
        <f t="shared" si="112"/>
        <v/>
      </c>
      <c r="X936" s="59" t="str">
        <f t="shared" si="116"/>
        <v/>
      </c>
      <c r="AC936" s="50">
        <f t="shared" si="117"/>
        <v>0</v>
      </c>
      <c r="AD936" s="43">
        <f t="shared" si="118"/>
        <v>0</v>
      </c>
      <c r="AE936" s="50">
        <f t="shared" si="119"/>
        <v>0</v>
      </c>
    </row>
    <row r="937" spans="1:31">
      <c r="A937" s="59" t="str">
        <f t="shared" si="113"/>
        <v/>
      </c>
      <c r="B937" s="59" t="str">
        <f t="shared" si="114"/>
        <v/>
      </c>
      <c r="V937" s="59" t="str">
        <f t="shared" si="115"/>
        <v/>
      </c>
      <c r="W937" s="59" t="str">
        <f t="shared" si="112"/>
        <v/>
      </c>
      <c r="X937" s="59" t="str">
        <f t="shared" si="116"/>
        <v/>
      </c>
      <c r="AC937" s="50">
        <f t="shared" si="117"/>
        <v>0</v>
      </c>
      <c r="AD937" s="43">
        <f t="shared" si="118"/>
        <v>0</v>
      </c>
      <c r="AE937" s="50">
        <f t="shared" si="119"/>
        <v>0</v>
      </c>
    </row>
    <row r="938" spans="1:31">
      <c r="A938" s="59" t="str">
        <f t="shared" si="113"/>
        <v/>
      </c>
      <c r="B938" s="59" t="str">
        <f t="shared" si="114"/>
        <v/>
      </c>
      <c r="V938" s="59" t="str">
        <f t="shared" si="115"/>
        <v/>
      </c>
      <c r="W938" s="59" t="str">
        <f t="shared" si="112"/>
        <v/>
      </c>
      <c r="X938" s="59" t="str">
        <f t="shared" si="116"/>
        <v/>
      </c>
      <c r="AC938" s="50">
        <f t="shared" si="117"/>
        <v>0</v>
      </c>
      <c r="AD938" s="43">
        <f t="shared" si="118"/>
        <v>0</v>
      </c>
      <c r="AE938" s="50">
        <f t="shared" si="119"/>
        <v>0</v>
      </c>
    </row>
    <row r="939" spans="1:31">
      <c r="A939" s="59" t="str">
        <f t="shared" si="113"/>
        <v/>
      </c>
      <c r="B939" s="59" t="str">
        <f t="shared" si="114"/>
        <v/>
      </c>
      <c r="V939" s="59" t="str">
        <f t="shared" si="115"/>
        <v/>
      </c>
      <c r="W939" s="59" t="str">
        <f t="shared" si="112"/>
        <v/>
      </c>
      <c r="X939" s="59" t="str">
        <f t="shared" si="116"/>
        <v/>
      </c>
      <c r="AC939" s="50">
        <f t="shared" si="117"/>
        <v>0</v>
      </c>
      <c r="AD939" s="43">
        <f t="shared" si="118"/>
        <v>0</v>
      </c>
      <c r="AE939" s="50">
        <f t="shared" si="119"/>
        <v>0</v>
      </c>
    </row>
    <row r="940" spans="1:31">
      <c r="A940" s="59" t="str">
        <f t="shared" si="113"/>
        <v/>
      </c>
      <c r="B940" s="59" t="str">
        <f t="shared" si="114"/>
        <v/>
      </c>
      <c r="V940" s="59" t="str">
        <f t="shared" si="115"/>
        <v/>
      </c>
      <c r="W940" s="59" t="str">
        <f t="shared" si="112"/>
        <v/>
      </c>
      <c r="X940" s="59" t="str">
        <f t="shared" si="116"/>
        <v/>
      </c>
      <c r="AC940" s="50">
        <f t="shared" si="117"/>
        <v>0</v>
      </c>
      <c r="AD940" s="43">
        <f t="shared" si="118"/>
        <v>0</v>
      </c>
      <c r="AE940" s="50">
        <f t="shared" si="119"/>
        <v>0</v>
      </c>
    </row>
    <row r="941" spans="1:31">
      <c r="A941" s="59" t="str">
        <f t="shared" si="113"/>
        <v/>
      </c>
      <c r="B941" s="59" t="str">
        <f t="shared" si="114"/>
        <v/>
      </c>
      <c r="V941" s="59" t="str">
        <f t="shared" si="115"/>
        <v/>
      </c>
      <c r="W941" s="59" t="str">
        <f t="shared" si="112"/>
        <v/>
      </c>
      <c r="X941" s="59" t="str">
        <f t="shared" si="116"/>
        <v/>
      </c>
      <c r="AC941" s="50">
        <f t="shared" si="117"/>
        <v>0</v>
      </c>
      <c r="AD941" s="43">
        <f t="shared" si="118"/>
        <v>0</v>
      </c>
      <c r="AE941" s="50">
        <f t="shared" si="119"/>
        <v>0</v>
      </c>
    </row>
    <row r="942" spans="1:31">
      <c r="A942" s="59" t="str">
        <f t="shared" si="113"/>
        <v/>
      </c>
      <c r="B942" s="59" t="str">
        <f t="shared" si="114"/>
        <v/>
      </c>
      <c r="V942" s="59" t="str">
        <f t="shared" si="115"/>
        <v/>
      </c>
      <c r="W942" s="59" t="str">
        <f t="shared" si="112"/>
        <v/>
      </c>
      <c r="X942" s="59" t="str">
        <f t="shared" si="116"/>
        <v/>
      </c>
      <c r="AC942" s="50">
        <f t="shared" si="117"/>
        <v>0</v>
      </c>
      <c r="AD942" s="43">
        <f t="shared" si="118"/>
        <v>0</v>
      </c>
      <c r="AE942" s="50">
        <f t="shared" si="119"/>
        <v>0</v>
      </c>
    </row>
    <row r="943" spans="1:31">
      <c r="A943" s="59" t="str">
        <f t="shared" si="113"/>
        <v/>
      </c>
      <c r="B943" s="59" t="str">
        <f t="shared" si="114"/>
        <v/>
      </c>
      <c r="V943" s="59" t="str">
        <f t="shared" si="115"/>
        <v/>
      </c>
      <c r="W943" s="59" t="str">
        <f t="shared" si="112"/>
        <v/>
      </c>
      <c r="X943" s="59" t="str">
        <f t="shared" si="116"/>
        <v/>
      </c>
      <c r="AC943" s="50">
        <f t="shared" si="117"/>
        <v>0</v>
      </c>
      <c r="AD943" s="43">
        <f t="shared" si="118"/>
        <v>0</v>
      </c>
      <c r="AE943" s="50">
        <f t="shared" si="119"/>
        <v>0</v>
      </c>
    </row>
    <row r="944" spans="1:31">
      <c r="A944" s="59" t="str">
        <f t="shared" si="113"/>
        <v/>
      </c>
      <c r="B944" s="59" t="str">
        <f t="shared" si="114"/>
        <v/>
      </c>
      <c r="V944" s="59" t="str">
        <f t="shared" si="115"/>
        <v/>
      </c>
      <c r="W944" s="59" t="str">
        <f t="shared" si="112"/>
        <v/>
      </c>
      <c r="X944" s="59" t="str">
        <f t="shared" si="116"/>
        <v/>
      </c>
      <c r="AC944" s="50">
        <f t="shared" si="117"/>
        <v>0</v>
      </c>
      <c r="AD944" s="43">
        <f t="shared" si="118"/>
        <v>0</v>
      </c>
      <c r="AE944" s="50">
        <f t="shared" si="119"/>
        <v>0</v>
      </c>
    </row>
    <row r="945" spans="1:31">
      <c r="A945" s="59" t="str">
        <f t="shared" si="113"/>
        <v/>
      </c>
      <c r="B945" s="59" t="str">
        <f t="shared" si="114"/>
        <v/>
      </c>
      <c r="V945" s="59" t="str">
        <f t="shared" si="115"/>
        <v/>
      </c>
      <c r="W945" s="59" t="str">
        <f t="shared" si="112"/>
        <v/>
      </c>
      <c r="X945" s="59" t="str">
        <f t="shared" si="116"/>
        <v/>
      </c>
      <c r="AC945" s="50">
        <f t="shared" si="117"/>
        <v>0</v>
      </c>
      <c r="AD945" s="43">
        <f t="shared" si="118"/>
        <v>0</v>
      </c>
      <c r="AE945" s="50">
        <f t="shared" si="119"/>
        <v>0</v>
      </c>
    </row>
    <row r="946" spans="1:31">
      <c r="A946" s="59" t="str">
        <f t="shared" si="113"/>
        <v/>
      </c>
      <c r="B946" s="59" t="str">
        <f t="shared" si="114"/>
        <v/>
      </c>
      <c r="V946" s="59" t="str">
        <f t="shared" si="115"/>
        <v/>
      </c>
      <c r="W946" s="59" t="str">
        <f t="shared" si="112"/>
        <v/>
      </c>
      <c r="X946" s="59" t="str">
        <f t="shared" si="116"/>
        <v/>
      </c>
      <c r="AC946" s="50">
        <f t="shared" si="117"/>
        <v>0</v>
      </c>
      <c r="AD946" s="43">
        <f t="shared" si="118"/>
        <v>0</v>
      </c>
      <c r="AE946" s="50">
        <f t="shared" si="119"/>
        <v>0</v>
      </c>
    </row>
    <row r="947" spans="1:31">
      <c r="A947" s="59" t="str">
        <f t="shared" si="113"/>
        <v/>
      </c>
      <c r="B947" s="59" t="str">
        <f t="shared" si="114"/>
        <v/>
      </c>
      <c r="V947" s="59" t="str">
        <f t="shared" si="115"/>
        <v/>
      </c>
      <c r="W947" s="59" t="str">
        <f t="shared" si="112"/>
        <v/>
      </c>
      <c r="X947" s="59" t="str">
        <f t="shared" si="116"/>
        <v/>
      </c>
      <c r="AC947" s="50">
        <f t="shared" si="117"/>
        <v>0</v>
      </c>
      <c r="AD947" s="43">
        <f t="shared" si="118"/>
        <v>0</v>
      </c>
      <c r="AE947" s="50">
        <f t="shared" si="119"/>
        <v>0</v>
      </c>
    </row>
    <row r="948" spans="1:31">
      <c r="A948" s="59" t="str">
        <f t="shared" si="113"/>
        <v/>
      </c>
      <c r="B948" s="59" t="str">
        <f t="shared" si="114"/>
        <v/>
      </c>
      <c r="V948" s="59" t="str">
        <f t="shared" si="115"/>
        <v/>
      </c>
      <c r="W948" s="59" t="str">
        <f t="shared" si="112"/>
        <v/>
      </c>
      <c r="X948" s="59" t="str">
        <f t="shared" si="116"/>
        <v/>
      </c>
      <c r="AC948" s="50">
        <f t="shared" si="117"/>
        <v>0</v>
      </c>
      <c r="AD948" s="43">
        <f t="shared" si="118"/>
        <v>0</v>
      </c>
      <c r="AE948" s="50">
        <f t="shared" si="119"/>
        <v>0</v>
      </c>
    </row>
    <row r="949" spans="1:31">
      <c r="A949" s="59" t="str">
        <f t="shared" si="113"/>
        <v/>
      </c>
      <c r="B949" s="59" t="str">
        <f t="shared" si="114"/>
        <v/>
      </c>
      <c r="V949" s="59" t="str">
        <f t="shared" si="115"/>
        <v/>
      </c>
      <c r="W949" s="59" t="str">
        <f t="shared" si="112"/>
        <v/>
      </c>
      <c r="X949" s="59" t="str">
        <f t="shared" si="116"/>
        <v/>
      </c>
      <c r="AC949" s="50">
        <f t="shared" si="117"/>
        <v>0</v>
      </c>
      <c r="AD949" s="43">
        <f t="shared" si="118"/>
        <v>0</v>
      </c>
      <c r="AE949" s="50">
        <f t="shared" si="119"/>
        <v>0</v>
      </c>
    </row>
    <row r="950" spans="1:31">
      <c r="A950" s="59" t="str">
        <f t="shared" si="113"/>
        <v/>
      </c>
      <c r="B950" s="59" t="str">
        <f t="shared" si="114"/>
        <v/>
      </c>
      <c r="V950" s="59" t="str">
        <f t="shared" si="115"/>
        <v/>
      </c>
      <c r="W950" s="59" t="str">
        <f t="shared" si="112"/>
        <v/>
      </c>
      <c r="X950" s="59" t="str">
        <f t="shared" si="116"/>
        <v/>
      </c>
      <c r="AC950" s="50">
        <f t="shared" si="117"/>
        <v>0</v>
      </c>
      <c r="AD950" s="43">
        <f t="shared" si="118"/>
        <v>0</v>
      </c>
      <c r="AE950" s="50">
        <f t="shared" si="119"/>
        <v>0</v>
      </c>
    </row>
    <row r="951" spans="1:31">
      <c r="A951" s="59" t="str">
        <f t="shared" si="113"/>
        <v/>
      </c>
      <c r="B951" s="59" t="str">
        <f t="shared" si="114"/>
        <v/>
      </c>
      <c r="V951" s="59" t="str">
        <f t="shared" si="115"/>
        <v/>
      </c>
      <c r="W951" s="59" t="str">
        <f t="shared" si="112"/>
        <v/>
      </c>
      <c r="X951" s="59" t="str">
        <f t="shared" si="116"/>
        <v/>
      </c>
      <c r="AC951" s="50">
        <f t="shared" si="117"/>
        <v>0</v>
      </c>
      <c r="AD951" s="43">
        <f t="shared" si="118"/>
        <v>0</v>
      </c>
      <c r="AE951" s="50">
        <f t="shared" si="119"/>
        <v>0</v>
      </c>
    </row>
    <row r="952" spans="1:31">
      <c r="A952" s="59" t="str">
        <f t="shared" si="113"/>
        <v/>
      </c>
      <c r="B952" s="59" t="str">
        <f t="shared" si="114"/>
        <v/>
      </c>
      <c r="V952" s="59" t="str">
        <f t="shared" si="115"/>
        <v/>
      </c>
      <c r="W952" s="59" t="str">
        <f t="shared" si="112"/>
        <v/>
      </c>
      <c r="X952" s="59" t="str">
        <f t="shared" si="116"/>
        <v/>
      </c>
      <c r="AC952" s="50">
        <f t="shared" si="117"/>
        <v>0</v>
      </c>
      <c r="AD952" s="43">
        <f t="shared" si="118"/>
        <v>0</v>
      </c>
      <c r="AE952" s="50">
        <f t="shared" si="119"/>
        <v>0</v>
      </c>
    </row>
    <row r="953" spans="1:31">
      <c r="A953" s="59" t="str">
        <f t="shared" si="113"/>
        <v/>
      </c>
      <c r="B953" s="59" t="str">
        <f t="shared" si="114"/>
        <v/>
      </c>
      <c r="V953" s="59" t="str">
        <f t="shared" si="115"/>
        <v/>
      </c>
      <c r="W953" s="59" t="str">
        <f t="shared" si="112"/>
        <v/>
      </c>
      <c r="X953" s="59" t="str">
        <f t="shared" si="116"/>
        <v/>
      </c>
      <c r="AC953" s="50">
        <f t="shared" si="117"/>
        <v>0</v>
      </c>
      <c r="AD953" s="43">
        <f t="shared" si="118"/>
        <v>0</v>
      </c>
      <c r="AE953" s="50">
        <f t="shared" si="119"/>
        <v>0</v>
      </c>
    </row>
    <row r="954" spans="1:31">
      <c r="A954" s="59" t="str">
        <f t="shared" si="113"/>
        <v/>
      </c>
      <c r="B954" s="59" t="str">
        <f t="shared" si="114"/>
        <v/>
      </c>
      <c r="V954" s="59" t="str">
        <f t="shared" si="115"/>
        <v/>
      </c>
      <c r="W954" s="59" t="str">
        <f t="shared" si="112"/>
        <v/>
      </c>
      <c r="X954" s="59" t="str">
        <f t="shared" si="116"/>
        <v/>
      </c>
      <c r="AC954" s="50">
        <f t="shared" si="117"/>
        <v>0</v>
      </c>
      <c r="AD954" s="43">
        <f t="shared" si="118"/>
        <v>0</v>
      </c>
      <c r="AE954" s="50">
        <f t="shared" si="119"/>
        <v>0</v>
      </c>
    </row>
    <row r="955" spans="1:31">
      <c r="A955" s="59" t="str">
        <f t="shared" si="113"/>
        <v/>
      </c>
      <c r="B955" s="59" t="str">
        <f t="shared" si="114"/>
        <v/>
      </c>
      <c r="V955" s="59" t="str">
        <f t="shared" si="115"/>
        <v/>
      </c>
      <c r="W955" s="59" t="str">
        <f t="shared" si="112"/>
        <v/>
      </c>
      <c r="X955" s="59" t="str">
        <f t="shared" si="116"/>
        <v/>
      </c>
      <c r="AC955" s="50">
        <f t="shared" si="117"/>
        <v>0</v>
      </c>
      <c r="AD955" s="43">
        <f t="shared" si="118"/>
        <v>0</v>
      </c>
      <c r="AE955" s="50">
        <f t="shared" si="119"/>
        <v>0</v>
      </c>
    </row>
    <row r="956" spans="1:31">
      <c r="A956" s="59" t="str">
        <f t="shared" si="113"/>
        <v/>
      </c>
      <c r="B956" s="59" t="str">
        <f t="shared" si="114"/>
        <v/>
      </c>
      <c r="V956" s="59" t="str">
        <f t="shared" si="115"/>
        <v/>
      </c>
      <c r="W956" s="59" t="str">
        <f t="shared" si="112"/>
        <v/>
      </c>
      <c r="X956" s="59" t="str">
        <f t="shared" si="116"/>
        <v/>
      </c>
      <c r="AC956" s="50">
        <f t="shared" si="117"/>
        <v>0</v>
      </c>
      <c r="AD956" s="43">
        <f t="shared" si="118"/>
        <v>0</v>
      </c>
      <c r="AE956" s="50">
        <f t="shared" si="119"/>
        <v>0</v>
      </c>
    </row>
    <row r="957" spans="1:31">
      <c r="A957" s="59" t="str">
        <f t="shared" si="113"/>
        <v/>
      </c>
      <c r="B957" s="59" t="str">
        <f t="shared" si="114"/>
        <v/>
      </c>
      <c r="V957" s="59" t="str">
        <f t="shared" si="115"/>
        <v/>
      </c>
      <c r="W957" s="59" t="str">
        <f t="shared" si="112"/>
        <v/>
      </c>
      <c r="X957" s="59" t="str">
        <f t="shared" si="116"/>
        <v/>
      </c>
      <c r="AC957" s="50">
        <f t="shared" si="117"/>
        <v>0</v>
      </c>
      <c r="AD957" s="43">
        <f t="shared" si="118"/>
        <v>0</v>
      </c>
      <c r="AE957" s="50">
        <f t="shared" si="119"/>
        <v>0</v>
      </c>
    </row>
    <row r="958" spans="1:31">
      <c r="A958" s="59" t="str">
        <f t="shared" si="113"/>
        <v/>
      </c>
      <c r="B958" s="59" t="str">
        <f t="shared" si="114"/>
        <v/>
      </c>
      <c r="V958" s="59" t="str">
        <f t="shared" si="115"/>
        <v/>
      </c>
      <c r="W958" s="59" t="str">
        <f t="shared" si="112"/>
        <v/>
      </c>
      <c r="X958" s="59" t="str">
        <f t="shared" si="116"/>
        <v/>
      </c>
      <c r="AC958" s="50">
        <f t="shared" si="117"/>
        <v>0</v>
      </c>
      <c r="AD958" s="43">
        <f t="shared" si="118"/>
        <v>0</v>
      </c>
      <c r="AE958" s="50">
        <f t="shared" si="119"/>
        <v>0</v>
      </c>
    </row>
    <row r="959" spans="1:31">
      <c r="A959" s="59" t="str">
        <f t="shared" si="113"/>
        <v/>
      </c>
      <c r="B959" s="59" t="str">
        <f t="shared" si="114"/>
        <v/>
      </c>
      <c r="V959" s="59" t="str">
        <f t="shared" si="115"/>
        <v/>
      </c>
      <c r="W959" s="59" t="str">
        <f t="shared" si="112"/>
        <v/>
      </c>
      <c r="X959" s="59" t="str">
        <f t="shared" si="116"/>
        <v/>
      </c>
      <c r="AC959" s="50">
        <f t="shared" si="117"/>
        <v>0</v>
      </c>
      <c r="AD959" s="43">
        <f t="shared" si="118"/>
        <v>0</v>
      </c>
      <c r="AE959" s="50">
        <f t="shared" si="119"/>
        <v>0</v>
      </c>
    </row>
    <row r="960" spans="1:31">
      <c r="A960" s="59" t="str">
        <f t="shared" si="113"/>
        <v/>
      </c>
      <c r="B960" s="59" t="str">
        <f t="shared" si="114"/>
        <v/>
      </c>
      <c r="V960" s="59" t="str">
        <f t="shared" si="115"/>
        <v/>
      </c>
      <c r="W960" s="59" t="str">
        <f t="shared" si="112"/>
        <v/>
      </c>
      <c r="X960" s="59" t="str">
        <f t="shared" si="116"/>
        <v/>
      </c>
      <c r="AC960" s="50">
        <f t="shared" si="117"/>
        <v>0</v>
      </c>
      <c r="AD960" s="43">
        <f t="shared" si="118"/>
        <v>0</v>
      </c>
      <c r="AE960" s="50">
        <f t="shared" si="119"/>
        <v>0</v>
      </c>
    </row>
    <row r="961" spans="1:31">
      <c r="A961" s="59" t="str">
        <f t="shared" si="113"/>
        <v/>
      </c>
      <c r="B961" s="59" t="str">
        <f t="shared" si="114"/>
        <v/>
      </c>
      <c r="V961" s="59" t="str">
        <f t="shared" si="115"/>
        <v/>
      </c>
      <c r="W961" s="59" t="str">
        <f t="shared" si="112"/>
        <v/>
      </c>
      <c r="X961" s="59" t="str">
        <f t="shared" si="116"/>
        <v/>
      </c>
      <c r="AC961" s="50">
        <f t="shared" si="117"/>
        <v>0</v>
      </c>
      <c r="AD961" s="43">
        <f t="shared" si="118"/>
        <v>0</v>
      </c>
      <c r="AE961" s="50">
        <f t="shared" si="119"/>
        <v>0</v>
      </c>
    </row>
    <row r="962" spans="1:31">
      <c r="A962" s="59" t="str">
        <f t="shared" si="113"/>
        <v/>
      </c>
      <c r="B962" s="59" t="str">
        <f t="shared" si="114"/>
        <v/>
      </c>
      <c r="V962" s="59" t="str">
        <f t="shared" si="115"/>
        <v/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59" t="str">
        <f t="shared" si="116"/>
        <v/>
      </c>
      <c r="AC962" s="50">
        <f t="shared" si="117"/>
        <v>0</v>
      </c>
      <c r="AD962" s="43">
        <f t="shared" si="118"/>
        <v>0</v>
      </c>
      <c r="AE962" s="50">
        <f t="shared" si="119"/>
        <v>0</v>
      </c>
    </row>
    <row r="963" spans="1:31">
      <c r="A963" s="59" t="str">
        <f t="shared" ref="A963:A1026" si="121">IF(G963&amp;Q963&lt;&gt;"",W963&amp;Q963,"")</f>
        <v/>
      </c>
      <c r="B963" s="59" t="str">
        <f t="shared" ref="B963:B1026" si="122">IF(C963&lt;&gt;"",LEFT(C963,9),"")</f>
        <v/>
      </c>
      <c r="V963" s="59" t="str">
        <f t="shared" ref="V963:V1026" si="123">W963&amp;H963</f>
        <v/>
      </c>
      <c r="W963" s="59" t="str">
        <f t="shared" si="120"/>
        <v/>
      </c>
      <c r="X963" s="59" t="str">
        <f t="shared" ref="X963:X1026" si="124">IF(A963&lt;&gt;"",IFERROR(IF(FIND(" ",G963)&gt;=1,MID(G963,FIND(" ",G963)+1,LEN(G963)),""),""),"")</f>
        <v/>
      </c>
      <c r="AC963" s="50">
        <f t="shared" ref="AC963:AC1026" si="125">IFERROR(VALUE(MID($C963,1,2)),0)</f>
        <v>0</v>
      </c>
      <c r="AD963" s="43">
        <f t="shared" ref="AD963:AD1026" si="126">IFERROR(VALUE(MID($C963,4,3)),0)</f>
        <v>0</v>
      </c>
      <c r="AE963" s="50">
        <f t="shared" ref="AE963:AE1026" si="127">VALUE(RIGHT("00"&amp;AC963,2)&amp;RIGHT("000"&amp;AD963,3))</f>
        <v>0</v>
      </c>
    </row>
    <row r="964" spans="1:31">
      <c r="A964" s="59" t="str">
        <f t="shared" si="121"/>
        <v/>
      </c>
      <c r="B964" s="59" t="str">
        <f t="shared" si="122"/>
        <v/>
      </c>
      <c r="V964" s="59" t="str">
        <f t="shared" si="123"/>
        <v/>
      </c>
      <c r="W964" s="59" t="str">
        <f t="shared" si="120"/>
        <v/>
      </c>
      <c r="X964" s="59" t="str">
        <f t="shared" si="124"/>
        <v/>
      </c>
      <c r="AC964" s="50">
        <f t="shared" si="125"/>
        <v>0</v>
      </c>
      <c r="AD964" s="43">
        <f t="shared" si="126"/>
        <v>0</v>
      </c>
      <c r="AE964" s="50">
        <f t="shared" si="127"/>
        <v>0</v>
      </c>
    </row>
    <row r="965" spans="1:31">
      <c r="A965" s="59" t="str">
        <f t="shared" si="121"/>
        <v/>
      </c>
      <c r="B965" s="59" t="str">
        <f t="shared" si="122"/>
        <v/>
      </c>
      <c r="V965" s="59" t="str">
        <f t="shared" si="123"/>
        <v/>
      </c>
      <c r="W965" s="59" t="str">
        <f t="shared" si="120"/>
        <v/>
      </c>
      <c r="X965" s="59" t="str">
        <f t="shared" si="124"/>
        <v/>
      </c>
      <c r="AC965" s="50">
        <f t="shared" si="125"/>
        <v>0</v>
      </c>
      <c r="AD965" s="43">
        <f t="shared" si="126"/>
        <v>0</v>
      </c>
      <c r="AE965" s="50">
        <f t="shared" si="127"/>
        <v>0</v>
      </c>
    </row>
    <row r="966" spans="1:31">
      <c r="A966" s="59" t="str">
        <f t="shared" si="121"/>
        <v/>
      </c>
      <c r="B966" s="59" t="str">
        <f t="shared" si="122"/>
        <v/>
      </c>
      <c r="V966" s="59" t="str">
        <f t="shared" si="123"/>
        <v/>
      </c>
      <c r="W966" s="59" t="str">
        <f t="shared" si="120"/>
        <v/>
      </c>
      <c r="X966" s="59" t="str">
        <f t="shared" si="124"/>
        <v/>
      </c>
      <c r="AC966" s="50">
        <f t="shared" si="125"/>
        <v>0</v>
      </c>
      <c r="AD966" s="43">
        <f t="shared" si="126"/>
        <v>0</v>
      </c>
      <c r="AE966" s="50">
        <f t="shared" si="127"/>
        <v>0</v>
      </c>
    </row>
    <row r="967" spans="1:31">
      <c r="A967" s="59" t="str">
        <f t="shared" si="121"/>
        <v/>
      </c>
      <c r="B967" s="59" t="str">
        <f t="shared" si="122"/>
        <v/>
      </c>
      <c r="V967" s="59" t="str">
        <f t="shared" si="123"/>
        <v/>
      </c>
      <c r="W967" s="59" t="str">
        <f t="shared" si="120"/>
        <v/>
      </c>
      <c r="X967" s="59" t="str">
        <f t="shared" si="124"/>
        <v/>
      </c>
      <c r="AC967" s="50">
        <f t="shared" si="125"/>
        <v>0</v>
      </c>
      <c r="AD967" s="43">
        <f t="shared" si="126"/>
        <v>0</v>
      </c>
      <c r="AE967" s="50">
        <f t="shared" si="127"/>
        <v>0</v>
      </c>
    </row>
    <row r="968" spans="1:31">
      <c r="A968" s="59" t="str">
        <f t="shared" si="121"/>
        <v/>
      </c>
      <c r="B968" s="59" t="str">
        <f t="shared" si="122"/>
        <v/>
      </c>
      <c r="V968" s="59" t="str">
        <f t="shared" si="123"/>
        <v/>
      </c>
      <c r="W968" s="59" t="str">
        <f t="shared" si="120"/>
        <v/>
      </c>
      <c r="X968" s="59" t="str">
        <f t="shared" si="124"/>
        <v/>
      </c>
      <c r="AC968" s="50">
        <f t="shared" si="125"/>
        <v>0</v>
      </c>
      <c r="AD968" s="43">
        <f t="shared" si="126"/>
        <v>0</v>
      </c>
      <c r="AE968" s="50">
        <f t="shared" si="127"/>
        <v>0</v>
      </c>
    </row>
    <row r="969" spans="1:31">
      <c r="A969" s="59" t="str">
        <f t="shared" si="121"/>
        <v/>
      </c>
      <c r="B969" s="59" t="str">
        <f t="shared" si="122"/>
        <v/>
      </c>
      <c r="V969" s="59" t="str">
        <f t="shared" si="123"/>
        <v/>
      </c>
      <c r="W969" s="59" t="str">
        <f t="shared" si="120"/>
        <v/>
      </c>
      <c r="X969" s="59" t="str">
        <f t="shared" si="124"/>
        <v/>
      </c>
      <c r="AC969" s="50">
        <f t="shared" si="125"/>
        <v>0</v>
      </c>
      <c r="AD969" s="43">
        <f t="shared" si="126"/>
        <v>0</v>
      </c>
      <c r="AE969" s="50">
        <f t="shared" si="127"/>
        <v>0</v>
      </c>
    </row>
    <row r="970" spans="1:31">
      <c r="A970" s="59" t="str">
        <f t="shared" si="121"/>
        <v/>
      </c>
      <c r="B970" s="59" t="str">
        <f t="shared" si="122"/>
        <v/>
      </c>
      <c r="V970" s="59" t="str">
        <f t="shared" si="123"/>
        <v/>
      </c>
      <c r="W970" s="59" t="str">
        <f t="shared" si="120"/>
        <v/>
      </c>
      <c r="X970" s="59" t="str">
        <f t="shared" si="124"/>
        <v/>
      </c>
      <c r="AC970" s="50">
        <f t="shared" si="125"/>
        <v>0</v>
      </c>
      <c r="AD970" s="43">
        <f t="shared" si="126"/>
        <v>0</v>
      </c>
      <c r="AE970" s="50">
        <f t="shared" si="127"/>
        <v>0</v>
      </c>
    </row>
    <row r="971" spans="1:31">
      <c r="A971" s="59" t="str">
        <f t="shared" si="121"/>
        <v/>
      </c>
      <c r="B971" s="59" t="str">
        <f t="shared" si="122"/>
        <v/>
      </c>
      <c r="V971" s="59" t="str">
        <f t="shared" si="123"/>
        <v/>
      </c>
      <c r="W971" s="59" t="str">
        <f t="shared" si="120"/>
        <v/>
      </c>
      <c r="X971" s="59" t="str">
        <f t="shared" si="124"/>
        <v/>
      </c>
      <c r="AC971" s="50">
        <f t="shared" si="125"/>
        <v>0</v>
      </c>
      <c r="AD971" s="43">
        <f t="shared" si="126"/>
        <v>0</v>
      </c>
      <c r="AE971" s="50">
        <f t="shared" si="127"/>
        <v>0</v>
      </c>
    </row>
    <row r="972" spans="1:31">
      <c r="A972" s="59" t="str">
        <f t="shared" si="121"/>
        <v/>
      </c>
      <c r="B972" s="59" t="str">
        <f t="shared" si="122"/>
        <v/>
      </c>
      <c r="V972" s="59" t="str">
        <f t="shared" si="123"/>
        <v/>
      </c>
      <c r="W972" s="59" t="str">
        <f t="shared" si="120"/>
        <v/>
      </c>
      <c r="X972" s="59" t="str">
        <f t="shared" si="124"/>
        <v/>
      </c>
      <c r="AC972" s="50">
        <f t="shared" si="125"/>
        <v>0</v>
      </c>
      <c r="AD972" s="43">
        <f t="shared" si="126"/>
        <v>0</v>
      </c>
      <c r="AE972" s="50">
        <f t="shared" si="127"/>
        <v>0</v>
      </c>
    </row>
    <row r="973" spans="1:31">
      <c r="A973" s="59" t="str">
        <f t="shared" si="121"/>
        <v/>
      </c>
      <c r="B973" s="59" t="str">
        <f t="shared" si="122"/>
        <v/>
      </c>
      <c r="V973" s="59" t="str">
        <f t="shared" si="123"/>
        <v/>
      </c>
      <c r="W973" s="59" t="str">
        <f t="shared" si="120"/>
        <v/>
      </c>
      <c r="X973" s="59" t="str">
        <f t="shared" si="124"/>
        <v/>
      </c>
      <c r="AC973" s="50">
        <f t="shared" si="125"/>
        <v>0</v>
      </c>
      <c r="AD973" s="43">
        <f t="shared" si="126"/>
        <v>0</v>
      </c>
      <c r="AE973" s="50">
        <f t="shared" si="127"/>
        <v>0</v>
      </c>
    </row>
    <row r="974" spans="1:31">
      <c r="A974" s="59" t="str">
        <f t="shared" si="121"/>
        <v/>
      </c>
      <c r="B974" s="59" t="str">
        <f t="shared" si="122"/>
        <v/>
      </c>
      <c r="V974" s="59" t="str">
        <f t="shared" si="123"/>
        <v/>
      </c>
      <c r="W974" s="59" t="str">
        <f t="shared" si="120"/>
        <v/>
      </c>
      <c r="X974" s="59" t="str">
        <f t="shared" si="124"/>
        <v/>
      </c>
      <c r="AC974" s="50">
        <f t="shared" si="125"/>
        <v>0</v>
      </c>
      <c r="AD974" s="43">
        <f t="shared" si="126"/>
        <v>0</v>
      </c>
      <c r="AE974" s="50">
        <f t="shared" si="127"/>
        <v>0</v>
      </c>
    </row>
    <row r="975" spans="1:31">
      <c r="A975" s="59" t="str">
        <f t="shared" si="121"/>
        <v/>
      </c>
      <c r="B975" s="59" t="str">
        <f t="shared" si="122"/>
        <v/>
      </c>
      <c r="V975" s="59" t="str">
        <f t="shared" si="123"/>
        <v/>
      </c>
      <c r="W975" s="59" t="str">
        <f t="shared" si="120"/>
        <v/>
      </c>
      <c r="X975" s="59" t="str">
        <f t="shared" si="124"/>
        <v/>
      </c>
      <c r="AC975" s="50">
        <f t="shared" si="125"/>
        <v>0</v>
      </c>
      <c r="AD975" s="43">
        <f t="shared" si="126"/>
        <v>0</v>
      </c>
      <c r="AE975" s="50">
        <f t="shared" si="127"/>
        <v>0</v>
      </c>
    </row>
    <row r="976" spans="1:31">
      <c r="A976" s="59" t="str">
        <f t="shared" si="121"/>
        <v/>
      </c>
      <c r="B976" s="59" t="str">
        <f t="shared" si="122"/>
        <v/>
      </c>
      <c r="V976" s="59" t="str">
        <f t="shared" si="123"/>
        <v/>
      </c>
      <c r="W976" s="59" t="str">
        <f t="shared" si="120"/>
        <v/>
      </c>
      <c r="X976" s="59" t="str">
        <f t="shared" si="124"/>
        <v/>
      </c>
      <c r="AC976" s="50">
        <f t="shared" si="125"/>
        <v>0</v>
      </c>
      <c r="AD976" s="43">
        <f t="shared" si="126"/>
        <v>0</v>
      </c>
      <c r="AE976" s="50">
        <f t="shared" si="127"/>
        <v>0</v>
      </c>
    </row>
    <row r="977" spans="1:31">
      <c r="A977" s="59" t="str">
        <f t="shared" si="121"/>
        <v/>
      </c>
      <c r="B977" s="59" t="str">
        <f t="shared" si="122"/>
        <v/>
      </c>
      <c r="V977" s="59" t="str">
        <f t="shared" si="123"/>
        <v/>
      </c>
      <c r="W977" s="59" t="str">
        <f t="shared" si="120"/>
        <v/>
      </c>
      <c r="X977" s="59" t="str">
        <f t="shared" si="124"/>
        <v/>
      </c>
      <c r="AC977" s="50">
        <f t="shared" si="125"/>
        <v>0</v>
      </c>
      <c r="AD977" s="43">
        <f t="shared" si="126"/>
        <v>0</v>
      </c>
      <c r="AE977" s="50">
        <f t="shared" si="127"/>
        <v>0</v>
      </c>
    </row>
    <row r="978" spans="1:31">
      <c r="A978" s="59" t="str">
        <f t="shared" si="121"/>
        <v/>
      </c>
      <c r="B978" s="59" t="str">
        <f t="shared" si="122"/>
        <v/>
      </c>
      <c r="V978" s="59" t="str">
        <f t="shared" si="123"/>
        <v/>
      </c>
      <c r="W978" s="59" t="str">
        <f t="shared" si="120"/>
        <v/>
      </c>
      <c r="X978" s="59" t="str">
        <f t="shared" si="124"/>
        <v/>
      </c>
      <c r="AC978" s="50">
        <f t="shared" si="125"/>
        <v>0</v>
      </c>
      <c r="AD978" s="43">
        <f t="shared" si="126"/>
        <v>0</v>
      </c>
      <c r="AE978" s="50">
        <f t="shared" si="127"/>
        <v>0</v>
      </c>
    </row>
    <row r="979" spans="1:31">
      <c r="A979" s="59" t="str">
        <f t="shared" si="121"/>
        <v/>
      </c>
      <c r="B979" s="59" t="str">
        <f t="shared" si="122"/>
        <v/>
      </c>
      <c r="V979" s="59" t="str">
        <f t="shared" si="123"/>
        <v/>
      </c>
      <c r="W979" s="59" t="str">
        <f t="shared" si="120"/>
        <v/>
      </c>
      <c r="X979" s="59" t="str">
        <f t="shared" si="124"/>
        <v/>
      </c>
      <c r="AC979" s="50">
        <f t="shared" si="125"/>
        <v>0</v>
      </c>
      <c r="AD979" s="43">
        <f t="shared" si="126"/>
        <v>0</v>
      </c>
      <c r="AE979" s="50">
        <f t="shared" si="127"/>
        <v>0</v>
      </c>
    </row>
    <row r="980" spans="1:31">
      <c r="A980" s="59" t="str">
        <f t="shared" si="121"/>
        <v/>
      </c>
      <c r="B980" s="59" t="str">
        <f t="shared" si="122"/>
        <v/>
      </c>
      <c r="V980" s="59" t="str">
        <f t="shared" si="123"/>
        <v/>
      </c>
      <c r="W980" s="59" t="str">
        <f t="shared" si="120"/>
        <v/>
      </c>
      <c r="X980" s="59" t="str">
        <f t="shared" si="124"/>
        <v/>
      </c>
      <c r="AC980" s="50">
        <f t="shared" si="125"/>
        <v>0</v>
      </c>
      <c r="AD980" s="43">
        <f t="shared" si="126"/>
        <v>0</v>
      </c>
      <c r="AE980" s="50">
        <f t="shared" si="127"/>
        <v>0</v>
      </c>
    </row>
    <row r="981" spans="1:31">
      <c r="A981" s="59" t="str">
        <f t="shared" si="121"/>
        <v/>
      </c>
      <c r="B981" s="59" t="str">
        <f t="shared" si="122"/>
        <v/>
      </c>
      <c r="V981" s="59" t="str">
        <f t="shared" si="123"/>
        <v/>
      </c>
      <c r="W981" s="59" t="str">
        <f t="shared" si="120"/>
        <v/>
      </c>
      <c r="X981" s="59" t="str">
        <f t="shared" si="124"/>
        <v/>
      </c>
      <c r="AC981" s="50">
        <f t="shared" si="125"/>
        <v>0</v>
      </c>
      <c r="AD981" s="43">
        <f t="shared" si="126"/>
        <v>0</v>
      </c>
      <c r="AE981" s="50">
        <f t="shared" si="127"/>
        <v>0</v>
      </c>
    </row>
    <row r="982" spans="1:31">
      <c r="A982" s="59" t="str">
        <f t="shared" si="121"/>
        <v/>
      </c>
      <c r="B982" s="59" t="str">
        <f t="shared" si="122"/>
        <v/>
      </c>
      <c r="V982" s="59" t="str">
        <f t="shared" si="123"/>
        <v/>
      </c>
      <c r="W982" s="59" t="str">
        <f t="shared" si="120"/>
        <v/>
      </c>
      <c r="X982" s="59" t="str">
        <f t="shared" si="124"/>
        <v/>
      </c>
      <c r="AC982" s="50">
        <f t="shared" si="125"/>
        <v>0</v>
      </c>
      <c r="AD982" s="43">
        <f t="shared" si="126"/>
        <v>0</v>
      </c>
      <c r="AE982" s="50">
        <f t="shared" si="127"/>
        <v>0</v>
      </c>
    </row>
    <row r="983" spans="1:31">
      <c r="A983" s="59" t="str">
        <f t="shared" si="121"/>
        <v/>
      </c>
      <c r="B983" s="59" t="str">
        <f t="shared" si="122"/>
        <v/>
      </c>
      <c r="V983" s="59" t="str">
        <f t="shared" si="123"/>
        <v/>
      </c>
      <c r="W983" s="59" t="str">
        <f t="shared" si="120"/>
        <v/>
      </c>
      <c r="X983" s="59" t="str">
        <f t="shared" si="124"/>
        <v/>
      </c>
      <c r="AC983" s="50">
        <f t="shared" si="125"/>
        <v>0</v>
      </c>
      <c r="AD983" s="43">
        <f t="shared" si="126"/>
        <v>0</v>
      </c>
      <c r="AE983" s="50">
        <f t="shared" si="127"/>
        <v>0</v>
      </c>
    </row>
    <row r="984" spans="1:31">
      <c r="A984" s="59" t="str">
        <f t="shared" si="121"/>
        <v/>
      </c>
      <c r="B984" s="59" t="str">
        <f t="shared" si="122"/>
        <v/>
      </c>
      <c r="V984" s="59" t="str">
        <f t="shared" si="123"/>
        <v/>
      </c>
      <c r="W984" s="59" t="str">
        <f t="shared" si="120"/>
        <v/>
      </c>
      <c r="X984" s="59" t="str">
        <f t="shared" si="124"/>
        <v/>
      </c>
      <c r="AC984" s="50">
        <f t="shared" si="125"/>
        <v>0</v>
      </c>
      <c r="AD984" s="43">
        <f t="shared" si="126"/>
        <v>0</v>
      </c>
      <c r="AE984" s="50">
        <f t="shared" si="127"/>
        <v>0</v>
      </c>
    </row>
    <row r="985" spans="1:31">
      <c r="A985" s="59" t="str">
        <f t="shared" si="121"/>
        <v/>
      </c>
      <c r="B985" s="59" t="str">
        <f t="shared" si="122"/>
        <v/>
      </c>
      <c r="V985" s="59" t="str">
        <f t="shared" si="123"/>
        <v/>
      </c>
      <c r="W985" s="59" t="str">
        <f t="shared" si="120"/>
        <v/>
      </c>
      <c r="X985" s="59" t="str">
        <f t="shared" si="124"/>
        <v/>
      </c>
      <c r="AC985" s="50">
        <f t="shared" si="125"/>
        <v>0</v>
      </c>
      <c r="AD985" s="43">
        <f t="shared" si="126"/>
        <v>0</v>
      </c>
      <c r="AE985" s="50">
        <f t="shared" si="127"/>
        <v>0</v>
      </c>
    </row>
    <row r="986" spans="1:31">
      <c r="A986" s="59" t="str">
        <f t="shared" si="121"/>
        <v/>
      </c>
      <c r="B986" s="59" t="str">
        <f t="shared" si="122"/>
        <v/>
      </c>
      <c r="V986" s="59" t="str">
        <f t="shared" si="123"/>
        <v/>
      </c>
      <c r="W986" s="59" t="str">
        <f t="shared" si="120"/>
        <v/>
      </c>
      <c r="X986" s="59" t="str">
        <f t="shared" si="124"/>
        <v/>
      </c>
      <c r="AC986" s="50">
        <f t="shared" si="125"/>
        <v>0</v>
      </c>
      <c r="AD986" s="43">
        <f t="shared" si="126"/>
        <v>0</v>
      </c>
      <c r="AE986" s="50">
        <f t="shared" si="127"/>
        <v>0</v>
      </c>
    </row>
    <row r="987" spans="1:31">
      <c r="A987" s="59" t="str">
        <f t="shared" si="121"/>
        <v/>
      </c>
      <c r="B987" s="59" t="str">
        <f t="shared" si="122"/>
        <v/>
      </c>
      <c r="V987" s="59" t="str">
        <f t="shared" si="123"/>
        <v/>
      </c>
      <c r="W987" s="59" t="str">
        <f t="shared" si="120"/>
        <v/>
      </c>
      <c r="X987" s="59" t="str">
        <f t="shared" si="124"/>
        <v/>
      </c>
      <c r="AC987" s="50">
        <f t="shared" si="125"/>
        <v>0</v>
      </c>
      <c r="AD987" s="43">
        <f t="shared" si="126"/>
        <v>0</v>
      </c>
      <c r="AE987" s="50">
        <f t="shared" si="127"/>
        <v>0</v>
      </c>
    </row>
    <row r="988" spans="1:31">
      <c r="A988" s="59" t="str">
        <f t="shared" si="121"/>
        <v/>
      </c>
      <c r="B988" s="59" t="str">
        <f t="shared" si="122"/>
        <v/>
      </c>
      <c r="V988" s="59" t="str">
        <f t="shared" si="123"/>
        <v/>
      </c>
      <c r="W988" s="59" t="str">
        <f t="shared" si="120"/>
        <v/>
      </c>
      <c r="X988" s="59" t="str">
        <f t="shared" si="124"/>
        <v/>
      </c>
      <c r="AC988" s="50">
        <f t="shared" si="125"/>
        <v>0</v>
      </c>
      <c r="AD988" s="43">
        <f t="shared" si="126"/>
        <v>0</v>
      </c>
      <c r="AE988" s="50">
        <f t="shared" si="127"/>
        <v>0</v>
      </c>
    </row>
    <row r="989" spans="1:31">
      <c r="A989" s="59" t="str">
        <f t="shared" si="121"/>
        <v/>
      </c>
      <c r="B989" s="59" t="str">
        <f t="shared" si="122"/>
        <v/>
      </c>
      <c r="V989" s="59" t="str">
        <f t="shared" si="123"/>
        <v/>
      </c>
      <c r="W989" s="59" t="str">
        <f t="shared" si="120"/>
        <v/>
      </c>
      <c r="X989" s="59" t="str">
        <f t="shared" si="124"/>
        <v/>
      </c>
      <c r="AC989" s="50">
        <f t="shared" si="125"/>
        <v>0</v>
      </c>
      <c r="AD989" s="43">
        <f t="shared" si="126"/>
        <v>0</v>
      </c>
      <c r="AE989" s="50">
        <f t="shared" si="127"/>
        <v>0</v>
      </c>
    </row>
    <row r="990" spans="1:31">
      <c r="A990" s="59" t="str">
        <f t="shared" si="121"/>
        <v/>
      </c>
      <c r="B990" s="59" t="str">
        <f t="shared" si="122"/>
        <v/>
      </c>
      <c r="V990" s="59" t="str">
        <f t="shared" si="123"/>
        <v/>
      </c>
      <c r="W990" s="59" t="str">
        <f t="shared" si="120"/>
        <v/>
      </c>
      <c r="X990" s="59" t="str">
        <f t="shared" si="124"/>
        <v/>
      </c>
      <c r="AC990" s="50">
        <f t="shared" si="125"/>
        <v>0</v>
      </c>
      <c r="AD990" s="43">
        <f t="shared" si="126"/>
        <v>0</v>
      </c>
      <c r="AE990" s="50">
        <f t="shared" si="127"/>
        <v>0</v>
      </c>
    </row>
    <row r="991" spans="1:31">
      <c r="A991" s="59" t="str">
        <f t="shared" si="121"/>
        <v/>
      </c>
      <c r="B991" s="59" t="str">
        <f t="shared" si="122"/>
        <v/>
      </c>
      <c r="V991" s="59" t="str">
        <f t="shared" si="123"/>
        <v/>
      </c>
      <c r="W991" s="59" t="str">
        <f t="shared" si="120"/>
        <v/>
      </c>
      <c r="X991" s="59" t="str">
        <f t="shared" si="124"/>
        <v/>
      </c>
      <c r="AC991" s="50">
        <f t="shared" si="125"/>
        <v>0</v>
      </c>
      <c r="AD991" s="43">
        <f t="shared" si="126"/>
        <v>0</v>
      </c>
      <c r="AE991" s="50">
        <f t="shared" si="127"/>
        <v>0</v>
      </c>
    </row>
    <row r="992" spans="1:31">
      <c r="A992" s="59" t="str">
        <f t="shared" si="121"/>
        <v/>
      </c>
      <c r="B992" s="59" t="str">
        <f t="shared" si="122"/>
        <v/>
      </c>
      <c r="V992" s="59" t="str">
        <f t="shared" si="123"/>
        <v/>
      </c>
      <c r="W992" s="59" t="str">
        <f t="shared" si="120"/>
        <v/>
      </c>
      <c r="X992" s="59" t="str">
        <f t="shared" si="124"/>
        <v/>
      </c>
      <c r="AC992" s="50">
        <f t="shared" si="125"/>
        <v>0</v>
      </c>
      <c r="AD992" s="43">
        <f t="shared" si="126"/>
        <v>0</v>
      </c>
      <c r="AE992" s="50">
        <f t="shared" si="127"/>
        <v>0</v>
      </c>
    </row>
    <row r="993" spans="1:31">
      <c r="A993" s="59" t="str">
        <f t="shared" si="121"/>
        <v/>
      </c>
      <c r="B993" s="59" t="str">
        <f t="shared" si="122"/>
        <v/>
      </c>
      <c r="V993" s="59" t="str">
        <f t="shared" si="123"/>
        <v/>
      </c>
      <c r="W993" s="59" t="str">
        <f t="shared" si="120"/>
        <v/>
      </c>
      <c r="X993" s="59" t="str">
        <f t="shared" si="124"/>
        <v/>
      </c>
      <c r="AC993" s="50">
        <f t="shared" si="125"/>
        <v>0</v>
      </c>
      <c r="AD993" s="43">
        <f t="shared" si="126"/>
        <v>0</v>
      </c>
      <c r="AE993" s="50">
        <f t="shared" si="127"/>
        <v>0</v>
      </c>
    </row>
    <row r="994" spans="1:31">
      <c r="A994" s="59" t="str">
        <f t="shared" si="121"/>
        <v/>
      </c>
      <c r="B994" s="59" t="str">
        <f t="shared" si="122"/>
        <v/>
      </c>
      <c r="V994" s="59" t="str">
        <f t="shared" si="123"/>
        <v/>
      </c>
      <c r="W994" s="59" t="str">
        <f t="shared" si="120"/>
        <v/>
      </c>
      <c r="X994" s="59" t="str">
        <f t="shared" si="124"/>
        <v/>
      </c>
      <c r="AC994" s="50">
        <f t="shared" si="125"/>
        <v>0</v>
      </c>
      <c r="AD994" s="43">
        <f t="shared" si="126"/>
        <v>0</v>
      </c>
      <c r="AE994" s="50">
        <f t="shared" si="127"/>
        <v>0</v>
      </c>
    </row>
    <row r="995" spans="1:31">
      <c r="A995" s="59" t="str">
        <f t="shared" si="121"/>
        <v/>
      </c>
      <c r="B995" s="59" t="str">
        <f t="shared" si="122"/>
        <v/>
      </c>
      <c r="V995" s="59" t="str">
        <f t="shared" si="123"/>
        <v/>
      </c>
      <c r="W995" s="59" t="str">
        <f t="shared" si="120"/>
        <v/>
      </c>
      <c r="X995" s="59" t="str">
        <f t="shared" si="124"/>
        <v/>
      </c>
      <c r="AC995" s="50">
        <f t="shared" si="125"/>
        <v>0</v>
      </c>
      <c r="AD995" s="43">
        <f t="shared" si="126"/>
        <v>0</v>
      </c>
      <c r="AE995" s="50">
        <f t="shared" si="127"/>
        <v>0</v>
      </c>
    </row>
    <row r="996" spans="1:31">
      <c r="A996" s="59" t="str">
        <f t="shared" si="121"/>
        <v/>
      </c>
      <c r="B996" s="59" t="str">
        <f t="shared" si="122"/>
        <v/>
      </c>
      <c r="V996" s="59" t="str">
        <f t="shared" si="123"/>
        <v/>
      </c>
      <c r="W996" s="59" t="str">
        <f t="shared" si="120"/>
        <v/>
      </c>
      <c r="X996" s="59" t="str">
        <f t="shared" si="124"/>
        <v/>
      </c>
      <c r="AC996" s="50">
        <f t="shared" si="125"/>
        <v>0</v>
      </c>
      <c r="AD996" s="43">
        <f t="shared" si="126"/>
        <v>0</v>
      </c>
      <c r="AE996" s="50">
        <f t="shared" si="127"/>
        <v>0</v>
      </c>
    </row>
    <row r="997" spans="1:31">
      <c r="A997" s="59" t="str">
        <f t="shared" si="121"/>
        <v/>
      </c>
      <c r="B997" s="59" t="str">
        <f t="shared" si="122"/>
        <v/>
      </c>
      <c r="V997" s="59" t="str">
        <f t="shared" si="123"/>
        <v/>
      </c>
      <c r="W997" s="59" t="str">
        <f t="shared" si="120"/>
        <v/>
      </c>
      <c r="X997" s="59" t="str">
        <f t="shared" si="124"/>
        <v/>
      </c>
      <c r="AC997" s="50">
        <f t="shared" si="125"/>
        <v>0</v>
      </c>
      <c r="AD997" s="43">
        <f t="shared" si="126"/>
        <v>0</v>
      </c>
      <c r="AE997" s="50">
        <f t="shared" si="127"/>
        <v>0</v>
      </c>
    </row>
    <row r="998" spans="1:31">
      <c r="A998" s="59" t="str">
        <f t="shared" si="121"/>
        <v/>
      </c>
      <c r="B998" s="59" t="str">
        <f t="shared" si="122"/>
        <v/>
      </c>
      <c r="V998" s="59" t="str">
        <f t="shared" si="123"/>
        <v/>
      </c>
      <c r="W998" s="59" t="str">
        <f t="shared" si="120"/>
        <v/>
      </c>
      <c r="X998" s="59" t="str">
        <f t="shared" si="124"/>
        <v/>
      </c>
      <c r="AC998" s="50">
        <f t="shared" si="125"/>
        <v>0</v>
      </c>
      <c r="AD998" s="43">
        <f t="shared" si="126"/>
        <v>0</v>
      </c>
      <c r="AE998" s="50">
        <f t="shared" si="127"/>
        <v>0</v>
      </c>
    </row>
    <row r="999" spans="1:31">
      <c r="A999" s="59" t="str">
        <f t="shared" si="121"/>
        <v/>
      </c>
      <c r="B999" s="59" t="str">
        <f t="shared" si="122"/>
        <v/>
      </c>
      <c r="V999" s="59" t="str">
        <f t="shared" si="123"/>
        <v/>
      </c>
      <c r="W999" s="59" t="str">
        <f t="shared" si="120"/>
        <v/>
      </c>
      <c r="X999" s="59" t="str">
        <f t="shared" si="124"/>
        <v/>
      </c>
      <c r="AC999" s="50">
        <f t="shared" si="125"/>
        <v>0</v>
      </c>
      <c r="AD999" s="43">
        <f t="shared" si="126"/>
        <v>0</v>
      </c>
      <c r="AE999" s="50">
        <f t="shared" si="127"/>
        <v>0</v>
      </c>
    </row>
    <row r="1000" spans="1:31">
      <c r="A1000" s="59" t="str">
        <f t="shared" si="121"/>
        <v/>
      </c>
      <c r="B1000" s="59" t="str">
        <f t="shared" si="122"/>
        <v/>
      </c>
      <c r="V1000" s="59" t="str">
        <f t="shared" si="123"/>
        <v/>
      </c>
      <c r="W1000" s="59" t="str">
        <f t="shared" si="120"/>
        <v/>
      </c>
      <c r="X1000" s="59" t="str">
        <f t="shared" si="124"/>
        <v/>
      </c>
      <c r="AC1000" s="50">
        <f t="shared" si="125"/>
        <v>0</v>
      </c>
      <c r="AD1000" s="43">
        <f t="shared" si="126"/>
        <v>0</v>
      </c>
      <c r="AE1000" s="50">
        <f t="shared" si="127"/>
        <v>0</v>
      </c>
    </row>
    <row r="1001" spans="1:31">
      <c r="A1001" s="59" t="str">
        <f t="shared" si="121"/>
        <v/>
      </c>
      <c r="B1001" s="59" t="str">
        <f t="shared" si="122"/>
        <v/>
      </c>
      <c r="V1001" s="59" t="str">
        <f t="shared" si="123"/>
        <v/>
      </c>
      <c r="W1001" s="59" t="str">
        <f t="shared" si="120"/>
        <v/>
      </c>
      <c r="X1001" s="59" t="str">
        <f t="shared" si="124"/>
        <v/>
      </c>
      <c r="AC1001" s="50">
        <f t="shared" si="125"/>
        <v>0</v>
      </c>
      <c r="AD1001" s="43">
        <f t="shared" si="126"/>
        <v>0</v>
      </c>
      <c r="AE1001" s="50">
        <f t="shared" si="127"/>
        <v>0</v>
      </c>
    </row>
    <row r="1002" spans="1:31">
      <c r="A1002" s="59" t="str">
        <f t="shared" si="121"/>
        <v/>
      </c>
      <c r="B1002" s="59" t="str">
        <f t="shared" si="122"/>
        <v/>
      </c>
      <c r="V1002" s="59" t="str">
        <f t="shared" si="123"/>
        <v/>
      </c>
      <c r="W1002" s="59" t="str">
        <f t="shared" si="120"/>
        <v/>
      </c>
      <c r="X1002" s="59" t="str">
        <f t="shared" si="124"/>
        <v/>
      </c>
      <c r="AC1002" s="50">
        <f t="shared" si="125"/>
        <v>0</v>
      </c>
      <c r="AD1002" s="43">
        <f t="shared" si="126"/>
        <v>0</v>
      </c>
      <c r="AE1002" s="50">
        <f t="shared" si="127"/>
        <v>0</v>
      </c>
    </row>
    <row r="1003" spans="1:31">
      <c r="A1003" s="59" t="str">
        <f t="shared" si="121"/>
        <v/>
      </c>
      <c r="B1003" s="59" t="str">
        <f t="shared" si="122"/>
        <v/>
      </c>
      <c r="V1003" s="59" t="str">
        <f t="shared" si="123"/>
        <v/>
      </c>
      <c r="W1003" s="59" t="str">
        <f t="shared" si="120"/>
        <v/>
      </c>
      <c r="X1003" s="59" t="str">
        <f t="shared" si="124"/>
        <v/>
      </c>
      <c r="AC1003" s="50">
        <f t="shared" si="125"/>
        <v>0</v>
      </c>
      <c r="AD1003" s="43">
        <f t="shared" si="126"/>
        <v>0</v>
      </c>
      <c r="AE1003" s="50">
        <f t="shared" si="127"/>
        <v>0</v>
      </c>
    </row>
    <row r="1004" spans="1:31">
      <c r="A1004" s="59" t="str">
        <f t="shared" si="121"/>
        <v/>
      </c>
      <c r="B1004" s="59" t="str">
        <f t="shared" si="122"/>
        <v/>
      </c>
      <c r="V1004" s="59" t="str">
        <f t="shared" si="123"/>
        <v/>
      </c>
      <c r="W1004" s="59" t="str">
        <f t="shared" si="120"/>
        <v/>
      </c>
      <c r="X1004" s="59" t="str">
        <f t="shared" si="124"/>
        <v/>
      </c>
      <c r="AC1004" s="50">
        <f t="shared" si="125"/>
        <v>0</v>
      </c>
      <c r="AD1004" s="43">
        <f t="shared" si="126"/>
        <v>0</v>
      </c>
      <c r="AE1004" s="50">
        <f t="shared" si="127"/>
        <v>0</v>
      </c>
    </row>
    <row r="1005" spans="1:31">
      <c r="A1005" s="59" t="str">
        <f t="shared" si="121"/>
        <v/>
      </c>
      <c r="B1005" s="59" t="str">
        <f t="shared" si="122"/>
        <v/>
      </c>
      <c r="V1005" s="59" t="str">
        <f t="shared" si="123"/>
        <v/>
      </c>
      <c r="W1005" s="59" t="str">
        <f t="shared" si="120"/>
        <v/>
      </c>
      <c r="X1005" s="59" t="str">
        <f t="shared" si="124"/>
        <v/>
      </c>
      <c r="AC1005" s="50">
        <f t="shared" si="125"/>
        <v>0</v>
      </c>
      <c r="AD1005" s="43">
        <f t="shared" si="126"/>
        <v>0</v>
      </c>
      <c r="AE1005" s="50">
        <f t="shared" si="127"/>
        <v>0</v>
      </c>
    </row>
    <row r="1006" spans="1:31">
      <c r="A1006" s="59" t="str">
        <f t="shared" si="121"/>
        <v/>
      </c>
      <c r="B1006" s="59" t="str">
        <f t="shared" si="122"/>
        <v/>
      </c>
      <c r="V1006" s="59" t="str">
        <f t="shared" si="123"/>
        <v/>
      </c>
      <c r="W1006" s="59" t="str">
        <f t="shared" si="120"/>
        <v/>
      </c>
      <c r="X1006" s="59" t="str">
        <f t="shared" si="124"/>
        <v/>
      </c>
      <c r="AC1006" s="50">
        <f t="shared" si="125"/>
        <v>0</v>
      </c>
      <c r="AD1006" s="43">
        <f t="shared" si="126"/>
        <v>0</v>
      </c>
      <c r="AE1006" s="50">
        <f t="shared" si="127"/>
        <v>0</v>
      </c>
    </row>
    <row r="1007" spans="1:31">
      <c r="A1007" s="59" t="str">
        <f t="shared" si="121"/>
        <v/>
      </c>
      <c r="B1007" s="59" t="str">
        <f t="shared" si="122"/>
        <v/>
      </c>
      <c r="V1007" s="59" t="str">
        <f t="shared" si="123"/>
        <v/>
      </c>
      <c r="W1007" s="59" t="str">
        <f t="shared" si="120"/>
        <v/>
      </c>
      <c r="X1007" s="59" t="str">
        <f t="shared" si="124"/>
        <v/>
      </c>
      <c r="AC1007" s="50">
        <f t="shared" si="125"/>
        <v>0</v>
      </c>
      <c r="AD1007" s="43">
        <f t="shared" si="126"/>
        <v>0</v>
      </c>
      <c r="AE1007" s="50">
        <f t="shared" si="127"/>
        <v>0</v>
      </c>
    </row>
    <row r="1008" spans="1:31">
      <c r="A1008" s="59" t="str">
        <f t="shared" si="121"/>
        <v/>
      </c>
      <c r="B1008" s="59" t="str">
        <f t="shared" si="122"/>
        <v/>
      </c>
      <c r="V1008" s="59" t="str">
        <f t="shared" si="123"/>
        <v/>
      </c>
      <c r="W1008" s="59" t="str">
        <f t="shared" si="120"/>
        <v/>
      </c>
      <c r="X1008" s="59" t="str">
        <f t="shared" si="124"/>
        <v/>
      </c>
      <c r="AC1008" s="50">
        <f t="shared" si="125"/>
        <v>0</v>
      </c>
      <c r="AD1008" s="43">
        <f t="shared" si="126"/>
        <v>0</v>
      </c>
      <c r="AE1008" s="50">
        <f t="shared" si="127"/>
        <v>0</v>
      </c>
    </row>
    <row r="1009" spans="1:31">
      <c r="A1009" s="59" t="str">
        <f t="shared" si="121"/>
        <v/>
      </c>
      <c r="B1009" s="59" t="str">
        <f t="shared" si="122"/>
        <v/>
      </c>
      <c r="V1009" s="59" t="str">
        <f t="shared" si="123"/>
        <v/>
      </c>
      <c r="W1009" s="59" t="str">
        <f t="shared" si="120"/>
        <v/>
      </c>
      <c r="X1009" s="59" t="str">
        <f t="shared" si="124"/>
        <v/>
      </c>
      <c r="AC1009" s="50">
        <f t="shared" si="125"/>
        <v>0</v>
      </c>
      <c r="AD1009" s="43">
        <f t="shared" si="126"/>
        <v>0</v>
      </c>
      <c r="AE1009" s="50">
        <f t="shared" si="127"/>
        <v>0</v>
      </c>
    </row>
    <row r="1010" spans="1:31">
      <c r="A1010" s="59" t="str">
        <f t="shared" si="121"/>
        <v/>
      </c>
      <c r="B1010" s="59" t="str">
        <f t="shared" si="122"/>
        <v/>
      </c>
      <c r="V1010" s="59" t="str">
        <f t="shared" si="123"/>
        <v/>
      </c>
      <c r="W1010" s="59" t="str">
        <f t="shared" si="120"/>
        <v/>
      </c>
      <c r="X1010" s="59" t="str">
        <f t="shared" si="124"/>
        <v/>
      </c>
      <c r="AC1010" s="50">
        <f t="shared" si="125"/>
        <v>0</v>
      </c>
      <c r="AD1010" s="43">
        <f t="shared" si="126"/>
        <v>0</v>
      </c>
      <c r="AE1010" s="50">
        <f t="shared" si="127"/>
        <v>0</v>
      </c>
    </row>
    <row r="1011" spans="1:31">
      <c r="A1011" s="59" t="str">
        <f t="shared" si="121"/>
        <v/>
      </c>
      <c r="B1011" s="59" t="str">
        <f t="shared" si="122"/>
        <v/>
      </c>
      <c r="V1011" s="59" t="str">
        <f t="shared" si="123"/>
        <v/>
      </c>
      <c r="W1011" s="59" t="str">
        <f t="shared" si="120"/>
        <v/>
      </c>
      <c r="X1011" s="59" t="str">
        <f t="shared" si="124"/>
        <v/>
      </c>
      <c r="AC1011" s="50">
        <f t="shared" si="125"/>
        <v>0</v>
      </c>
      <c r="AD1011" s="43">
        <f t="shared" si="126"/>
        <v>0</v>
      </c>
      <c r="AE1011" s="50">
        <f t="shared" si="127"/>
        <v>0</v>
      </c>
    </row>
    <row r="1012" spans="1:31">
      <c r="A1012" s="59" t="str">
        <f t="shared" si="121"/>
        <v/>
      </c>
      <c r="B1012" s="59" t="str">
        <f t="shared" si="122"/>
        <v/>
      </c>
      <c r="V1012" s="59" t="str">
        <f t="shared" si="123"/>
        <v/>
      </c>
      <c r="W1012" s="59" t="str">
        <f t="shared" si="120"/>
        <v/>
      </c>
      <c r="X1012" s="59" t="str">
        <f t="shared" si="124"/>
        <v/>
      </c>
      <c r="AC1012" s="50">
        <f t="shared" si="125"/>
        <v>0</v>
      </c>
      <c r="AD1012" s="43">
        <f t="shared" si="126"/>
        <v>0</v>
      </c>
      <c r="AE1012" s="50">
        <f t="shared" si="127"/>
        <v>0</v>
      </c>
    </row>
    <row r="1013" spans="1:31">
      <c r="A1013" s="59" t="str">
        <f t="shared" si="121"/>
        <v/>
      </c>
      <c r="B1013" s="59" t="str">
        <f t="shared" si="122"/>
        <v/>
      </c>
      <c r="V1013" s="59" t="str">
        <f t="shared" si="123"/>
        <v/>
      </c>
      <c r="W1013" s="59" t="str">
        <f t="shared" si="120"/>
        <v/>
      </c>
      <c r="X1013" s="59" t="str">
        <f t="shared" si="124"/>
        <v/>
      </c>
      <c r="AC1013" s="50">
        <f t="shared" si="125"/>
        <v>0</v>
      </c>
      <c r="AD1013" s="43">
        <f t="shared" si="126"/>
        <v>0</v>
      </c>
      <c r="AE1013" s="50">
        <f t="shared" si="127"/>
        <v>0</v>
      </c>
    </row>
    <row r="1014" spans="1:31">
      <c r="A1014" s="59" t="str">
        <f t="shared" si="121"/>
        <v/>
      </c>
      <c r="B1014" s="59" t="str">
        <f t="shared" si="122"/>
        <v/>
      </c>
      <c r="V1014" s="59" t="str">
        <f t="shared" si="123"/>
        <v/>
      </c>
      <c r="W1014" s="59" t="str">
        <f t="shared" si="120"/>
        <v/>
      </c>
      <c r="X1014" s="59" t="str">
        <f t="shared" si="124"/>
        <v/>
      </c>
      <c r="AC1014" s="50">
        <f t="shared" si="125"/>
        <v>0</v>
      </c>
      <c r="AD1014" s="43">
        <f t="shared" si="126"/>
        <v>0</v>
      </c>
      <c r="AE1014" s="50">
        <f t="shared" si="127"/>
        <v>0</v>
      </c>
    </row>
    <row r="1015" spans="1:31">
      <c r="A1015" s="59" t="str">
        <f t="shared" si="121"/>
        <v/>
      </c>
      <c r="B1015" s="59" t="str">
        <f t="shared" si="122"/>
        <v/>
      </c>
      <c r="V1015" s="59" t="str">
        <f t="shared" si="123"/>
        <v/>
      </c>
      <c r="W1015" s="59" t="str">
        <f t="shared" si="120"/>
        <v/>
      </c>
      <c r="X1015" s="59" t="str">
        <f t="shared" si="124"/>
        <v/>
      </c>
      <c r="AC1015" s="50">
        <f t="shared" si="125"/>
        <v>0</v>
      </c>
      <c r="AD1015" s="43">
        <f t="shared" si="126"/>
        <v>0</v>
      </c>
      <c r="AE1015" s="50">
        <f t="shared" si="127"/>
        <v>0</v>
      </c>
    </row>
    <row r="1016" spans="1:31">
      <c r="A1016" s="59" t="str">
        <f t="shared" si="121"/>
        <v/>
      </c>
      <c r="B1016" s="59" t="str">
        <f t="shared" si="122"/>
        <v/>
      </c>
      <c r="V1016" s="59" t="str">
        <f t="shared" si="123"/>
        <v/>
      </c>
      <c r="W1016" s="59" t="str">
        <f t="shared" si="120"/>
        <v/>
      </c>
      <c r="X1016" s="59" t="str">
        <f t="shared" si="124"/>
        <v/>
      </c>
      <c r="AC1016" s="50">
        <f t="shared" si="125"/>
        <v>0</v>
      </c>
      <c r="AD1016" s="43">
        <f t="shared" si="126"/>
        <v>0</v>
      </c>
      <c r="AE1016" s="50">
        <f t="shared" si="127"/>
        <v>0</v>
      </c>
    </row>
    <row r="1017" spans="1:31">
      <c r="A1017" s="59" t="str">
        <f t="shared" si="121"/>
        <v/>
      </c>
      <c r="B1017" s="59" t="str">
        <f t="shared" si="122"/>
        <v/>
      </c>
      <c r="V1017" s="59" t="str">
        <f t="shared" si="123"/>
        <v/>
      </c>
      <c r="W1017" s="59" t="str">
        <f t="shared" si="120"/>
        <v/>
      </c>
      <c r="X1017" s="59" t="str">
        <f t="shared" si="124"/>
        <v/>
      </c>
      <c r="AC1017" s="50">
        <f t="shared" si="125"/>
        <v>0</v>
      </c>
      <c r="AD1017" s="43">
        <f t="shared" si="126"/>
        <v>0</v>
      </c>
      <c r="AE1017" s="50">
        <f t="shared" si="127"/>
        <v>0</v>
      </c>
    </row>
    <row r="1018" spans="1:31">
      <c r="A1018" s="59" t="str">
        <f t="shared" si="121"/>
        <v/>
      </c>
      <c r="B1018" s="59" t="str">
        <f t="shared" si="122"/>
        <v/>
      </c>
      <c r="V1018" s="59" t="str">
        <f t="shared" si="123"/>
        <v/>
      </c>
      <c r="W1018" s="59" t="str">
        <f t="shared" si="120"/>
        <v/>
      </c>
      <c r="X1018" s="59" t="str">
        <f t="shared" si="124"/>
        <v/>
      </c>
      <c r="AC1018" s="50">
        <f t="shared" si="125"/>
        <v>0</v>
      </c>
      <c r="AD1018" s="43">
        <f t="shared" si="126"/>
        <v>0</v>
      </c>
      <c r="AE1018" s="50">
        <f t="shared" si="127"/>
        <v>0</v>
      </c>
    </row>
    <row r="1019" spans="1:31">
      <c r="A1019" s="59" t="str">
        <f t="shared" si="121"/>
        <v/>
      </c>
      <c r="B1019" s="59" t="str">
        <f t="shared" si="122"/>
        <v/>
      </c>
      <c r="V1019" s="59" t="str">
        <f t="shared" si="123"/>
        <v/>
      </c>
      <c r="W1019" s="59" t="str">
        <f t="shared" si="120"/>
        <v/>
      </c>
      <c r="X1019" s="59" t="str">
        <f t="shared" si="124"/>
        <v/>
      </c>
      <c r="AC1019" s="50">
        <f t="shared" si="125"/>
        <v>0</v>
      </c>
      <c r="AD1019" s="43">
        <f t="shared" si="126"/>
        <v>0</v>
      </c>
      <c r="AE1019" s="50">
        <f t="shared" si="127"/>
        <v>0</v>
      </c>
    </row>
    <row r="1020" spans="1:31">
      <c r="A1020" s="59" t="str">
        <f t="shared" si="121"/>
        <v/>
      </c>
      <c r="B1020" s="59" t="str">
        <f t="shared" si="122"/>
        <v/>
      </c>
      <c r="V1020" s="59" t="str">
        <f t="shared" si="123"/>
        <v/>
      </c>
      <c r="W1020" s="59" t="str">
        <f t="shared" si="120"/>
        <v/>
      </c>
      <c r="X1020" s="59" t="str">
        <f t="shared" si="124"/>
        <v/>
      </c>
      <c r="AC1020" s="50">
        <f t="shared" si="125"/>
        <v>0</v>
      </c>
      <c r="AD1020" s="43">
        <f t="shared" si="126"/>
        <v>0</v>
      </c>
      <c r="AE1020" s="50">
        <f t="shared" si="127"/>
        <v>0</v>
      </c>
    </row>
    <row r="1021" spans="1:31">
      <c r="A1021" s="59" t="str">
        <f t="shared" si="121"/>
        <v/>
      </c>
      <c r="B1021" s="59" t="str">
        <f t="shared" si="122"/>
        <v/>
      </c>
      <c r="V1021" s="59" t="str">
        <f t="shared" si="123"/>
        <v/>
      </c>
      <c r="W1021" s="59" t="str">
        <f t="shared" si="120"/>
        <v/>
      </c>
      <c r="X1021" s="59" t="str">
        <f t="shared" si="124"/>
        <v/>
      </c>
      <c r="AC1021" s="50">
        <f t="shared" si="125"/>
        <v>0</v>
      </c>
      <c r="AD1021" s="43">
        <f t="shared" si="126"/>
        <v>0</v>
      </c>
      <c r="AE1021" s="50">
        <f t="shared" si="127"/>
        <v>0</v>
      </c>
    </row>
    <row r="1022" spans="1:31">
      <c r="A1022" s="59" t="str">
        <f t="shared" si="121"/>
        <v/>
      </c>
      <c r="B1022" s="59" t="str">
        <f t="shared" si="122"/>
        <v/>
      </c>
      <c r="V1022" s="59" t="str">
        <f t="shared" si="123"/>
        <v/>
      </c>
      <c r="W1022" s="59" t="str">
        <f t="shared" si="120"/>
        <v/>
      </c>
      <c r="X1022" s="59" t="str">
        <f t="shared" si="124"/>
        <v/>
      </c>
      <c r="AC1022" s="50">
        <f t="shared" si="125"/>
        <v>0</v>
      </c>
      <c r="AD1022" s="43">
        <f t="shared" si="126"/>
        <v>0</v>
      </c>
      <c r="AE1022" s="50">
        <f t="shared" si="127"/>
        <v>0</v>
      </c>
    </row>
    <row r="1023" spans="1:31">
      <c r="A1023" s="59" t="str">
        <f t="shared" si="121"/>
        <v/>
      </c>
      <c r="B1023" s="59" t="str">
        <f t="shared" si="122"/>
        <v/>
      </c>
      <c r="V1023" s="59" t="str">
        <f t="shared" si="123"/>
        <v/>
      </c>
      <c r="W1023" s="59" t="str">
        <f t="shared" si="120"/>
        <v/>
      </c>
      <c r="X1023" s="59" t="str">
        <f t="shared" si="124"/>
        <v/>
      </c>
      <c r="AC1023" s="50">
        <f t="shared" si="125"/>
        <v>0</v>
      </c>
      <c r="AD1023" s="43">
        <f t="shared" si="126"/>
        <v>0</v>
      </c>
      <c r="AE1023" s="50">
        <f t="shared" si="127"/>
        <v>0</v>
      </c>
    </row>
    <row r="1024" spans="1:31">
      <c r="A1024" s="59" t="str">
        <f t="shared" si="121"/>
        <v/>
      </c>
      <c r="B1024" s="59" t="str">
        <f t="shared" si="122"/>
        <v/>
      </c>
      <c r="V1024" s="59" t="str">
        <f t="shared" si="123"/>
        <v/>
      </c>
      <c r="W1024" s="59" t="str">
        <f t="shared" si="120"/>
        <v/>
      </c>
      <c r="X1024" s="59" t="str">
        <f t="shared" si="124"/>
        <v/>
      </c>
      <c r="AC1024" s="50">
        <f t="shared" si="125"/>
        <v>0</v>
      </c>
      <c r="AD1024" s="43">
        <f t="shared" si="126"/>
        <v>0</v>
      </c>
      <c r="AE1024" s="50">
        <f t="shared" si="127"/>
        <v>0</v>
      </c>
    </row>
    <row r="1025" spans="1:31">
      <c r="A1025" s="59" t="str">
        <f t="shared" si="121"/>
        <v/>
      </c>
      <c r="B1025" s="59" t="str">
        <f t="shared" si="122"/>
        <v/>
      </c>
      <c r="V1025" s="59" t="str">
        <f t="shared" si="123"/>
        <v/>
      </c>
      <c r="W1025" s="59" t="str">
        <f t="shared" si="120"/>
        <v/>
      </c>
      <c r="X1025" s="59" t="str">
        <f t="shared" si="124"/>
        <v/>
      </c>
      <c r="AC1025" s="50">
        <f t="shared" si="125"/>
        <v>0</v>
      </c>
      <c r="AD1025" s="43">
        <f t="shared" si="126"/>
        <v>0</v>
      </c>
      <c r="AE1025" s="50">
        <f t="shared" si="127"/>
        <v>0</v>
      </c>
    </row>
    <row r="1026" spans="1:31">
      <c r="A1026" s="59" t="str">
        <f t="shared" si="121"/>
        <v/>
      </c>
      <c r="B1026" s="59" t="str">
        <f t="shared" si="122"/>
        <v/>
      </c>
      <c r="V1026" s="59" t="str">
        <f t="shared" si="123"/>
        <v/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59" t="str">
        <f t="shared" si="124"/>
        <v/>
      </c>
      <c r="AC1026" s="50">
        <f t="shared" si="125"/>
        <v>0</v>
      </c>
      <c r="AD1026" s="43">
        <f t="shared" si="126"/>
        <v>0</v>
      </c>
      <c r="AE1026" s="50">
        <f t="shared" si="127"/>
        <v>0</v>
      </c>
    </row>
    <row r="1027" spans="1:31">
      <c r="A1027" s="59" t="str">
        <f t="shared" ref="A1027:A1090" si="129">IF(G1027&amp;Q1027&lt;&gt;"",W1027&amp;Q1027,"")</f>
        <v/>
      </c>
      <c r="B1027" s="59" t="str">
        <f t="shared" ref="B1027:B1090" si="130">IF(C1027&lt;&gt;"",LEFT(C1027,9),"")</f>
        <v/>
      </c>
      <c r="V1027" s="59" t="str">
        <f t="shared" ref="V1027:V1090" si="131">W1027&amp;H1027</f>
        <v/>
      </c>
      <c r="W1027" s="59" t="str">
        <f t="shared" si="128"/>
        <v/>
      </c>
      <c r="X1027" s="59" t="str">
        <f t="shared" ref="X1027:X1090" si="132">IF(A1027&lt;&gt;"",IFERROR(IF(FIND(" ",G1027)&gt;=1,MID(G1027,FIND(" ",G1027)+1,LEN(G1027)),""),""),"")</f>
        <v/>
      </c>
      <c r="AC1027" s="50">
        <f t="shared" ref="AC1027:AC1090" si="133">IFERROR(VALUE(MID($C1027,1,2)),0)</f>
        <v>0</v>
      </c>
      <c r="AD1027" s="43">
        <f t="shared" ref="AD1027:AD1090" si="134">IFERROR(VALUE(MID($C1027,4,3)),0)</f>
        <v>0</v>
      </c>
      <c r="AE1027" s="50">
        <f t="shared" ref="AE1027:AE1090" si="135">VALUE(RIGHT("00"&amp;AC1027,2)&amp;RIGHT("000"&amp;AD1027,3))</f>
        <v>0</v>
      </c>
    </row>
    <row r="1028" spans="1:31">
      <c r="A1028" s="59" t="str">
        <f t="shared" si="129"/>
        <v/>
      </c>
      <c r="B1028" s="59" t="str">
        <f t="shared" si="130"/>
        <v/>
      </c>
      <c r="V1028" s="59" t="str">
        <f t="shared" si="131"/>
        <v/>
      </c>
      <c r="W1028" s="59" t="str">
        <f t="shared" si="128"/>
        <v/>
      </c>
      <c r="X1028" s="59" t="str">
        <f t="shared" si="132"/>
        <v/>
      </c>
      <c r="AC1028" s="50">
        <f t="shared" si="133"/>
        <v>0</v>
      </c>
      <c r="AD1028" s="43">
        <f t="shared" si="134"/>
        <v>0</v>
      </c>
      <c r="AE1028" s="50">
        <f t="shared" si="135"/>
        <v>0</v>
      </c>
    </row>
    <row r="1029" spans="1:31">
      <c r="A1029" s="59" t="str">
        <f t="shared" si="129"/>
        <v/>
      </c>
      <c r="B1029" s="59" t="str">
        <f t="shared" si="130"/>
        <v/>
      </c>
      <c r="V1029" s="59" t="str">
        <f t="shared" si="131"/>
        <v/>
      </c>
      <c r="W1029" s="59" t="str">
        <f t="shared" si="128"/>
        <v/>
      </c>
      <c r="X1029" s="59" t="str">
        <f t="shared" si="132"/>
        <v/>
      </c>
      <c r="AC1029" s="50">
        <f t="shared" si="133"/>
        <v>0</v>
      </c>
      <c r="AD1029" s="43">
        <f t="shared" si="134"/>
        <v>0</v>
      </c>
      <c r="AE1029" s="50">
        <f t="shared" si="135"/>
        <v>0</v>
      </c>
    </row>
    <row r="1030" spans="1:31">
      <c r="A1030" s="59" t="str">
        <f t="shared" si="129"/>
        <v/>
      </c>
      <c r="B1030" s="59" t="str">
        <f t="shared" si="130"/>
        <v/>
      </c>
      <c r="V1030" s="59" t="str">
        <f t="shared" si="131"/>
        <v/>
      </c>
      <c r="W1030" s="59" t="str">
        <f t="shared" si="128"/>
        <v/>
      </c>
      <c r="X1030" s="59" t="str">
        <f t="shared" si="132"/>
        <v/>
      </c>
      <c r="AC1030" s="50">
        <f t="shared" si="133"/>
        <v>0</v>
      </c>
      <c r="AD1030" s="43">
        <f t="shared" si="134"/>
        <v>0</v>
      </c>
      <c r="AE1030" s="50">
        <f t="shared" si="135"/>
        <v>0</v>
      </c>
    </row>
    <row r="1031" spans="1:31">
      <c r="A1031" s="59" t="str">
        <f t="shared" si="129"/>
        <v/>
      </c>
      <c r="B1031" s="59" t="str">
        <f t="shared" si="130"/>
        <v/>
      </c>
      <c r="V1031" s="59" t="str">
        <f t="shared" si="131"/>
        <v/>
      </c>
      <c r="W1031" s="59" t="str">
        <f t="shared" si="128"/>
        <v/>
      </c>
      <c r="X1031" s="59" t="str">
        <f t="shared" si="132"/>
        <v/>
      </c>
      <c r="AC1031" s="50">
        <f t="shared" si="133"/>
        <v>0</v>
      </c>
      <c r="AD1031" s="43">
        <f t="shared" si="134"/>
        <v>0</v>
      </c>
      <c r="AE1031" s="50">
        <f t="shared" si="135"/>
        <v>0</v>
      </c>
    </row>
    <row r="1032" spans="1:31">
      <c r="A1032" s="59" t="str">
        <f t="shared" si="129"/>
        <v/>
      </c>
      <c r="B1032" s="59" t="str">
        <f t="shared" si="130"/>
        <v/>
      </c>
      <c r="V1032" s="59" t="str">
        <f t="shared" si="131"/>
        <v/>
      </c>
      <c r="W1032" s="59" t="str">
        <f t="shared" si="128"/>
        <v/>
      </c>
      <c r="X1032" s="59" t="str">
        <f t="shared" si="132"/>
        <v/>
      </c>
      <c r="AC1032" s="50">
        <f t="shared" si="133"/>
        <v>0</v>
      </c>
      <c r="AD1032" s="43">
        <f t="shared" si="134"/>
        <v>0</v>
      </c>
      <c r="AE1032" s="50">
        <f t="shared" si="135"/>
        <v>0</v>
      </c>
    </row>
    <row r="1033" spans="1:31">
      <c r="A1033" s="59" t="str">
        <f t="shared" si="129"/>
        <v/>
      </c>
      <c r="B1033" s="59" t="str">
        <f t="shared" si="130"/>
        <v/>
      </c>
      <c r="V1033" s="59" t="str">
        <f t="shared" si="131"/>
        <v/>
      </c>
      <c r="W1033" s="59" t="str">
        <f t="shared" si="128"/>
        <v/>
      </c>
      <c r="X1033" s="59" t="str">
        <f t="shared" si="132"/>
        <v/>
      </c>
      <c r="AC1033" s="50">
        <f t="shared" si="133"/>
        <v>0</v>
      </c>
      <c r="AD1033" s="43">
        <f t="shared" si="134"/>
        <v>0</v>
      </c>
      <c r="AE1033" s="50">
        <f t="shared" si="135"/>
        <v>0</v>
      </c>
    </row>
    <row r="1034" spans="1:31">
      <c r="A1034" s="59" t="str">
        <f t="shared" si="129"/>
        <v/>
      </c>
      <c r="B1034" s="59" t="str">
        <f t="shared" si="130"/>
        <v/>
      </c>
      <c r="V1034" s="59" t="str">
        <f t="shared" si="131"/>
        <v/>
      </c>
      <c r="W1034" s="59" t="str">
        <f t="shared" si="128"/>
        <v/>
      </c>
      <c r="X1034" s="59" t="str">
        <f t="shared" si="132"/>
        <v/>
      </c>
      <c r="AC1034" s="50">
        <f t="shared" si="133"/>
        <v>0</v>
      </c>
      <c r="AD1034" s="43">
        <f t="shared" si="134"/>
        <v>0</v>
      </c>
      <c r="AE1034" s="50">
        <f t="shared" si="135"/>
        <v>0</v>
      </c>
    </row>
    <row r="1035" spans="1:31">
      <c r="A1035" s="59" t="str">
        <f t="shared" si="129"/>
        <v/>
      </c>
      <c r="B1035" s="59" t="str">
        <f t="shared" si="130"/>
        <v/>
      </c>
      <c r="V1035" s="59" t="str">
        <f t="shared" si="131"/>
        <v/>
      </c>
      <c r="W1035" s="59" t="str">
        <f t="shared" si="128"/>
        <v/>
      </c>
      <c r="X1035" s="59" t="str">
        <f t="shared" si="132"/>
        <v/>
      </c>
      <c r="AC1035" s="50">
        <f t="shared" si="133"/>
        <v>0</v>
      </c>
      <c r="AD1035" s="43">
        <f t="shared" si="134"/>
        <v>0</v>
      </c>
      <c r="AE1035" s="50">
        <f t="shared" si="135"/>
        <v>0</v>
      </c>
    </row>
    <row r="1036" spans="1:31">
      <c r="A1036" s="59" t="str">
        <f t="shared" si="129"/>
        <v/>
      </c>
      <c r="B1036" s="59" t="str">
        <f t="shared" si="130"/>
        <v/>
      </c>
      <c r="V1036" s="59" t="str">
        <f t="shared" si="131"/>
        <v/>
      </c>
      <c r="W1036" s="59" t="str">
        <f t="shared" si="128"/>
        <v/>
      </c>
      <c r="X1036" s="59" t="str">
        <f t="shared" si="132"/>
        <v/>
      </c>
      <c r="AC1036" s="50">
        <f t="shared" si="133"/>
        <v>0</v>
      </c>
      <c r="AD1036" s="43">
        <f t="shared" si="134"/>
        <v>0</v>
      </c>
      <c r="AE1036" s="50">
        <f t="shared" si="135"/>
        <v>0</v>
      </c>
    </row>
    <row r="1037" spans="1:31">
      <c r="A1037" s="59" t="str">
        <f t="shared" si="129"/>
        <v/>
      </c>
      <c r="B1037" s="59" t="str">
        <f t="shared" si="130"/>
        <v/>
      </c>
      <c r="V1037" s="59" t="str">
        <f t="shared" si="131"/>
        <v/>
      </c>
      <c r="W1037" s="59" t="str">
        <f t="shared" si="128"/>
        <v/>
      </c>
      <c r="X1037" s="59" t="str">
        <f t="shared" si="132"/>
        <v/>
      </c>
      <c r="AC1037" s="50">
        <f t="shared" si="133"/>
        <v>0</v>
      </c>
      <c r="AD1037" s="43">
        <f t="shared" si="134"/>
        <v>0</v>
      </c>
      <c r="AE1037" s="50">
        <f t="shared" si="135"/>
        <v>0</v>
      </c>
    </row>
    <row r="1038" spans="1:31">
      <c r="A1038" s="59" t="str">
        <f t="shared" si="129"/>
        <v/>
      </c>
      <c r="B1038" s="59" t="str">
        <f t="shared" si="130"/>
        <v/>
      </c>
      <c r="V1038" s="59" t="str">
        <f t="shared" si="131"/>
        <v/>
      </c>
      <c r="W1038" s="59" t="str">
        <f t="shared" si="128"/>
        <v/>
      </c>
      <c r="X1038" s="59" t="str">
        <f t="shared" si="132"/>
        <v/>
      </c>
      <c r="AC1038" s="50">
        <f t="shared" si="133"/>
        <v>0</v>
      </c>
      <c r="AD1038" s="43">
        <f t="shared" si="134"/>
        <v>0</v>
      </c>
      <c r="AE1038" s="50">
        <f t="shared" si="135"/>
        <v>0</v>
      </c>
    </row>
    <row r="1039" spans="1:31">
      <c r="A1039" s="59" t="str">
        <f t="shared" si="129"/>
        <v/>
      </c>
      <c r="B1039" s="59" t="str">
        <f t="shared" si="130"/>
        <v/>
      </c>
      <c r="V1039" s="59" t="str">
        <f t="shared" si="131"/>
        <v/>
      </c>
      <c r="W1039" s="59" t="str">
        <f t="shared" si="128"/>
        <v/>
      </c>
      <c r="X1039" s="59" t="str">
        <f t="shared" si="132"/>
        <v/>
      </c>
      <c r="AC1039" s="50">
        <f t="shared" si="133"/>
        <v>0</v>
      </c>
      <c r="AD1039" s="43">
        <f t="shared" si="134"/>
        <v>0</v>
      </c>
      <c r="AE1039" s="50">
        <f t="shared" si="135"/>
        <v>0</v>
      </c>
    </row>
    <row r="1040" spans="1:31">
      <c r="A1040" s="59" t="str">
        <f t="shared" si="129"/>
        <v/>
      </c>
      <c r="B1040" s="59" t="str">
        <f t="shared" si="130"/>
        <v/>
      </c>
      <c r="V1040" s="59" t="str">
        <f t="shared" si="131"/>
        <v/>
      </c>
      <c r="W1040" s="59" t="str">
        <f t="shared" si="128"/>
        <v/>
      </c>
      <c r="X1040" s="59" t="str">
        <f t="shared" si="132"/>
        <v/>
      </c>
      <c r="AC1040" s="50">
        <f t="shared" si="133"/>
        <v>0</v>
      </c>
      <c r="AD1040" s="43">
        <f t="shared" si="134"/>
        <v>0</v>
      </c>
      <c r="AE1040" s="50">
        <f t="shared" si="135"/>
        <v>0</v>
      </c>
    </row>
    <row r="1041" spans="1:31">
      <c r="A1041" s="59" t="str">
        <f t="shared" si="129"/>
        <v/>
      </c>
      <c r="B1041" s="59" t="str">
        <f t="shared" si="130"/>
        <v/>
      </c>
      <c r="V1041" s="59" t="str">
        <f t="shared" si="131"/>
        <v/>
      </c>
      <c r="W1041" s="59" t="str">
        <f t="shared" si="128"/>
        <v/>
      </c>
      <c r="X1041" s="59" t="str">
        <f t="shared" si="132"/>
        <v/>
      </c>
      <c r="AC1041" s="50">
        <f t="shared" si="133"/>
        <v>0</v>
      </c>
      <c r="AD1041" s="43">
        <f t="shared" si="134"/>
        <v>0</v>
      </c>
      <c r="AE1041" s="50">
        <f t="shared" si="135"/>
        <v>0</v>
      </c>
    </row>
    <row r="1042" spans="1:31">
      <c r="A1042" s="59" t="str">
        <f t="shared" si="129"/>
        <v/>
      </c>
      <c r="B1042" s="59" t="str">
        <f t="shared" si="130"/>
        <v/>
      </c>
      <c r="V1042" s="59" t="str">
        <f t="shared" si="131"/>
        <v/>
      </c>
      <c r="W1042" s="59" t="str">
        <f t="shared" si="128"/>
        <v/>
      </c>
      <c r="X1042" s="59" t="str">
        <f t="shared" si="132"/>
        <v/>
      </c>
      <c r="AC1042" s="50">
        <f t="shared" si="133"/>
        <v>0</v>
      </c>
      <c r="AD1042" s="43">
        <f t="shared" si="134"/>
        <v>0</v>
      </c>
      <c r="AE1042" s="50">
        <f t="shared" si="135"/>
        <v>0</v>
      </c>
    </row>
    <row r="1043" spans="1:31">
      <c r="A1043" s="59" t="str">
        <f t="shared" si="129"/>
        <v/>
      </c>
      <c r="B1043" s="59" t="str">
        <f t="shared" si="130"/>
        <v/>
      </c>
      <c r="V1043" s="59" t="str">
        <f t="shared" si="131"/>
        <v/>
      </c>
      <c r="W1043" s="59" t="str">
        <f t="shared" si="128"/>
        <v/>
      </c>
      <c r="X1043" s="59" t="str">
        <f t="shared" si="132"/>
        <v/>
      </c>
      <c r="AC1043" s="50">
        <f t="shared" si="133"/>
        <v>0</v>
      </c>
      <c r="AD1043" s="43">
        <f t="shared" si="134"/>
        <v>0</v>
      </c>
      <c r="AE1043" s="50">
        <f t="shared" si="135"/>
        <v>0</v>
      </c>
    </row>
    <row r="1044" spans="1:31">
      <c r="A1044" s="59" t="str">
        <f t="shared" si="129"/>
        <v/>
      </c>
      <c r="B1044" s="59" t="str">
        <f t="shared" si="130"/>
        <v/>
      </c>
      <c r="V1044" s="59" t="str">
        <f t="shared" si="131"/>
        <v/>
      </c>
      <c r="W1044" s="59" t="str">
        <f t="shared" si="128"/>
        <v/>
      </c>
      <c r="X1044" s="59" t="str">
        <f t="shared" si="132"/>
        <v/>
      </c>
      <c r="AC1044" s="50">
        <f t="shared" si="133"/>
        <v>0</v>
      </c>
      <c r="AD1044" s="43">
        <f t="shared" si="134"/>
        <v>0</v>
      </c>
      <c r="AE1044" s="50">
        <f t="shared" si="135"/>
        <v>0</v>
      </c>
    </row>
    <row r="1045" spans="1:31">
      <c r="A1045" s="59" t="str">
        <f t="shared" si="129"/>
        <v/>
      </c>
      <c r="B1045" s="59" t="str">
        <f t="shared" si="130"/>
        <v/>
      </c>
      <c r="V1045" s="59" t="str">
        <f t="shared" si="131"/>
        <v/>
      </c>
      <c r="W1045" s="59" t="str">
        <f t="shared" si="128"/>
        <v/>
      </c>
      <c r="X1045" s="59" t="str">
        <f t="shared" si="132"/>
        <v/>
      </c>
      <c r="AC1045" s="50">
        <f t="shared" si="133"/>
        <v>0</v>
      </c>
      <c r="AD1045" s="43">
        <f t="shared" si="134"/>
        <v>0</v>
      </c>
      <c r="AE1045" s="50">
        <f t="shared" si="135"/>
        <v>0</v>
      </c>
    </row>
    <row r="1046" spans="1:31">
      <c r="A1046" s="59" t="str">
        <f t="shared" si="129"/>
        <v/>
      </c>
      <c r="B1046" s="59" t="str">
        <f t="shared" si="130"/>
        <v/>
      </c>
      <c r="V1046" s="59" t="str">
        <f t="shared" si="131"/>
        <v/>
      </c>
      <c r="W1046" s="59" t="str">
        <f t="shared" si="128"/>
        <v/>
      </c>
      <c r="X1046" s="59" t="str">
        <f t="shared" si="132"/>
        <v/>
      </c>
      <c r="AC1046" s="50">
        <f t="shared" si="133"/>
        <v>0</v>
      </c>
      <c r="AD1046" s="43">
        <f t="shared" si="134"/>
        <v>0</v>
      </c>
      <c r="AE1046" s="50">
        <f t="shared" si="135"/>
        <v>0</v>
      </c>
    </row>
    <row r="1047" spans="1:31">
      <c r="A1047" s="59" t="str">
        <f t="shared" si="129"/>
        <v/>
      </c>
      <c r="B1047" s="59" t="str">
        <f t="shared" si="130"/>
        <v/>
      </c>
      <c r="V1047" s="59" t="str">
        <f t="shared" si="131"/>
        <v/>
      </c>
      <c r="W1047" s="59" t="str">
        <f t="shared" si="128"/>
        <v/>
      </c>
      <c r="X1047" s="59" t="str">
        <f t="shared" si="132"/>
        <v/>
      </c>
      <c r="AC1047" s="50">
        <f t="shared" si="133"/>
        <v>0</v>
      </c>
      <c r="AD1047" s="43">
        <f t="shared" si="134"/>
        <v>0</v>
      </c>
      <c r="AE1047" s="50">
        <f t="shared" si="135"/>
        <v>0</v>
      </c>
    </row>
    <row r="1048" spans="1:31">
      <c r="A1048" s="59" t="str">
        <f t="shared" si="129"/>
        <v/>
      </c>
      <c r="B1048" s="59" t="str">
        <f t="shared" si="130"/>
        <v/>
      </c>
      <c r="V1048" s="59" t="str">
        <f t="shared" si="131"/>
        <v/>
      </c>
      <c r="W1048" s="59" t="str">
        <f t="shared" si="128"/>
        <v/>
      </c>
      <c r="X1048" s="59" t="str">
        <f t="shared" si="132"/>
        <v/>
      </c>
      <c r="AC1048" s="50">
        <f t="shared" si="133"/>
        <v>0</v>
      </c>
      <c r="AD1048" s="43">
        <f t="shared" si="134"/>
        <v>0</v>
      </c>
      <c r="AE1048" s="50">
        <f t="shared" si="135"/>
        <v>0</v>
      </c>
    </row>
    <row r="1049" spans="1:31">
      <c r="A1049" s="59" t="str">
        <f t="shared" si="129"/>
        <v/>
      </c>
      <c r="B1049" s="59" t="str">
        <f t="shared" si="130"/>
        <v/>
      </c>
      <c r="V1049" s="59" t="str">
        <f t="shared" si="131"/>
        <v/>
      </c>
      <c r="W1049" s="59" t="str">
        <f t="shared" si="128"/>
        <v/>
      </c>
      <c r="X1049" s="59" t="str">
        <f t="shared" si="132"/>
        <v/>
      </c>
      <c r="AC1049" s="50">
        <f t="shared" si="133"/>
        <v>0</v>
      </c>
      <c r="AD1049" s="43">
        <f t="shared" si="134"/>
        <v>0</v>
      </c>
      <c r="AE1049" s="50">
        <f t="shared" si="135"/>
        <v>0</v>
      </c>
    </row>
    <row r="1050" spans="1:31">
      <c r="A1050" s="59" t="str">
        <f t="shared" si="129"/>
        <v/>
      </c>
      <c r="B1050" s="59" t="str">
        <f t="shared" si="130"/>
        <v/>
      </c>
      <c r="V1050" s="59" t="str">
        <f t="shared" si="131"/>
        <v/>
      </c>
      <c r="W1050" s="59" t="str">
        <f t="shared" si="128"/>
        <v/>
      </c>
      <c r="X1050" s="59" t="str">
        <f t="shared" si="132"/>
        <v/>
      </c>
      <c r="AC1050" s="50">
        <f t="shared" si="133"/>
        <v>0</v>
      </c>
      <c r="AD1050" s="43">
        <f t="shared" si="134"/>
        <v>0</v>
      </c>
      <c r="AE1050" s="50">
        <f t="shared" si="135"/>
        <v>0</v>
      </c>
    </row>
    <row r="1051" spans="1:31">
      <c r="A1051" s="59" t="str">
        <f t="shared" si="129"/>
        <v/>
      </c>
      <c r="B1051" s="59" t="str">
        <f t="shared" si="130"/>
        <v/>
      </c>
      <c r="V1051" s="59" t="str">
        <f t="shared" si="131"/>
        <v/>
      </c>
      <c r="W1051" s="59" t="str">
        <f t="shared" si="128"/>
        <v/>
      </c>
      <c r="X1051" s="59" t="str">
        <f t="shared" si="132"/>
        <v/>
      </c>
      <c r="AC1051" s="50">
        <f t="shared" si="133"/>
        <v>0</v>
      </c>
      <c r="AD1051" s="43">
        <f t="shared" si="134"/>
        <v>0</v>
      </c>
      <c r="AE1051" s="50">
        <f t="shared" si="135"/>
        <v>0</v>
      </c>
    </row>
    <row r="1052" spans="1:31">
      <c r="A1052" s="59" t="str">
        <f t="shared" si="129"/>
        <v/>
      </c>
      <c r="B1052" s="59" t="str">
        <f t="shared" si="130"/>
        <v/>
      </c>
      <c r="V1052" s="59" t="str">
        <f t="shared" si="131"/>
        <v/>
      </c>
      <c r="W1052" s="59" t="str">
        <f t="shared" si="128"/>
        <v/>
      </c>
      <c r="X1052" s="59" t="str">
        <f t="shared" si="132"/>
        <v/>
      </c>
      <c r="AC1052" s="50">
        <f t="shared" si="133"/>
        <v>0</v>
      </c>
      <c r="AD1052" s="43">
        <f t="shared" si="134"/>
        <v>0</v>
      </c>
      <c r="AE1052" s="50">
        <f t="shared" si="135"/>
        <v>0</v>
      </c>
    </row>
    <row r="1053" spans="1:31">
      <c r="A1053" s="59" t="str">
        <f t="shared" si="129"/>
        <v/>
      </c>
      <c r="B1053" s="59" t="str">
        <f t="shared" si="130"/>
        <v/>
      </c>
      <c r="V1053" s="59" t="str">
        <f t="shared" si="131"/>
        <v/>
      </c>
      <c r="W1053" s="59" t="str">
        <f t="shared" si="128"/>
        <v/>
      </c>
      <c r="X1053" s="59" t="str">
        <f t="shared" si="132"/>
        <v/>
      </c>
      <c r="AC1053" s="50">
        <f t="shared" si="133"/>
        <v>0</v>
      </c>
      <c r="AD1053" s="43">
        <f t="shared" si="134"/>
        <v>0</v>
      </c>
      <c r="AE1053" s="50">
        <f t="shared" si="135"/>
        <v>0</v>
      </c>
    </row>
    <row r="1054" spans="1:31">
      <c r="A1054" s="59" t="str">
        <f t="shared" si="129"/>
        <v/>
      </c>
      <c r="B1054" s="59" t="str">
        <f t="shared" si="130"/>
        <v/>
      </c>
      <c r="V1054" s="59" t="str">
        <f t="shared" si="131"/>
        <v/>
      </c>
      <c r="W1054" s="59" t="str">
        <f t="shared" si="128"/>
        <v/>
      </c>
      <c r="X1054" s="59" t="str">
        <f t="shared" si="132"/>
        <v/>
      </c>
      <c r="AC1054" s="50">
        <f t="shared" si="133"/>
        <v>0</v>
      </c>
      <c r="AD1054" s="43">
        <f t="shared" si="134"/>
        <v>0</v>
      </c>
      <c r="AE1054" s="50">
        <f t="shared" si="135"/>
        <v>0</v>
      </c>
    </row>
    <row r="1055" spans="1:31">
      <c r="A1055" s="59" t="str">
        <f t="shared" si="129"/>
        <v/>
      </c>
      <c r="B1055" s="59" t="str">
        <f t="shared" si="130"/>
        <v/>
      </c>
      <c r="V1055" s="59" t="str">
        <f t="shared" si="131"/>
        <v/>
      </c>
      <c r="W1055" s="59" t="str">
        <f t="shared" si="128"/>
        <v/>
      </c>
      <c r="X1055" s="59" t="str">
        <f t="shared" si="132"/>
        <v/>
      </c>
      <c r="AC1055" s="50">
        <f t="shared" si="133"/>
        <v>0</v>
      </c>
      <c r="AD1055" s="43">
        <f t="shared" si="134"/>
        <v>0</v>
      </c>
      <c r="AE1055" s="50">
        <f t="shared" si="135"/>
        <v>0</v>
      </c>
    </row>
    <row r="1056" spans="1:31">
      <c r="A1056" s="59" t="str">
        <f t="shared" si="129"/>
        <v/>
      </c>
      <c r="B1056" s="59" t="str">
        <f t="shared" si="130"/>
        <v/>
      </c>
      <c r="V1056" s="59" t="str">
        <f t="shared" si="131"/>
        <v/>
      </c>
      <c r="W1056" s="59" t="str">
        <f t="shared" si="128"/>
        <v/>
      </c>
      <c r="X1056" s="59" t="str">
        <f t="shared" si="132"/>
        <v/>
      </c>
      <c r="AC1056" s="50">
        <f t="shared" si="133"/>
        <v>0</v>
      </c>
      <c r="AD1056" s="43">
        <f t="shared" si="134"/>
        <v>0</v>
      </c>
      <c r="AE1056" s="50">
        <f t="shared" si="135"/>
        <v>0</v>
      </c>
    </row>
    <row r="1057" spans="1:31">
      <c r="A1057" s="59" t="str">
        <f t="shared" si="129"/>
        <v/>
      </c>
      <c r="B1057" s="59" t="str">
        <f t="shared" si="130"/>
        <v/>
      </c>
      <c r="V1057" s="59" t="str">
        <f t="shared" si="131"/>
        <v/>
      </c>
      <c r="W1057" s="59" t="str">
        <f t="shared" si="128"/>
        <v/>
      </c>
      <c r="X1057" s="59" t="str">
        <f t="shared" si="132"/>
        <v/>
      </c>
      <c r="AC1057" s="50">
        <f t="shared" si="133"/>
        <v>0</v>
      </c>
      <c r="AD1057" s="43">
        <f t="shared" si="134"/>
        <v>0</v>
      </c>
      <c r="AE1057" s="50">
        <f t="shared" si="135"/>
        <v>0</v>
      </c>
    </row>
    <row r="1058" spans="1:31">
      <c r="A1058" s="59" t="str">
        <f t="shared" si="129"/>
        <v/>
      </c>
      <c r="B1058" s="59" t="str">
        <f t="shared" si="130"/>
        <v/>
      </c>
      <c r="V1058" s="59" t="str">
        <f t="shared" si="131"/>
        <v/>
      </c>
      <c r="W1058" s="59" t="str">
        <f t="shared" si="128"/>
        <v/>
      </c>
      <c r="X1058" s="59" t="str">
        <f t="shared" si="132"/>
        <v/>
      </c>
      <c r="AC1058" s="50">
        <f t="shared" si="133"/>
        <v>0</v>
      </c>
      <c r="AD1058" s="43">
        <f t="shared" si="134"/>
        <v>0</v>
      </c>
      <c r="AE1058" s="50">
        <f t="shared" si="135"/>
        <v>0</v>
      </c>
    </row>
    <row r="1059" spans="1:31">
      <c r="A1059" s="59" t="str">
        <f t="shared" si="129"/>
        <v/>
      </c>
      <c r="B1059" s="59" t="str">
        <f t="shared" si="130"/>
        <v/>
      </c>
      <c r="V1059" s="59" t="str">
        <f t="shared" si="131"/>
        <v/>
      </c>
      <c r="W1059" s="59" t="str">
        <f t="shared" si="128"/>
        <v/>
      </c>
      <c r="X1059" s="59" t="str">
        <f t="shared" si="132"/>
        <v/>
      </c>
      <c r="AC1059" s="50">
        <f t="shared" si="133"/>
        <v>0</v>
      </c>
      <c r="AD1059" s="43">
        <f t="shared" si="134"/>
        <v>0</v>
      </c>
      <c r="AE1059" s="50">
        <f t="shared" si="135"/>
        <v>0</v>
      </c>
    </row>
    <row r="1060" spans="1:31">
      <c r="A1060" s="59" t="str">
        <f t="shared" si="129"/>
        <v/>
      </c>
      <c r="B1060" s="59" t="str">
        <f t="shared" si="130"/>
        <v/>
      </c>
      <c r="V1060" s="59" t="str">
        <f t="shared" si="131"/>
        <v/>
      </c>
      <c r="W1060" s="59" t="str">
        <f t="shared" si="128"/>
        <v/>
      </c>
      <c r="X1060" s="59" t="str">
        <f t="shared" si="132"/>
        <v/>
      </c>
      <c r="AC1060" s="50">
        <f t="shared" si="133"/>
        <v>0</v>
      </c>
      <c r="AD1060" s="43">
        <f t="shared" si="134"/>
        <v>0</v>
      </c>
      <c r="AE1060" s="50">
        <f t="shared" si="135"/>
        <v>0</v>
      </c>
    </row>
    <row r="1061" spans="1:31">
      <c r="A1061" s="59" t="str">
        <f t="shared" si="129"/>
        <v/>
      </c>
      <c r="B1061" s="59" t="str">
        <f t="shared" si="130"/>
        <v/>
      </c>
      <c r="V1061" s="59" t="str">
        <f t="shared" si="131"/>
        <v/>
      </c>
      <c r="W1061" s="59" t="str">
        <f t="shared" si="128"/>
        <v/>
      </c>
      <c r="X1061" s="59" t="str">
        <f t="shared" si="132"/>
        <v/>
      </c>
      <c r="AC1061" s="50">
        <f t="shared" si="133"/>
        <v>0</v>
      </c>
      <c r="AD1061" s="43">
        <f t="shared" si="134"/>
        <v>0</v>
      </c>
      <c r="AE1061" s="50">
        <f t="shared" si="135"/>
        <v>0</v>
      </c>
    </row>
    <row r="1062" spans="1:31">
      <c r="A1062" s="59" t="str">
        <f t="shared" si="129"/>
        <v/>
      </c>
      <c r="B1062" s="59" t="str">
        <f t="shared" si="130"/>
        <v/>
      </c>
      <c r="V1062" s="59" t="str">
        <f t="shared" si="131"/>
        <v/>
      </c>
      <c r="W1062" s="59" t="str">
        <f t="shared" si="128"/>
        <v/>
      </c>
      <c r="X1062" s="59" t="str">
        <f t="shared" si="132"/>
        <v/>
      </c>
      <c r="AC1062" s="50">
        <f t="shared" si="133"/>
        <v>0</v>
      </c>
      <c r="AD1062" s="43">
        <f t="shared" si="134"/>
        <v>0</v>
      </c>
      <c r="AE1062" s="50">
        <f t="shared" si="135"/>
        <v>0</v>
      </c>
    </row>
    <row r="1063" spans="1:31">
      <c r="A1063" s="59" t="str">
        <f t="shared" si="129"/>
        <v/>
      </c>
      <c r="B1063" s="59" t="str">
        <f t="shared" si="130"/>
        <v/>
      </c>
      <c r="V1063" s="59" t="str">
        <f t="shared" si="131"/>
        <v/>
      </c>
      <c r="W1063" s="59" t="str">
        <f t="shared" si="128"/>
        <v/>
      </c>
      <c r="X1063" s="59" t="str">
        <f t="shared" si="132"/>
        <v/>
      </c>
      <c r="AC1063" s="50">
        <f t="shared" si="133"/>
        <v>0</v>
      </c>
      <c r="AD1063" s="43">
        <f t="shared" si="134"/>
        <v>0</v>
      </c>
      <c r="AE1063" s="50">
        <f t="shared" si="135"/>
        <v>0</v>
      </c>
    </row>
    <row r="1064" spans="1:31">
      <c r="A1064" s="59" t="str">
        <f t="shared" si="129"/>
        <v/>
      </c>
      <c r="B1064" s="59" t="str">
        <f t="shared" si="130"/>
        <v/>
      </c>
      <c r="V1064" s="59" t="str">
        <f t="shared" si="131"/>
        <v/>
      </c>
      <c r="W1064" s="59" t="str">
        <f t="shared" si="128"/>
        <v/>
      </c>
      <c r="X1064" s="59" t="str">
        <f t="shared" si="132"/>
        <v/>
      </c>
      <c r="AC1064" s="50">
        <f t="shared" si="133"/>
        <v>0</v>
      </c>
      <c r="AD1064" s="43">
        <f t="shared" si="134"/>
        <v>0</v>
      </c>
      <c r="AE1064" s="50">
        <f t="shared" si="135"/>
        <v>0</v>
      </c>
    </row>
    <row r="1065" spans="1:31">
      <c r="A1065" s="59" t="str">
        <f t="shared" si="129"/>
        <v/>
      </c>
      <c r="B1065" s="59" t="str">
        <f t="shared" si="130"/>
        <v/>
      </c>
      <c r="V1065" s="59" t="str">
        <f t="shared" si="131"/>
        <v/>
      </c>
      <c r="W1065" s="59" t="str">
        <f t="shared" si="128"/>
        <v/>
      </c>
      <c r="X1065" s="59" t="str">
        <f t="shared" si="132"/>
        <v/>
      </c>
      <c r="AC1065" s="50">
        <f t="shared" si="133"/>
        <v>0</v>
      </c>
      <c r="AD1065" s="43">
        <f t="shared" si="134"/>
        <v>0</v>
      </c>
      <c r="AE1065" s="50">
        <f t="shared" si="135"/>
        <v>0</v>
      </c>
    </row>
    <row r="1066" spans="1:31">
      <c r="A1066" s="59" t="str">
        <f t="shared" si="129"/>
        <v/>
      </c>
      <c r="B1066" s="59" t="str">
        <f t="shared" si="130"/>
        <v/>
      </c>
      <c r="V1066" s="59" t="str">
        <f t="shared" si="131"/>
        <v/>
      </c>
      <c r="W1066" s="59" t="str">
        <f t="shared" si="128"/>
        <v/>
      </c>
      <c r="X1066" s="59" t="str">
        <f t="shared" si="132"/>
        <v/>
      </c>
      <c r="AC1066" s="50">
        <f t="shared" si="133"/>
        <v>0</v>
      </c>
      <c r="AD1066" s="43">
        <f t="shared" si="134"/>
        <v>0</v>
      </c>
      <c r="AE1066" s="50">
        <f t="shared" si="135"/>
        <v>0</v>
      </c>
    </row>
    <row r="1067" spans="1:31">
      <c r="A1067" s="59" t="str">
        <f t="shared" si="129"/>
        <v/>
      </c>
      <c r="B1067" s="59" t="str">
        <f t="shared" si="130"/>
        <v/>
      </c>
      <c r="V1067" s="59" t="str">
        <f t="shared" si="131"/>
        <v/>
      </c>
      <c r="W1067" s="59" t="str">
        <f t="shared" si="128"/>
        <v/>
      </c>
      <c r="X1067" s="59" t="str">
        <f t="shared" si="132"/>
        <v/>
      </c>
      <c r="AC1067" s="50">
        <f t="shared" si="133"/>
        <v>0</v>
      </c>
      <c r="AD1067" s="43">
        <f t="shared" si="134"/>
        <v>0</v>
      </c>
      <c r="AE1067" s="50">
        <f t="shared" si="135"/>
        <v>0</v>
      </c>
    </row>
    <row r="1068" spans="1:31">
      <c r="A1068" s="59" t="str">
        <f t="shared" si="129"/>
        <v/>
      </c>
      <c r="B1068" s="59" t="str">
        <f t="shared" si="130"/>
        <v/>
      </c>
      <c r="V1068" s="59" t="str">
        <f t="shared" si="131"/>
        <v/>
      </c>
      <c r="W1068" s="59" t="str">
        <f t="shared" si="128"/>
        <v/>
      </c>
      <c r="X1068" s="59" t="str">
        <f t="shared" si="132"/>
        <v/>
      </c>
      <c r="AC1068" s="50">
        <f t="shared" si="133"/>
        <v>0</v>
      </c>
      <c r="AD1068" s="43">
        <f t="shared" si="134"/>
        <v>0</v>
      </c>
      <c r="AE1068" s="50">
        <f t="shared" si="135"/>
        <v>0</v>
      </c>
    </row>
    <row r="1069" spans="1:31">
      <c r="A1069" s="59" t="str">
        <f t="shared" si="129"/>
        <v/>
      </c>
      <c r="B1069" s="59" t="str">
        <f t="shared" si="130"/>
        <v/>
      </c>
      <c r="V1069" s="59" t="str">
        <f t="shared" si="131"/>
        <v/>
      </c>
      <c r="W1069" s="59" t="str">
        <f t="shared" si="128"/>
        <v/>
      </c>
      <c r="X1069" s="59" t="str">
        <f t="shared" si="132"/>
        <v/>
      </c>
      <c r="AC1069" s="50">
        <f t="shared" si="133"/>
        <v>0</v>
      </c>
      <c r="AD1069" s="43">
        <f t="shared" si="134"/>
        <v>0</v>
      </c>
      <c r="AE1069" s="50">
        <f t="shared" si="135"/>
        <v>0</v>
      </c>
    </row>
    <row r="1070" spans="1:31">
      <c r="A1070" s="59" t="str">
        <f t="shared" si="129"/>
        <v/>
      </c>
      <c r="B1070" s="59" t="str">
        <f t="shared" si="130"/>
        <v/>
      </c>
      <c r="V1070" s="59" t="str">
        <f t="shared" si="131"/>
        <v/>
      </c>
      <c r="W1070" s="59" t="str">
        <f t="shared" si="128"/>
        <v/>
      </c>
      <c r="X1070" s="59" t="str">
        <f t="shared" si="132"/>
        <v/>
      </c>
      <c r="AC1070" s="50">
        <f t="shared" si="133"/>
        <v>0</v>
      </c>
      <c r="AD1070" s="43">
        <f t="shared" si="134"/>
        <v>0</v>
      </c>
      <c r="AE1070" s="50">
        <f t="shared" si="135"/>
        <v>0</v>
      </c>
    </row>
    <row r="1071" spans="1:31">
      <c r="A1071" s="59" t="str">
        <f t="shared" si="129"/>
        <v/>
      </c>
      <c r="B1071" s="59" t="str">
        <f t="shared" si="130"/>
        <v/>
      </c>
      <c r="V1071" s="59" t="str">
        <f t="shared" si="131"/>
        <v/>
      </c>
      <c r="W1071" s="59" t="str">
        <f t="shared" si="128"/>
        <v/>
      </c>
      <c r="X1071" s="59" t="str">
        <f t="shared" si="132"/>
        <v/>
      </c>
      <c r="AC1071" s="50">
        <f t="shared" si="133"/>
        <v>0</v>
      </c>
      <c r="AD1071" s="43">
        <f t="shared" si="134"/>
        <v>0</v>
      </c>
      <c r="AE1071" s="50">
        <f t="shared" si="135"/>
        <v>0</v>
      </c>
    </row>
    <row r="1072" spans="1:31">
      <c r="A1072" s="59" t="str">
        <f t="shared" si="129"/>
        <v/>
      </c>
      <c r="B1072" s="59" t="str">
        <f t="shared" si="130"/>
        <v/>
      </c>
      <c r="V1072" s="59" t="str">
        <f t="shared" si="131"/>
        <v/>
      </c>
      <c r="W1072" s="59" t="str">
        <f t="shared" si="128"/>
        <v/>
      </c>
      <c r="X1072" s="59" t="str">
        <f t="shared" si="132"/>
        <v/>
      </c>
      <c r="AC1072" s="50">
        <f t="shared" si="133"/>
        <v>0</v>
      </c>
      <c r="AD1072" s="43">
        <f t="shared" si="134"/>
        <v>0</v>
      </c>
      <c r="AE1072" s="50">
        <f t="shared" si="135"/>
        <v>0</v>
      </c>
    </row>
    <row r="1073" spans="1:31">
      <c r="A1073" s="59" t="str">
        <f t="shared" si="129"/>
        <v/>
      </c>
      <c r="B1073" s="59" t="str">
        <f t="shared" si="130"/>
        <v/>
      </c>
      <c r="V1073" s="59" t="str">
        <f t="shared" si="131"/>
        <v/>
      </c>
      <c r="W1073" s="59" t="str">
        <f t="shared" si="128"/>
        <v/>
      </c>
      <c r="X1073" s="59" t="str">
        <f t="shared" si="132"/>
        <v/>
      </c>
      <c r="AC1073" s="50">
        <f t="shared" si="133"/>
        <v>0</v>
      </c>
      <c r="AD1073" s="43">
        <f t="shared" si="134"/>
        <v>0</v>
      </c>
      <c r="AE1073" s="50">
        <f t="shared" si="135"/>
        <v>0</v>
      </c>
    </row>
    <row r="1074" spans="1:31">
      <c r="A1074" s="59" t="str">
        <f t="shared" si="129"/>
        <v/>
      </c>
      <c r="B1074" s="59" t="str">
        <f t="shared" si="130"/>
        <v/>
      </c>
      <c r="V1074" s="59" t="str">
        <f t="shared" si="131"/>
        <v/>
      </c>
      <c r="W1074" s="59" t="str">
        <f t="shared" si="128"/>
        <v/>
      </c>
      <c r="X1074" s="59" t="str">
        <f t="shared" si="132"/>
        <v/>
      </c>
      <c r="AC1074" s="50">
        <f t="shared" si="133"/>
        <v>0</v>
      </c>
      <c r="AD1074" s="43">
        <f t="shared" si="134"/>
        <v>0</v>
      </c>
      <c r="AE1074" s="50">
        <f t="shared" si="135"/>
        <v>0</v>
      </c>
    </row>
    <row r="1075" spans="1:31">
      <c r="A1075" s="59" t="str">
        <f t="shared" si="129"/>
        <v/>
      </c>
      <c r="B1075" s="59" t="str">
        <f t="shared" si="130"/>
        <v/>
      </c>
      <c r="V1075" s="59" t="str">
        <f t="shared" si="131"/>
        <v/>
      </c>
      <c r="W1075" s="59" t="str">
        <f t="shared" si="128"/>
        <v/>
      </c>
      <c r="X1075" s="59" t="str">
        <f t="shared" si="132"/>
        <v/>
      </c>
      <c r="AC1075" s="50">
        <f t="shared" si="133"/>
        <v>0</v>
      </c>
      <c r="AD1075" s="43">
        <f t="shared" si="134"/>
        <v>0</v>
      </c>
      <c r="AE1075" s="50">
        <f t="shared" si="135"/>
        <v>0</v>
      </c>
    </row>
    <row r="1076" spans="1:31">
      <c r="A1076" s="59" t="str">
        <f t="shared" si="129"/>
        <v/>
      </c>
      <c r="B1076" s="59" t="str">
        <f t="shared" si="130"/>
        <v/>
      </c>
      <c r="V1076" s="59" t="str">
        <f t="shared" si="131"/>
        <v/>
      </c>
      <c r="W1076" s="59" t="str">
        <f t="shared" si="128"/>
        <v/>
      </c>
      <c r="X1076" s="59" t="str">
        <f t="shared" si="132"/>
        <v/>
      </c>
      <c r="AC1076" s="50">
        <f t="shared" si="133"/>
        <v>0</v>
      </c>
      <c r="AD1076" s="43">
        <f t="shared" si="134"/>
        <v>0</v>
      </c>
      <c r="AE1076" s="50">
        <f t="shared" si="135"/>
        <v>0</v>
      </c>
    </row>
    <row r="1077" spans="1:31">
      <c r="A1077" s="59" t="str">
        <f t="shared" si="129"/>
        <v/>
      </c>
      <c r="B1077" s="59" t="str">
        <f t="shared" si="130"/>
        <v/>
      </c>
      <c r="V1077" s="59" t="str">
        <f t="shared" si="131"/>
        <v/>
      </c>
      <c r="W1077" s="59" t="str">
        <f t="shared" si="128"/>
        <v/>
      </c>
      <c r="X1077" s="59" t="str">
        <f t="shared" si="132"/>
        <v/>
      </c>
      <c r="AC1077" s="50">
        <f t="shared" si="133"/>
        <v>0</v>
      </c>
      <c r="AD1077" s="43">
        <f t="shared" si="134"/>
        <v>0</v>
      </c>
      <c r="AE1077" s="50">
        <f t="shared" si="135"/>
        <v>0</v>
      </c>
    </row>
    <row r="1078" spans="1:31">
      <c r="A1078" s="59" t="str">
        <f t="shared" si="129"/>
        <v/>
      </c>
      <c r="B1078" s="59" t="str">
        <f t="shared" si="130"/>
        <v/>
      </c>
      <c r="V1078" s="59" t="str">
        <f t="shared" si="131"/>
        <v/>
      </c>
      <c r="W1078" s="59" t="str">
        <f t="shared" si="128"/>
        <v/>
      </c>
      <c r="X1078" s="59" t="str">
        <f t="shared" si="132"/>
        <v/>
      </c>
      <c r="AC1078" s="50">
        <f t="shared" si="133"/>
        <v>0</v>
      </c>
      <c r="AD1078" s="43">
        <f t="shared" si="134"/>
        <v>0</v>
      </c>
      <c r="AE1078" s="50">
        <f t="shared" si="135"/>
        <v>0</v>
      </c>
    </row>
    <row r="1079" spans="1:31">
      <c r="A1079" s="59" t="str">
        <f t="shared" si="129"/>
        <v/>
      </c>
      <c r="B1079" s="59" t="str">
        <f t="shared" si="130"/>
        <v/>
      </c>
      <c r="V1079" s="59" t="str">
        <f t="shared" si="131"/>
        <v/>
      </c>
      <c r="W1079" s="59" t="str">
        <f t="shared" si="128"/>
        <v/>
      </c>
      <c r="X1079" s="59" t="str">
        <f t="shared" si="132"/>
        <v/>
      </c>
      <c r="AC1079" s="50">
        <f t="shared" si="133"/>
        <v>0</v>
      </c>
      <c r="AD1079" s="43">
        <f t="shared" si="134"/>
        <v>0</v>
      </c>
      <c r="AE1079" s="50">
        <f t="shared" si="135"/>
        <v>0</v>
      </c>
    </row>
    <row r="1080" spans="1:31">
      <c r="A1080" s="59" t="str">
        <f t="shared" si="129"/>
        <v/>
      </c>
      <c r="B1080" s="59" t="str">
        <f t="shared" si="130"/>
        <v/>
      </c>
      <c r="V1080" s="59" t="str">
        <f t="shared" si="131"/>
        <v/>
      </c>
      <c r="W1080" s="59" t="str">
        <f t="shared" si="128"/>
        <v/>
      </c>
      <c r="X1080" s="59" t="str">
        <f t="shared" si="132"/>
        <v/>
      </c>
      <c r="AC1080" s="50">
        <f t="shared" si="133"/>
        <v>0</v>
      </c>
      <c r="AD1080" s="43">
        <f t="shared" si="134"/>
        <v>0</v>
      </c>
      <c r="AE1080" s="50">
        <f t="shared" si="135"/>
        <v>0</v>
      </c>
    </row>
    <row r="1081" spans="1:31">
      <c r="A1081" s="59" t="str">
        <f t="shared" si="129"/>
        <v/>
      </c>
      <c r="B1081" s="59" t="str">
        <f t="shared" si="130"/>
        <v/>
      </c>
      <c r="V1081" s="59" t="str">
        <f t="shared" si="131"/>
        <v/>
      </c>
      <c r="W1081" s="59" t="str">
        <f t="shared" si="128"/>
        <v/>
      </c>
      <c r="X1081" s="59" t="str">
        <f t="shared" si="132"/>
        <v/>
      </c>
      <c r="AC1081" s="50">
        <f t="shared" si="133"/>
        <v>0</v>
      </c>
      <c r="AD1081" s="43">
        <f t="shared" si="134"/>
        <v>0</v>
      </c>
      <c r="AE1081" s="50">
        <f t="shared" si="135"/>
        <v>0</v>
      </c>
    </row>
    <row r="1082" spans="1:31">
      <c r="A1082" s="59" t="str">
        <f t="shared" si="129"/>
        <v/>
      </c>
      <c r="B1082" s="59" t="str">
        <f t="shared" si="130"/>
        <v/>
      </c>
      <c r="V1082" s="59" t="str">
        <f t="shared" si="131"/>
        <v/>
      </c>
      <c r="W1082" s="59" t="str">
        <f t="shared" si="128"/>
        <v/>
      </c>
      <c r="X1082" s="59" t="str">
        <f t="shared" si="132"/>
        <v/>
      </c>
      <c r="AC1082" s="50">
        <f t="shared" si="133"/>
        <v>0</v>
      </c>
      <c r="AD1082" s="43">
        <f t="shared" si="134"/>
        <v>0</v>
      </c>
      <c r="AE1082" s="50">
        <f t="shared" si="135"/>
        <v>0</v>
      </c>
    </row>
    <row r="1083" spans="1:31">
      <c r="A1083" s="59" t="str">
        <f t="shared" si="129"/>
        <v/>
      </c>
      <c r="B1083" s="59" t="str">
        <f t="shared" si="130"/>
        <v/>
      </c>
      <c r="V1083" s="59" t="str">
        <f t="shared" si="131"/>
        <v/>
      </c>
      <c r="W1083" s="59" t="str">
        <f t="shared" si="128"/>
        <v/>
      </c>
      <c r="X1083" s="59" t="str">
        <f t="shared" si="132"/>
        <v/>
      </c>
      <c r="AC1083" s="50">
        <f t="shared" si="133"/>
        <v>0</v>
      </c>
      <c r="AD1083" s="43">
        <f t="shared" si="134"/>
        <v>0</v>
      </c>
      <c r="AE1083" s="50">
        <f t="shared" si="135"/>
        <v>0</v>
      </c>
    </row>
    <row r="1084" spans="1:31">
      <c r="A1084" s="59" t="str">
        <f t="shared" si="129"/>
        <v/>
      </c>
      <c r="B1084" s="59" t="str">
        <f t="shared" si="130"/>
        <v/>
      </c>
      <c r="V1084" s="59" t="str">
        <f t="shared" si="131"/>
        <v/>
      </c>
      <c r="W1084" s="59" t="str">
        <f t="shared" si="128"/>
        <v/>
      </c>
      <c r="X1084" s="59" t="str">
        <f t="shared" si="132"/>
        <v/>
      </c>
      <c r="AC1084" s="50">
        <f t="shared" si="133"/>
        <v>0</v>
      </c>
      <c r="AD1084" s="43">
        <f t="shared" si="134"/>
        <v>0</v>
      </c>
      <c r="AE1084" s="50">
        <f t="shared" si="135"/>
        <v>0</v>
      </c>
    </row>
    <row r="1085" spans="1:31">
      <c r="A1085" s="59" t="str">
        <f t="shared" si="129"/>
        <v/>
      </c>
      <c r="B1085" s="59" t="str">
        <f t="shared" si="130"/>
        <v/>
      </c>
      <c r="V1085" s="59" t="str">
        <f t="shared" si="131"/>
        <v/>
      </c>
      <c r="W1085" s="59" t="str">
        <f t="shared" si="128"/>
        <v/>
      </c>
      <c r="X1085" s="59" t="str">
        <f t="shared" si="132"/>
        <v/>
      </c>
      <c r="AC1085" s="50">
        <f t="shared" si="133"/>
        <v>0</v>
      </c>
      <c r="AD1085" s="43">
        <f t="shared" si="134"/>
        <v>0</v>
      </c>
      <c r="AE1085" s="50">
        <f t="shared" si="135"/>
        <v>0</v>
      </c>
    </row>
    <row r="1086" spans="1:31">
      <c r="A1086" s="59" t="str">
        <f t="shared" si="129"/>
        <v/>
      </c>
      <c r="B1086" s="59" t="str">
        <f t="shared" si="130"/>
        <v/>
      </c>
      <c r="V1086" s="59" t="str">
        <f t="shared" si="131"/>
        <v/>
      </c>
      <c r="W1086" s="59" t="str">
        <f t="shared" si="128"/>
        <v/>
      </c>
      <c r="X1086" s="59" t="str">
        <f t="shared" si="132"/>
        <v/>
      </c>
      <c r="AC1086" s="50">
        <f t="shared" si="133"/>
        <v>0</v>
      </c>
      <c r="AD1086" s="43">
        <f t="shared" si="134"/>
        <v>0</v>
      </c>
      <c r="AE1086" s="50">
        <f t="shared" si="135"/>
        <v>0</v>
      </c>
    </row>
    <row r="1087" spans="1:31">
      <c r="A1087" s="59" t="str">
        <f t="shared" si="129"/>
        <v/>
      </c>
      <c r="B1087" s="59" t="str">
        <f t="shared" si="130"/>
        <v/>
      </c>
      <c r="V1087" s="59" t="str">
        <f t="shared" si="131"/>
        <v/>
      </c>
      <c r="W1087" s="59" t="str">
        <f t="shared" si="128"/>
        <v/>
      </c>
      <c r="X1087" s="59" t="str">
        <f t="shared" si="132"/>
        <v/>
      </c>
      <c r="AC1087" s="50">
        <f t="shared" si="133"/>
        <v>0</v>
      </c>
      <c r="AD1087" s="43">
        <f t="shared" si="134"/>
        <v>0</v>
      </c>
      <c r="AE1087" s="50">
        <f t="shared" si="135"/>
        <v>0</v>
      </c>
    </row>
    <row r="1088" spans="1:31">
      <c r="A1088" s="59" t="str">
        <f t="shared" si="129"/>
        <v/>
      </c>
      <c r="B1088" s="59" t="str">
        <f t="shared" si="130"/>
        <v/>
      </c>
      <c r="V1088" s="59" t="str">
        <f t="shared" si="131"/>
        <v/>
      </c>
      <c r="W1088" s="59" t="str">
        <f t="shared" si="128"/>
        <v/>
      </c>
      <c r="X1088" s="59" t="str">
        <f t="shared" si="132"/>
        <v/>
      </c>
      <c r="AC1088" s="50">
        <f t="shared" si="133"/>
        <v>0</v>
      </c>
      <c r="AD1088" s="43">
        <f t="shared" si="134"/>
        <v>0</v>
      </c>
      <c r="AE1088" s="50">
        <f t="shared" si="135"/>
        <v>0</v>
      </c>
    </row>
    <row r="1089" spans="1:31">
      <c r="A1089" s="59" t="str">
        <f t="shared" si="129"/>
        <v/>
      </c>
      <c r="B1089" s="59" t="str">
        <f t="shared" si="130"/>
        <v/>
      </c>
      <c r="V1089" s="59" t="str">
        <f t="shared" si="131"/>
        <v/>
      </c>
      <c r="W1089" s="59" t="str">
        <f t="shared" si="128"/>
        <v/>
      </c>
      <c r="X1089" s="59" t="str">
        <f t="shared" si="132"/>
        <v/>
      </c>
      <c r="AC1089" s="50">
        <f t="shared" si="133"/>
        <v>0</v>
      </c>
      <c r="AD1089" s="43">
        <f t="shared" si="134"/>
        <v>0</v>
      </c>
      <c r="AE1089" s="50">
        <f t="shared" si="135"/>
        <v>0</v>
      </c>
    </row>
    <row r="1090" spans="1:31">
      <c r="A1090" s="59" t="str">
        <f t="shared" si="129"/>
        <v/>
      </c>
      <c r="B1090" s="59" t="str">
        <f t="shared" si="130"/>
        <v/>
      </c>
      <c r="V1090" s="59" t="str">
        <f t="shared" si="131"/>
        <v/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59" t="str">
        <f t="shared" si="132"/>
        <v/>
      </c>
      <c r="AC1090" s="50">
        <f t="shared" si="133"/>
        <v>0</v>
      </c>
      <c r="AD1090" s="43">
        <f t="shared" si="134"/>
        <v>0</v>
      </c>
      <c r="AE1090" s="50">
        <f t="shared" si="135"/>
        <v>0</v>
      </c>
    </row>
    <row r="1091" spans="1:31">
      <c r="A1091" s="59" t="str">
        <f t="shared" ref="A1091:A1154" si="137">IF(G1091&amp;Q1091&lt;&gt;"",W1091&amp;Q1091,"")</f>
        <v/>
      </c>
      <c r="B1091" s="59" t="str">
        <f t="shared" ref="B1091:B1154" si="138">IF(C1091&lt;&gt;"",LEFT(C1091,9),"")</f>
        <v/>
      </c>
      <c r="V1091" s="59" t="str">
        <f t="shared" ref="V1091:V1154" si="139">W1091&amp;H1091</f>
        <v/>
      </c>
      <c r="W1091" s="59" t="str">
        <f t="shared" si="136"/>
        <v/>
      </c>
      <c r="X1091" s="59" t="str">
        <f t="shared" ref="X1091:X1154" si="140">IF(A1091&lt;&gt;"",IFERROR(IF(FIND(" ",G1091)&gt;=1,MID(G1091,FIND(" ",G1091)+1,LEN(G1091)),""),""),"")</f>
        <v/>
      </c>
      <c r="AC1091" s="50">
        <f t="shared" ref="AC1091:AC1154" si="141">IFERROR(VALUE(MID($C1091,1,2)),0)</f>
        <v>0</v>
      </c>
      <c r="AD1091" s="43">
        <f t="shared" ref="AD1091:AD1154" si="142">IFERROR(VALUE(MID($C1091,4,3)),0)</f>
        <v>0</v>
      </c>
      <c r="AE1091" s="50">
        <f t="shared" ref="AE1091:AE1154" si="143">VALUE(RIGHT("00"&amp;AC1091,2)&amp;RIGHT("000"&amp;AD1091,3))</f>
        <v>0</v>
      </c>
    </row>
    <row r="1092" spans="1:31">
      <c r="A1092" s="59" t="str">
        <f t="shared" si="137"/>
        <v/>
      </c>
      <c r="B1092" s="59" t="str">
        <f t="shared" si="138"/>
        <v/>
      </c>
      <c r="V1092" s="59" t="str">
        <f t="shared" si="139"/>
        <v/>
      </c>
      <c r="W1092" s="59" t="str">
        <f t="shared" si="136"/>
        <v/>
      </c>
      <c r="X1092" s="59" t="str">
        <f t="shared" si="140"/>
        <v/>
      </c>
      <c r="AC1092" s="50">
        <f t="shared" si="141"/>
        <v>0</v>
      </c>
      <c r="AD1092" s="43">
        <f t="shared" si="142"/>
        <v>0</v>
      </c>
      <c r="AE1092" s="50">
        <f t="shared" si="143"/>
        <v>0</v>
      </c>
    </row>
    <row r="1093" spans="1:31">
      <c r="A1093" s="59" t="str">
        <f t="shared" si="137"/>
        <v/>
      </c>
      <c r="B1093" s="59" t="str">
        <f t="shared" si="138"/>
        <v/>
      </c>
      <c r="V1093" s="59" t="str">
        <f t="shared" si="139"/>
        <v/>
      </c>
      <c r="W1093" s="59" t="str">
        <f t="shared" si="136"/>
        <v/>
      </c>
      <c r="X1093" s="59" t="str">
        <f t="shared" si="140"/>
        <v/>
      </c>
      <c r="AC1093" s="50">
        <f t="shared" si="141"/>
        <v>0</v>
      </c>
      <c r="AD1093" s="43">
        <f t="shared" si="142"/>
        <v>0</v>
      </c>
      <c r="AE1093" s="50">
        <f t="shared" si="143"/>
        <v>0</v>
      </c>
    </row>
    <row r="1094" spans="1:31">
      <c r="A1094" s="59" t="str">
        <f t="shared" si="137"/>
        <v/>
      </c>
      <c r="B1094" s="59" t="str">
        <f t="shared" si="138"/>
        <v/>
      </c>
      <c r="V1094" s="59" t="str">
        <f t="shared" si="139"/>
        <v/>
      </c>
      <c r="W1094" s="59" t="str">
        <f t="shared" si="136"/>
        <v/>
      </c>
      <c r="X1094" s="59" t="str">
        <f t="shared" si="140"/>
        <v/>
      </c>
      <c r="AC1094" s="50">
        <f t="shared" si="141"/>
        <v>0</v>
      </c>
      <c r="AD1094" s="43">
        <f t="shared" si="142"/>
        <v>0</v>
      </c>
      <c r="AE1094" s="50">
        <f t="shared" si="143"/>
        <v>0</v>
      </c>
    </row>
    <row r="1095" spans="1:31">
      <c r="A1095" s="59" t="str">
        <f t="shared" si="137"/>
        <v/>
      </c>
      <c r="B1095" s="59" t="str">
        <f t="shared" si="138"/>
        <v/>
      </c>
      <c r="V1095" s="59" t="str">
        <f t="shared" si="139"/>
        <v/>
      </c>
      <c r="W1095" s="59" t="str">
        <f t="shared" si="136"/>
        <v/>
      </c>
      <c r="X1095" s="59" t="str">
        <f t="shared" si="140"/>
        <v/>
      </c>
      <c r="AC1095" s="50">
        <f t="shared" si="141"/>
        <v>0</v>
      </c>
      <c r="AD1095" s="43">
        <f t="shared" si="142"/>
        <v>0</v>
      </c>
      <c r="AE1095" s="50">
        <f t="shared" si="143"/>
        <v>0</v>
      </c>
    </row>
    <row r="1096" spans="1:31">
      <c r="A1096" s="59" t="str">
        <f t="shared" si="137"/>
        <v/>
      </c>
      <c r="B1096" s="59" t="str">
        <f t="shared" si="138"/>
        <v/>
      </c>
      <c r="V1096" s="59" t="str">
        <f t="shared" si="139"/>
        <v/>
      </c>
      <c r="W1096" s="59" t="str">
        <f t="shared" si="136"/>
        <v/>
      </c>
      <c r="X1096" s="59" t="str">
        <f t="shared" si="140"/>
        <v/>
      </c>
      <c r="AC1096" s="50">
        <f t="shared" si="141"/>
        <v>0</v>
      </c>
      <c r="AD1096" s="43">
        <f t="shared" si="142"/>
        <v>0</v>
      </c>
      <c r="AE1096" s="50">
        <f t="shared" si="143"/>
        <v>0</v>
      </c>
    </row>
    <row r="1097" spans="1:31">
      <c r="A1097" s="59" t="str">
        <f t="shared" si="137"/>
        <v/>
      </c>
      <c r="B1097" s="59" t="str">
        <f t="shared" si="138"/>
        <v/>
      </c>
      <c r="V1097" s="59" t="str">
        <f t="shared" si="139"/>
        <v/>
      </c>
      <c r="W1097" s="59" t="str">
        <f t="shared" si="136"/>
        <v/>
      </c>
      <c r="X1097" s="59" t="str">
        <f t="shared" si="140"/>
        <v/>
      </c>
      <c r="AC1097" s="50">
        <f t="shared" si="141"/>
        <v>0</v>
      </c>
      <c r="AD1097" s="43">
        <f t="shared" si="142"/>
        <v>0</v>
      </c>
      <c r="AE1097" s="50">
        <f t="shared" si="143"/>
        <v>0</v>
      </c>
    </row>
    <row r="1098" spans="1:31">
      <c r="A1098" s="59" t="str">
        <f t="shared" si="137"/>
        <v/>
      </c>
      <c r="B1098" s="59" t="str">
        <f t="shared" si="138"/>
        <v/>
      </c>
      <c r="V1098" s="59" t="str">
        <f t="shared" si="139"/>
        <v/>
      </c>
      <c r="W1098" s="59" t="str">
        <f t="shared" si="136"/>
        <v/>
      </c>
      <c r="X1098" s="59" t="str">
        <f t="shared" si="140"/>
        <v/>
      </c>
      <c r="AC1098" s="50">
        <f t="shared" si="141"/>
        <v>0</v>
      </c>
      <c r="AD1098" s="43">
        <f t="shared" si="142"/>
        <v>0</v>
      </c>
      <c r="AE1098" s="50">
        <f t="shared" si="143"/>
        <v>0</v>
      </c>
    </row>
    <row r="1099" spans="1:31">
      <c r="A1099" s="59" t="str">
        <f t="shared" si="137"/>
        <v/>
      </c>
      <c r="B1099" s="59" t="str">
        <f t="shared" si="138"/>
        <v/>
      </c>
      <c r="V1099" s="59" t="str">
        <f t="shared" si="139"/>
        <v/>
      </c>
      <c r="W1099" s="59" t="str">
        <f t="shared" si="136"/>
        <v/>
      </c>
      <c r="X1099" s="59" t="str">
        <f t="shared" si="140"/>
        <v/>
      </c>
      <c r="AC1099" s="50">
        <f t="shared" si="141"/>
        <v>0</v>
      </c>
      <c r="AD1099" s="43">
        <f t="shared" si="142"/>
        <v>0</v>
      </c>
      <c r="AE1099" s="50">
        <f t="shared" si="143"/>
        <v>0</v>
      </c>
    </row>
    <row r="1100" spans="1:31">
      <c r="A1100" s="59" t="str">
        <f t="shared" si="137"/>
        <v/>
      </c>
      <c r="B1100" s="59" t="str">
        <f t="shared" si="138"/>
        <v/>
      </c>
      <c r="V1100" s="59" t="str">
        <f t="shared" si="139"/>
        <v/>
      </c>
      <c r="W1100" s="59" t="str">
        <f t="shared" si="136"/>
        <v/>
      </c>
      <c r="X1100" s="59" t="str">
        <f t="shared" si="140"/>
        <v/>
      </c>
      <c r="AC1100" s="50">
        <f t="shared" si="141"/>
        <v>0</v>
      </c>
      <c r="AD1100" s="43">
        <f t="shared" si="142"/>
        <v>0</v>
      </c>
      <c r="AE1100" s="50">
        <f t="shared" si="143"/>
        <v>0</v>
      </c>
    </row>
    <row r="1101" spans="1:31">
      <c r="A1101" s="59" t="str">
        <f t="shared" si="137"/>
        <v/>
      </c>
      <c r="B1101" s="59" t="str">
        <f t="shared" si="138"/>
        <v/>
      </c>
      <c r="V1101" s="59" t="str">
        <f t="shared" si="139"/>
        <v/>
      </c>
      <c r="W1101" s="59" t="str">
        <f t="shared" si="136"/>
        <v/>
      </c>
      <c r="X1101" s="59" t="str">
        <f t="shared" si="140"/>
        <v/>
      </c>
      <c r="AC1101" s="50">
        <f t="shared" si="141"/>
        <v>0</v>
      </c>
      <c r="AD1101" s="43">
        <f t="shared" si="142"/>
        <v>0</v>
      </c>
      <c r="AE1101" s="50">
        <f t="shared" si="143"/>
        <v>0</v>
      </c>
    </row>
    <row r="1102" spans="1:31">
      <c r="A1102" s="59" t="str">
        <f t="shared" si="137"/>
        <v/>
      </c>
      <c r="B1102" s="59" t="str">
        <f t="shared" si="138"/>
        <v/>
      </c>
      <c r="V1102" s="59" t="str">
        <f t="shared" si="139"/>
        <v/>
      </c>
      <c r="W1102" s="59" t="str">
        <f t="shared" si="136"/>
        <v/>
      </c>
      <c r="X1102" s="59" t="str">
        <f t="shared" si="140"/>
        <v/>
      </c>
      <c r="AC1102" s="50">
        <f t="shared" si="141"/>
        <v>0</v>
      </c>
      <c r="AD1102" s="43">
        <f t="shared" si="142"/>
        <v>0</v>
      </c>
      <c r="AE1102" s="50">
        <f t="shared" si="143"/>
        <v>0</v>
      </c>
    </row>
    <row r="1103" spans="1:31">
      <c r="A1103" s="59" t="str">
        <f t="shared" si="137"/>
        <v/>
      </c>
      <c r="B1103" s="59" t="str">
        <f t="shared" si="138"/>
        <v/>
      </c>
      <c r="V1103" s="59" t="str">
        <f t="shared" si="139"/>
        <v/>
      </c>
      <c r="W1103" s="59" t="str">
        <f t="shared" si="136"/>
        <v/>
      </c>
      <c r="X1103" s="59" t="str">
        <f t="shared" si="140"/>
        <v/>
      </c>
      <c r="AC1103" s="50">
        <f t="shared" si="141"/>
        <v>0</v>
      </c>
      <c r="AD1103" s="43">
        <f t="shared" si="142"/>
        <v>0</v>
      </c>
      <c r="AE1103" s="50">
        <f t="shared" si="143"/>
        <v>0</v>
      </c>
    </row>
    <row r="1104" spans="1:31">
      <c r="A1104" s="59" t="str">
        <f t="shared" si="137"/>
        <v/>
      </c>
      <c r="B1104" s="59" t="str">
        <f t="shared" si="138"/>
        <v/>
      </c>
      <c r="V1104" s="59" t="str">
        <f t="shared" si="139"/>
        <v/>
      </c>
      <c r="W1104" s="59" t="str">
        <f t="shared" si="136"/>
        <v/>
      </c>
      <c r="X1104" s="59" t="str">
        <f t="shared" si="140"/>
        <v/>
      </c>
      <c r="AC1104" s="50">
        <f t="shared" si="141"/>
        <v>0</v>
      </c>
      <c r="AD1104" s="43">
        <f t="shared" si="142"/>
        <v>0</v>
      </c>
      <c r="AE1104" s="50">
        <f t="shared" si="143"/>
        <v>0</v>
      </c>
    </row>
    <row r="1105" spans="1:31">
      <c r="A1105" s="59" t="str">
        <f t="shared" si="137"/>
        <v/>
      </c>
      <c r="B1105" s="59" t="str">
        <f t="shared" si="138"/>
        <v/>
      </c>
      <c r="V1105" s="59" t="str">
        <f t="shared" si="139"/>
        <v/>
      </c>
      <c r="W1105" s="59" t="str">
        <f t="shared" si="136"/>
        <v/>
      </c>
      <c r="X1105" s="59" t="str">
        <f t="shared" si="140"/>
        <v/>
      </c>
      <c r="AC1105" s="50">
        <f t="shared" si="141"/>
        <v>0</v>
      </c>
      <c r="AD1105" s="43">
        <f t="shared" si="142"/>
        <v>0</v>
      </c>
      <c r="AE1105" s="50">
        <f t="shared" si="143"/>
        <v>0</v>
      </c>
    </row>
    <row r="1106" spans="1:31">
      <c r="A1106" s="59" t="str">
        <f t="shared" si="137"/>
        <v/>
      </c>
      <c r="B1106" s="59" t="str">
        <f t="shared" si="138"/>
        <v/>
      </c>
      <c r="V1106" s="59" t="str">
        <f t="shared" si="139"/>
        <v/>
      </c>
      <c r="W1106" s="59" t="str">
        <f t="shared" si="136"/>
        <v/>
      </c>
      <c r="X1106" s="59" t="str">
        <f t="shared" si="140"/>
        <v/>
      </c>
      <c r="AC1106" s="50">
        <f t="shared" si="141"/>
        <v>0</v>
      </c>
      <c r="AD1106" s="43">
        <f t="shared" si="142"/>
        <v>0</v>
      </c>
      <c r="AE1106" s="50">
        <f t="shared" si="143"/>
        <v>0</v>
      </c>
    </row>
    <row r="1107" spans="1:31">
      <c r="A1107" s="59" t="str">
        <f t="shared" si="137"/>
        <v/>
      </c>
      <c r="B1107" s="59" t="str">
        <f t="shared" si="138"/>
        <v/>
      </c>
      <c r="V1107" s="59" t="str">
        <f t="shared" si="139"/>
        <v/>
      </c>
      <c r="W1107" s="59" t="str">
        <f t="shared" si="136"/>
        <v/>
      </c>
      <c r="X1107" s="59" t="str">
        <f t="shared" si="140"/>
        <v/>
      </c>
      <c r="AC1107" s="50">
        <f t="shared" si="141"/>
        <v>0</v>
      </c>
      <c r="AD1107" s="43">
        <f t="shared" si="142"/>
        <v>0</v>
      </c>
      <c r="AE1107" s="50">
        <f t="shared" si="143"/>
        <v>0</v>
      </c>
    </row>
    <row r="1108" spans="1:31">
      <c r="A1108" s="59" t="str">
        <f t="shared" si="137"/>
        <v/>
      </c>
      <c r="B1108" s="59" t="str">
        <f t="shared" si="138"/>
        <v/>
      </c>
      <c r="V1108" s="59" t="str">
        <f t="shared" si="139"/>
        <v/>
      </c>
      <c r="W1108" s="59" t="str">
        <f t="shared" si="136"/>
        <v/>
      </c>
      <c r="X1108" s="59" t="str">
        <f t="shared" si="140"/>
        <v/>
      </c>
      <c r="AC1108" s="50">
        <f t="shared" si="141"/>
        <v>0</v>
      </c>
      <c r="AD1108" s="43">
        <f t="shared" si="142"/>
        <v>0</v>
      </c>
      <c r="AE1108" s="50">
        <f t="shared" si="143"/>
        <v>0</v>
      </c>
    </row>
    <row r="1109" spans="1:31">
      <c r="A1109" s="59" t="str">
        <f t="shared" si="137"/>
        <v/>
      </c>
      <c r="B1109" s="59" t="str">
        <f t="shared" si="138"/>
        <v/>
      </c>
      <c r="V1109" s="59" t="str">
        <f t="shared" si="139"/>
        <v/>
      </c>
      <c r="W1109" s="59" t="str">
        <f t="shared" si="136"/>
        <v/>
      </c>
      <c r="X1109" s="59" t="str">
        <f t="shared" si="140"/>
        <v/>
      </c>
      <c r="AC1109" s="50">
        <f t="shared" si="141"/>
        <v>0</v>
      </c>
      <c r="AD1109" s="43">
        <f t="shared" si="142"/>
        <v>0</v>
      </c>
      <c r="AE1109" s="50">
        <f t="shared" si="143"/>
        <v>0</v>
      </c>
    </row>
    <row r="1110" spans="1:31">
      <c r="A1110" s="59" t="str">
        <f t="shared" si="137"/>
        <v/>
      </c>
      <c r="B1110" s="59" t="str">
        <f t="shared" si="138"/>
        <v/>
      </c>
      <c r="V1110" s="59" t="str">
        <f t="shared" si="139"/>
        <v/>
      </c>
      <c r="W1110" s="59" t="str">
        <f t="shared" si="136"/>
        <v/>
      </c>
      <c r="X1110" s="59" t="str">
        <f t="shared" si="140"/>
        <v/>
      </c>
      <c r="AC1110" s="50">
        <f t="shared" si="141"/>
        <v>0</v>
      </c>
      <c r="AD1110" s="43">
        <f t="shared" si="142"/>
        <v>0</v>
      </c>
      <c r="AE1110" s="50">
        <f t="shared" si="143"/>
        <v>0</v>
      </c>
    </row>
    <row r="1111" spans="1:31">
      <c r="A1111" s="59" t="str">
        <f t="shared" si="137"/>
        <v/>
      </c>
      <c r="B1111" s="59" t="str">
        <f t="shared" si="138"/>
        <v/>
      </c>
      <c r="V1111" s="59" t="str">
        <f t="shared" si="139"/>
        <v/>
      </c>
      <c r="W1111" s="59" t="str">
        <f t="shared" si="136"/>
        <v/>
      </c>
      <c r="X1111" s="59" t="str">
        <f t="shared" si="140"/>
        <v/>
      </c>
      <c r="AC1111" s="50">
        <f t="shared" si="141"/>
        <v>0</v>
      </c>
      <c r="AD1111" s="43">
        <f t="shared" si="142"/>
        <v>0</v>
      </c>
      <c r="AE1111" s="50">
        <f t="shared" si="143"/>
        <v>0</v>
      </c>
    </row>
    <row r="1112" spans="1:31">
      <c r="A1112" s="59" t="str">
        <f t="shared" si="137"/>
        <v/>
      </c>
      <c r="B1112" s="59" t="str">
        <f t="shared" si="138"/>
        <v/>
      </c>
      <c r="V1112" s="59" t="str">
        <f t="shared" si="139"/>
        <v/>
      </c>
      <c r="W1112" s="59" t="str">
        <f t="shared" si="136"/>
        <v/>
      </c>
      <c r="X1112" s="59" t="str">
        <f t="shared" si="140"/>
        <v/>
      </c>
      <c r="AC1112" s="50">
        <f t="shared" si="141"/>
        <v>0</v>
      </c>
      <c r="AD1112" s="43">
        <f t="shared" si="142"/>
        <v>0</v>
      </c>
      <c r="AE1112" s="50">
        <f t="shared" si="143"/>
        <v>0</v>
      </c>
    </row>
    <row r="1113" spans="1:31">
      <c r="A1113" s="59" t="str">
        <f t="shared" si="137"/>
        <v/>
      </c>
      <c r="B1113" s="59" t="str">
        <f t="shared" si="138"/>
        <v/>
      </c>
      <c r="V1113" s="59" t="str">
        <f t="shared" si="139"/>
        <v/>
      </c>
      <c r="W1113" s="59" t="str">
        <f t="shared" si="136"/>
        <v/>
      </c>
      <c r="X1113" s="59" t="str">
        <f t="shared" si="140"/>
        <v/>
      </c>
      <c r="AC1113" s="50">
        <f t="shared" si="141"/>
        <v>0</v>
      </c>
      <c r="AD1113" s="43">
        <f t="shared" si="142"/>
        <v>0</v>
      </c>
      <c r="AE1113" s="50">
        <f t="shared" si="143"/>
        <v>0</v>
      </c>
    </row>
    <row r="1114" spans="1:31">
      <c r="A1114" s="59" t="str">
        <f t="shared" si="137"/>
        <v/>
      </c>
      <c r="B1114" s="59" t="str">
        <f t="shared" si="138"/>
        <v/>
      </c>
      <c r="V1114" s="59" t="str">
        <f t="shared" si="139"/>
        <v/>
      </c>
      <c r="W1114" s="59" t="str">
        <f t="shared" si="136"/>
        <v/>
      </c>
      <c r="X1114" s="59" t="str">
        <f t="shared" si="140"/>
        <v/>
      </c>
      <c r="AC1114" s="50">
        <f t="shared" si="141"/>
        <v>0</v>
      </c>
      <c r="AD1114" s="43">
        <f t="shared" si="142"/>
        <v>0</v>
      </c>
      <c r="AE1114" s="50">
        <f t="shared" si="143"/>
        <v>0</v>
      </c>
    </row>
    <row r="1115" spans="1:31">
      <c r="A1115" s="59" t="str">
        <f t="shared" si="137"/>
        <v/>
      </c>
      <c r="B1115" s="59" t="str">
        <f t="shared" si="138"/>
        <v/>
      </c>
      <c r="V1115" s="59" t="str">
        <f t="shared" si="139"/>
        <v/>
      </c>
      <c r="W1115" s="59" t="str">
        <f t="shared" si="136"/>
        <v/>
      </c>
      <c r="X1115" s="59" t="str">
        <f t="shared" si="140"/>
        <v/>
      </c>
      <c r="AC1115" s="50">
        <f t="shared" si="141"/>
        <v>0</v>
      </c>
      <c r="AD1115" s="43">
        <f t="shared" si="142"/>
        <v>0</v>
      </c>
      <c r="AE1115" s="50">
        <f t="shared" si="143"/>
        <v>0</v>
      </c>
    </row>
    <row r="1116" spans="1:31">
      <c r="A1116" s="59" t="str">
        <f t="shared" si="137"/>
        <v/>
      </c>
      <c r="B1116" s="59" t="str">
        <f t="shared" si="138"/>
        <v/>
      </c>
      <c r="V1116" s="59" t="str">
        <f t="shared" si="139"/>
        <v/>
      </c>
      <c r="W1116" s="59" t="str">
        <f t="shared" si="136"/>
        <v/>
      </c>
      <c r="X1116" s="59" t="str">
        <f t="shared" si="140"/>
        <v/>
      </c>
      <c r="AC1116" s="50">
        <f t="shared" si="141"/>
        <v>0</v>
      </c>
      <c r="AD1116" s="43">
        <f t="shared" si="142"/>
        <v>0</v>
      </c>
      <c r="AE1116" s="50">
        <f t="shared" si="143"/>
        <v>0</v>
      </c>
    </row>
    <row r="1117" spans="1:31">
      <c r="A1117" s="59" t="str">
        <f t="shared" si="137"/>
        <v/>
      </c>
      <c r="B1117" s="59" t="str">
        <f t="shared" si="138"/>
        <v/>
      </c>
      <c r="V1117" s="59" t="str">
        <f t="shared" si="139"/>
        <v/>
      </c>
      <c r="W1117" s="59" t="str">
        <f t="shared" si="136"/>
        <v/>
      </c>
      <c r="X1117" s="59" t="str">
        <f t="shared" si="140"/>
        <v/>
      </c>
      <c r="AC1117" s="50">
        <f t="shared" si="141"/>
        <v>0</v>
      </c>
      <c r="AD1117" s="43">
        <f t="shared" si="142"/>
        <v>0</v>
      </c>
      <c r="AE1117" s="50">
        <f t="shared" si="143"/>
        <v>0</v>
      </c>
    </row>
    <row r="1118" spans="1:31">
      <c r="A1118" s="59" t="str">
        <f t="shared" si="137"/>
        <v/>
      </c>
      <c r="B1118" s="59" t="str">
        <f t="shared" si="138"/>
        <v/>
      </c>
      <c r="V1118" s="59" t="str">
        <f t="shared" si="139"/>
        <v/>
      </c>
      <c r="W1118" s="59" t="str">
        <f t="shared" si="136"/>
        <v/>
      </c>
      <c r="X1118" s="59" t="str">
        <f t="shared" si="140"/>
        <v/>
      </c>
      <c r="AC1118" s="50">
        <f t="shared" si="141"/>
        <v>0</v>
      </c>
      <c r="AD1118" s="43">
        <f t="shared" si="142"/>
        <v>0</v>
      </c>
      <c r="AE1118" s="50">
        <f t="shared" si="143"/>
        <v>0</v>
      </c>
    </row>
    <row r="1119" spans="1:31">
      <c r="A1119" s="59" t="str">
        <f t="shared" si="137"/>
        <v/>
      </c>
      <c r="B1119" s="59" t="str">
        <f t="shared" si="138"/>
        <v/>
      </c>
      <c r="V1119" s="59" t="str">
        <f t="shared" si="139"/>
        <v/>
      </c>
      <c r="W1119" s="59" t="str">
        <f t="shared" si="136"/>
        <v/>
      </c>
      <c r="X1119" s="59" t="str">
        <f t="shared" si="140"/>
        <v/>
      </c>
      <c r="AC1119" s="50">
        <f t="shared" si="141"/>
        <v>0</v>
      </c>
      <c r="AD1119" s="43">
        <f t="shared" si="142"/>
        <v>0</v>
      </c>
      <c r="AE1119" s="50">
        <f t="shared" si="143"/>
        <v>0</v>
      </c>
    </row>
    <row r="1120" spans="1:31">
      <c r="A1120" s="59" t="str">
        <f t="shared" si="137"/>
        <v/>
      </c>
      <c r="B1120" s="59" t="str">
        <f t="shared" si="138"/>
        <v/>
      </c>
      <c r="V1120" s="59" t="str">
        <f t="shared" si="139"/>
        <v/>
      </c>
      <c r="W1120" s="59" t="str">
        <f t="shared" si="136"/>
        <v/>
      </c>
      <c r="X1120" s="59" t="str">
        <f t="shared" si="140"/>
        <v/>
      </c>
      <c r="AC1120" s="50">
        <f t="shared" si="141"/>
        <v>0</v>
      </c>
      <c r="AD1120" s="43">
        <f t="shared" si="142"/>
        <v>0</v>
      </c>
      <c r="AE1120" s="50">
        <f t="shared" si="143"/>
        <v>0</v>
      </c>
    </row>
    <row r="1121" spans="1:31">
      <c r="A1121" s="59" t="str">
        <f t="shared" si="137"/>
        <v/>
      </c>
      <c r="B1121" s="59" t="str">
        <f t="shared" si="138"/>
        <v/>
      </c>
      <c r="V1121" s="59" t="str">
        <f t="shared" si="139"/>
        <v/>
      </c>
      <c r="W1121" s="59" t="str">
        <f t="shared" si="136"/>
        <v/>
      </c>
      <c r="X1121" s="59" t="str">
        <f t="shared" si="140"/>
        <v/>
      </c>
      <c r="AC1121" s="50">
        <f t="shared" si="141"/>
        <v>0</v>
      </c>
      <c r="AD1121" s="43">
        <f t="shared" si="142"/>
        <v>0</v>
      </c>
      <c r="AE1121" s="50">
        <f t="shared" si="143"/>
        <v>0</v>
      </c>
    </row>
    <row r="1122" spans="1:31">
      <c r="A1122" s="59" t="str">
        <f t="shared" si="137"/>
        <v/>
      </c>
      <c r="B1122" s="59" t="str">
        <f t="shared" si="138"/>
        <v/>
      </c>
      <c r="V1122" s="59" t="str">
        <f t="shared" si="139"/>
        <v/>
      </c>
      <c r="W1122" s="59" t="str">
        <f t="shared" si="136"/>
        <v/>
      </c>
      <c r="X1122" s="59" t="str">
        <f t="shared" si="140"/>
        <v/>
      </c>
      <c r="AC1122" s="50">
        <f t="shared" si="141"/>
        <v>0</v>
      </c>
      <c r="AD1122" s="43">
        <f t="shared" si="142"/>
        <v>0</v>
      </c>
      <c r="AE1122" s="50">
        <f t="shared" si="143"/>
        <v>0</v>
      </c>
    </row>
    <row r="1123" spans="1:31">
      <c r="A1123" s="59" t="str">
        <f t="shared" si="137"/>
        <v/>
      </c>
      <c r="B1123" s="59" t="str">
        <f t="shared" si="138"/>
        <v/>
      </c>
      <c r="V1123" s="59" t="str">
        <f t="shared" si="139"/>
        <v/>
      </c>
      <c r="W1123" s="59" t="str">
        <f t="shared" si="136"/>
        <v/>
      </c>
      <c r="X1123" s="59" t="str">
        <f t="shared" si="140"/>
        <v/>
      </c>
      <c r="AC1123" s="50">
        <f t="shared" si="141"/>
        <v>0</v>
      </c>
      <c r="AD1123" s="43">
        <f t="shared" si="142"/>
        <v>0</v>
      </c>
      <c r="AE1123" s="50">
        <f t="shared" si="143"/>
        <v>0</v>
      </c>
    </row>
    <row r="1124" spans="1:31">
      <c r="A1124" s="59" t="str">
        <f t="shared" si="137"/>
        <v/>
      </c>
      <c r="B1124" s="59" t="str">
        <f t="shared" si="138"/>
        <v/>
      </c>
      <c r="V1124" s="59" t="str">
        <f t="shared" si="139"/>
        <v/>
      </c>
      <c r="W1124" s="59" t="str">
        <f t="shared" si="136"/>
        <v/>
      </c>
      <c r="X1124" s="59" t="str">
        <f t="shared" si="140"/>
        <v/>
      </c>
      <c r="AC1124" s="50">
        <f t="shared" si="141"/>
        <v>0</v>
      </c>
      <c r="AD1124" s="43">
        <f t="shared" si="142"/>
        <v>0</v>
      </c>
      <c r="AE1124" s="50">
        <f t="shared" si="143"/>
        <v>0</v>
      </c>
    </row>
    <row r="1125" spans="1:31">
      <c r="A1125" s="59" t="str">
        <f t="shared" si="137"/>
        <v/>
      </c>
      <c r="B1125" s="59" t="str">
        <f t="shared" si="138"/>
        <v/>
      </c>
      <c r="V1125" s="59" t="str">
        <f t="shared" si="139"/>
        <v/>
      </c>
      <c r="W1125" s="59" t="str">
        <f t="shared" si="136"/>
        <v/>
      </c>
      <c r="X1125" s="59" t="str">
        <f t="shared" si="140"/>
        <v/>
      </c>
      <c r="AC1125" s="50">
        <f t="shared" si="141"/>
        <v>0</v>
      </c>
      <c r="AD1125" s="43">
        <f t="shared" si="142"/>
        <v>0</v>
      </c>
      <c r="AE1125" s="50">
        <f t="shared" si="143"/>
        <v>0</v>
      </c>
    </row>
    <row r="1126" spans="1:31">
      <c r="A1126" s="59" t="str">
        <f t="shared" si="137"/>
        <v/>
      </c>
      <c r="B1126" s="59" t="str">
        <f t="shared" si="138"/>
        <v/>
      </c>
      <c r="V1126" s="59" t="str">
        <f t="shared" si="139"/>
        <v/>
      </c>
      <c r="W1126" s="59" t="str">
        <f t="shared" si="136"/>
        <v/>
      </c>
      <c r="X1126" s="59" t="str">
        <f t="shared" si="140"/>
        <v/>
      </c>
      <c r="AC1126" s="50">
        <f t="shared" si="141"/>
        <v>0</v>
      </c>
      <c r="AD1126" s="43">
        <f t="shared" si="142"/>
        <v>0</v>
      </c>
      <c r="AE1126" s="50">
        <f t="shared" si="143"/>
        <v>0</v>
      </c>
    </row>
    <row r="1127" spans="1:31">
      <c r="A1127" s="59" t="str">
        <f t="shared" si="137"/>
        <v/>
      </c>
      <c r="B1127" s="59" t="str">
        <f t="shared" si="138"/>
        <v/>
      </c>
      <c r="V1127" s="59" t="str">
        <f t="shared" si="139"/>
        <v/>
      </c>
      <c r="W1127" s="59" t="str">
        <f t="shared" si="136"/>
        <v/>
      </c>
      <c r="X1127" s="59" t="str">
        <f t="shared" si="140"/>
        <v/>
      </c>
      <c r="AC1127" s="50">
        <f t="shared" si="141"/>
        <v>0</v>
      </c>
      <c r="AD1127" s="43">
        <f t="shared" si="142"/>
        <v>0</v>
      </c>
      <c r="AE1127" s="50">
        <f t="shared" si="143"/>
        <v>0</v>
      </c>
    </row>
    <row r="1128" spans="1:31">
      <c r="A1128" s="59" t="str">
        <f t="shared" si="137"/>
        <v/>
      </c>
      <c r="B1128" s="59" t="str">
        <f t="shared" si="138"/>
        <v/>
      </c>
      <c r="V1128" s="59" t="str">
        <f t="shared" si="139"/>
        <v/>
      </c>
      <c r="W1128" s="59" t="str">
        <f t="shared" si="136"/>
        <v/>
      </c>
      <c r="X1128" s="59" t="str">
        <f t="shared" si="140"/>
        <v/>
      </c>
      <c r="AC1128" s="50">
        <f t="shared" si="141"/>
        <v>0</v>
      </c>
      <c r="AD1128" s="43">
        <f t="shared" si="142"/>
        <v>0</v>
      </c>
      <c r="AE1128" s="50">
        <f t="shared" si="143"/>
        <v>0</v>
      </c>
    </row>
    <row r="1129" spans="1:31">
      <c r="A1129" s="59" t="str">
        <f t="shared" si="137"/>
        <v/>
      </c>
      <c r="B1129" s="59" t="str">
        <f t="shared" si="138"/>
        <v/>
      </c>
      <c r="V1129" s="59" t="str">
        <f t="shared" si="139"/>
        <v/>
      </c>
      <c r="W1129" s="59" t="str">
        <f t="shared" si="136"/>
        <v/>
      </c>
      <c r="X1129" s="59" t="str">
        <f t="shared" si="140"/>
        <v/>
      </c>
      <c r="AC1129" s="50">
        <f t="shared" si="141"/>
        <v>0</v>
      </c>
      <c r="AD1129" s="43">
        <f t="shared" si="142"/>
        <v>0</v>
      </c>
      <c r="AE1129" s="50">
        <f t="shared" si="143"/>
        <v>0</v>
      </c>
    </row>
    <row r="1130" spans="1:31">
      <c r="A1130" s="59" t="str">
        <f t="shared" si="137"/>
        <v/>
      </c>
      <c r="B1130" s="59" t="str">
        <f t="shared" si="138"/>
        <v/>
      </c>
      <c r="V1130" s="59" t="str">
        <f t="shared" si="139"/>
        <v/>
      </c>
      <c r="W1130" s="59" t="str">
        <f t="shared" si="136"/>
        <v/>
      </c>
      <c r="X1130" s="59" t="str">
        <f t="shared" si="140"/>
        <v/>
      </c>
      <c r="AC1130" s="50">
        <f t="shared" si="141"/>
        <v>0</v>
      </c>
      <c r="AD1130" s="43">
        <f t="shared" si="142"/>
        <v>0</v>
      </c>
      <c r="AE1130" s="50">
        <f t="shared" si="143"/>
        <v>0</v>
      </c>
    </row>
    <row r="1131" spans="1:31">
      <c r="A1131" s="59" t="str">
        <f t="shared" si="137"/>
        <v/>
      </c>
      <c r="B1131" s="59" t="str">
        <f t="shared" si="138"/>
        <v/>
      </c>
      <c r="V1131" s="59" t="str">
        <f t="shared" si="139"/>
        <v/>
      </c>
      <c r="W1131" s="59" t="str">
        <f t="shared" si="136"/>
        <v/>
      </c>
      <c r="X1131" s="59" t="str">
        <f t="shared" si="140"/>
        <v/>
      </c>
      <c r="AC1131" s="50">
        <f t="shared" si="141"/>
        <v>0</v>
      </c>
      <c r="AD1131" s="43">
        <f t="shared" si="142"/>
        <v>0</v>
      </c>
      <c r="AE1131" s="50">
        <f t="shared" si="143"/>
        <v>0</v>
      </c>
    </row>
    <row r="1132" spans="1:31">
      <c r="A1132" s="59" t="str">
        <f t="shared" si="137"/>
        <v/>
      </c>
      <c r="B1132" s="59" t="str">
        <f t="shared" si="138"/>
        <v/>
      </c>
      <c r="V1132" s="59" t="str">
        <f t="shared" si="139"/>
        <v/>
      </c>
      <c r="W1132" s="59" t="str">
        <f t="shared" si="136"/>
        <v/>
      </c>
      <c r="X1132" s="59" t="str">
        <f t="shared" si="140"/>
        <v/>
      </c>
      <c r="AC1132" s="50">
        <f t="shared" si="141"/>
        <v>0</v>
      </c>
      <c r="AD1132" s="43">
        <f t="shared" si="142"/>
        <v>0</v>
      </c>
      <c r="AE1132" s="50">
        <f t="shared" si="143"/>
        <v>0</v>
      </c>
    </row>
    <row r="1133" spans="1:31">
      <c r="A1133" s="59" t="str">
        <f t="shared" si="137"/>
        <v/>
      </c>
      <c r="B1133" s="59" t="str">
        <f t="shared" si="138"/>
        <v/>
      </c>
      <c r="V1133" s="59" t="str">
        <f t="shared" si="139"/>
        <v/>
      </c>
      <c r="W1133" s="59" t="str">
        <f t="shared" si="136"/>
        <v/>
      </c>
      <c r="X1133" s="59" t="str">
        <f t="shared" si="140"/>
        <v/>
      </c>
      <c r="AC1133" s="50">
        <f t="shared" si="141"/>
        <v>0</v>
      </c>
      <c r="AD1133" s="43">
        <f t="shared" si="142"/>
        <v>0</v>
      </c>
      <c r="AE1133" s="50">
        <f t="shared" si="143"/>
        <v>0</v>
      </c>
    </row>
    <row r="1134" spans="1:31">
      <c r="A1134" s="59" t="str">
        <f t="shared" si="137"/>
        <v/>
      </c>
      <c r="B1134" s="59" t="str">
        <f t="shared" si="138"/>
        <v/>
      </c>
      <c r="V1134" s="59" t="str">
        <f t="shared" si="139"/>
        <v/>
      </c>
      <c r="W1134" s="59" t="str">
        <f t="shared" si="136"/>
        <v/>
      </c>
      <c r="X1134" s="59" t="str">
        <f t="shared" si="140"/>
        <v/>
      </c>
      <c r="AC1134" s="50">
        <f t="shared" si="141"/>
        <v>0</v>
      </c>
      <c r="AD1134" s="43">
        <f t="shared" si="142"/>
        <v>0</v>
      </c>
      <c r="AE1134" s="50">
        <f t="shared" si="143"/>
        <v>0</v>
      </c>
    </row>
    <row r="1135" spans="1:31">
      <c r="A1135" s="59" t="str">
        <f t="shared" si="137"/>
        <v/>
      </c>
      <c r="B1135" s="59" t="str">
        <f t="shared" si="138"/>
        <v/>
      </c>
      <c r="V1135" s="59" t="str">
        <f t="shared" si="139"/>
        <v/>
      </c>
      <c r="W1135" s="59" t="str">
        <f t="shared" si="136"/>
        <v/>
      </c>
      <c r="X1135" s="59" t="str">
        <f t="shared" si="140"/>
        <v/>
      </c>
      <c r="AC1135" s="50">
        <f t="shared" si="141"/>
        <v>0</v>
      </c>
      <c r="AD1135" s="43">
        <f t="shared" si="142"/>
        <v>0</v>
      </c>
      <c r="AE1135" s="50">
        <f t="shared" si="143"/>
        <v>0</v>
      </c>
    </row>
    <row r="1136" spans="1:31">
      <c r="A1136" s="59" t="str">
        <f t="shared" si="137"/>
        <v/>
      </c>
      <c r="B1136" s="59" t="str">
        <f t="shared" si="138"/>
        <v/>
      </c>
      <c r="V1136" s="59" t="str">
        <f t="shared" si="139"/>
        <v/>
      </c>
      <c r="W1136" s="59" t="str">
        <f t="shared" si="136"/>
        <v/>
      </c>
      <c r="X1136" s="59" t="str">
        <f t="shared" si="140"/>
        <v/>
      </c>
      <c r="AC1136" s="50">
        <f t="shared" si="141"/>
        <v>0</v>
      </c>
      <c r="AD1136" s="43">
        <f t="shared" si="142"/>
        <v>0</v>
      </c>
      <c r="AE1136" s="50">
        <f t="shared" si="143"/>
        <v>0</v>
      </c>
    </row>
    <row r="1137" spans="1:31">
      <c r="A1137" s="59" t="str">
        <f t="shared" si="137"/>
        <v/>
      </c>
      <c r="B1137" s="59" t="str">
        <f t="shared" si="138"/>
        <v/>
      </c>
      <c r="V1137" s="59" t="str">
        <f t="shared" si="139"/>
        <v/>
      </c>
      <c r="W1137" s="59" t="str">
        <f t="shared" si="136"/>
        <v/>
      </c>
      <c r="X1137" s="59" t="str">
        <f t="shared" si="140"/>
        <v/>
      </c>
      <c r="AC1137" s="50">
        <f t="shared" si="141"/>
        <v>0</v>
      </c>
      <c r="AD1137" s="43">
        <f t="shared" si="142"/>
        <v>0</v>
      </c>
      <c r="AE1137" s="50">
        <f t="shared" si="143"/>
        <v>0</v>
      </c>
    </row>
    <row r="1138" spans="1:31">
      <c r="A1138" s="59" t="str">
        <f t="shared" si="137"/>
        <v/>
      </c>
      <c r="B1138" s="59" t="str">
        <f t="shared" si="138"/>
        <v/>
      </c>
      <c r="V1138" s="59" t="str">
        <f t="shared" si="139"/>
        <v/>
      </c>
      <c r="W1138" s="59" t="str">
        <f t="shared" si="136"/>
        <v/>
      </c>
      <c r="X1138" s="59" t="str">
        <f t="shared" si="140"/>
        <v/>
      </c>
      <c r="AC1138" s="50">
        <f t="shared" si="141"/>
        <v>0</v>
      </c>
      <c r="AD1138" s="43">
        <f t="shared" si="142"/>
        <v>0</v>
      </c>
      <c r="AE1138" s="50">
        <f t="shared" si="143"/>
        <v>0</v>
      </c>
    </row>
    <row r="1139" spans="1:31">
      <c r="A1139" s="59" t="str">
        <f t="shared" si="137"/>
        <v/>
      </c>
      <c r="B1139" s="59" t="str">
        <f t="shared" si="138"/>
        <v/>
      </c>
      <c r="V1139" s="59" t="str">
        <f t="shared" si="139"/>
        <v/>
      </c>
      <c r="W1139" s="59" t="str">
        <f t="shared" si="136"/>
        <v/>
      </c>
      <c r="X1139" s="59" t="str">
        <f t="shared" si="140"/>
        <v/>
      </c>
      <c r="AC1139" s="50">
        <f t="shared" si="141"/>
        <v>0</v>
      </c>
      <c r="AD1139" s="43">
        <f t="shared" si="142"/>
        <v>0</v>
      </c>
      <c r="AE1139" s="50">
        <f t="shared" si="143"/>
        <v>0</v>
      </c>
    </row>
    <row r="1140" spans="1:31">
      <c r="A1140" s="59" t="str">
        <f t="shared" si="137"/>
        <v/>
      </c>
      <c r="B1140" s="59" t="str">
        <f t="shared" si="138"/>
        <v/>
      </c>
      <c r="V1140" s="59" t="str">
        <f t="shared" si="139"/>
        <v/>
      </c>
      <c r="W1140" s="59" t="str">
        <f t="shared" si="136"/>
        <v/>
      </c>
      <c r="X1140" s="59" t="str">
        <f t="shared" si="140"/>
        <v/>
      </c>
      <c r="AC1140" s="50">
        <f t="shared" si="141"/>
        <v>0</v>
      </c>
      <c r="AD1140" s="43">
        <f t="shared" si="142"/>
        <v>0</v>
      </c>
      <c r="AE1140" s="50">
        <f t="shared" si="143"/>
        <v>0</v>
      </c>
    </row>
    <row r="1141" spans="1:31">
      <c r="A1141" s="59" t="str">
        <f t="shared" si="137"/>
        <v/>
      </c>
      <c r="B1141" s="59" t="str">
        <f t="shared" si="138"/>
        <v/>
      </c>
      <c r="V1141" s="59" t="str">
        <f t="shared" si="139"/>
        <v/>
      </c>
      <c r="W1141" s="59" t="str">
        <f t="shared" si="136"/>
        <v/>
      </c>
      <c r="X1141" s="59" t="str">
        <f t="shared" si="140"/>
        <v/>
      </c>
      <c r="AC1141" s="50">
        <f t="shared" si="141"/>
        <v>0</v>
      </c>
      <c r="AD1141" s="43">
        <f t="shared" si="142"/>
        <v>0</v>
      </c>
      <c r="AE1141" s="50">
        <f t="shared" si="143"/>
        <v>0</v>
      </c>
    </row>
    <row r="1142" spans="1:31">
      <c r="A1142" s="59" t="str">
        <f t="shared" si="137"/>
        <v/>
      </c>
      <c r="B1142" s="59" t="str">
        <f t="shared" si="138"/>
        <v/>
      </c>
      <c r="V1142" s="59" t="str">
        <f t="shared" si="139"/>
        <v/>
      </c>
      <c r="W1142" s="59" t="str">
        <f t="shared" si="136"/>
        <v/>
      </c>
      <c r="X1142" s="59" t="str">
        <f t="shared" si="140"/>
        <v/>
      </c>
      <c r="AC1142" s="50">
        <f t="shared" si="141"/>
        <v>0</v>
      </c>
      <c r="AD1142" s="43">
        <f t="shared" si="142"/>
        <v>0</v>
      </c>
      <c r="AE1142" s="50">
        <f t="shared" si="143"/>
        <v>0</v>
      </c>
    </row>
    <row r="1143" spans="1:31">
      <c r="A1143" s="59" t="str">
        <f t="shared" si="137"/>
        <v/>
      </c>
      <c r="B1143" s="59" t="str">
        <f t="shared" si="138"/>
        <v/>
      </c>
      <c r="V1143" s="59" t="str">
        <f t="shared" si="139"/>
        <v/>
      </c>
      <c r="W1143" s="59" t="str">
        <f t="shared" si="136"/>
        <v/>
      </c>
      <c r="X1143" s="59" t="str">
        <f t="shared" si="140"/>
        <v/>
      </c>
      <c r="AC1143" s="50">
        <f t="shared" si="141"/>
        <v>0</v>
      </c>
      <c r="AD1143" s="43">
        <f t="shared" si="142"/>
        <v>0</v>
      </c>
      <c r="AE1143" s="50">
        <f t="shared" si="143"/>
        <v>0</v>
      </c>
    </row>
    <row r="1144" spans="1:31">
      <c r="A1144" s="59" t="str">
        <f t="shared" si="137"/>
        <v/>
      </c>
      <c r="B1144" s="59" t="str">
        <f t="shared" si="138"/>
        <v/>
      </c>
      <c r="V1144" s="59" t="str">
        <f t="shared" si="139"/>
        <v/>
      </c>
      <c r="W1144" s="59" t="str">
        <f t="shared" si="136"/>
        <v/>
      </c>
      <c r="X1144" s="59" t="str">
        <f t="shared" si="140"/>
        <v/>
      </c>
      <c r="AC1144" s="50">
        <f t="shared" si="141"/>
        <v>0</v>
      </c>
      <c r="AD1144" s="43">
        <f t="shared" si="142"/>
        <v>0</v>
      </c>
      <c r="AE1144" s="50">
        <f t="shared" si="143"/>
        <v>0</v>
      </c>
    </row>
    <row r="1145" spans="1:31">
      <c r="A1145" s="59" t="str">
        <f t="shared" si="137"/>
        <v/>
      </c>
      <c r="B1145" s="59" t="str">
        <f t="shared" si="138"/>
        <v/>
      </c>
      <c r="V1145" s="59" t="str">
        <f t="shared" si="139"/>
        <v/>
      </c>
      <c r="W1145" s="59" t="str">
        <f t="shared" si="136"/>
        <v/>
      </c>
      <c r="X1145" s="59" t="str">
        <f t="shared" si="140"/>
        <v/>
      </c>
      <c r="AC1145" s="50">
        <f t="shared" si="141"/>
        <v>0</v>
      </c>
      <c r="AD1145" s="43">
        <f t="shared" si="142"/>
        <v>0</v>
      </c>
      <c r="AE1145" s="50">
        <f t="shared" si="143"/>
        <v>0</v>
      </c>
    </row>
    <row r="1146" spans="1:31">
      <c r="A1146" s="59" t="str">
        <f t="shared" si="137"/>
        <v/>
      </c>
      <c r="B1146" s="59" t="str">
        <f t="shared" si="138"/>
        <v/>
      </c>
      <c r="V1146" s="59" t="str">
        <f t="shared" si="139"/>
        <v/>
      </c>
      <c r="W1146" s="59" t="str">
        <f t="shared" si="136"/>
        <v/>
      </c>
      <c r="X1146" s="59" t="str">
        <f t="shared" si="140"/>
        <v/>
      </c>
      <c r="AC1146" s="50">
        <f t="shared" si="141"/>
        <v>0</v>
      </c>
      <c r="AD1146" s="43">
        <f t="shared" si="142"/>
        <v>0</v>
      </c>
      <c r="AE1146" s="50">
        <f t="shared" si="143"/>
        <v>0</v>
      </c>
    </row>
    <row r="1147" spans="1:31">
      <c r="A1147" s="59" t="str">
        <f t="shared" si="137"/>
        <v/>
      </c>
      <c r="B1147" s="59" t="str">
        <f t="shared" si="138"/>
        <v/>
      </c>
      <c r="V1147" s="59" t="str">
        <f t="shared" si="139"/>
        <v/>
      </c>
      <c r="W1147" s="59" t="str">
        <f t="shared" si="136"/>
        <v/>
      </c>
      <c r="X1147" s="59" t="str">
        <f t="shared" si="140"/>
        <v/>
      </c>
      <c r="AC1147" s="50">
        <f t="shared" si="141"/>
        <v>0</v>
      </c>
      <c r="AD1147" s="43">
        <f t="shared" si="142"/>
        <v>0</v>
      </c>
      <c r="AE1147" s="50">
        <f t="shared" si="143"/>
        <v>0</v>
      </c>
    </row>
    <row r="1148" spans="1:31">
      <c r="A1148" s="59" t="str">
        <f t="shared" si="137"/>
        <v/>
      </c>
      <c r="B1148" s="59" t="str">
        <f t="shared" si="138"/>
        <v/>
      </c>
      <c r="V1148" s="59" t="str">
        <f t="shared" si="139"/>
        <v/>
      </c>
      <c r="W1148" s="59" t="str">
        <f t="shared" si="136"/>
        <v/>
      </c>
      <c r="X1148" s="59" t="str">
        <f t="shared" si="140"/>
        <v/>
      </c>
      <c r="AC1148" s="50">
        <f t="shared" si="141"/>
        <v>0</v>
      </c>
      <c r="AD1148" s="43">
        <f t="shared" si="142"/>
        <v>0</v>
      </c>
      <c r="AE1148" s="50">
        <f t="shared" si="143"/>
        <v>0</v>
      </c>
    </row>
    <row r="1149" spans="1:31">
      <c r="A1149" s="59" t="str">
        <f t="shared" si="137"/>
        <v/>
      </c>
      <c r="B1149" s="59" t="str">
        <f t="shared" si="138"/>
        <v/>
      </c>
      <c r="V1149" s="59" t="str">
        <f t="shared" si="139"/>
        <v/>
      </c>
      <c r="W1149" s="59" t="str">
        <f t="shared" si="136"/>
        <v/>
      </c>
      <c r="X1149" s="59" t="str">
        <f t="shared" si="140"/>
        <v/>
      </c>
      <c r="AC1149" s="50">
        <f t="shared" si="141"/>
        <v>0</v>
      </c>
      <c r="AD1149" s="43">
        <f t="shared" si="142"/>
        <v>0</v>
      </c>
      <c r="AE1149" s="50">
        <f t="shared" si="143"/>
        <v>0</v>
      </c>
    </row>
    <row r="1150" spans="1:31">
      <c r="A1150" s="59" t="str">
        <f t="shared" si="137"/>
        <v/>
      </c>
      <c r="B1150" s="59" t="str">
        <f t="shared" si="138"/>
        <v/>
      </c>
      <c r="V1150" s="59" t="str">
        <f t="shared" si="139"/>
        <v/>
      </c>
      <c r="W1150" s="59" t="str">
        <f t="shared" si="136"/>
        <v/>
      </c>
      <c r="X1150" s="59" t="str">
        <f t="shared" si="140"/>
        <v/>
      </c>
      <c r="AC1150" s="50">
        <f t="shared" si="141"/>
        <v>0</v>
      </c>
      <c r="AD1150" s="43">
        <f t="shared" si="142"/>
        <v>0</v>
      </c>
      <c r="AE1150" s="50">
        <f t="shared" si="143"/>
        <v>0</v>
      </c>
    </row>
    <row r="1151" spans="1:31">
      <c r="A1151" s="59" t="str">
        <f t="shared" si="137"/>
        <v/>
      </c>
      <c r="B1151" s="59" t="str">
        <f t="shared" si="138"/>
        <v/>
      </c>
      <c r="V1151" s="59" t="str">
        <f t="shared" si="139"/>
        <v/>
      </c>
      <c r="W1151" s="59" t="str">
        <f t="shared" si="136"/>
        <v/>
      </c>
      <c r="X1151" s="59" t="str">
        <f t="shared" si="140"/>
        <v/>
      </c>
      <c r="AC1151" s="50">
        <f t="shared" si="141"/>
        <v>0</v>
      </c>
      <c r="AD1151" s="43">
        <f t="shared" si="142"/>
        <v>0</v>
      </c>
      <c r="AE1151" s="50">
        <f t="shared" si="143"/>
        <v>0</v>
      </c>
    </row>
    <row r="1152" spans="1:31">
      <c r="A1152" s="59" t="str">
        <f t="shared" si="137"/>
        <v/>
      </c>
      <c r="B1152" s="59" t="str">
        <f t="shared" si="138"/>
        <v/>
      </c>
      <c r="V1152" s="59" t="str">
        <f t="shared" si="139"/>
        <v/>
      </c>
      <c r="W1152" s="59" t="str">
        <f t="shared" si="136"/>
        <v/>
      </c>
      <c r="X1152" s="59" t="str">
        <f t="shared" si="140"/>
        <v/>
      </c>
      <c r="AC1152" s="50">
        <f t="shared" si="141"/>
        <v>0</v>
      </c>
      <c r="AD1152" s="43">
        <f t="shared" si="142"/>
        <v>0</v>
      </c>
      <c r="AE1152" s="50">
        <f t="shared" si="143"/>
        <v>0</v>
      </c>
    </row>
    <row r="1153" spans="1:31">
      <c r="A1153" s="59" t="str">
        <f t="shared" si="137"/>
        <v/>
      </c>
      <c r="B1153" s="59" t="str">
        <f t="shared" si="138"/>
        <v/>
      </c>
      <c r="V1153" s="59" t="str">
        <f t="shared" si="139"/>
        <v/>
      </c>
      <c r="W1153" s="59" t="str">
        <f t="shared" si="136"/>
        <v/>
      </c>
      <c r="X1153" s="59" t="str">
        <f t="shared" si="140"/>
        <v/>
      </c>
      <c r="AC1153" s="50">
        <f t="shared" si="141"/>
        <v>0</v>
      </c>
      <c r="AD1153" s="43">
        <f t="shared" si="142"/>
        <v>0</v>
      </c>
      <c r="AE1153" s="50">
        <f t="shared" si="143"/>
        <v>0</v>
      </c>
    </row>
    <row r="1154" spans="1:31">
      <c r="A1154" s="59" t="str">
        <f t="shared" si="137"/>
        <v/>
      </c>
      <c r="B1154" s="59" t="str">
        <f t="shared" si="138"/>
        <v/>
      </c>
      <c r="V1154" s="59" t="str">
        <f t="shared" si="139"/>
        <v/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59" t="str">
        <f t="shared" si="140"/>
        <v/>
      </c>
      <c r="AC1154" s="50">
        <f t="shared" si="141"/>
        <v>0</v>
      </c>
      <c r="AD1154" s="43">
        <f t="shared" si="142"/>
        <v>0</v>
      </c>
      <c r="AE1154" s="50">
        <f t="shared" si="143"/>
        <v>0</v>
      </c>
    </row>
    <row r="1155" spans="1:31">
      <c r="A1155" s="59" t="str">
        <f t="shared" ref="A1155:A1218" si="145">IF(G1155&amp;Q1155&lt;&gt;"",W1155&amp;Q1155,"")</f>
        <v/>
      </c>
      <c r="B1155" s="59" t="str">
        <f t="shared" ref="B1155:B1218" si="146">IF(C1155&lt;&gt;"",LEFT(C1155,9),"")</f>
        <v/>
      </c>
      <c r="V1155" s="59" t="str">
        <f t="shared" ref="V1155:V1218" si="147">W1155&amp;H1155</f>
        <v/>
      </c>
      <c r="W1155" s="59" t="str">
        <f t="shared" si="144"/>
        <v/>
      </c>
      <c r="X1155" s="59" t="str">
        <f t="shared" ref="X1155:X1218" si="148">IF(A1155&lt;&gt;"",IFERROR(IF(FIND(" ",G1155)&gt;=1,MID(G1155,FIND(" ",G1155)+1,LEN(G1155)),""),""),"")</f>
        <v/>
      </c>
      <c r="AC1155" s="50">
        <f t="shared" ref="AC1155:AC1218" si="149">IFERROR(VALUE(MID($C1155,1,2)),0)</f>
        <v>0</v>
      </c>
      <c r="AD1155" s="43">
        <f t="shared" ref="AD1155:AD1218" si="150">IFERROR(VALUE(MID($C1155,4,3)),0)</f>
        <v>0</v>
      </c>
      <c r="AE1155" s="50">
        <f t="shared" ref="AE1155:AE1218" si="151">VALUE(RIGHT("00"&amp;AC1155,2)&amp;RIGHT("000"&amp;AD1155,3))</f>
        <v>0</v>
      </c>
    </row>
    <row r="1156" spans="1:31">
      <c r="A1156" s="59" t="str">
        <f t="shared" si="145"/>
        <v/>
      </c>
      <c r="B1156" s="59" t="str">
        <f t="shared" si="146"/>
        <v/>
      </c>
      <c r="V1156" s="59" t="str">
        <f t="shared" si="147"/>
        <v/>
      </c>
      <c r="W1156" s="59" t="str">
        <f t="shared" si="144"/>
        <v/>
      </c>
      <c r="X1156" s="59" t="str">
        <f t="shared" si="148"/>
        <v/>
      </c>
      <c r="AC1156" s="50">
        <f t="shared" si="149"/>
        <v>0</v>
      </c>
      <c r="AD1156" s="43">
        <f t="shared" si="150"/>
        <v>0</v>
      </c>
      <c r="AE1156" s="50">
        <f t="shared" si="151"/>
        <v>0</v>
      </c>
    </row>
    <row r="1157" spans="1:31">
      <c r="A1157" s="59" t="str">
        <f t="shared" si="145"/>
        <v/>
      </c>
      <c r="B1157" s="59" t="str">
        <f t="shared" si="146"/>
        <v/>
      </c>
      <c r="V1157" s="59" t="str">
        <f t="shared" si="147"/>
        <v/>
      </c>
      <c r="W1157" s="59" t="str">
        <f t="shared" si="144"/>
        <v/>
      </c>
      <c r="X1157" s="59" t="str">
        <f t="shared" si="148"/>
        <v/>
      </c>
      <c r="AC1157" s="50">
        <f t="shared" si="149"/>
        <v>0</v>
      </c>
      <c r="AD1157" s="43">
        <f t="shared" si="150"/>
        <v>0</v>
      </c>
      <c r="AE1157" s="50">
        <f t="shared" si="151"/>
        <v>0</v>
      </c>
    </row>
    <row r="1158" spans="1:31">
      <c r="A1158" s="59" t="str">
        <f t="shared" si="145"/>
        <v/>
      </c>
      <c r="B1158" s="59" t="str">
        <f t="shared" si="146"/>
        <v/>
      </c>
      <c r="V1158" s="59" t="str">
        <f t="shared" si="147"/>
        <v/>
      </c>
      <c r="W1158" s="59" t="str">
        <f t="shared" si="144"/>
        <v/>
      </c>
      <c r="X1158" s="59" t="str">
        <f t="shared" si="148"/>
        <v/>
      </c>
      <c r="AC1158" s="50">
        <f t="shared" si="149"/>
        <v>0</v>
      </c>
      <c r="AD1158" s="43">
        <f t="shared" si="150"/>
        <v>0</v>
      </c>
      <c r="AE1158" s="50">
        <f t="shared" si="151"/>
        <v>0</v>
      </c>
    </row>
    <row r="1159" spans="1:31">
      <c r="A1159" s="59" t="str">
        <f t="shared" si="145"/>
        <v/>
      </c>
      <c r="B1159" s="59" t="str">
        <f t="shared" si="146"/>
        <v/>
      </c>
      <c r="V1159" s="59" t="str">
        <f t="shared" si="147"/>
        <v/>
      </c>
      <c r="W1159" s="59" t="str">
        <f t="shared" si="144"/>
        <v/>
      </c>
      <c r="X1159" s="59" t="str">
        <f t="shared" si="148"/>
        <v/>
      </c>
      <c r="AC1159" s="50">
        <f t="shared" si="149"/>
        <v>0</v>
      </c>
      <c r="AD1159" s="43">
        <f t="shared" si="150"/>
        <v>0</v>
      </c>
      <c r="AE1159" s="50">
        <f t="shared" si="151"/>
        <v>0</v>
      </c>
    </row>
    <row r="1160" spans="1:31">
      <c r="A1160" s="59" t="str">
        <f t="shared" si="145"/>
        <v/>
      </c>
      <c r="B1160" s="59" t="str">
        <f t="shared" si="146"/>
        <v/>
      </c>
      <c r="V1160" s="59" t="str">
        <f t="shared" si="147"/>
        <v/>
      </c>
      <c r="W1160" s="59" t="str">
        <f t="shared" si="144"/>
        <v/>
      </c>
      <c r="X1160" s="59" t="str">
        <f t="shared" si="148"/>
        <v/>
      </c>
      <c r="AC1160" s="50">
        <f t="shared" si="149"/>
        <v>0</v>
      </c>
      <c r="AD1160" s="43">
        <f t="shared" si="150"/>
        <v>0</v>
      </c>
      <c r="AE1160" s="50">
        <f t="shared" si="151"/>
        <v>0</v>
      </c>
    </row>
    <row r="1161" spans="1:31">
      <c r="A1161" s="59" t="str">
        <f t="shared" si="145"/>
        <v/>
      </c>
      <c r="B1161" s="59" t="str">
        <f t="shared" si="146"/>
        <v/>
      </c>
      <c r="V1161" s="59" t="str">
        <f t="shared" si="147"/>
        <v/>
      </c>
      <c r="W1161" s="59" t="str">
        <f t="shared" si="144"/>
        <v/>
      </c>
      <c r="X1161" s="59" t="str">
        <f t="shared" si="148"/>
        <v/>
      </c>
      <c r="AC1161" s="50">
        <f t="shared" si="149"/>
        <v>0</v>
      </c>
      <c r="AD1161" s="43">
        <f t="shared" si="150"/>
        <v>0</v>
      </c>
      <c r="AE1161" s="50">
        <f t="shared" si="151"/>
        <v>0</v>
      </c>
    </row>
    <row r="1162" spans="1:31">
      <c r="A1162" s="59" t="str">
        <f t="shared" si="145"/>
        <v/>
      </c>
      <c r="B1162" s="59" t="str">
        <f t="shared" si="146"/>
        <v/>
      </c>
      <c r="V1162" s="59" t="str">
        <f t="shared" si="147"/>
        <v/>
      </c>
      <c r="W1162" s="59" t="str">
        <f t="shared" si="144"/>
        <v/>
      </c>
      <c r="X1162" s="59" t="str">
        <f t="shared" si="148"/>
        <v/>
      </c>
      <c r="AC1162" s="50">
        <f t="shared" si="149"/>
        <v>0</v>
      </c>
      <c r="AD1162" s="43">
        <f t="shared" si="150"/>
        <v>0</v>
      </c>
      <c r="AE1162" s="50">
        <f t="shared" si="151"/>
        <v>0</v>
      </c>
    </row>
    <row r="1163" spans="1:31">
      <c r="A1163" s="59" t="str">
        <f t="shared" si="145"/>
        <v/>
      </c>
      <c r="B1163" s="59" t="str">
        <f t="shared" si="146"/>
        <v/>
      </c>
      <c r="V1163" s="59" t="str">
        <f t="shared" si="147"/>
        <v/>
      </c>
      <c r="W1163" s="59" t="str">
        <f t="shared" si="144"/>
        <v/>
      </c>
      <c r="X1163" s="59" t="str">
        <f t="shared" si="148"/>
        <v/>
      </c>
      <c r="AC1163" s="50">
        <f t="shared" si="149"/>
        <v>0</v>
      </c>
      <c r="AD1163" s="43">
        <f t="shared" si="150"/>
        <v>0</v>
      </c>
      <c r="AE1163" s="50">
        <f t="shared" si="151"/>
        <v>0</v>
      </c>
    </row>
    <row r="1164" spans="1:31">
      <c r="A1164" s="59" t="str">
        <f t="shared" si="145"/>
        <v/>
      </c>
      <c r="B1164" s="59" t="str">
        <f t="shared" si="146"/>
        <v/>
      </c>
      <c r="V1164" s="59" t="str">
        <f t="shared" si="147"/>
        <v/>
      </c>
      <c r="W1164" s="59" t="str">
        <f t="shared" si="144"/>
        <v/>
      </c>
      <c r="X1164" s="59" t="str">
        <f t="shared" si="148"/>
        <v/>
      </c>
      <c r="AC1164" s="50">
        <f t="shared" si="149"/>
        <v>0</v>
      </c>
      <c r="AD1164" s="43">
        <f t="shared" si="150"/>
        <v>0</v>
      </c>
      <c r="AE1164" s="50">
        <f t="shared" si="151"/>
        <v>0</v>
      </c>
    </row>
    <row r="1165" spans="1:31">
      <c r="A1165" s="59" t="str">
        <f t="shared" si="145"/>
        <v/>
      </c>
      <c r="B1165" s="59" t="str">
        <f t="shared" si="146"/>
        <v/>
      </c>
      <c r="V1165" s="59" t="str">
        <f t="shared" si="147"/>
        <v/>
      </c>
      <c r="W1165" s="59" t="str">
        <f t="shared" si="144"/>
        <v/>
      </c>
      <c r="X1165" s="59" t="str">
        <f t="shared" si="148"/>
        <v/>
      </c>
      <c r="AC1165" s="50">
        <f t="shared" si="149"/>
        <v>0</v>
      </c>
      <c r="AD1165" s="43">
        <f t="shared" si="150"/>
        <v>0</v>
      </c>
      <c r="AE1165" s="50">
        <f t="shared" si="151"/>
        <v>0</v>
      </c>
    </row>
    <row r="1166" spans="1:31">
      <c r="A1166" s="59" t="str">
        <f t="shared" si="145"/>
        <v/>
      </c>
      <c r="B1166" s="59" t="str">
        <f t="shared" si="146"/>
        <v/>
      </c>
      <c r="V1166" s="59" t="str">
        <f t="shared" si="147"/>
        <v/>
      </c>
      <c r="W1166" s="59" t="str">
        <f t="shared" si="144"/>
        <v/>
      </c>
      <c r="X1166" s="59" t="str">
        <f t="shared" si="148"/>
        <v/>
      </c>
      <c r="AC1166" s="50">
        <f t="shared" si="149"/>
        <v>0</v>
      </c>
      <c r="AD1166" s="43">
        <f t="shared" si="150"/>
        <v>0</v>
      </c>
      <c r="AE1166" s="50">
        <f t="shared" si="151"/>
        <v>0</v>
      </c>
    </row>
    <row r="1167" spans="1:31">
      <c r="A1167" s="59" t="str">
        <f t="shared" si="145"/>
        <v/>
      </c>
      <c r="B1167" s="59" t="str">
        <f t="shared" si="146"/>
        <v/>
      </c>
      <c r="V1167" s="59" t="str">
        <f t="shared" si="147"/>
        <v/>
      </c>
      <c r="W1167" s="59" t="str">
        <f t="shared" si="144"/>
        <v/>
      </c>
      <c r="X1167" s="59" t="str">
        <f t="shared" si="148"/>
        <v/>
      </c>
      <c r="AC1167" s="50">
        <f t="shared" si="149"/>
        <v>0</v>
      </c>
      <c r="AD1167" s="43">
        <f t="shared" si="150"/>
        <v>0</v>
      </c>
      <c r="AE1167" s="50">
        <f t="shared" si="151"/>
        <v>0</v>
      </c>
    </row>
    <row r="1168" spans="1:31">
      <c r="A1168" s="59" t="str">
        <f t="shared" si="145"/>
        <v/>
      </c>
      <c r="B1168" s="59" t="str">
        <f t="shared" si="146"/>
        <v/>
      </c>
      <c r="V1168" s="59" t="str">
        <f t="shared" si="147"/>
        <v/>
      </c>
      <c r="W1168" s="59" t="str">
        <f t="shared" si="144"/>
        <v/>
      </c>
      <c r="X1168" s="59" t="str">
        <f t="shared" si="148"/>
        <v/>
      </c>
      <c r="AC1168" s="50">
        <f t="shared" si="149"/>
        <v>0</v>
      </c>
      <c r="AD1168" s="43">
        <f t="shared" si="150"/>
        <v>0</v>
      </c>
      <c r="AE1168" s="50">
        <f t="shared" si="151"/>
        <v>0</v>
      </c>
    </row>
    <row r="1169" spans="1:31">
      <c r="A1169" s="59" t="str">
        <f t="shared" si="145"/>
        <v/>
      </c>
      <c r="B1169" s="59" t="str">
        <f t="shared" si="146"/>
        <v/>
      </c>
      <c r="V1169" s="59" t="str">
        <f t="shared" si="147"/>
        <v/>
      </c>
      <c r="W1169" s="59" t="str">
        <f t="shared" si="144"/>
        <v/>
      </c>
      <c r="X1169" s="59" t="str">
        <f t="shared" si="148"/>
        <v/>
      </c>
      <c r="AC1169" s="50">
        <f t="shared" si="149"/>
        <v>0</v>
      </c>
      <c r="AD1169" s="43">
        <f t="shared" si="150"/>
        <v>0</v>
      </c>
      <c r="AE1169" s="50">
        <f t="shared" si="151"/>
        <v>0</v>
      </c>
    </row>
    <row r="1170" spans="1:31">
      <c r="A1170" s="59" t="str">
        <f t="shared" si="145"/>
        <v/>
      </c>
      <c r="B1170" s="59" t="str">
        <f t="shared" si="146"/>
        <v/>
      </c>
      <c r="V1170" s="59" t="str">
        <f t="shared" si="147"/>
        <v/>
      </c>
      <c r="W1170" s="59" t="str">
        <f t="shared" si="144"/>
        <v/>
      </c>
      <c r="X1170" s="59" t="str">
        <f t="shared" si="148"/>
        <v/>
      </c>
      <c r="AC1170" s="50">
        <f t="shared" si="149"/>
        <v>0</v>
      </c>
      <c r="AD1170" s="43">
        <f t="shared" si="150"/>
        <v>0</v>
      </c>
      <c r="AE1170" s="50">
        <f t="shared" si="151"/>
        <v>0</v>
      </c>
    </row>
    <row r="1171" spans="1:31">
      <c r="A1171" s="59" t="str">
        <f t="shared" si="145"/>
        <v/>
      </c>
      <c r="B1171" s="59" t="str">
        <f t="shared" si="146"/>
        <v/>
      </c>
      <c r="V1171" s="59" t="str">
        <f t="shared" si="147"/>
        <v/>
      </c>
      <c r="W1171" s="59" t="str">
        <f t="shared" si="144"/>
        <v/>
      </c>
      <c r="X1171" s="59" t="str">
        <f t="shared" si="148"/>
        <v/>
      </c>
      <c r="AC1171" s="50">
        <f t="shared" si="149"/>
        <v>0</v>
      </c>
      <c r="AD1171" s="43">
        <f t="shared" si="150"/>
        <v>0</v>
      </c>
      <c r="AE1171" s="50">
        <f t="shared" si="151"/>
        <v>0</v>
      </c>
    </row>
    <row r="1172" spans="1:31">
      <c r="A1172" s="59" t="str">
        <f t="shared" si="145"/>
        <v/>
      </c>
      <c r="B1172" s="59" t="str">
        <f t="shared" si="146"/>
        <v/>
      </c>
      <c r="V1172" s="59" t="str">
        <f t="shared" si="147"/>
        <v/>
      </c>
      <c r="W1172" s="59" t="str">
        <f t="shared" si="144"/>
        <v/>
      </c>
      <c r="X1172" s="59" t="str">
        <f t="shared" si="148"/>
        <v/>
      </c>
      <c r="AC1172" s="50">
        <f t="shared" si="149"/>
        <v>0</v>
      </c>
      <c r="AD1172" s="43">
        <f t="shared" si="150"/>
        <v>0</v>
      </c>
      <c r="AE1172" s="50">
        <f t="shared" si="151"/>
        <v>0</v>
      </c>
    </row>
    <row r="1173" spans="1:31">
      <c r="A1173" s="59" t="str">
        <f t="shared" si="145"/>
        <v/>
      </c>
      <c r="B1173" s="59" t="str">
        <f t="shared" si="146"/>
        <v/>
      </c>
      <c r="V1173" s="59" t="str">
        <f t="shared" si="147"/>
        <v/>
      </c>
      <c r="W1173" s="59" t="str">
        <f t="shared" si="144"/>
        <v/>
      </c>
      <c r="X1173" s="59" t="str">
        <f t="shared" si="148"/>
        <v/>
      </c>
      <c r="AC1173" s="50">
        <f t="shared" si="149"/>
        <v>0</v>
      </c>
      <c r="AD1173" s="43">
        <f t="shared" si="150"/>
        <v>0</v>
      </c>
      <c r="AE1173" s="50">
        <f t="shared" si="151"/>
        <v>0</v>
      </c>
    </row>
    <row r="1174" spans="1:31">
      <c r="A1174" s="59" t="str">
        <f t="shared" si="145"/>
        <v/>
      </c>
      <c r="B1174" s="59" t="str">
        <f t="shared" si="146"/>
        <v/>
      </c>
      <c r="V1174" s="59" t="str">
        <f t="shared" si="147"/>
        <v/>
      </c>
      <c r="W1174" s="59" t="str">
        <f t="shared" si="144"/>
        <v/>
      </c>
      <c r="X1174" s="59" t="str">
        <f t="shared" si="148"/>
        <v/>
      </c>
      <c r="AC1174" s="50">
        <f t="shared" si="149"/>
        <v>0</v>
      </c>
      <c r="AD1174" s="43">
        <f t="shared" si="150"/>
        <v>0</v>
      </c>
      <c r="AE1174" s="50">
        <f t="shared" si="151"/>
        <v>0</v>
      </c>
    </row>
    <row r="1175" spans="1:31">
      <c r="A1175" s="59" t="str">
        <f t="shared" si="145"/>
        <v/>
      </c>
      <c r="B1175" s="59" t="str">
        <f t="shared" si="146"/>
        <v/>
      </c>
      <c r="V1175" s="59" t="str">
        <f t="shared" si="147"/>
        <v/>
      </c>
      <c r="W1175" s="59" t="str">
        <f t="shared" si="144"/>
        <v/>
      </c>
      <c r="X1175" s="59" t="str">
        <f t="shared" si="148"/>
        <v/>
      </c>
      <c r="AC1175" s="50">
        <f t="shared" si="149"/>
        <v>0</v>
      </c>
      <c r="AD1175" s="43">
        <f t="shared" si="150"/>
        <v>0</v>
      </c>
      <c r="AE1175" s="50">
        <f t="shared" si="151"/>
        <v>0</v>
      </c>
    </row>
    <row r="1176" spans="1:31">
      <c r="A1176" s="59" t="str">
        <f t="shared" si="145"/>
        <v/>
      </c>
      <c r="B1176" s="59" t="str">
        <f t="shared" si="146"/>
        <v/>
      </c>
      <c r="V1176" s="59" t="str">
        <f t="shared" si="147"/>
        <v/>
      </c>
      <c r="W1176" s="59" t="str">
        <f t="shared" si="144"/>
        <v/>
      </c>
      <c r="X1176" s="59" t="str">
        <f t="shared" si="148"/>
        <v/>
      </c>
      <c r="AC1176" s="50">
        <f t="shared" si="149"/>
        <v>0</v>
      </c>
      <c r="AD1176" s="43">
        <f t="shared" si="150"/>
        <v>0</v>
      </c>
      <c r="AE1176" s="50">
        <f t="shared" si="151"/>
        <v>0</v>
      </c>
    </row>
    <row r="1177" spans="1:31">
      <c r="A1177" s="59" t="str">
        <f t="shared" si="145"/>
        <v/>
      </c>
      <c r="B1177" s="59" t="str">
        <f t="shared" si="146"/>
        <v/>
      </c>
      <c r="V1177" s="59" t="str">
        <f t="shared" si="147"/>
        <v/>
      </c>
      <c r="W1177" s="59" t="str">
        <f t="shared" si="144"/>
        <v/>
      </c>
      <c r="X1177" s="59" t="str">
        <f t="shared" si="148"/>
        <v/>
      </c>
      <c r="AC1177" s="50">
        <f t="shared" si="149"/>
        <v>0</v>
      </c>
      <c r="AD1177" s="43">
        <f t="shared" si="150"/>
        <v>0</v>
      </c>
      <c r="AE1177" s="50">
        <f t="shared" si="151"/>
        <v>0</v>
      </c>
    </row>
    <row r="1178" spans="1:31">
      <c r="A1178" s="59" t="str">
        <f t="shared" si="145"/>
        <v/>
      </c>
      <c r="B1178" s="59" t="str">
        <f t="shared" si="146"/>
        <v/>
      </c>
      <c r="V1178" s="59" t="str">
        <f t="shared" si="147"/>
        <v/>
      </c>
      <c r="W1178" s="59" t="str">
        <f t="shared" si="144"/>
        <v/>
      </c>
      <c r="X1178" s="59" t="str">
        <f t="shared" si="148"/>
        <v/>
      </c>
      <c r="AC1178" s="50">
        <f t="shared" si="149"/>
        <v>0</v>
      </c>
      <c r="AD1178" s="43">
        <f t="shared" si="150"/>
        <v>0</v>
      </c>
      <c r="AE1178" s="50">
        <f t="shared" si="151"/>
        <v>0</v>
      </c>
    </row>
    <row r="1179" spans="1:31">
      <c r="A1179" s="59" t="str">
        <f t="shared" si="145"/>
        <v/>
      </c>
      <c r="B1179" s="59" t="str">
        <f t="shared" si="146"/>
        <v/>
      </c>
      <c r="V1179" s="59" t="str">
        <f t="shared" si="147"/>
        <v/>
      </c>
      <c r="W1179" s="59" t="str">
        <f t="shared" si="144"/>
        <v/>
      </c>
      <c r="X1179" s="59" t="str">
        <f t="shared" si="148"/>
        <v/>
      </c>
      <c r="AC1179" s="50">
        <f t="shared" si="149"/>
        <v>0</v>
      </c>
      <c r="AD1179" s="43">
        <f t="shared" si="150"/>
        <v>0</v>
      </c>
      <c r="AE1179" s="50">
        <f t="shared" si="151"/>
        <v>0</v>
      </c>
    </row>
    <row r="1180" spans="1:31">
      <c r="A1180" s="59" t="str">
        <f t="shared" si="145"/>
        <v/>
      </c>
      <c r="B1180" s="59" t="str">
        <f t="shared" si="146"/>
        <v/>
      </c>
      <c r="V1180" s="59" t="str">
        <f t="shared" si="147"/>
        <v/>
      </c>
      <c r="W1180" s="59" t="str">
        <f t="shared" si="144"/>
        <v/>
      </c>
      <c r="X1180" s="59" t="str">
        <f t="shared" si="148"/>
        <v/>
      </c>
      <c r="AC1180" s="50">
        <f t="shared" si="149"/>
        <v>0</v>
      </c>
      <c r="AD1180" s="43">
        <f t="shared" si="150"/>
        <v>0</v>
      </c>
      <c r="AE1180" s="50">
        <f t="shared" si="151"/>
        <v>0</v>
      </c>
    </row>
    <row r="1181" spans="1:31">
      <c r="A1181" s="59" t="str">
        <f t="shared" si="145"/>
        <v/>
      </c>
      <c r="B1181" s="59" t="str">
        <f t="shared" si="146"/>
        <v/>
      </c>
      <c r="V1181" s="59" t="str">
        <f t="shared" si="147"/>
        <v/>
      </c>
      <c r="W1181" s="59" t="str">
        <f t="shared" si="144"/>
        <v/>
      </c>
      <c r="X1181" s="59" t="str">
        <f t="shared" si="148"/>
        <v/>
      </c>
      <c r="AC1181" s="50">
        <f t="shared" si="149"/>
        <v>0</v>
      </c>
      <c r="AD1181" s="43">
        <f t="shared" si="150"/>
        <v>0</v>
      </c>
      <c r="AE1181" s="50">
        <f t="shared" si="151"/>
        <v>0</v>
      </c>
    </row>
    <row r="1182" spans="1:31">
      <c r="A1182" s="59" t="str">
        <f t="shared" si="145"/>
        <v/>
      </c>
      <c r="B1182" s="59" t="str">
        <f t="shared" si="146"/>
        <v/>
      </c>
      <c r="V1182" s="59" t="str">
        <f t="shared" si="147"/>
        <v/>
      </c>
      <c r="W1182" s="59" t="str">
        <f t="shared" si="144"/>
        <v/>
      </c>
      <c r="X1182" s="59" t="str">
        <f t="shared" si="148"/>
        <v/>
      </c>
      <c r="AC1182" s="50">
        <f t="shared" si="149"/>
        <v>0</v>
      </c>
      <c r="AD1182" s="43">
        <f t="shared" si="150"/>
        <v>0</v>
      </c>
      <c r="AE1182" s="50">
        <f t="shared" si="151"/>
        <v>0</v>
      </c>
    </row>
    <row r="1183" spans="1:31">
      <c r="A1183" s="59" t="str">
        <f t="shared" si="145"/>
        <v/>
      </c>
      <c r="B1183" s="59" t="str">
        <f t="shared" si="146"/>
        <v/>
      </c>
      <c r="V1183" s="59" t="str">
        <f t="shared" si="147"/>
        <v/>
      </c>
      <c r="W1183" s="59" t="str">
        <f t="shared" si="144"/>
        <v/>
      </c>
      <c r="X1183" s="59" t="str">
        <f t="shared" si="148"/>
        <v/>
      </c>
      <c r="AC1183" s="50">
        <f t="shared" si="149"/>
        <v>0</v>
      </c>
      <c r="AD1183" s="43">
        <f t="shared" si="150"/>
        <v>0</v>
      </c>
      <c r="AE1183" s="50">
        <f t="shared" si="151"/>
        <v>0</v>
      </c>
    </row>
    <row r="1184" spans="1:31">
      <c r="A1184" s="59" t="str">
        <f t="shared" si="145"/>
        <v/>
      </c>
      <c r="B1184" s="59" t="str">
        <f t="shared" si="146"/>
        <v/>
      </c>
      <c r="V1184" s="59" t="str">
        <f t="shared" si="147"/>
        <v/>
      </c>
      <c r="W1184" s="59" t="str">
        <f t="shared" si="144"/>
        <v/>
      </c>
      <c r="X1184" s="59" t="str">
        <f t="shared" si="148"/>
        <v/>
      </c>
      <c r="AC1184" s="50">
        <f t="shared" si="149"/>
        <v>0</v>
      </c>
      <c r="AD1184" s="43">
        <f t="shared" si="150"/>
        <v>0</v>
      </c>
      <c r="AE1184" s="50">
        <f t="shared" si="151"/>
        <v>0</v>
      </c>
    </row>
    <row r="1185" spans="1:31">
      <c r="A1185" s="59" t="str">
        <f t="shared" si="145"/>
        <v/>
      </c>
      <c r="B1185" s="59" t="str">
        <f t="shared" si="146"/>
        <v/>
      </c>
      <c r="V1185" s="59" t="str">
        <f t="shared" si="147"/>
        <v/>
      </c>
      <c r="W1185" s="59" t="str">
        <f t="shared" si="144"/>
        <v/>
      </c>
      <c r="X1185" s="59" t="str">
        <f t="shared" si="148"/>
        <v/>
      </c>
      <c r="AC1185" s="50">
        <f t="shared" si="149"/>
        <v>0</v>
      </c>
      <c r="AD1185" s="43">
        <f t="shared" si="150"/>
        <v>0</v>
      </c>
      <c r="AE1185" s="50">
        <f t="shared" si="151"/>
        <v>0</v>
      </c>
    </row>
    <row r="1186" spans="1:31">
      <c r="A1186" s="59" t="str">
        <f t="shared" si="145"/>
        <v/>
      </c>
      <c r="B1186" s="59" t="str">
        <f t="shared" si="146"/>
        <v/>
      </c>
      <c r="V1186" s="59" t="str">
        <f t="shared" si="147"/>
        <v/>
      </c>
      <c r="W1186" s="59" t="str">
        <f t="shared" si="144"/>
        <v/>
      </c>
      <c r="X1186" s="59" t="str">
        <f t="shared" si="148"/>
        <v/>
      </c>
      <c r="AC1186" s="50">
        <f t="shared" si="149"/>
        <v>0</v>
      </c>
      <c r="AD1186" s="43">
        <f t="shared" si="150"/>
        <v>0</v>
      </c>
      <c r="AE1186" s="50">
        <f t="shared" si="151"/>
        <v>0</v>
      </c>
    </row>
    <row r="1187" spans="1:31">
      <c r="A1187" s="59" t="str">
        <f t="shared" si="145"/>
        <v/>
      </c>
      <c r="B1187" s="59" t="str">
        <f t="shared" si="146"/>
        <v/>
      </c>
      <c r="V1187" s="59" t="str">
        <f t="shared" si="147"/>
        <v/>
      </c>
      <c r="W1187" s="59" t="str">
        <f t="shared" si="144"/>
        <v/>
      </c>
      <c r="X1187" s="59" t="str">
        <f t="shared" si="148"/>
        <v/>
      </c>
      <c r="AC1187" s="50">
        <f t="shared" si="149"/>
        <v>0</v>
      </c>
      <c r="AD1187" s="43">
        <f t="shared" si="150"/>
        <v>0</v>
      </c>
      <c r="AE1187" s="50">
        <f t="shared" si="151"/>
        <v>0</v>
      </c>
    </row>
    <row r="1188" spans="1:31">
      <c r="A1188" s="59" t="str">
        <f t="shared" si="145"/>
        <v/>
      </c>
      <c r="B1188" s="59" t="str">
        <f t="shared" si="146"/>
        <v/>
      </c>
      <c r="V1188" s="59" t="str">
        <f t="shared" si="147"/>
        <v/>
      </c>
      <c r="W1188" s="59" t="str">
        <f t="shared" si="144"/>
        <v/>
      </c>
      <c r="X1188" s="59" t="str">
        <f t="shared" si="148"/>
        <v/>
      </c>
      <c r="AC1188" s="50">
        <f t="shared" si="149"/>
        <v>0</v>
      </c>
      <c r="AD1188" s="43">
        <f t="shared" si="150"/>
        <v>0</v>
      </c>
      <c r="AE1188" s="50">
        <f t="shared" si="151"/>
        <v>0</v>
      </c>
    </row>
    <row r="1189" spans="1:31">
      <c r="A1189" s="59" t="str">
        <f t="shared" si="145"/>
        <v/>
      </c>
      <c r="B1189" s="59" t="str">
        <f t="shared" si="146"/>
        <v/>
      </c>
      <c r="V1189" s="59" t="str">
        <f t="shared" si="147"/>
        <v/>
      </c>
      <c r="W1189" s="59" t="str">
        <f t="shared" si="144"/>
        <v/>
      </c>
      <c r="X1189" s="59" t="str">
        <f t="shared" si="148"/>
        <v/>
      </c>
      <c r="AC1189" s="50">
        <f t="shared" si="149"/>
        <v>0</v>
      </c>
      <c r="AD1189" s="43">
        <f t="shared" si="150"/>
        <v>0</v>
      </c>
      <c r="AE1189" s="50">
        <f t="shared" si="151"/>
        <v>0</v>
      </c>
    </row>
    <row r="1190" spans="1:31">
      <c r="A1190" s="59" t="str">
        <f t="shared" si="145"/>
        <v/>
      </c>
      <c r="B1190" s="59" t="str">
        <f t="shared" si="146"/>
        <v/>
      </c>
      <c r="V1190" s="59" t="str">
        <f t="shared" si="147"/>
        <v/>
      </c>
      <c r="W1190" s="59" t="str">
        <f t="shared" si="144"/>
        <v/>
      </c>
      <c r="X1190" s="59" t="str">
        <f t="shared" si="148"/>
        <v/>
      </c>
      <c r="AC1190" s="50">
        <f t="shared" si="149"/>
        <v>0</v>
      </c>
      <c r="AD1190" s="43">
        <f t="shared" si="150"/>
        <v>0</v>
      </c>
      <c r="AE1190" s="50">
        <f t="shared" si="151"/>
        <v>0</v>
      </c>
    </row>
    <row r="1191" spans="1:31">
      <c r="A1191" s="59" t="str">
        <f t="shared" si="145"/>
        <v/>
      </c>
      <c r="B1191" s="59" t="str">
        <f t="shared" si="146"/>
        <v/>
      </c>
      <c r="V1191" s="59" t="str">
        <f t="shared" si="147"/>
        <v/>
      </c>
      <c r="W1191" s="59" t="str">
        <f t="shared" si="144"/>
        <v/>
      </c>
      <c r="X1191" s="59" t="str">
        <f t="shared" si="148"/>
        <v/>
      </c>
      <c r="AC1191" s="50">
        <f t="shared" si="149"/>
        <v>0</v>
      </c>
      <c r="AD1191" s="43">
        <f t="shared" si="150"/>
        <v>0</v>
      </c>
      <c r="AE1191" s="50">
        <f t="shared" si="151"/>
        <v>0</v>
      </c>
    </row>
    <row r="1192" spans="1:31">
      <c r="A1192" s="59" t="str">
        <f t="shared" si="145"/>
        <v/>
      </c>
      <c r="B1192" s="59" t="str">
        <f t="shared" si="146"/>
        <v/>
      </c>
      <c r="V1192" s="59" t="str">
        <f t="shared" si="147"/>
        <v/>
      </c>
      <c r="W1192" s="59" t="str">
        <f t="shared" si="144"/>
        <v/>
      </c>
      <c r="X1192" s="59" t="str">
        <f t="shared" si="148"/>
        <v/>
      </c>
      <c r="AC1192" s="50">
        <f t="shared" si="149"/>
        <v>0</v>
      </c>
      <c r="AD1192" s="43">
        <f t="shared" si="150"/>
        <v>0</v>
      </c>
      <c r="AE1192" s="50">
        <f t="shared" si="151"/>
        <v>0</v>
      </c>
    </row>
    <row r="1193" spans="1:31">
      <c r="A1193" s="59" t="str">
        <f t="shared" si="145"/>
        <v/>
      </c>
      <c r="B1193" s="59" t="str">
        <f t="shared" si="146"/>
        <v/>
      </c>
      <c r="V1193" s="59" t="str">
        <f t="shared" si="147"/>
        <v/>
      </c>
      <c r="W1193" s="59" t="str">
        <f t="shared" si="144"/>
        <v/>
      </c>
      <c r="X1193" s="59" t="str">
        <f t="shared" si="148"/>
        <v/>
      </c>
      <c r="AC1193" s="50">
        <f t="shared" si="149"/>
        <v>0</v>
      </c>
      <c r="AD1193" s="43">
        <f t="shared" si="150"/>
        <v>0</v>
      </c>
      <c r="AE1193" s="50">
        <f t="shared" si="151"/>
        <v>0</v>
      </c>
    </row>
    <row r="1194" spans="1:31">
      <c r="A1194" s="59" t="str">
        <f t="shared" si="145"/>
        <v/>
      </c>
      <c r="B1194" s="59" t="str">
        <f t="shared" si="146"/>
        <v/>
      </c>
      <c r="V1194" s="59" t="str">
        <f t="shared" si="147"/>
        <v/>
      </c>
      <c r="W1194" s="59" t="str">
        <f t="shared" si="144"/>
        <v/>
      </c>
      <c r="X1194" s="59" t="str">
        <f t="shared" si="148"/>
        <v/>
      </c>
      <c r="AC1194" s="50">
        <f t="shared" si="149"/>
        <v>0</v>
      </c>
      <c r="AD1194" s="43">
        <f t="shared" si="150"/>
        <v>0</v>
      </c>
      <c r="AE1194" s="50">
        <f t="shared" si="151"/>
        <v>0</v>
      </c>
    </row>
    <row r="1195" spans="1:31">
      <c r="A1195" s="59" t="str">
        <f t="shared" si="145"/>
        <v/>
      </c>
      <c r="B1195" s="59" t="str">
        <f t="shared" si="146"/>
        <v/>
      </c>
      <c r="V1195" s="59" t="str">
        <f t="shared" si="147"/>
        <v/>
      </c>
      <c r="W1195" s="59" t="str">
        <f t="shared" si="144"/>
        <v/>
      </c>
      <c r="X1195" s="59" t="str">
        <f t="shared" si="148"/>
        <v/>
      </c>
      <c r="AC1195" s="50">
        <f t="shared" si="149"/>
        <v>0</v>
      </c>
      <c r="AD1195" s="43">
        <f t="shared" si="150"/>
        <v>0</v>
      </c>
      <c r="AE1195" s="50">
        <f t="shared" si="151"/>
        <v>0</v>
      </c>
    </row>
    <row r="1196" spans="1:31">
      <c r="A1196" s="59" t="str">
        <f t="shared" si="145"/>
        <v/>
      </c>
      <c r="B1196" s="59" t="str">
        <f t="shared" si="146"/>
        <v/>
      </c>
      <c r="V1196" s="59" t="str">
        <f t="shared" si="147"/>
        <v/>
      </c>
      <c r="W1196" s="59" t="str">
        <f t="shared" si="144"/>
        <v/>
      </c>
      <c r="X1196" s="59" t="str">
        <f t="shared" si="148"/>
        <v/>
      </c>
      <c r="AC1196" s="50">
        <f t="shared" si="149"/>
        <v>0</v>
      </c>
      <c r="AD1196" s="43">
        <f t="shared" si="150"/>
        <v>0</v>
      </c>
      <c r="AE1196" s="50">
        <f t="shared" si="151"/>
        <v>0</v>
      </c>
    </row>
    <row r="1197" spans="1:31">
      <c r="A1197" s="59" t="str">
        <f t="shared" si="145"/>
        <v/>
      </c>
      <c r="B1197" s="59" t="str">
        <f t="shared" si="146"/>
        <v/>
      </c>
      <c r="V1197" s="59" t="str">
        <f t="shared" si="147"/>
        <v/>
      </c>
      <c r="W1197" s="59" t="str">
        <f t="shared" si="144"/>
        <v/>
      </c>
      <c r="X1197" s="59" t="str">
        <f t="shared" si="148"/>
        <v/>
      </c>
      <c r="AC1197" s="50">
        <f t="shared" si="149"/>
        <v>0</v>
      </c>
      <c r="AD1197" s="43">
        <f t="shared" si="150"/>
        <v>0</v>
      </c>
      <c r="AE1197" s="50">
        <f t="shared" si="151"/>
        <v>0</v>
      </c>
    </row>
    <row r="1198" spans="1:31">
      <c r="A1198" s="59" t="str">
        <f t="shared" si="145"/>
        <v/>
      </c>
      <c r="B1198" s="59" t="str">
        <f t="shared" si="146"/>
        <v/>
      </c>
      <c r="V1198" s="59" t="str">
        <f t="shared" si="147"/>
        <v/>
      </c>
      <c r="W1198" s="59" t="str">
        <f t="shared" si="144"/>
        <v/>
      </c>
      <c r="X1198" s="59" t="str">
        <f t="shared" si="148"/>
        <v/>
      </c>
      <c r="AC1198" s="50">
        <f t="shared" si="149"/>
        <v>0</v>
      </c>
      <c r="AD1198" s="43">
        <f t="shared" si="150"/>
        <v>0</v>
      </c>
      <c r="AE1198" s="50">
        <f t="shared" si="151"/>
        <v>0</v>
      </c>
    </row>
    <row r="1199" spans="1:31">
      <c r="A1199" s="59" t="str">
        <f t="shared" si="145"/>
        <v/>
      </c>
      <c r="B1199" s="59" t="str">
        <f t="shared" si="146"/>
        <v/>
      </c>
      <c r="V1199" s="59" t="str">
        <f t="shared" si="147"/>
        <v/>
      </c>
      <c r="W1199" s="59" t="str">
        <f t="shared" si="144"/>
        <v/>
      </c>
      <c r="X1199" s="59" t="str">
        <f t="shared" si="148"/>
        <v/>
      </c>
      <c r="AC1199" s="50">
        <f t="shared" si="149"/>
        <v>0</v>
      </c>
      <c r="AD1199" s="43">
        <f t="shared" si="150"/>
        <v>0</v>
      </c>
      <c r="AE1199" s="50">
        <f t="shared" si="151"/>
        <v>0</v>
      </c>
    </row>
    <row r="1200" spans="1:31">
      <c r="A1200" s="59" t="str">
        <f t="shared" si="145"/>
        <v/>
      </c>
      <c r="B1200" s="59" t="str">
        <f t="shared" si="146"/>
        <v/>
      </c>
      <c r="V1200" s="59" t="str">
        <f t="shared" si="147"/>
        <v/>
      </c>
      <c r="W1200" s="59" t="str">
        <f t="shared" si="144"/>
        <v/>
      </c>
      <c r="X1200" s="59" t="str">
        <f t="shared" si="148"/>
        <v/>
      </c>
      <c r="AC1200" s="50">
        <f t="shared" si="149"/>
        <v>0</v>
      </c>
      <c r="AD1200" s="43">
        <f t="shared" si="150"/>
        <v>0</v>
      </c>
      <c r="AE1200" s="50">
        <f t="shared" si="151"/>
        <v>0</v>
      </c>
    </row>
    <row r="1201" spans="1:31">
      <c r="A1201" s="59" t="str">
        <f t="shared" si="145"/>
        <v/>
      </c>
      <c r="B1201" s="59" t="str">
        <f t="shared" si="146"/>
        <v/>
      </c>
      <c r="V1201" s="59" t="str">
        <f t="shared" si="147"/>
        <v/>
      </c>
      <c r="W1201" s="59" t="str">
        <f t="shared" si="144"/>
        <v/>
      </c>
      <c r="X1201" s="59" t="str">
        <f t="shared" si="148"/>
        <v/>
      </c>
      <c r="AC1201" s="50">
        <f t="shared" si="149"/>
        <v>0</v>
      </c>
      <c r="AD1201" s="43">
        <f t="shared" si="150"/>
        <v>0</v>
      </c>
      <c r="AE1201" s="50">
        <f t="shared" si="151"/>
        <v>0</v>
      </c>
    </row>
    <row r="1202" spans="1:31">
      <c r="A1202" s="59" t="str">
        <f t="shared" si="145"/>
        <v/>
      </c>
      <c r="B1202" s="59" t="str">
        <f t="shared" si="146"/>
        <v/>
      </c>
      <c r="V1202" s="59" t="str">
        <f t="shared" si="147"/>
        <v/>
      </c>
      <c r="W1202" s="59" t="str">
        <f t="shared" si="144"/>
        <v/>
      </c>
      <c r="X1202" s="59" t="str">
        <f t="shared" si="148"/>
        <v/>
      </c>
      <c r="AC1202" s="50">
        <f t="shared" si="149"/>
        <v>0</v>
      </c>
      <c r="AD1202" s="43">
        <f t="shared" si="150"/>
        <v>0</v>
      </c>
      <c r="AE1202" s="50">
        <f t="shared" si="151"/>
        <v>0</v>
      </c>
    </row>
    <row r="1203" spans="1:31">
      <c r="A1203" s="59" t="str">
        <f t="shared" si="145"/>
        <v/>
      </c>
      <c r="B1203" s="59" t="str">
        <f t="shared" si="146"/>
        <v/>
      </c>
      <c r="V1203" s="59" t="str">
        <f t="shared" si="147"/>
        <v/>
      </c>
      <c r="W1203" s="59" t="str">
        <f t="shared" si="144"/>
        <v/>
      </c>
      <c r="X1203" s="59" t="str">
        <f t="shared" si="148"/>
        <v/>
      </c>
      <c r="AC1203" s="50">
        <f t="shared" si="149"/>
        <v>0</v>
      </c>
      <c r="AD1203" s="43">
        <f t="shared" si="150"/>
        <v>0</v>
      </c>
      <c r="AE1203" s="50">
        <f t="shared" si="151"/>
        <v>0</v>
      </c>
    </row>
    <row r="1204" spans="1:31">
      <c r="A1204" s="59" t="str">
        <f t="shared" si="145"/>
        <v/>
      </c>
      <c r="B1204" s="59" t="str">
        <f t="shared" si="146"/>
        <v/>
      </c>
      <c r="V1204" s="59" t="str">
        <f t="shared" si="147"/>
        <v/>
      </c>
      <c r="W1204" s="59" t="str">
        <f t="shared" si="144"/>
        <v/>
      </c>
      <c r="X1204" s="59" t="str">
        <f t="shared" si="148"/>
        <v/>
      </c>
      <c r="AC1204" s="50">
        <f t="shared" si="149"/>
        <v>0</v>
      </c>
      <c r="AD1204" s="43">
        <f t="shared" si="150"/>
        <v>0</v>
      </c>
      <c r="AE1204" s="50">
        <f t="shared" si="151"/>
        <v>0</v>
      </c>
    </row>
    <row r="1205" spans="1:31">
      <c r="A1205" s="59" t="str">
        <f t="shared" si="145"/>
        <v/>
      </c>
      <c r="B1205" s="59" t="str">
        <f t="shared" si="146"/>
        <v/>
      </c>
      <c r="V1205" s="59" t="str">
        <f t="shared" si="147"/>
        <v/>
      </c>
      <c r="W1205" s="59" t="str">
        <f t="shared" si="144"/>
        <v/>
      </c>
      <c r="X1205" s="59" t="str">
        <f t="shared" si="148"/>
        <v/>
      </c>
      <c r="AC1205" s="50">
        <f t="shared" si="149"/>
        <v>0</v>
      </c>
      <c r="AD1205" s="43">
        <f t="shared" si="150"/>
        <v>0</v>
      </c>
      <c r="AE1205" s="50">
        <f t="shared" si="151"/>
        <v>0</v>
      </c>
    </row>
    <row r="1206" spans="1:31">
      <c r="A1206" s="59" t="str">
        <f t="shared" si="145"/>
        <v/>
      </c>
      <c r="B1206" s="59" t="str">
        <f t="shared" si="146"/>
        <v/>
      </c>
      <c r="V1206" s="59" t="str">
        <f t="shared" si="147"/>
        <v/>
      </c>
      <c r="W1206" s="59" t="str">
        <f t="shared" si="144"/>
        <v/>
      </c>
      <c r="X1206" s="59" t="str">
        <f t="shared" si="148"/>
        <v/>
      </c>
      <c r="AC1206" s="50">
        <f t="shared" si="149"/>
        <v>0</v>
      </c>
      <c r="AD1206" s="43">
        <f t="shared" si="150"/>
        <v>0</v>
      </c>
      <c r="AE1206" s="50">
        <f t="shared" si="151"/>
        <v>0</v>
      </c>
    </row>
    <row r="1207" spans="1:31">
      <c r="A1207" s="59" t="str">
        <f t="shared" si="145"/>
        <v/>
      </c>
      <c r="B1207" s="59" t="str">
        <f t="shared" si="146"/>
        <v/>
      </c>
      <c r="V1207" s="59" t="str">
        <f t="shared" si="147"/>
        <v/>
      </c>
      <c r="W1207" s="59" t="str">
        <f t="shared" si="144"/>
        <v/>
      </c>
      <c r="X1207" s="59" t="str">
        <f t="shared" si="148"/>
        <v/>
      </c>
      <c r="AC1207" s="50">
        <f t="shared" si="149"/>
        <v>0</v>
      </c>
      <c r="AD1207" s="43">
        <f t="shared" si="150"/>
        <v>0</v>
      </c>
      <c r="AE1207" s="50">
        <f t="shared" si="151"/>
        <v>0</v>
      </c>
    </row>
    <row r="1208" spans="1:31">
      <c r="A1208" s="59" t="str">
        <f t="shared" si="145"/>
        <v/>
      </c>
      <c r="B1208" s="59" t="str">
        <f t="shared" si="146"/>
        <v/>
      </c>
      <c r="V1208" s="59" t="str">
        <f t="shared" si="147"/>
        <v/>
      </c>
      <c r="W1208" s="59" t="str">
        <f t="shared" si="144"/>
        <v/>
      </c>
      <c r="X1208" s="59" t="str">
        <f t="shared" si="148"/>
        <v/>
      </c>
      <c r="AC1208" s="50">
        <f t="shared" si="149"/>
        <v>0</v>
      </c>
      <c r="AD1208" s="43">
        <f t="shared" si="150"/>
        <v>0</v>
      </c>
      <c r="AE1208" s="50">
        <f t="shared" si="151"/>
        <v>0</v>
      </c>
    </row>
    <row r="1209" spans="1:31">
      <c r="A1209" s="59" t="str">
        <f t="shared" si="145"/>
        <v/>
      </c>
      <c r="B1209" s="59" t="str">
        <f t="shared" si="146"/>
        <v/>
      </c>
      <c r="V1209" s="59" t="str">
        <f t="shared" si="147"/>
        <v/>
      </c>
      <c r="W1209" s="59" t="str">
        <f t="shared" si="144"/>
        <v/>
      </c>
      <c r="X1209" s="59" t="str">
        <f t="shared" si="148"/>
        <v/>
      </c>
      <c r="AC1209" s="50">
        <f t="shared" si="149"/>
        <v>0</v>
      </c>
      <c r="AD1209" s="43">
        <f t="shared" si="150"/>
        <v>0</v>
      </c>
      <c r="AE1209" s="50">
        <f t="shared" si="151"/>
        <v>0</v>
      </c>
    </row>
    <row r="1210" spans="1:31">
      <c r="A1210" s="59" t="str">
        <f t="shared" si="145"/>
        <v/>
      </c>
      <c r="B1210" s="59" t="str">
        <f t="shared" si="146"/>
        <v/>
      </c>
      <c r="V1210" s="59" t="str">
        <f t="shared" si="147"/>
        <v/>
      </c>
      <c r="W1210" s="59" t="str">
        <f t="shared" si="144"/>
        <v/>
      </c>
      <c r="X1210" s="59" t="str">
        <f t="shared" si="148"/>
        <v/>
      </c>
      <c r="AC1210" s="50">
        <f t="shared" si="149"/>
        <v>0</v>
      </c>
      <c r="AD1210" s="43">
        <f t="shared" si="150"/>
        <v>0</v>
      </c>
      <c r="AE1210" s="50">
        <f t="shared" si="151"/>
        <v>0</v>
      </c>
    </row>
    <row r="1211" spans="1:31">
      <c r="A1211" s="59" t="str">
        <f t="shared" si="145"/>
        <v/>
      </c>
      <c r="B1211" s="59" t="str">
        <f t="shared" si="146"/>
        <v/>
      </c>
      <c r="V1211" s="59" t="str">
        <f t="shared" si="147"/>
        <v/>
      </c>
      <c r="W1211" s="59" t="str">
        <f t="shared" si="144"/>
        <v/>
      </c>
      <c r="X1211" s="59" t="str">
        <f t="shared" si="148"/>
        <v/>
      </c>
      <c r="AC1211" s="50">
        <f t="shared" si="149"/>
        <v>0</v>
      </c>
      <c r="AD1211" s="43">
        <f t="shared" si="150"/>
        <v>0</v>
      </c>
      <c r="AE1211" s="50">
        <f t="shared" si="151"/>
        <v>0</v>
      </c>
    </row>
    <row r="1212" spans="1:31">
      <c r="A1212" s="59" t="str">
        <f t="shared" si="145"/>
        <v/>
      </c>
      <c r="B1212" s="59" t="str">
        <f t="shared" si="146"/>
        <v/>
      </c>
      <c r="V1212" s="59" t="str">
        <f t="shared" si="147"/>
        <v/>
      </c>
      <c r="W1212" s="59" t="str">
        <f t="shared" si="144"/>
        <v/>
      </c>
      <c r="X1212" s="59" t="str">
        <f t="shared" si="148"/>
        <v/>
      </c>
      <c r="AC1212" s="50">
        <f t="shared" si="149"/>
        <v>0</v>
      </c>
      <c r="AD1212" s="43">
        <f t="shared" si="150"/>
        <v>0</v>
      </c>
      <c r="AE1212" s="50">
        <f t="shared" si="151"/>
        <v>0</v>
      </c>
    </row>
    <row r="1213" spans="1:31">
      <c r="A1213" s="59" t="str">
        <f t="shared" si="145"/>
        <v/>
      </c>
      <c r="B1213" s="59" t="str">
        <f t="shared" si="146"/>
        <v/>
      </c>
      <c r="V1213" s="59" t="str">
        <f t="shared" si="147"/>
        <v/>
      </c>
      <c r="W1213" s="59" t="str">
        <f t="shared" si="144"/>
        <v/>
      </c>
      <c r="X1213" s="59" t="str">
        <f t="shared" si="148"/>
        <v/>
      </c>
      <c r="AC1213" s="50">
        <f t="shared" si="149"/>
        <v>0</v>
      </c>
      <c r="AD1213" s="43">
        <f t="shared" si="150"/>
        <v>0</v>
      </c>
      <c r="AE1213" s="50">
        <f t="shared" si="151"/>
        <v>0</v>
      </c>
    </row>
    <row r="1214" spans="1:31">
      <c r="A1214" s="59" t="str">
        <f t="shared" si="145"/>
        <v/>
      </c>
      <c r="B1214" s="59" t="str">
        <f t="shared" si="146"/>
        <v/>
      </c>
      <c r="V1214" s="59" t="str">
        <f t="shared" si="147"/>
        <v/>
      </c>
      <c r="W1214" s="59" t="str">
        <f t="shared" si="144"/>
        <v/>
      </c>
      <c r="X1214" s="59" t="str">
        <f t="shared" si="148"/>
        <v/>
      </c>
      <c r="AC1214" s="50">
        <f t="shared" si="149"/>
        <v>0</v>
      </c>
      <c r="AD1214" s="43">
        <f t="shared" si="150"/>
        <v>0</v>
      </c>
      <c r="AE1214" s="50">
        <f t="shared" si="151"/>
        <v>0</v>
      </c>
    </row>
    <row r="1215" spans="1:31">
      <c r="A1215" s="59" t="str">
        <f t="shared" si="145"/>
        <v/>
      </c>
      <c r="B1215" s="59" t="str">
        <f t="shared" si="146"/>
        <v/>
      </c>
      <c r="V1215" s="59" t="str">
        <f t="shared" si="147"/>
        <v/>
      </c>
      <c r="W1215" s="59" t="str">
        <f t="shared" si="144"/>
        <v/>
      </c>
      <c r="X1215" s="59" t="str">
        <f t="shared" si="148"/>
        <v/>
      </c>
      <c r="AC1215" s="50">
        <f t="shared" si="149"/>
        <v>0</v>
      </c>
      <c r="AD1215" s="43">
        <f t="shared" si="150"/>
        <v>0</v>
      </c>
      <c r="AE1215" s="50">
        <f t="shared" si="151"/>
        <v>0</v>
      </c>
    </row>
    <row r="1216" spans="1:31">
      <c r="A1216" s="59" t="str">
        <f t="shared" si="145"/>
        <v/>
      </c>
      <c r="B1216" s="59" t="str">
        <f t="shared" si="146"/>
        <v/>
      </c>
      <c r="V1216" s="59" t="str">
        <f t="shared" si="147"/>
        <v/>
      </c>
      <c r="W1216" s="59" t="str">
        <f t="shared" si="144"/>
        <v/>
      </c>
      <c r="X1216" s="59" t="str">
        <f t="shared" si="148"/>
        <v/>
      </c>
      <c r="AC1216" s="50">
        <f t="shared" si="149"/>
        <v>0</v>
      </c>
      <c r="AD1216" s="43">
        <f t="shared" si="150"/>
        <v>0</v>
      </c>
      <c r="AE1216" s="50">
        <f t="shared" si="151"/>
        <v>0</v>
      </c>
    </row>
    <row r="1217" spans="1:31">
      <c r="A1217" s="59" t="str">
        <f t="shared" si="145"/>
        <v/>
      </c>
      <c r="B1217" s="59" t="str">
        <f t="shared" si="146"/>
        <v/>
      </c>
      <c r="V1217" s="59" t="str">
        <f t="shared" si="147"/>
        <v/>
      </c>
      <c r="W1217" s="59" t="str">
        <f t="shared" si="144"/>
        <v/>
      </c>
      <c r="X1217" s="59" t="str">
        <f t="shared" si="148"/>
        <v/>
      </c>
      <c r="AC1217" s="50">
        <f t="shared" si="149"/>
        <v>0</v>
      </c>
      <c r="AD1217" s="43">
        <f t="shared" si="150"/>
        <v>0</v>
      </c>
      <c r="AE1217" s="50">
        <f t="shared" si="151"/>
        <v>0</v>
      </c>
    </row>
    <row r="1218" spans="1:31">
      <c r="A1218" s="59" t="str">
        <f t="shared" si="145"/>
        <v/>
      </c>
      <c r="B1218" s="59" t="str">
        <f t="shared" si="146"/>
        <v/>
      </c>
      <c r="V1218" s="59" t="str">
        <f t="shared" si="147"/>
        <v/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59" t="str">
        <f t="shared" si="148"/>
        <v/>
      </c>
      <c r="AC1218" s="50">
        <f t="shared" si="149"/>
        <v>0</v>
      </c>
      <c r="AD1218" s="43">
        <f t="shared" si="150"/>
        <v>0</v>
      </c>
      <c r="AE1218" s="50">
        <f t="shared" si="151"/>
        <v>0</v>
      </c>
    </row>
    <row r="1219" spans="1:31">
      <c r="A1219" s="59" t="str">
        <f t="shared" ref="A1219:A1282" si="153">IF(G1219&amp;Q1219&lt;&gt;"",W1219&amp;Q1219,"")</f>
        <v/>
      </c>
      <c r="B1219" s="59" t="str">
        <f t="shared" ref="B1219:B1282" si="154">IF(C1219&lt;&gt;"",LEFT(C1219,9),"")</f>
        <v/>
      </c>
      <c r="V1219" s="59" t="str">
        <f t="shared" ref="V1219:V1282" si="155">W1219&amp;H1219</f>
        <v/>
      </c>
      <c r="W1219" s="59" t="str">
        <f t="shared" si="152"/>
        <v/>
      </c>
      <c r="X1219" s="59" t="str">
        <f t="shared" ref="X1219:X1282" si="156">IF(A1219&lt;&gt;"",IFERROR(IF(FIND(" ",G1219)&gt;=1,MID(G1219,FIND(" ",G1219)+1,LEN(G1219)),""),""),"")</f>
        <v/>
      </c>
      <c r="AC1219" s="50">
        <f t="shared" ref="AC1219:AC1282" si="157">IFERROR(VALUE(MID($C1219,1,2)),0)</f>
        <v>0</v>
      </c>
      <c r="AD1219" s="43">
        <f t="shared" ref="AD1219:AD1282" si="158">IFERROR(VALUE(MID($C1219,4,3)),0)</f>
        <v>0</v>
      </c>
      <c r="AE1219" s="50">
        <f t="shared" ref="AE1219:AE1282" si="159">VALUE(RIGHT("00"&amp;AC1219,2)&amp;RIGHT("000"&amp;AD1219,3))</f>
        <v>0</v>
      </c>
    </row>
    <row r="1220" spans="1:31">
      <c r="A1220" s="59" t="str">
        <f t="shared" si="153"/>
        <v/>
      </c>
      <c r="B1220" s="59" t="str">
        <f t="shared" si="154"/>
        <v/>
      </c>
      <c r="V1220" s="59" t="str">
        <f t="shared" si="155"/>
        <v/>
      </c>
      <c r="W1220" s="59" t="str">
        <f t="shared" si="152"/>
        <v/>
      </c>
      <c r="X1220" s="59" t="str">
        <f t="shared" si="156"/>
        <v/>
      </c>
      <c r="AC1220" s="50">
        <f t="shared" si="157"/>
        <v>0</v>
      </c>
      <c r="AD1220" s="43">
        <f t="shared" si="158"/>
        <v>0</v>
      </c>
      <c r="AE1220" s="50">
        <f t="shared" si="159"/>
        <v>0</v>
      </c>
    </row>
    <row r="1221" spans="1:31">
      <c r="A1221" s="59" t="str">
        <f t="shared" si="153"/>
        <v/>
      </c>
      <c r="B1221" s="59" t="str">
        <f t="shared" si="154"/>
        <v/>
      </c>
      <c r="V1221" s="59" t="str">
        <f t="shared" si="155"/>
        <v/>
      </c>
      <c r="W1221" s="59" t="str">
        <f t="shared" si="152"/>
        <v/>
      </c>
      <c r="X1221" s="59" t="str">
        <f t="shared" si="156"/>
        <v/>
      </c>
      <c r="AC1221" s="50">
        <f t="shared" si="157"/>
        <v>0</v>
      </c>
      <c r="AD1221" s="43">
        <f t="shared" si="158"/>
        <v>0</v>
      </c>
      <c r="AE1221" s="50">
        <f t="shared" si="159"/>
        <v>0</v>
      </c>
    </row>
    <row r="1222" spans="1:31">
      <c r="A1222" s="59" t="str">
        <f t="shared" si="153"/>
        <v/>
      </c>
      <c r="B1222" s="59" t="str">
        <f t="shared" si="154"/>
        <v/>
      </c>
      <c r="V1222" s="59" t="str">
        <f t="shared" si="155"/>
        <v/>
      </c>
      <c r="W1222" s="59" t="str">
        <f t="shared" si="152"/>
        <v/>
      </c>
      <c r="X1222" s="59" t="str">
        <f t="shared" si="156"/>
        <v/>
      </c>
      <c r="AC1222" s="50">
        <f t="shared" si="157"/>
        <v>0</v>
      </c>
      <c r="AD1222" s="43">
        <f t="shared" si="158"/>
        <v>0</v>
      </c>
      <c r="AE1222" s="50">
        <f t="shared" si="159"/>
        <v>0</v>
      </c>
    </row>
    <row r="1223" spans="1:31">
      <c r="A1223" s="59" t="str">
        <f t="shared" si="153"/>
        <v/>
      </c>
      <c r="B1223" s="59" t="str">
        <f t="shared" si="154"/>
        <v/>
      </c>
      <c r="V1223" s="59" t="str">
        <f t="shared" si="155"/>
        <v/>
      </c>
      <c r="W1223" s="59" t="str">
        <f t="shared" si="152"/>
        <v/>
      </c>
      <c r="X1223" s="59" t="str">
        <f t="shared" si="156"/>
        <v/>
      </c>
      <c r="AC1223" s="50">
        <f t="shared" si="157"/>
        <v>0</v>
      </c>
      <c r="AD1223" s="43">
        <f t="shared" si="158"/>
        <v>0</v>
      </c>
      <c r="AE1223" s="50">
        <f t="shared" si="159"/>
        <v>0</v>
      </c>
    </row>
    <row r="1224" spans="1:31">
      <c r="A1224" s="59" t="str">
        <f t="shared" si="153"/>
        <v/>
      </c>
      <c r="B1224" s="59" t="str">
        <f t="shared" si="154"/>
        <v/>
      </c>
      <c r="V1224" s="59" t="str">
        <f t="shared" si="155"/>
        <v/>
      </c>
      <c r="W1224" s="59" t="str">
        <f t="shared" si="152"/>
        <v/>
      </c>
      <c r="X1224" s="59" t="str">
        <f t="shared" si="156"/>
        <v/>
      </c>
      <c r="AC1224" s="50">
        <f t="shared" si="157"/>
        <v>0</v>
      </c>
      <c r="AD1224" s="43">
        <f t="shared" si="158"/>
        <v>0</v>
      </c>
      <c r="AE1224" s="50">
        <f t="shared" si="159"/>
        <v>0</v>
      </c>
    </row>
    <row r="1225" spans="1:31">
      <c r="A1225" s="59" t="str">
        <f t="shared" si="153"/>
        <v/>
      </c>
      <c r="B1225" s="59" t="str">
        <f t="shared" si="154"/>
        <v/>
      </c>
      <c r="V1225" s="59" t="str">
        <f t="shared" si="155"/>
        <v/>
      </c>
      <c r="W1225" s="59" t="str">
        <f t="shared" si="152"/>
        <v/>
      </c>
      <c r="X1225" s="59" t="str">
        <f t="shared" si="156"/>
        <v/>
      </c>
      <c r="AC1225" s="50">
        <f t="shared" si="157"/>
        <v>0</v>
      </c>
      <c r="AD1225" s="43">
        <f t="shared" si="158"/>
        <v>0</v>
      </c>
      <c r="AE1225" s="50">
        <f t="shared" si="159"/>
        <v>0</v>
      </c>
    </row>
    <row r="1226" spans="1:31">
      <c r="A1226" s="59" t="str">
        <f t="shared" si="153"/>
        <v/>
      </c>
      <c r="B1226" s="59" t="str">
        <f t="shared" si="154"/>
        <v/>
      </c>
      <c r="V1226" s="59" t="str">
        <f t="shared" si="155"/>
        <v/>
      </c>
      <c r="W1226" s="59" t="str">
        <f t="shared" si="152"/>
        <v/>
      </c>
      <c r="X1226" s="59" t="str">
        <f t="shared" si="156"/>
        <v/>
      </c>
      <c r="AC1226" s="50">
        <f t="shared" si="157"/>
        <v>0</v>
      </c>
      <c r="AD1226" s="43">
        <f t="shared" si="158"/>
        <v>0</v>
      </c>
      <c r="AE1226" s="50">
        <f t="shared" si="159"/>
        <v>0</v>
      </c>
    </row>
    <row r="1227" spans="1:31">
      <c r="A1227" s="59" t="str">
        <f t="shared" si="153"/>
        <v/>
      </c>
      <c r="B1227" s="59" t="str">
        <f t="shared" si="154"/>
        <v/>
      </c>
      <c r="V1227" s="59" t="str">
        <f t="shared" si="155"/>
        <v/>
      </c>
      <c r="W1227" s="59" t="str">
        <f t="shared" si="152"/>
        <v/>
      </c>
      <c r="X1227" s="59" t="str">
        <f t="shared" si="156"/>
        <v/>
      </c>
      <c r="AC1227" s="50">
        <f t="shared" si="157"/>
        <v>0</v>
      </c>
      <c r="AD1227" s="43">
        <f t="shared" si="158"/>
        <v>0</v>
      </c>
      <c r="AE1227" s="50">
        <f t="shared" si="159"/>
        <v>0</v>
      </c>
    </row>
    <row r="1228" spans="1:31">
      <c r="A1228" s="59" t="str">
        <f t="shared" si="153"/>
        <v/>
      </c>
      <c r="B1228" s="59" t="str">
        <f t="shared" si="154"/>
        <v/>
      </c>
      <c r="V1228" s="59" t="str">
        <f t="shared" si="155"/>
        <v/>
      </c>
      <c r="W1228" s="59" t="str">
        <f t="shared" si="152"/>
        <v/>
      </c>
      <c r="X1228" s="59" t="str">
        <f t="shared" si="156"/>
        <v/>
      </c>
      <c r="AC1228" s="50">
        <f t="shared" si="157"/>
        <v>0</v>
      </c>
      <c r="AD1228" s="43">
        <f t="shared" si="158"/>
        <v>0</v>
      </c>
      <c r="AE1228" s="50">
        <f t="shared" si="159"/>
        <v>0</v>
      </c>
    </row>
    <row r="1229" spans="1:31">
      <c r="A1229" s="59" t="str">
        <f t="shared" si="153"/>
        <v/>
      </c>
      <c r="B1229" s="59" t="str">
        <f t="shared" si="154"/>
        <v/>
      </c>
      <c r="V1229" s="59" t="str">
        <f t="shared" si="155"/>
        <v/>
      </c>
      <c r="W1229" s="59" t="str">
        <f t="shared" si="152"/>
        <v/>
      </c>
      <c r="X1229" s="59" t="str">
        <f t="shared" si="156"/>
        <v/>
      </c>
      <c r="AC1229" s="50">
        <f t="shared" si="157"/>
        <v>0</v>
      </c>
      <c r="AD1229" s="43">
        <f t="shared" si="158"/>
        <v>0</v>
      </c>
      <c r="AE1229" s="50">
        <f t="shared" si="159"/>
        <v>0</v>
      </c>
    </row>
    <row r="1230" spans="1:31">
      <c r="A1230" s="59" t="str">
        <f t="shared" si="153"/>
        <v/>
      </c>
      <c r="B1230" s="59" t="str">
        <f t="shared" si="154"/>
        <v/>
      </c>
      <c r="V1230" s="59" t="str">
        <f t="shared" si="155"/>
        <v/>
      </c>
      <c r="W1230" s="59" t="str">
        <f t="shared" si="152"/>
        <v/>
      </c>
      <c r="X1230" s="59" t="str">
        <f t="shared" si="156"/>
        <v/>
      </c>
      <c r="AC1230" s="50">
        <f t="shared" si="157"/>
        <v>0</v>
      </c>
      <c r="AD1230" s="43">
        <f t="shared" si="158"/>
        <v>0</v>
      </c>
      <c r="AE1230" s="50">
        <f t="shared" si="159"/>
        <v>0</v>
      </c>
    </row>
    <row r="1231" spans="1:31">
      <c r="A1231" s="59" t="str">
        <f t="shared" si="153"/>
        <v/>
      </c>
      <c r="B1231" s="59" t="str">
        <f t="shared" si="154"/>
        <v/>
      </c>
      <c r="V1231" s="59" t="str">
        <f t="shared" si="155"/>
        <v/>
      </c>
      <c r="W1231" s="59" t="str">
        <f t="shared" si="152"/>
        <v/>
      </c>
      <c r="X1231" s="59" t="str">
        <f t="shared" si="156"/>
        <v/>
      </c>
      <c r="AC1231" s="50">
        <f t="shared" si="157"/>
        <v>0</v>
      </c>
      <c r="AD1231" s="43">
        <f t="shared" si="158"/>
        <v>0</v>
      </c>
      <c r="AE1231" s="50">
        <f t="shared" si="159"/>
        <v>0</v>
      </c>
    </row>
    <row r="1232" spans="1:31">
      <c r="A1232" s="59" t="str">
        <f t="shared" si="153"/>
        <v/>
      </c>
      <c r="B1232" s="59" t="str">
        <f t="shared" si="154"/>
        <v/>
      </c>
      <c r="V1232" s="59" t="str">
        <f t="shared" si="155"/>
        <v/>
      </c>
      <c r="W1232" s="59" t="str">
        <f t="shared" si="152"/>
        <v/>
      </c>
      <c r="X1232" s="59" t="str">
        <f t="shared" si="156"/>
        <v/>
      </c>
      <c r="AC1232" s="50">
        <f t="shared" si="157"/>
        <v>0</v>
      </c>
      <c r="AD1232" s="43">
        <f t="shared" si="158"/>
        <v>0</v>
      </c>
      <c r="AE1232" s="50">
        <f t="shared" si="159"/>
        <v>0</v>
      </c>
    </row>
    <row r="1233" spans="1:31">
      <c r="A1233" s="59" t="str">
        <f t="shared" si="153"/>
        <v/>
      </c>
      <c r="B1233" s="59" t="str">
        <f t="shared" si="154"/>
        <v/>
      </c>
      <c r="V1233" s="59" t="str">
        <f t="shared" si="155"/>
        <v/>
      </c>
      <c r="W1233" s="59" t="str">
        <f t="shared" si="152"/>
        <v/>
      </c>
      <c r="X1233" s="59" t="str">
        <f t="shared" si="156"/>
        <v/>
      </c>
      <c r="AC1233" s="50">
        <f t="shared" si="157"/>
        <v>0</v>
      </c>
      <c r="AD1233" s="43">
        <f t="shared" si="158"/>
        <v>0</v>
      </c>
      <c r="AE1233" s="50">
        <f t="shared" si="159"/>
        <v>0</v>
      </c>
    </row>
    <row r="1234" spans="1:31">
      <c r="A1234" s="59" t="str">
        <f t="shared" si="153"/>
        <v/>
      </c>
      <c r="B1234" s="59" t="str">
        <f t="shared" si="154"/>
        <v/>
      </c>
      <c r="V1234" s="59" t="str">
        <f t="shared" si="155"/>
        <v/>
      </c>
      <c r="W1234" s="59" t="str">
        <f t="shared" si="152"/>
        <v/>
      </c>
      <c r="X1234" s="59" t="str">
        <f t="shared" si="156"/>
        <v/>
      </c>
      <c r="AC1234" s="50">
        <f t="shared" si="157"/>
        <v>0</v>
      </c>
      <c r="AD1234" s="43">
        <f t="shared" si="158"/>
        <v>0</v>
      </c>
      <c r="AE1234" s="50">
        <f t="shared" si="159"/>
        <v>0</v>
      </c>
    </row>
    <row r="1235" spans="1:31">
      <c r="A1235" s="59" t="str">
        <f t="shared" si="153"/>
        <v/>
      </c>
      <c r="B1235" s="59" t="str">
        <f t="shared" si="154"/>
        <v/>
      </c>
      <c r="V1235" s="59" t="str">
        <f t="shared" si="155"/>
        <v/>
      </c>
      <c r="W1235" s="59" t="str">
        <f t="shared" si="152"/>
        <v/>
      </c>
      <c r="X1235" s="59" t="str">
        <f t="shared" si="156"/>
        <v/>
      </c>
      <c r="AC1235" s="50">
        <f t="shared" si="157"/>
        <v>0</v>
      </c>
      <c r="AD1235" s="43">
        <f t="shared" si="158"/>
        <v>0</v>
      </c>
      <c r="AE1235" s="50">
        <f t="shared" si="159"/>
        <v>0</v>
      </c>
    </row>
    <row r="1236" spans="1:31">
      <c r="A1236" s="59" t="str">
        <f t="shared" si="153"/>
        <v/>
      </c>
      <c r="B1236" s="59" t="str">
        <f t="shared" si="154"/>
        <v/>
      </c>
      <c r="V1236" s="59" t="str">
        <f t="shared" si="155"/>
        <v/>
      </c>
      <c r="W1236" s="59" t="str">
        <f t="shared" si="152"/>
        <v/>
      </c>
      <c r="X1236" s="59" t="str">
        <f t="shared" si="156"/>
        <v/>
      </c>
      <c r="AC1236" s="50">
        <f t="shared" si="157"/>
        <v>0</v>
      </c>
      <c r="AD1236" s="43">
        <f t="shared" si="158"/>
        <v>0</v>
      </c>
      <c r="AE1236" s="50">
        <f t="shared" si="159"/>
        <v>0</v>
      </c>
    </row>
    <row r="1237" spans="1:31">
      <c r="A1237" s="59" t="str">
        <f t="shared" si="153"/>
        <v/>
      </c>
      <c r="B1237" s="59" t="str">
        <f t="shared" si="154"/>
        <v/>
      </c>
      <c r="V1237" s="59" t="str">
        <f t="shared" si="155"/>
        <v/>
      </c>
      <c r="W1237" s="59" t="str">
        <f t="shared" si="152"/>
        <v/>
      </c>
      <c r="X1237" s="59" t="str">
        <f t="shared" si="156"/>
        <v/>
      </c>
      <c r="AC1237" s="50">
        <f t="shared" si="157"/>
        <v>0</v>
      </c>
      <c r="AD1237" s="43">
        <f t="shared" si="158"/>
        <v>0</v>
      </c>
      <c r="AE1237" s="50">
        <f t="shared" si="159"/>
        <v>0</v>
      </c>
    </row>
    <row r="1238" spans="1:31">
      <c r="A1238" s="59" t="str">
        <f t="shared" si="153"/>
        <v/>
      </c>
      <c r="B1238" s="59" t="str">
        <f t="shared" si="154"/>
        <v/>
      </c>
      <c r="V1238" s="59" t="str">
        <f t="shared" si="155"/>
        <v/>
      </c>
      <c r="W1238" s="59" t="str">
        <f t="shared" si="152"/>
        <v/>
      </c>
      <c r="X1238" s="59" t="str">
        <f t="shared" si="156"/>
        <v/>
      </c>
      <c r="AC1238" s="50">
        <f t="shared" si="157"/>
        <v>0</v>
      </c>
      <c r="AD1238" s="43">
        <f t="shared" si="158"/>
        <v>0</v>
      </c>
      <c r="AE1238" s="50">
        <f t="shared" si="159"/>
        <v>0</v>
      </c>
    </row>
    <row r="1239" spans="1:31">
      <c r="A1239" s="59" t="str">
        <f t="shared" si="153"/>
        <v/>
      </c>
      <c r="B1239" s="59" t="str">
        <f t="shared" si="154"/>
        <v/>
      </c>
      <c r="V1239" s="59" t="str">
        <f t="shared" si="155"/>
        <v/>
      </c>
      <c r="W1239" s="59" t="str">
        <f t="shared" si="152"/>
        <v/>
      </c>
      <c r="X1239" s="59" t="str">
        <f t="shared" si="156"/>
        <v/>
      </c>
      <c r="AC1239" s="50">
        <f t="shared" si="157"/>
        <v>0</v>
      </c>
      <c r="AD1239" s="43">
        <f t="shared" si="158"/>
        <v>0</v>
      </c>
      <c r="AE1239" s="50">
        <f t="shared" si="159"/>
        <v>0</v>
      </c>
    </row>
    <row r="1240" spans="1:31">
      <c r="A1240" s="59" t="str">
        <f t="shared" si="153"/>
        <v/>
      </c>
      <c r="B1240" s="59" t="str">
        <f t="shared" si="154"/>
        <v/>
      </c>
      <c r="V1240" s="59" t="str">
        <f t="shared" si="155"/>
        <v/>
      </c>
      <c r="W1240" s="59" t="str">
        <f t="shared" si="152"/>
        <v/>
      </c>
      <c r="X1240" s="59" t="str">
        <f t="shared" si="156"/>
        <v/>
      </c>
      <c r="AC1240" s="50">
        <f t="shared" si="157"/>
        <v>0</v>
      </c>
      <c r="AD1240" s="43">
        <f t="shared" si="158"/>
        <v>0</v>
      </c>
      <c r="AE1240" s="50">
        <f t="shared" si="159"/>
        <v>0</v>
      </c>
    </row>
    <row r="1241" spans="1:31">
      <c r="A1241" s="59" t="str">
        <f t="shared" si="153"/>
        <v/>
      </c>
      <c r="B1241" s="59" t="str">
        <f t="shared" si="154"/>
        <v/>
      </c>
      <c r="V1241" s="59" t="str">
        <f t="shared" si="155"/>
        <v/>
      </c>
      <c r="W1241" s="59" t="str">
        <f t="shared" si="152"/>
        <v/>
      </c>
      <c r="X1241" s="59" t="str">
        <f t="shared" si="156"/>
        <v/>
      </c>
      <c r="AC1241" s="50">
        <f t="shared" si="157"/>
        <v>0</v>
      </c>
      <c r="AD1241" s="43">
        <f t="shared" si="158"/>
        <v>0</v>
      </c>
      <c r="AE1241" s="50">
        <f t="shared" si="159"/>
        <v>0</v>
      </c>
    </row>
    <row r="1242" spans="1:31">
      <c r="A1242" s="59" t="str">
        <f t="shared" si="153"/>
        <v/>
      </c>
      <c r="B1242" s="59" t="str">
        <f t="shared" si="154"/>
        <v/>
      </c>
      <c r="V1242" s="59" t="str">
        <f t="shared" si="155"/>
        <v/>
      </c>
      <c r="W1242" s="59" t="str">
        <f t="shared" si="152"/>
        <v/>
      </c>
      <c r="X1242" s="59" t="str">
        <f t="shared" si="156"/>
        <v/>
      </c>
      <c r="AC1242" s="50">
        <f t="shared" si="157"/>
        <v>0</v>
      </c>
      <c r="AD1242" s="43">
        <f t="shared" si="158"/>
        <v>0</v>
      </c>
      <c r="AE1242" s="50">
        <f t="shared" si="159"/>
        <v>0</v>
      </c>
    </row>
    <row r="1243" spans="1:31">
      <c r="A1243" s="59" t="str">
        <f t="shared" si="153"/>
        <v/>
      </c>
      <c r="B1243" s="59" t="str">
        <f t="shared" si="154"/>
        <v/>
      </c>
      <c r="V1243" s="59" t="str">
        <f t="shared" si="155"/>
        <v/>
      </c>
      <c r="W1243" s="59" t="str">
        <f t="shared" si="152"/>
        <v/>
      </c>
      <c r="X1243" s="59" t="str">
        <f t="shared" si="156"/>
        <v/>
      </c>
      <c r="AC1243" s="50">
        <f t="shared" si="157"/>
        <v>0</v>
      </c>
      <c r="AD1243" s="43">
        <f t="shared" si="158"/>
        <v>0</v>
      </c>
      <c r="AE1243" s="50">
        <f t="shared" si="159"/>
        <v>0</v>
      </c>
    </row>
    <row r="1244" spans="1:31">
      <c r="A1244" s="59" t="str">
        <f t="shared" si="153"/>
        <v/>
      </c>
      <c r="B1244" s="59" t="str">
        <f t="shared" si="154"/>
        <v/>
      </c>
      <c r="V1244" s="59" t="str">
        <f t="shared" si="155"/>
        <v/>
      </c>
      <c r="W1244" s="59" t="str">
        <f t="shared" si="152"/>
        <v/>
      </c>
      <c r="X1244" s="59" t="str">
        <f t="shared" si="156"/>
        <v/>
      </c>
      <c r="AC1244" s="50">
        <f t="shared" si="157"/>
        <v>0</v>
      </c>
      <c r="AD1244" s="43">
        <f t="shared" si="158"/>
        <v>0</v>
      </c>
      <c r="AE1244" s="50">
        <f t="shared" si="159"/>
        <v>0</v>
      </c>
    </row>
    <row r="1245" spans="1:31">
      <c r="A1245" s="59" t="str">
        <f t="shared" si="153"/>
        <v/>
      </c>
      <c r="B1245" s="59" t="str">
        <f t="shared" si="154"/>
        <v/>
      </c>
      <c r="V1245" s="59" t="str">
        <f t="shared" si="155"/>
        <v/>
      </c>
      <c r="W1245" s="59" t="str">
        <f t="shared" si="152"/>
        <v/>
      </c>
      <c r="X1245" s="59" t="str">
        <f t="shared" si="156"/>
        <v/>
      </c>
      <c r="AC1245" s="50">
        <f t="shared" si="157"/>
        <v>0</v>
      </c>
      <c r="AD1245" s="43">
        <f t="shared" si="158"/>
        <v>0</v>
      </c>
      <c r="AE1245" s="50">
        <f t="shared" si="159"/>
        <v>0</v>
      </c>
    </row>
    <row r="1246" spans="1:31">
      <c r="A1246" s="59" t="str">
        <f t="shared" si="153"/>
        <v/>
      </c>
      <c r="B1246" s="59" t="str">
        <f t="shared" si="154"/>
        <v/>
      </c>
      <c r="V1246" s="59" t="str">
        <f t="shared" si="155"/>
        <v/>
      </c>
      <c r="W1246" s="59" t="str">
        <f t="shared" si="152"/>
        <v/>
      </c>
      <c r="X1246" s="59" t="str">
        <f t="shared" si="156"/>
        <v/>
      </c>
      <c r="AC1246" s="50">
        <f t="shared" si="157"/>
        <v>0</v>
      </c>
      <c r="AD1246" s="43">
        <f t="shared" si="158"/>
        <v>0</v>
      </c>
      <c r="AE1246" s="50">
        <f t="shared" si="159"/>
        <v>0</v>
      </c>
    </row>
    <row r="1247" spans="1:31">
      <c r="A1247" s="59" t="str">
        <f t="shared" si="153"/>
        <v/>
      </c>
      <c r="B1247" s="59" t="str">
        <f t="shared" si="154"/>
        <v/>
      </c>
      <c r="V1247" s="59" t="str">
        <f t="shared" si="155"/>
        <v/>
      </c>
      <c r="W1247" s="59" t="str">
        <f t="shared" si="152"/>
        <v/>
      </c>
      <c r="X1247" s="59" t="str">
        <f t="shared" si="156"/>
        <v/>
      </c>
      <c r="AC1247" s="50">
        <f t="shared" si="157"/>
        <v>0</v>
      </c>
      <c r="AD1247" s="43">
        <f t="shared" si="158"/>
        <v>0</v>
      </c>
      <c r="AE1247" s="50">
        <f t="shared" si="159"/>
        <v>0</v>
      </c>
    </row>
    <row r="1248" spans="1:31">
      <c r="A1248" s="59" t="str">
        <f t="shared" si="153"/>
        <v/>
      </c>
      <c r="B1248" s="59" t="str">
        <f t="shared" si="154"/>
        <v/>
      </c>
      <c r="V1248" s="59" t="str">
        <f t="shared" si="155"/>
        <v/>
      </c>
      <c r="W1248" s="59" t="str">
        <f t="shared" si="152"/>
        <v/>
      </c>
      <c r="X1248" s="59" t="str">
        <f t="shared" si="156"/>
        <v/>
      </c>
      <c r="AC1248" s="50">
        <f t="shared" si="157"/>
        <v>0</v>
      </c>
      <c r="AD1248" s="43">
        <f t="shared" si="158"/>
        <v>0</v>
      </c>
      <c r="AE1248" s="50">
        <f t="shared" si="159"/>
        <v>0</v>
      </c>
    </row>
    <row r="1249" spans="1:31">
      <c r="A1249" s="59" t="str">
        <f t="shared" si="153"/>
        <v/>
      </c>
      <c r="B1249" s="59" t="str">
        <f t="shared" si="154"/>
        <v/>
      </c>
      <c r="V1249" s="59" t="str">
        <f t="shared" si="155"/>
        <v/>
      </c>
      <c r="W1249" s="59" t="str">
        <f t="shared" si="152"/>
        <v/>
      </c>
      <c r="X1249" s="59" t="str">
        <f t="shared" si="156"/>
        <v/>
      </c>
      <c r="AC1249" s="50">
        <f t="shared" si="157"/>
        <v>0</v>
      </c>
      <c r="AD1249" s="43">
        <f t="shared" si="158"/>
        <v>0</v>
      </c>
      <c r="AE1249" s="50">
        <f t="shared" si="159"/>
        <v>0</v>
      </c>
    </row>
    <row r="1250" spans="1:31">
      <c r="A1250" s="59" t="str">
        <f t="shared" si="153"/>
        <v/>
      </c>
      <c r="B1250" s="59" t="str">
        <f t="shared" si="154"/>
        <v/>
      </c>
      <c r="V1250" s="59" t="str">
        <f t="shared" si="155"/>
        <v/>
      </c>
      <c r="W1250" s="59" t="str">
        <f t="shared" si="152"/>
        <v/>
      </c>
      <c r="X1250" s="59" t="str">
        <f t="shared" si="156"/>
        <v/>
      </c>
      <c r="AC1250" s="50">
        <f t="shared" si="157"/>
        <v>0</v>
      </c>
      <c r="AD1250" s="43">
        <f t="shared" si="158"/>
        <v>0</v>
      </c>
      <c r="AE1250" s="50">
        <f t="shared" si="159"/>
        <v>0</v>
      </c>
    </row>
    <row r="1251" spans="1:31">
      <c r="A1251" s="59" t="str">
        <f t="shared" si="153"/>
        <v/>
      </c>
      <c r="B1251" s="59" t="str">
        <f t="shared" si="154"/>
        <v/>
      </c>
      <c r="V1251" s="59" t="str">
        <f t="shared" si="155"/>
        <v/>
      </c>
      <c r="W1251" s="59" t="str">
        <f t="shared" si="152"/>
        <v/>
      </c>
      <c r="X1251" s="59" t="str">
        <f t="shared" si="156"/>
        <v/>
      </c>
      <c r="AC1251" s="50">
        <f t="shared" si="157"/>
        <v>0</v>
      </c>
      <c r="AD1251" s="43">
        <f t="shared" si="158"/>
        <v>0</v>
      </c>
      <c r="AE1251" s="50">
        <f t="shared" si="159"/>
        <v>0</v>
      </c>
    </row>
    <row r="1252" spans="1:31">
      <c r="A1252" s="59" t="str">
        <f t="shared" si="153"/>
        <v/>
      </c>
      <c r="B1252" s="59" t="str">
        <f t="shared" si="154"/>
        <v/>
      </c>
      <c r="V1252" s="59" t="str">
        <f t="shared" si="155"/>
        <v/>
      </c>
      <c r="W1252" s="59" t="str">
        <f t="shared" si="152"/>
        <v/>
      </c>
      <c r="X1252" s="59" t="str">
        <f t="shared" si="156"/>
        <v/>
      </c>
      <c r="AC1252" s="50">
        <f t="shared" si="157"/>
        <v>0</v>
      </c>
      <c r="AD1252" s="43">
        <f t="shared" si="158"/>
        <v>0</v>
      </c>
      <c r="AE1252" s="50">
        <f t="shared" si="159"/>
        <v>0</v>
      </c>
    </row>
    <row r="1253" spans="1:31">
      <c r="A1253" s="59" t="str">
        <f t="shared" si="153"/>
        <v/>
      </c>
      <c r="B1253" s="59" t="str">
        <f t="shared" si="154"/>
        <v/>
      </c>
      <c r="V1253" s="59" t="str">
        <f t="shared" si="155"/>
        <v/>
      </c>
      <c r="W1253" s="59" t="str">
        <f t="shared" si="152"/>
        <v/>
      </c>
      <c r="X1253" s="59" t="str">
        <f t="shared" si="156"/>
        <v/>
      </c>
      <c r="AC1253" s="50">
        <f t="shared" si="157"/>
        <v>0</v>
      </c>
      <c r="AD1253" s="43">
        <f t="shared" si="158"/>
        <v>0</v>
      </c>
      <c r="AE1253" s="50">
        <f t="shared" si="159"/>
        <v>0</v>
      </c>
    </row>
    <row r="1254" spans="1:31">
      <c r="A1254" s="59" t="str">
        <f t="shared" si="153"/>
        <v/>
      </c>
      <c r="B1254" s="59" t="str">
        <f t="shared" si="154"/>
        <v/>
      </c>
      <c r="V1254" s="59" t="str">
        <f t="shared" si="155"/>
        <v/>
      </c>
      <c r="W1254" s="59" t="str">
        <f t="shared" si="152"/>
        <v/>
      </c>
      <c r="X1254" s="59" t="str">
        <f t="shared" si="156"/>
        <v/>
      </c>
      <c r="AC1254" s="50">
        <f t="shared" si="157"/>
        <v>0</v>
      </c>
      <c r="AD1254" s="43">
        <f t="shared" si="158"/>
        <v>0</v>
      </c>
      <c r="AE1254" s="50">
        <f t="shared" si="159"/>
        <v>0</v>
      </c>
    </row>
    <row r="1255" spans="1:31">
      <c r="A1255" s="59" t="str">
        <f t="shared" si="153"/>
        <v/>
      </c>
      <c r="B1255" s="59" t="str">
        <f t="shared" si="154"/>
        <v/>
      </c>
      <c r="V1255" s="59" t="str">
        <f t="shared" si="155"/>
        <v/>
      </c>
      <c r="W1255" s="59" t="str">
        <f t="shared" si="152"/>
        <v/>
      </c>
      <c r="X1255" s="59" t="str">
        <f t="shared" si="156"/>
        <v/>
      </c>
      <c r="AC1255" s="50">
        <f t="shared" si="157"/>
        <v>0</v>
      </c>
      <c r="AD1255" s="43">
        <f t="shared" si="158"/>
        <v>0</v>
      </c>
      <c r="AE1255" s="50">
        <f t="shared" si="159"/>
        <v>0</v>
      </c>
    </row>
    <row r="1256" spans="1:31">
      <c r="A1256" s="59" t="str">
        <f t="shared" si="153"/>
        <v/>
      </c>
      <c r="B1256" s="59" t="str">
        <f t="shared" si="154"/>
        <v/>
      </c>
      <c r="V1256" s="59" t="str">
        <f t="shared" si="155"/>
        <v/>
      </c>
      <c r="W1256" s="59" t="str">
        <f t="shared" si="152"/>
        <v/>
      </c>
      <c r="X1256" s="59" t="str">
        <f t="shared" si="156"/>
        <v/>
      </c>
      <c r="AC1256" s="50">
        <f t="shared" si="157"/>
        <v>0</v>
      </c>
      <c r="AD1256" s="43">
        <f t="shared" si="158"/>
        <v>0</v>
      </c>
      <c r="AE1256" s="50">
        <f t="shared" si="159"/>
        <v>0</v>
      </c>
    </row>
    <row r="1257" spans="1:31">
      <c r="A1257" s="59" t="str">
        <f t="shared" si="153"/>
        <v/>
      </c>
      <c r="B1257" s="59" t="str">
        <f t="shared" si="154"/>
        <v/>
      </c>
      <c r="V1257" s="59" t="str">
        <f t="shared" si="155"/>
        <v/>
      </c>
      <c r="W1257" s="59" t="str">
        <f t="shared" si="152"/>
        <v/>
      </c>
      <c r="X1257" s="59" t="str">
        <f t="shared" si="156"/>
        <v/>
      </c>
      <c r="AC1257" s="50">
        <f t="shared" si="157"/>
        <v>0</v>
      </c>
      <c r="AD1257" s="43">
        <f t="shared" si="158"/>
        <v>0</v>
      </c>
      <c r="AE1257" s="50">
        <f t="shared" si="159"/>
        <v>0</v>
      </c>
    </row>
    <row r="1258" spans="1:31">
      <c r="A1258" s="59" t="str">
        <f t="shared" si="153"/>
        <v/>
      </c>
      <c r="B1258" s="59" t="str">
        <f t="shared" si="154"/>
        <v/>
      </c>
      <c r="V1258" s="59" t="str">
        <f t="shared" si="155"/>
        <v/>
      </c>
      <c r="W1258" s="59" t="str">
        <f t="shared" si="152"/>
        <v/>
      </c>
      <c r="X1258" s="59" t="str">
        <f t="shared" si="156"/>
        <v/>
      </c>
      <c r="AC1258" s="50">
        <f t="shared" si="157"/>
        <v>0</v>
      </c>
      <c r="AD1258" s="43">
        <f t="shared" si="158"/>
        <v>0</v>
      </c>
      <c r="AE1258" s="50">
        <f t="shared" si="159"/>
        <v>0</v>
      </c>
    </row>
    <row r="1259" spans="1:31">
      <c r="A1259" s="59" t="str">
        <f t="shared" si="153"/>
        <v/>
      </c>
      <c r="B1259" s="59" t="str">
        <f t="shared" si="154"/>
        <v/>
      </c>
      <c r="V1259" s="59" t="str">
        <f t="shared" si="155"/>
        <v/>
      </c>
      <c r="W1259" s="59" t="str">
        <f t="shared" si="152"/>
        <v/>
      </c>
      <c r="X1259" s="59" t="str">
        <f t="shared" si="156"/>
        <v/>
      </c>
      <c r="AC1259" s="50">
        <f t="shared" si="157"/>
        <v>0</v>
      </c>
      <c r="AD1259" s="43">
        <f t="shared" si="158"/>
        <v>0</v>
      </c>
      <c r="AE1259" s="50">
        <f t="shared" si="159"/>
        <v>0</v>
      </c>
    </row>
    <row r="1260" spans="1:31">
      <c r="A1260" s="59" t="str">
        <f t="shared" si="153"/>
        <v/>
      </c>
      <c r="B1260" s="59" t="str">
        <f t="shared" si="154"/>
        <v/>
      </c>
      <c r="V1260" s="59" t="str">
        <f t="shared" si="155"/>
        <v/>
      </c>
      <c r="W1260" s="59" t="str">
        <f t="shared" si="152"/>
        <v/>
      </c>
      <c r="X1260" s="59" t="str">
        <f t="shared" si="156"/>
        <v/>
      </c>
      <c r="AC1260" s="50">
        <f t="shared" si="157"/>
        <v>0</v>
      </c>
      <c r="AD1260" s="43">
        <f t="shared" si="158"/>
        <v>0</v>
      </c>
      <c r="AE1260" s="50">
        <f t="shared" si="159"/>
        <v>0</v>
      </c>
    </row>
    <row r="1261" spans="1:31">
      <c r="A1261" s="59" t="str">
        <f t="shared" si="153"/>
        <v/>
      </c>
      <c r="B1261" s="59" t="str">
        <f t="shared" si="154"/>
        <v/>
      </c>
      <c r="V1261" s="59" t="str">
        <f t="shared" si="155"/>
        <v/>
      </c>
      <c r="W1261" s="59" t="str">
        <f t="shared" si="152"/>
        <v/>
      </c>
      <c r="X1261" s="59" t="str">
        <f t="shared" si="156"/>
        <v/>
      </c>
      <c r="AC1261" s="50">
        <f t="shared" si="157"/>
        <v>0</v>
      </c>
      <c r="AD1261" s="43">
        <f t="shared" si="158"/>
        <v>0</v>
      </c>
      <c r="AE1261" s="50">
        <f t="shared" si="159"/>
        <v>0</v>
      </c>
    </row>
    <row r="1262" spans="1:31">
      <c r="A1262" s="59" t="str">
        <f t="shared" si="153"/>
        <v/>
      </c>
      <c r="B1262" s="59" t="str">
        <f t="shared" si="154"/>
        <v/>
      </c>
      <c r="V1262" s="59" t="str">
        <f t="shared" si="155"/>
        <v/>
      </c>
      <c r="W1262" s="59" t="str">
        <f t="shared" si="152"/>
        <v/>
      </c>
      <c r="X1262" s="59" t="str">
        <f t="shared" si="156"/>
        <v/>
      </c>
      <c r="AC1262" s="50">
        <f t="shared" si="157"/>
        <v>0</v>
      </c>
      <c r="AD1262" s="43">
        <f t="shared" si="158"/>
        <v>0</v>
      </c>
      <c r="AE1262" s="50">
        <f t="shared" si="159"/>
        <v>0</v>
      </c>
    </row>
    <row r="1263" spans="1:31">
      <c r="A1263" s="59" t="str">
        <f t="shared" si="153"/>
        <v/>
      </c>
      <c r="B1263" s="59" t="str">
        <f t="shared" si="154"/>
        <v/>
      </c>
      <c r="V1263" s="59" t="str">
        <f t="shared" si="155"/>
        <v/>
      </c>
      <c r="W1263" s="59" t="str">
        <f t="shared" si="152"/>
        <v/>
      </c>
      <c r="X1263" s="59" t="str">
        <f t="shared" si="156"/>
        <v/>
      </c>
      <c r="AC1263" s="50">
        <f t="shared" si="157"/>
        <v>0</v>
      </c>
      <c r="AD1263" s="43">
        <f t="shared" si="158"/>
        <v>0</v>
      </c>
      <c r="AE1263" s="50">
        <f t="shared" si="159"/>
        <v>0</v>
      </c>
    </row>
    <row r="1264" spans="1:31">
      <c r="A1264" s="59" t="str">
        <f t="shared" si="153"/>
        <v/>
      </c>
      <c r="B1264" s="59" t="str">
        <f t="shared" si="154"/>
        <v/>
      </c>
      <c r="V1264" s="59" t="str">
        <f t="shared" si="155"/>
        <v/>
      </c>
      <c r="W1264" s="59" t="str">
        <f t="shared" si="152"/>
        <v/>
      </c>
      <c r="X1264" s="59" t="str">
        <f t="shared" si="156"/>
        <v/>
      </c>
      <c r="AC1264" s="50">
        <f t="shared" si="157"/>
        <v>0</v>
      </c>
      <c r="AD1264" s="43">
        <f t="shared" si="158"/>
        <v>0</v>
      </c>
      <c r="AE1264" s="50">
        <f t="shared" si="159"/>
        <v>0</v>
      </c>
    </row>
    <row r="1265" spans="1:31">
      <c r="A1265" s="59" t="str">
        <f t="shared" si="153"/>
        <v/>
      </c>
      <c r="B1265" s="59" t="str">
        <f t="shared" si="154"/>
        <v/>
      </c>
      <c r="V1265" s="59" t="str">
        <f t="shared" si="155"/>
        <v/>
      </c>
      <c r="W1265" s="59" t="str">
        <f t="shared" si="152"/>
        <v/>
      </c>
      <c r="X1265" s="59" t="str">
        <f t="shared" si="156"/>
        <v/>
      </c>
      <c r="AC1265" s="50">
        <f t="shared" si="157"/>
        <v>0</v>
      </c>
      <c r="AD1265" s="43">
        <f t="shared" si="158"/>
        <v>0</v>
      </c>
      <c r="AE1265" s="50">
        <f t="shared" si="159"/>
        <v>0</v>
      </c>
    </row>
    <row r="1266" spans="1:31">
      <c r="A1266" s="59" t="str">
        <f t="shared" si="153"/>
        <v/>
      </c>
      <c r="B1266" s="59" t="str">
        <f t="shared" si="154"/>
        <v/>
      </c>
      <c r="V1266" s="59" t="str">
        <f t="shared" si="155"/>
        <v/>
      </c>
      <c r="W1266" s="59" t="str">
        <f t="shared" si="152"/>
        <v/>
      </c>
      <c r="X1266" s="59" t="str">
        <f t="shared" si="156"/>
        <v/>
      </c>
      <c r="AC1266" s="50">
        <f t="shared" si="157"/>
        <v>0</v>
      </c>
      <c r="AD1266" s="43">
        <f t="shared" si="158"/>
        <v>0</v>
      </c>
      <c r="AE1266" s="50">
        <f t="shared" si="159"/>
        <v>0</v>
      </c>
    </row>
    <row r="1267" spans="1:31">
      <c r="A1267" s="59" t="str">
        <f t="shared" si="153"/>
        <v/>
      </c>
      <c r="B1267" s="59" t="str">
        <f t="shared" si="154"/>
        <v/>
      </c>
      <c r="V1267" s="59" t="str">
        <f t="shared" si="155"/>
        <v/>
      </c>
      <c r="W1267" s="59" t="str">
        <f t="shared" si="152"/>
        <v/>
      </c>
      <c r="X1267" s="59" t="str">
        <f t="shared" si="156"/>
        <v/>
      </c>
      <c r="AC1267" s="50">
        <f t="shared" si="157"/>
        <v>0</v>
      </c>
      <c r="AD1267" s="43">
        <f t="shared" si="158"/>
        <v>0</v>
      </c>
      <c r="AE1267" s="50">
        <f t="shared" si="159"/>
        <v>0</v>
      </c>
    </row>
    <row r="1268" spans="1:31">
      <c r="A1268" s="59" t="str">
        <f t="shared" si="153"/>
        <v/>
      </c>
      <c r="B1268" s="59" t="str">
        <f t="shared" si="154"/>
        <v/>
      </c>
      <c r="V1268" s="59" t="str">
        <f t="shared" si="155"/>
        <v/>
      </c>
      <c r="W1268" s="59" t="str">
        <f t="shared" si="152"/>
        <v/>
      </c>
      <c r="X1268" s="59" t="str">
        <f t="shared" si="156"/>
        <v/>
      </c>
      <c r="AC1268" s="50">
        <f t="shared" si="157"/>
        <v>0</v>
      </c>
      <c r="AD1268" s="43">
        <f t="shared" si="158"/>
        <v>0</v>
      </c>
      <c r="AE1268" s="50">
        <f t="shared" si="159"/>
        <v>0</v>
      </c>
    </row>
    <row r="1269" spans="1:31">
      <c r="A1269" s="59" t="str">
        <f t="shared" si="153"/>
        <v/>
      </c>
      <c r="B1269" s="59" t="str">
        <f t="shared" si="154"/>
        <v/>
      </c>
      <c r="V1269" s="59" t="str">
        <f t="shared" si="155"/>
        <v/>
      </c>
      <c r="W1269" s="59" t="str">
        <f t="shared" si="152"/>
        <v/>
      </c>
      <c r="X1269" s="59" t="str">
        <f t="shared" si="156"/>
        <v/>
      </c>
      <c r="AC1269" s="50">
        <f t="shared" si="157"/>
        <v>0</v>
      </c>
      <c r="AD1269" s="43">
        <f t="shared" si="158"/>
        <v>0</v>
      </c>
      <c r="AE1269" s="50">
        <f t="shared" si="159"/>
        <v>0</v>
      </c>
    </row>
    <row r="1270" spans="1:31">
      <c r="A1270" s="59" t="str">
        <f t="shared" si="153"/>
        <v/>
      </c>
      <c r="B1270" s="59" t="str">
        <f t="shared" si="154"/>
        <v/>
      </c>
      <c r="V1270" s="59" t="str">
        <f t="shared" si="155"/>
        <v/>
      </c>
      <c r="W1270" s="59" t="str">
        <f t="shared" si="152"/>
        <v/>
      </c>
      <c r="X1270" s="59" t="str">
        <f t="shared" si="156"/>
        <v/>
      </c>
      <c r="AC1270" s="50">
        <f t="shared" si="157"/>
        <v>0</v>
      </c>
      <c r="AD1270" s="43">
        <f t="shared" si="158"/>
        <v>0</v>
      </c>
      <c r="AE1270" s="50">
        <f t="shared" si="159"/>
        <v>0</v>
      </c>
    </row>
    <row r="1271" spans="1:31">
      <c r="A1271" s="59" t="str">
        <f t="shared" si="153"/>
        <v/>
      </c>
      <c r="B1271" s="59" t="str">
        <f t="shared" si="154"/>
        <v/>
      </c>
      <c r="V1271" s="59" t="str">
        <f t="shared" si="155"/>
        <v/>
      </c>
      <c r="W1271" s="59" t="str">
        <f t="shared" si="152"/>
        <v/>
      </c>
      <c r="X1271" s="59" t="str">
        <f t="shared" si="156"/>
        <v/>
      </c>
      <c r="AC1271" s="50">
        <f t="shared" si="157"/>
        <v>0</v>
      </c>
      <c r="AD1271" s="43">
        <f t="shared" si="158"/>
        <v>0</v>
      </c>
      <c r="AE1271" s="50">
        <f t="shared" si="159"/>
        <v>0</v>
      </c>
    </row>
    <row r="1272" spans="1:31">
      <c r="A1272" s="59" t="str">
        <f t="shared" si="153"/>
        <v/>
      </c>
      <c r="B1272" s="59" t="str">
        <f t="shared" si="154"/>
        <v/>
      </c>
      <c r="V1272" s="59" t="str">
        <f t="shared" si="155"/>
        <v/>
      </c>
      <c r="W1272" s="59" t="str">
        <f t="shared" si="152"/>
        <v/>
      </c>
      <c r="X1272" s="59" t="str">
        <f t="shared" si="156"/>
        <v/>
      </c>
      <c r="AC1272" s="50">
        <f t="shared" si="157"/>
        <v>0</v>
      </c>
      <c r="AD1272" s="43">
        <f t="shared" si="158"/>
        <v>0</v>
      </c>
      <c r="AE1272" s="50">
        <f t="shared" si="159"/>
        <v>0</v>
      </c>
    </row>
    <row r="1273" spans="1:31">
      <c r="A1273" s="59" t="str">
        <f t="shared" si="153"/>
        <v/>
      </c>
      <c r="B1273" s="59" t="str">
        <f t="shared" si="154"/>
        <v/>
      </c>
      <c r="V1273" s="59" t="str">
        <f t="shared" si="155"/>
        <v/>
      </c>
      <c r="W1273" s="59" t="str">
        <f t="shared" si="152"/>
        <v/>
      </c>
      <c r="X1273" s="59" t="str">
        <f t="shared" si="156"/>
        <v/>
      </c>
      <c r="AC1273" s="50">
        <f t="shared" si="157"/>
        <v>0</v>
      </c>
      <c r="AD1273" s="43">
        <f t="shared" si="158"/>
        <v>0</v>
      </c>
      <c r="AE1273" s="50">
        <f t="shared" si="159"/>
        <v>0</v>
      </c>
    </row>
    <row r="1274" spans="1:31">
      <c r="A1274" s="59" t="str">
        <f t="shared" si="153"/>
        <v/>
      </c>
      <c r="B1274" s="59" t="str">
        <f t="shared" si="154"/>
        <v/>
      </c>
      <c r="V1274" s="59" t="str">
        <f t="shared" si="155"/>
        <v/>
      </c>
      <c r="W1274" s="59" t="str">
        <f t="shared" si="152"/>
        <v/>
      </c>
      <c r="X1274" s="59" t="str">
        <f t="shared" si="156"/>
        <v/>
      </c>
      <c r="AC1274" s="50">
        <f t="shared" si="157"/>
        <v>0</v>
      </c>
      <c r="AD1274" s="43">
        <f t="shared" si="158"/>
        <v>0</v>
      </c>
      <c r="AE1274" s="50">
        <f t="shared" si="159"/>
        <v>0</v>
      </c>
    </row>
    <row r="1275" spans="1:31">
      <c r="A1275" s="59" t="str">
        <f t="shared" si="153"/>
        <v/>
      </c>
      <c r="B1275" s="59" t="str">
        <f t="shared" si="154"/>
        <v/>
      </c>
      <c r="V1275" s="59" t="str">
        <f t="shared" si="155"/>
        <v/>
      </c>
      <c r="W1275" s="59" t="str">
        <f t="shared" si="152"/>
        <v/>
      </c>
      <c r="X1275" s="59" t="str">
        <f t="shared" si="156"/>
        <v/>
      </c>
      <c r="AC1275" s="50">
        <f t="shared" si="157"/>
        <v>0</v>
      </c>
      <c r="AD1275" s="43">
        <f t="shared" si="158"/>
        <v>0</v>
      </c>
      <c r="AE1275" s="50">
        <f t="shared" si="159"/>
        <v>0</v>
      </c>
    </row>
    <row r="1276" spans="1:31">
      <c r="A1276" s="59" t="str">
        <f t="shared" si="153"/>
        <v/>
      </c>
      <c r="B1276" s="59" t="str">
        <f t="shared" si="154"/>
        <v/>
      </c>
      <c r="V1276" s="59" t="str">
        <f t="shared" si="155"/>
        <v/>
      </c>
      <c r="W1276" s="59" t="str">
        <f t="shared" si="152"/>
        <v/>
      </c>
      <c r="X1276" s="59" t="str">
        <f t="shared" si="156"/>
        <v/>
      </c>
      <c r="AC1276" s="50">
        <f t="shared" si="157"/>
        <v>0</v>
      </c>
      <c r="AD1276" s="43">
        <f t="shared" si="158"/>
        <v>0</v>
      </c>
      <c r="AE1276" s="50">
        <f t="shared" si="159"/>
        <v>0</v>
      </c>
    </row>
    <row r="1277" spans="1:31">
      <c r="A1277" s="59" t="str">
        <f t="shared" si="153"/>
        <v/>
      </c>
      <c r="B1277" s="59" t="str">
        <f t="shared" si="154"/>
        <v/>
      </c>
      <c r="V1277" s="59" t="str">
        <f t="shared" si="155"/>
        <v/>
      </c>
      <c r="W1277" s="59" t="str">
        <f t="shared" si="152"/>
        <v/>
      </c>
      <c r="X1277" s="59" t="str">
        <f t="shared" si="156"/>
        <v/>
      </c>
      <c r="AC1277" s="50">
        <f t="shared" si="157"/>
        <v>0</v>
      </c>
      <c r="AD1277" s="43">
        <f t="shared" si="158"/>
        <v>0</v>
      </c>
      <c r="AE1277" s="50">
        <f t="shared" si="159"/>
        <v>0</v>
      </c>
    </row>
    <row r="1278" spans="1:31">
      <c r="A1278" s="59" t="str">
        <f t="shared" si="153"/>
        <v/>
      </c>
      <c r="B1278" s="59" t="str">
        <f t="shared" si="154"/>
        <v/>
      </c>
      <c r="V1278" s="59" t="str">
        <f t="shared" si="155"/>
        <v/>
      </c>
      <c r="W1278" s="59" t="str">
        <f t="shared" si="152"/>
        <v/>
      </c>
      <c r="X1278" s="59" t="str">
        <f t="shared" si="156"/>
        <v/>
      </c>
      <c r="AC1278" s="50">
        <f t="shared" si="157"/>
        <v>0</v>
      </c>
      <c r="AD1278" s="43">
        <f t="shared" si="158"/>
        <v>0</v>
      </c>
      <c r="AE1278" s="50">
        <f t="shared" si="159"/>
        <v>0</v>
      </c>
    </row>
    <row r="1279" spans="1:31">
      <c r="A1279" s="59" t="str">
        <f t="shared" si="153"/>
        <v/>
      </c>
      <c r="B1279" s="59" t="str">
        <f t="shared" si="154"/>
        <v/>
      </c>
      <c r="V1279" s="59" t="str">
        <f t="shared" si="155"/>
        <v/>
      </c>
      <c r="W1279" s="59" t="str">
        <f t="shared" si="152"/>
        <v/>
      </c>
      <c r="X1279" s="59" t="str">
        <f t="shared" si="156"/>
        <v/>
      </c>
      <c r="AC1279" s="50">
        <f t="shared" si="157"/>
        <v>0</v>
      </c>
      <c r="AD1279" s="43">
        <f t="shared" si="158"/>
        <v>0</v>
      </c>
      <c r="AE1279" s="50">
        <f t="shared" si="159"/>
        <v>0</v>
      </c>
    </row>
    <row r="1280" spans="1:31">
      <c r="A1280" s="59" t="str">
        <f t="shared" si="153"/>
        <v/>
      </c>
      <c r="B1280" s="59" t="str">
        <f t="shared" si="154"/>
        <v/>
      </c>
      <c r="V1280" s="59" t="str">
        <f t="shared" si="155"/>
        <v/>
      </c>
      <c r="W1280" s="59" t="str">
        <f t="shared" si="152"/>
        <v/>
      </c>
      <c r="X1280" s="59" t="str">
        <f t="shared" si="156"/>
        <v/>
      </c>
      <c r="AC1280" s="50">
        <f t="shared" si="157"/>
        <v>0</v>
      </c>
      <c r="AD1280" s="43">
        <f t="shared" si="158"/>
        <v>0</v>
      </c>
      <c r="AE1280" s="50">
        <f t="shared" si="159"/>
        <v>0</v>
      </c>
    </row>
    <row r="1281" spans="1:31">
      <c r="A1281" s="59" t="str">
        <f t="shared" si="153"/>
        <v/>
      </c>
      <c r="B1281" s="59" t="str">
        <f t="shared" si="154"/>
        <v/>
      </c>
      <c r="V1281" s="59" t="str">
        <f t="shared" si="155"/>
        <v/>
      </c>
      <c r="W1281" s="59" t="str">
        <f t="shared" si="152"/>
        <v/>
      </c>
      <c r="X1281" s="59" t="str">
        <f t="shared" si="156"/>
        <v/>
      </c>
      <c r="AC1281" s="50">
        <f t="shared" si="157"/>
        <v>0</v>
      </c>
      <c r="AD1281" s="43">
        <f t="shared" si="158"/>
        <v>0</v>
      </c>
      <c r="AE1281" s="50">
        <f t="shared" si="159"/>
        <v>0</v>
      </c>
    </row>
    <row r="1282" spans="1:31">
      <c r="A1282" s="59" t="str">
        <f t="shared" si="153"/>
        <v/>
      </c>
      <c r="B1282" s="59" t="str">
        <f t="shared" si="154"/>
        <v/>
      </c>
      <c r="V1282" s="59" t="str">
        <f t="shared" si="155"/>
        <v/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59" t="str">
        <f t="shared" si="156"/>
        <v/>
      </c>
      <c r="AC1282" s="50">
        <f t="shared" si="157"/>
        <v>0</v>
      </c>
      <c r="AD1282" s="43">
        <f t="shared" si="158"/>
        <v>0</v>
      </c>
      <c r="AE1282" s="50">
        <f t="shared" si="159"/>
        <v>0</v>
      </c>
    </row>
    <row r="1283" spans="1:31">
      <c r="A1283" s="59" t="str">
        <f t="shared" ref="A1283:A1346" si="161">IF(G1283&amp;Q1283&lt;&gt;"",W1283&amp;Q1283,"")</f>
        <v/>
      </c>
      <c r="B1283" s="59" t="str">
        <f t="shared" ref="B1283:B1346" si="162">IF(C1283&lt;&gt;"",LEFT(C1283,9),"")</f>
        <v/>
      </c>
      <c r="V1283" s="59" t="str">
        <f t="shared" ref="V1283:V1346" si="163">W1283&amp;H1283</f>
        <v/>
      </c>
      <c r="W1283" s="59" t="str">
        <f t="shared" si="160"/>
        <v/>
      </c>
      <c r="X1283" s="59" t="str">
        <f t="shared" ref="X1283:X1346" si="164">IF(A1283&lt;&gt;"",IFERROR(IF(FIND(" ",G1283)&gt;=1,MID(G1283,FIND(" ",G1283)+1,LEN(G1283)),""),""),"")</f>
        <v/>
      </c>
      <c r="AC1283" s="50">
        <f t="shared" ref="AC1283:AC1346" si="165">IFERROR(VALUE(MID($C1283,1,2)),0)</f>
        <v>0</v>
      </c>
      <c r="AD1283" s="43">
        <f t="shared" ref="AD1283:AD1346" si="166">IFERROR(VALUE(MID($C1283,4,3)),0)</f>
        <v>0</v>
      </c>
      <c r="AE1283" s="50">
        <f t="shared" ref="AE1283:AE1346" si="167">VALUE(RIGHT("00"&amp;AC1283,2)&amp;RIGHT("000"&amp;AD1283,3))</f>
        <v>0</v>
      </c>
    </row>
    <row r="1284" spans="1:31">
      <c r="A1284" s="59" t="str">
        <f t="shared" si="161"/>
        <v/>
      </c>
      <c r="B1284" s="59" t="str">
        <f t="shared" si="162"/>
        <v/>
      </c>
      <c r="V1284" s="59" t="str">
        <f t="shared" si="163"/>
        <v/>
      </c>
      <c r="W1284" s="59" t="str">
        <f t="shared" si="160"/>
        <v/>
      </c>
      <c r="X1284" s="59" t="str">
        <f t="shared" si="164"/>
        <v/>
      </c>
      <c r="AC1284" s="50">
        <f t="shared" si="165"/>
        <v>0</v>
      </c>
      <c r="AD1284" s="43">
        <f t="shared" si="166"/>
        <v>0</v>
      </c>
      <c r="AE1284" s="50">
        <f t="shared" si="167"/>
        <v>0</v>
      </c>
    </row>
    <row r="1285" spans="1:31">
      <c r="A1285" s="59" t="str">
        <f t="shared" si="161"/>
        <v/>
      </c>
      <c r="B1285" s="59" t="str">
        <f t="shared" si="162"/>
        <v/>
      </c>
      <c r="V1285" s="59" t="str">
        <f t="shared" si="163"/>
        <v/>
      </c>
      <c r="W1285" s="59" t="str">
        <f t="shared" si="160"/>
        <v/>
      </c>
      <c r="X1285" s="59" t="str">
        <f t="shared" si="164"/>
        <v/>
      </c>
      <c r="AC1285" s="50">
        <f t="shared" si="165"/>
        <v>0</v>
      </c>
      <c r="AD1285" s="43">
        <f t="shared" si="166"/>
        <v>0</v>
      </c>
      <c r="AE1285" s="50">
        <f t="shared" si="167"/>
        <v>0</v>
      </c>
    </row>
    <row r="1286" spans="1:31">
      <c r="A1286" s="59" t="str">
        <f t="shared" si="161"/>
        <v/>
      </c>
      <c r="B1286" s="59" t="str">
        <f t="shared" si="162"/>
        <v/>
      </c>
      <c r="V1286" s="59" t="str">
        <f t="shared" si="163"/>
        <v/>
      </c>
      <c r="W1286" s="59" t="str">
        <f t="shared" si="160"/>
        <v/>
      </c>
      <c r="X1286" s="59" t="str">
        <f t="shared" si="164"/>
        <v/>
      </c>
      <c r="AC1286" s="50">
        <f t="shared" si="165"/>
        <v>0</v>
      </c>
      <c r="AD1286" s="43">
        <f t="shared" si="166"/>
        <v>0</v>
      </c>
      <c r="AE1286" s="50">
        <f t="shared" si="167"/>
        <v>0</v>
      </c>
    </row>
    <row r="1287" spans="1:31">
      <c r="A1287" s="59" t="str">
        <f t="shared" si="161"/>
        <v/>
      </c>
      <c r="B1287" s="59" t="str">
        <f t="shared" si="162"/>
        <v/>
      </c>
      <c r="V1287" s="59" t="str">
        <f t="shared" si="163"/>
        <v/>
      </c>
      <c r="W1287" s="59" t="str">
        <f t="shared" si="160"/>
        <v/>
      </c>
      <c r="X1287" s="59" t="str">
        <f t="shared" si="164"/>
        <v/>
      </c>
      <c r="AC1287" s="50">
        <f t="shared" si="165"/>
        <v>0</v>
      </c>
      <c r="AD1287" s="43">
        <f t="shared" si="166"/>
        <v>0</v>
      </c>
      <c r="AE1287" s="50">
        <f t="shared" si="167"/>
        <v>0</v>
      </c>
    </row>
    <row r="1288" spans="1:31">
      <c r="A1288" s="59" t="str">
        <f t="shared" si="161"/>
        <v/>
      </c>
      <c r="B1288" s="59" t="str">
        <f t="shared" si="162"/>
        <v/>
      </c>
      <c r="V1288" s="59" t="str">
        <f t="shared" si="163"/>
        <v/>
      </c>
      <c r="W1288" s="59" t="str">
        <f t="shared" si="160"/>
        <v/>
      </c>
      <c r="X1288" s="59" t="str">
        <f t="shared" si="164"/>
        <v/>
      </c>
      <c r="AC1288" s="50">
        <f t="shared" si="165"/>
        <v>0</v>
      </c>
      <c r="AD1288" s="43">
        <f t="shared" si="166"/>
        <v>0</v>
      </c>
      <c r="AE1288" s="50">
        <f t="shared" si="167"/>
        <v>0</v>
      </c>
    </row>
    <row r="1289" spans="1:31">
      <c r="A1289" s="59" t="str">
        <f t="shared" si="161"/>
        <v/>
      </c>
      <c r="B1289" s="59" t="str">
        <f t="shared" si="162"/>
        <v/>
      </c>
      <c r="V1289" s="59" t="str">
        <f t="shared" si="163"/>
        <v/>
      </c>
      <c r="W1289" s="59" t="str">
        <f t="shared" si="160"/>
        <v/>
      </c>
      <c r="X1289" s="59" t="str">
        <f t="shared" si="164"/>
        <v/>
      </c>
      <c r="AC1289" s="50">
        <f t="shared" si="165"/>
        <v>0</v>
      </c>
      <c r="AD1289" s="43">
        <f t="shared" si="166"/>
        <v>0</v>
      </c>
      <c r="AE1289" s="50">
        <f t="shared" si="167"/>
        <v>0</v>
      </c>
    </row>
    <row r="1290" spans="1:31">
      <c r="A1290" s="59" t="str">
        <f t="shared" si="161"/>
        <v/>
      </c>
      <c r="B1290" s="59" t="str">
        <f t="shared" si="162"/>
        <v/>
      </c>
      <c r="V1290" s="59" t="str">
        <f t="shared" si="163"/>
        <v/>
      </c>
      <c r="W1290" s="59" t="str">
        <f t="shared" si="160"/>
        <v/>
      </c>
      <c r="X1290" s="59" t="str">
        <f t="shared" si="164"/>
        <v/>
      </c>
      <c r="AC1290" s="50">
        <f t="shared" si="165"/>
        <v>0</v>
      </c>
      <c r="AD1290" s="43">
        <f t="shared" si="166"/>
        <v>0</v>
      </c>
      <c r="AE1290" s="50">
        <f t="shared" si="167"/>
        <v>0</v>
      </c>
    </row>
    <row r="1291" spans="1:31">
      <c r="A1291" s="59" t="str">
        <f t="shared" si="161"/>
        <v/>
      </c>
      <c r="B1291" s="59" t="str">
        <f t="shared" si="162"/>
        <v/>
      </c>
      <c r="V1291" s="59" t="str">
        <f t="shared" si="163"/>
        <v/>
      </c>
      <c r="W1291" s="59" t="str">
        <f t="shared" si="160"/>
        <v/>
      </c>
      <c r="X1291" s="59" t="str">
        <f t="shared" si="164"/>
        <v/>
      </c>
      <c r="AC1291" s="50">
        <f t="shared" si="165"/>
        <v>0</v>
      </c>
      <c r="AD1291" s="43">
        <f t="shared" si="166"/>
        <v>0</v>
      </c>
      <c r="AE1291" s="50">
        <f t="shared" si="167"/>
        <v>0</v>
      </c>
    </row>
    <row r="1292" spans="1:31">
      <c r="A1292" s="59" t="str">
        <f t="shared" si="161"/>
        <v/>
      </c>
      <c r="B1292" s="59" t="str">
        <f t="shared" si="162"/>
        <v/>
      </c>
      <c r="V1292" s="59" t="str">
        <f t="shared" si="163"/>
        <v/>
      </c>
      <c r="W1292" s="59" t="str">
        <f t="shared" si="160"/>
        <v/>
      </c>
      <c r="X1292" s="59" t="str">
        <f t="shared" si="164"/>
        <v/>
      </c>
      <c r="AC1292" s="50">
        <f t="shared" si="165"/>
        <v>0</v>
      </c>
      <c r="AD1292" s="43">
        <f t="shared" si="166"/>
        <v>0</v>
      </c>
      <c r="AE1292" s="50">
        <f t="shared" si="167"/>
        <v>0</v>
      </c>
    </row>
    <row r="1293" spans="1:31">
      <c r="A1293" s="59" t="str">
        <f t="shared" si="161"/>
        <v/>
      </c>
      <c r="B1293" s="59" t="str">
        <f t="shared" si="162"/>
        <v/>
      </c>
      <c r="V1293" s="59" t="str">
        <f t="shared" si="163"/>
        <v/>
      </c>
      <c r="W1293" s="59" t="str">
        <f t="shared" si="160"/>
        <v/>
      </c>
      <c r="X1293" s="59" t="str">
        <f t="shared" si="164"/>
        <v/>
      </c>
      <c r="AC1293" s="50">
        <f t="shared" si="165"/>
        <v>0</v>
      </c>
      <c r="AD1293" s="43">
        <f t="shared" si="166"/>
        <v>0</v>
      </c>
      <c r="AE1293" s="50">
        <f t="shared" si="167"/>
        <v>0</v>
      </c>
    </row>
    <row r="1294" spans="1:31">
      <c r="A1294" s="59" t="str">
        <f t="shared" si="161"/>
        <v/>
      </c>
      <c r="B1294" s="59" t="str">
        <f t="shared" si="162"/>
        <v/>
      </c>
      <c r="V1294" s="59" t="str">
        <f t="shared" si="163"/>
        <v/>
      </c>
      <c r="W1294" s="59" t="str">
        <f t="shared" si="160"/>
        <v/>
      </c>
      <c r="X1294" s="59" t="str">
        <f t="shared" si="164"/>
        <v/>
      </c>
      <c r="AC1294" s="50">
        <f t="shared" si="165"/>
        <v>0</v>
      </c>
      <c r="AD1294" s="43">
        <f t="shared" si="166"/>
        <v>0</v>
      </c>
      <c r="AE1294" s="50">
        <f t="shared" si="167"/>
        <v>0</v>
      </c>
    </row>
    <row r="1295" spans="1:31">
      <c r="A1295" s="59" t="str">
        <f t="shared" si="161"/>
        <v/>
      </c>
      <c r="B1295" s="59" t="str">
        <f t="shared" si="162"/>
        <v/>
      </c>
      <c r="V1295" s="59" t="str">
        <f t="shared" si="163"/>
        <v/>
      </c>
      <c r="W1295" s="59" t="str">
        <f t="shared" si="160"/>
        <v/>
      </c>
      <c r="X1295" s="59" t="str">
        <f t="shared" si="164"/>
        <v/>
      </c>
      <c r="AC1295" s="50">
        <f t="shared" si="165"/>
        <v>0</v>
      </c>
      <c r="AD1295" s="43">
        <f t="shared" si="166"/>
        <v>0</v>
      </c>
      <c r="AE1295" s="50">
        <f t="shared" si="167"/>
        <v>0</v>
      </c>
    </row>
    <row r="1296" spans="1:31">
      <c r="A1296" s="59" t="str">
        <f t="shared" si="161"/>
        <v/>
      </c>
      <c r="B1296" s="59" t="str">
        <f t="shared" si="162"/>
        <v/>
      </c>
      <c r="V1296" s="59" t="str">
        <f t="shared" si="163"/>
        <v/>
      </c>
      <c r="W1296" s="59" t="str">
        <f t="shared" si="160"/>
        <v/>
      </c>
      <c r="X1296" s="59" t="str">
        <f t="shared" si="164"/>
        <v/>
      </c>
      <c r="AC1296" s="50">
        <f t="shared" si="165"/>
        <v>0</v>
      </c>
      <c r="AD1296" s="43">
        <f t="shared" si="166"/>
        <v>0</v>
      </c>
      <c r="AE1296" s="50">
        <f t="shared" si="167"/>
        <v>0</v>
      </c>
    </row>
    <row r="1297" spans="1:31">
      <c r="A1297" s="59" t="str">
        <f t="shared" si="161"/>
        <v/>
      </c>
      <c r="B1297" s="59" t="str">
        <f t="shared" si="162"/>
        <v/>
      </c>
      <c r="V1297" s="59" t="str">
        <f t="shared" si="163"/>
        <v/>
      </c>
      <c r="W1297" s="59" t="str">
        <f t="shared" si="160"/>
        <v/>
      </c>
      <c r="X1297" s="59" t="str">
        <f t="shared" si="164"/>
        <v/>
      </c>
      <c r="AC1297" s="50">
        <f t="shared" si="165"/>
        <v>0</v>
      </c>
      <c r="AD1297" s="43">
        <f t="shared" si="166"/>
        <v>0</v>
      </c>
      <c r="AE1297" s="50">
        <f t="shared" si="167"/>
        <v>0</v>
      </c>
    </row>
    <row r="1298" spans="1:31">
      <c r="A1298" s="59" t="str">
        <f t="shared" si="161"/>
        <v/>
      </c>
      <c r="B1298" s="59" t="str">
        <f t="shared" si="162"/>
        <v/>
      </c>
      <c r="V1298" s="59" t="str">
        <f t="shared" si="163"/>
        <v/>
      </c>
      <c r="W1298" s="59" t="str">
        <f t="shared" si="160"/>
        <v/>
      </c>
      <c r="X1298" s="59" t="str">
        <f t="shared" si="164"/>
        <v/>
      </c>
      <c r="AC1298" s="50">
        <f t="shared" si="165"/>
        <v>0</v>
      </c>
      <c r="AD1298" s="43">
        <f t="shared" si="166"/>
        <v>0</v>
      </c>
      <c r="AE1298" s="50">
        <f t="shared" si="167"/>
        <v>0</v>
      </c>
    </row>
    <row r="1299" spans="1:31">
      <c r="A1299" s="59" t="str">
        <f t="shared" si="161"/>
        <v/>
      </c>
      <c r="B1299" s="59" t="str">
        <f t="shared" si="162"/>
        <v/>
      </c>
      <c r="V1299" s="59" t="str">
        <f t="shared" si="163"/>
        <v/>
      </c>
      <c r="W1299" s="59" t="str">
        <f t="shared" si="160"/>
        <v/>
      </c>
      <c r="X1299" s="59" t="str">
        <f t="shared" si="164"/>
        <v/>
      </c>
      <c r="AC1299" s="50">
        <f t="shared" si="165"/>
        <v>0</v>
      </c>
      <c r="AD1299" s="43">
        <f t="shared" si="166"/>
        <v>0</v>
      </c>
      <c r="AE1299" s="50">
        <f t="shared" si="167"/>
        <v>0</v>
      </c>
    </row>
    <row r="1300" spans="1:31">
      <c r="A1300" s="59" t="str">
        <f t="shared" si="161"/>
        <v/>
      </c>
      <c r="B1300" s="59" t="str">
        <f t="shared" si="162"/>
        <v/>
      </c>
      <c r="V1300" s="59" t="str">
        <f t="shared" si="163"/>
        <v/>
      </c>
      <c r="W1300" s="59" t="str">
        <f t="shared" si="160"/>
        <v/>
      </c>
      <c r="X1300" s="59" t="str">
        <f t="shared" si="164"/>
        <v/>
      </c>
      <c r="AC1300" s="50">
        <f t="shared" si="165"/>
        <v>0</v>
      </c>
      <c r="AD1300" s="43">
        <f t="shared" si="166"/>
        <v>0</v>
      </c>
      <c r="AE1300" s="50">
        <f t="shared" si="167"/>
        <v>0</v>
      </c>
    </row>
    <row r="1301" spans="1:31">
      <c r="A1301" s="59" t="str">
        <f t="shared" si="161"/>
        <v/>
      </c>
      <c r="B1301" s="59" t="str">
        <f t="shared" si="162"/>
        <v/>
      </c>
      <c r="V1301" s="59" t="str">
        <f t="shared" si="163"/>
        <v/>
      </c>
      <c r="W1301" s="59" t="str">
        <f t="shared" si="160"/>
        <v/>
      </c>
      <c r="X1301" s="59" t="str">
        <f t="shared" si="164"/>
        <v/>
      </c>
      <c r="AC1301" s="50">
        <f t="shared" si="165"/>
        <v>0</v>
      </c>
      <c r="AD1301" s="43">
        <f t="shared" si="166"/>
        <v>0</v>
      </c>
      <c r="AE1301" s="50">
        <f t="shared" si="167"/>
        <v>0</v>
      </c>
    </row>
    <row r="1302" spans="1:31">
      <c r="A1302" s="59" t="str">
        <f t="shared" si="161"/>
        <v/>
      </c>
      <c r="B1302" s="59" t="str">
        <f t="shared" si="162"/>
        <v/>
      </c>
      <c r="V1302" s="59" t="str">
        <f t="shared" si="163"/>
        <v/>
      </c>
      <c r="W1302" s="59" t="str">
        <f t="shared" si="160"/>
        <v/>
      </c>
      <c r="X1302" s="59" t="str">
        <f t="shared" si="164"/>
        <v/>
      </c>
      <c r="AC1302" s="50">
        <f t="shared" si="165"/>
        <v>0</v>
      </c>
      <c r="AD1302" s="43">
        <f t="shared" si="166"/>
        <v>0</v>
      </c>
      <c r="AE1302" s="50">
        <f t="shared" si="167"/>
        <v>0</v>
      </c>
    </row>
    <row r="1303" spans="1:31">
      <c r="A1303" s="59" t="str">
        <f t="shared" si="161"/>
        <v/>
      </c>
      <c r="B1303" s="59" t="str">
        <f t="shared" si="162"/>
        <v/>
      </c>
      <c r="V1303" s="59" t="str">
        <f t="shared" si="163"/>
        <v/>
      </c>
      <c r="W1303" s="59" t="str">
        <f t="shared" si="160"/>
        <v/>
      </c>
      <c r="X1303" s="59" t="str">
        <f t="shared" si="164"/>
        <v/>
      </c>
      <c r="AC1303" s="50">
        <f t="shared" si="165"/>
        <v>0</v>
      </c>
      <c r="AD1303" s="43">
        <f t="shared" si="166"/>
        <v>0</v>
      </c>
      <c r="AE1303" s="50">
        <f t="shared" si="167"/>
        <v>0</v>
      </c>
    </row>
    <row r="1304" spans="1:31">
      <c r="A1304" s="59" t="str">
        <f t="shared" si="161"/>
        <v/>
      </c>
      <c r="B1304" s="59" t="str">
        <f t="shared" si="162"/>
        <v/>
      </c>
      <c r="V1304" s="59" t="str">
        <f t="shared" si="163"/>
        <v/>
      </c>
      <c r="W1304" s="59" t="str">
        <f t="shared" si="160"/>
        <v/>
      </c>
      <c r="X1304" s="59" t="str">
        <f t="shared" si="164"/>
        <v/>
      </c>
      <c r="AC1304" s="50">
        <f t="shared" si="165"/>
        <v>0</v>
      </c>
      <c r="AD1304" s="43">
        <f t="shared" si="166"/>
        <v>0</v>
      </c>
      <c r="AE1304" s="50">
        <f t="shared" si="167"/>
        <v>0</v>
      </c>
    </row>
    <row r="1305" spans="1:31">
      <c r="A1305" s="59" t="str">
        <f t="shared" si="161"/>
        <v/>
      </c>
      <c r="B1305" s="59" t="str">
        <f t="shared" si="162"/>
        <v/>
      </c>
      <c r="V1305" s="59" t="str">
        <f t="shared" si="163"/>
        <v/>
      </c>
      <c r="W1305" s="59" t="str">
        <f t="shared" si="160"/>
        <v/>
      </c>
      <c r="X1305" s="59" t="str">
        <f t="shared" si="164"/>
        <v/>
      </c>
      <c r="AC1305" s="50">
        <f t="shared" si="165"/>
        <v>0</v>
      </c>
      <c r="AD1305" s="43">
        <f t="shared" si="166"/>
        <v>0</v>
      </c>
      <c r="AE1305" s="50">
        <f t="shared" si="167"/>
        <v>0</v>
      </c>
    </row>
    <row r="1306" spans="1:31">
      <c r="A1306" s="59" t="str">
        <f t="shared" si="161"/>
        <v/>
      </c>
      <c r="B1306" s="59" t="str">
        <f t="shared" si="162"/>
        <v/>
      </c>
      <c r="V1306" s="59" t="str">
        <f t="shared" si="163"/>
        <v/>
      </c>
      <c r="W1306" s="59" t="str">
        <f t="shared" si="160"/>
        <v/>
      </c>
      <c r="X1306" s="59" t="str">
        <f t="shared" si="164"/>
        <v/>
      </c>
      <c r="AC1306" s="50">
        <f t="shared" si="165"/>
        <v>0</v>
      </c>
      <c r="AD1306" s="43">
        <f t="shared" si="166"/>
        <v>0</v>
      </c>
      <c r="AE1306" s="50">
        <f t="shared" si="167"/>
        <v>0</v>
      </c>
    </row>
    <row r="1307" spans="1:31">
      <c r="A1307" s="59" t="str">
        <f t="shared" si="161"/>
        <v/>
      </c>
      <c r="B1307" s="59" t="str">
        <f t="shared" si="162"/>
        <v/>
      </c>
      <c r="V1307" s="59" t="str">
        <f t="shared" si="163"/>
        <v/>
      </c>
      <c r="W1307" s="59" t="str">
        <f t="shared" si="160"/>
        <v/>
      </c>
      <c r="X1307" s="59" t="str">
        <f t="shared" si="164"/>
        <v/>
      </c>
      <c r="AC1307" s="50">
        <f t="shared" si="165"/>
        <v>0</v>
      </c>
      <c r="AD1307" s="43">
        <f t="shared" si="166"/>
        <v>0</v>
      </c>
      <c r="AE1307" s="50">
        <f t="shared" si="167"/>
        <v>0</v>
      </c>
    </row>
    <row r="1308" spans="1:31">
      <c r="A1308" s="59" t="str">
        <f t="shared" si="161"/>
        <v/>
      </c>
      <c r="B1308" s="59" t="str">
        <f t="shared" si="162"/>
        <v/>
      </c>
      <c r="V1308" s="59" t="str">
        <f t="shared" si="163"/>
        <v/>
      </c>
      <c r="W1308" s="59" t="str">
        <f t="shared" si="160"/>
        <v/>
      </c>
      <c r="X1308" s="59" t="str">
        <f t="shared" si="164"/>
        <v/>
      </c>
      <c r="AC1308" s="50">
        <f t="shared" si="165"/>
        <v>0</v>
      </c>
      <c r="AD1308" s="43">
        <f t="shared" si="166"/>
        <v>0</v>
      </c>
      <c r="AE1308" s="50">
        <f t="shared" si="167"/>
        <v>0</v>
      </c>
    </row>
    <row r="1309" spans="1:31">
      <c r="A1309" s="59" t="str">
        <f t="shared" si="161"/>
        <v/>
      </c>
      <c r="B1309" s="59" t="str">
        <f t="shared" si="162"/>
        <v/>
      </c>
      <c r="V1309" s="59" t="str">
        <f t="shared" si="163"/>
        <v/>
      </c>
      <c r="W1309" s="59" t="str">
        <f t="shared" si="160"/>
        <v/>
      </c>
      <c r="X1309" s="59" t="str">
        <f t="shared" si="164"/>
        <v/>
      </c>
      <c r="AC1309" s="50">
        <f t="shared" si="165"/>
        <v>0</v>
      </c>
      <c r="AD1309" s="43">
        <f t="shared" si="166"/>
        <v>0</v>
      </c>
      <c r="AE1309" s="50">
        <f t="shared" si="167"/>
        <v>0</v>
      </c>
    </row>
    <row r="1310" spans="1:31">
      <c r="A1310" s="59" t="str">
        <f t="shared" si="161"/>
        <v/>
      </c>
      <c r="B1310" s="59" t="str">
        <f t="shared" si="162"/>
        <v/>
      </c>
      <c r="V1310" s="59" t="str">
        <f t="shared" si="163"/>
        <v/>
      </c>
      <c r="W1310" s="59" t="str">
        <f t="shared" si="160"/>
        <v/>
      </c>
      <c r="X1310" s="59" t="str">
        <f t="shared" si="164"/>
        <v/>
      </c>
      <c r="AC1310" s="50">
        <f t="shared" si="165"/>
        <v>0</v>
      </c>
      <c r="AD1310" s="43">
        <f t="shared" si="166"/>
        <v>0</v>
      </c>
      <c r="AE1310" s="50">
        <f t="shared" si="167"/>
        <v>0</v>
      </c>
    </row>
    <row r="1311" spans="1:31">
      <c r="A1311" s="59" t="str">
        <f t="shared" si="161"/>
        <v/>
      </c>
      <c r="B1311" s="59" t="str">
        <f t="shared" si="162"/>
        <v/>
      </c>
      <c r="V1311" s="59" t="str">
        <f t="shared" si="163"/>
        <v/>
      </c>
      <c r="W1311" s="59" t="str">
        <f t="shared" si="160"/>
        <v/>
      </c>
      <c r="X1311" s="59" t="str">
        <f t="shared" si="164"/>
        <v/>
      </c>
      <c r="AC1311" s="50">
        <f t="shared" si="165"/>
        <v>0</v>
      </c>
      <c r="AD1311" s="43">
        <f t="shared" si="166"/>
        <v>0</v>
      </c>
      <c r="AE1311" s="50">
        <f t="shared" si="167"/>
        <v>0</v>
      </c>
    </row>
    <row r="1312" spans="1:31">
      <c r="A1312" s="59" t="str">
        <f t="shared" si="161"/>
        <v/>
      </c>
      <c r="B1312" s="59" t="str">
        <f t="shared" si="162"/>
        <v/>
      </c>
      <c r="V1312" s="59" t="str">
        <f t="shared" si="163"/>
        <v/>
      </c>
      <c r="W1312" s="59" t="str">
        <f t="shared" si="160"/>
        <v/>
      </c>
      <c r="X1312" s="59" t="str">
        <f t="shared" si="164"/>
        <v/>
      </c>
      <c r="AC1312" s="50">
        <f t="shared" si="165"/>
        <v>0</v>
      </c>
      <c r="AD1312" s="43">
        <f t="shared" si="166"/>
        <v>0</v>
      </c>
      <c r="AE1312" s="50">
        <f t="shared" si="167"/>
        <v>0</v>
      </c>
    </row>
    <row r="1313" spans="1:31">
      <c r="A1313" s="59" t="str">
        <f t="shared" si="161"/>
        <v/>
      </c>
      <c r="B1313" s="59" t="str">
        <f t="shared" si="162"/>
        <v/>
      </c>
      <c r="V1313" s="59" t="str">
        <f t="shared" si="163"/>
        <v/>
      </c>
      <c r="W1313" s="59" t="str">
        <f t="shared" si="160"/>
        <v/>
      </c>
      <c r="X1313" s="59" t="str">
        <f t="shared" si="164"/>
        <v/>
      </c>
      <c r="AC1313" s="50">
        <f t="shared" si="165"/>
        <v>0</v>
      </c>
      <c r="AD1313" s="43">
        <f t="shared" si="166"/>
        <v>0</v>
      </c>
      <c r="AE1313" s="50">
        <f t="shared" si="167"/>
        <v>0</v>
      </c>
    </row>
    <row r="1314" spans="1:31">
      <c r="A1314" s="59" t="str">
        <f t="shared" si="161"/>
        <v/>
      </c>
      <c r="B1314" s="59" t="str">
        <f t="shared" si="162"/>
        <v/>
      </c>
      <c r="V1314" s="59" t="str">
        <f t="shared" si="163"/>
        <v/>
      </c>
      <c r="W1314" s="59" t="str">
        <f t="shared" si="160"/>
        <v/>
      </c>
      <c r="X1314" s="59" t="str">
        <f t="shared" si="164"/>
        <v/>
      </c>
      <c r="AC1314" s="50">
        <f t="shared" si="165"/>
        <v>0</v>
      </c>
      <c r="AD1314" s="43">
        <f t="shared" si="166"/>
        <v>0</v>
      </c>
      <c r="AE1314" s="50">
        <f t="shared" si="167"/>
        <v>0</v>
      </c>
    </row>
    <row r="1315" spans="1:31">
      <c r="A1315" s="59" t="str">
        <f t="shared" si="161"/>
        <v/>
      </c>
      <c r="B1315" s="59" t="str">
        <f t="shared" si="162"/>
        <v/>
      </c>
      <c r="V1315" s="59" t="str">
        <f t="shared" si="163"/>
        <v/>
      </c>
      <c r="W1315" s="59" t="str">
        <f t="shared" si="160"/>
        <v/>
      </c>
      <c r="X1315" s="59" t="str">
        <f t="shared" si="164"/>
        <v/>
      </c>
      <c r="AC1315" s="50">
        <f t="shared" si="165"/>
        <v>0</v>
      </c>
      <c r="AD1315" s="43">
        <f t="shared" si="166"/>
        <v>0</v>
      </c>
      <c r="AE1315" s="50">
        <f t="shared" si="167"/>
        <v>0</v>
      </c>
    </row>
    <row r="1316" spans="1:31">
      <c r="A1316" s="59" t="str">
        <f t="shared" si="161"/>
        <v/>
      </c>
      <c r="B1316" s="59" t="str">
        <f t="shared" si="162"/>
        <v/>
      </c>
      <c r="V1316" s="59" t="str">
        <f t="shared" si="163"/>
        <v/>
      </c>
      <c r="W1316" s="59" t="str">
        <f t="shared" si="160"/>
        <v/>
      </c>
      <c r="X1316" s="59" t="str">
        <f t="shared" si="164"/>
        <v/>
      </c>
      <c r="AC1316" s="50">
        <f t="shared" si="165"/>
        <v>0</v>
      </c>
      <c r="AD1316" s="43">
        <f t="shared" si="166"/>
        <v>0</v>
      </c>
      <c r="AE1316" s="50">
        <f t="shared" si="167"/>
        <v>0</v>
      </c>
    </row>
    <row r="1317" spans="1:31">
      <c r="A1317" s="59" t="str">
        <f t="shared" si="161"/>
        <v/>
      </c>
      <c r="B1317" s="59" t="str">
        <f t="shared" si="162"/>
        <v/>
      </c>
      <c r="V1317" s="59" t="str">
        <f t="shared" si="163"/>
        <v/>
      </c>
      <c r="W1317" s="59" t="str">
        <f t="shared" si="160"/>
        <v/>
      </c>
      <c r="X1317" s="59" t="str">
        <f t="shared" si="164"/>
        <v/>
      </c>
      <c r="AC1317" s="50">
        <f t="shared" si="165"/>
        <v>0</v>
      </c>
      <c r="AD1317" s="43">
        <f t="shared" si="166"/>
        <v>0</v>
      </c>
      <c r="AE1317" s="50">
        <f t="shared" si="167"/>
        <v>0</v>
      </c>
    </row>
    <row r="1318" spans="1:31">
      <c r="A1318" s="59" t="str">
        <f t="shared" si="161"/>
        <v/>
      </c>
      <c r="B1318" s="59" t="str">
        <f t="shared" si="162"/>
        <v/>
      </c>
      <c r="V1318" s="59" t="str">
        <f t="shared" si="163"/>
        <v/>
      </c>
      <c r="W1318" s="59" t="str">
        <f t="shared" si="160"/>
        <v/>
      </c>
      <c r="X1318" s="59" t="str">
        <f t="shared" si="164"/>
        <v/>
      </c>
      <c r="AC1318" s="50">
        <f t="shared" si="165"/>
        <v>0</v>
      </c>
      <c r="AD1318" s="43">
        <f t="shared" si="166"/>
        <v>0</v>
      </c>
      <c r="AE1318" s="50">
        <f t="shared" si="167"/>
        <v>0</v>
      </c>
    </row>
    <row r="1319" spans="1:31">
      <c r="A1319" s="59" t="str">
        <f t="shared" si="161"/>
        <v/>
      </c>
      <c r="B1319" s="59" t="str">
        <f t="shared" si="162"/>
        <v/>
      </c>
      <c r="V1319" s="59" t="str">
        <f t="shared" si="163"/>
        <v/>
      </c>
      <c r="W1319" s="59" t="str">
        <f t="shared" si="160"/>
        <v/>
      </c>
      <c r="X1319" s="59" t="str">
        <f t="shared" si="164"/>
        <v/>
      </c>
      <c r="AC1319" s="50">
        <f t="shared" si="165"/>
        <v>0</v>
      </c>
      <c r="AD1319" s="43">
        <f t="shared" si="166"/>
        <v>0</v>
      </c>
      <c r="AE1319" s="50">
        <f t="shared" si="167"/>
        <v>0</v>
      </c>
    </row>
    <row r="1320" spans="1:31">
      <c r="A1320" s="59" t="str">
        <f t="shared" si="161"/>
        <v/>
      </c>
      <c r="B1320" s="59" t="str">
        <f t="shared" si="162"/>
        <v/>
      </c>
      <c r="V1320" s="59" t="str">
        <f t="shared" si="163"/>
        <v/>
      </c>
      <c r="W1320" s="59" t="str">
        <f t="shared" si="160"/>
        <v/>
      </c>
      <c r="X1320" s="59" t="str">
        <f t="shared" si="164"/>
        <v/>
      </c>
      <c r="AC1320" s="50">
        <f t="shared" si="165"/>
        <v>0</v>
      </c>
      <c r="AD1320" s="43">
        <f t="shared" si="166"/>
        <v>0</v>
      </c>
      <c r="AE1320" s="50">
        <f t="shared" si="167"/>
        <v>0</v>
      </c>
    </row>
    <row r="1321" spans="1:31">
      <c r="A1321" s="59" t="str">
        <f t="shared" si="161"/>
        <v/>
      </c>
      <c r="B1321" s="59" t="str">
        <f t="shared" si="162"/>
        <v/>
      </c>
      <c r="V1321" s="59" t="str">
        <f t="shared" si="163"/>
        <v/>
      </c>
      <c r="W1321" s="59" t="str">
        <f t="shared" si="160"/>
        <v/>
      </c>
      <c r="X1321" s="59" t="str">
        <f t="shared" si="164"/>
        <v/>
      </c>
      <c r="AC1321" s="50">
        <f t="shared" si="165"/>
        <v>0</v>
      </c>
      <c r="AD1321" s="43">
        <f t="shared" si="166"/>
        <v>0</v>
      </c>
      <c r="AE1321" s="50">
        <f t="shared" si="167"/>
        <v>0</v>
      </c>
    </row>
    <row r="1322" spans="1:31">
      <c r="A1322" s="59" t="str">
        <f t="shared" si="161"/>
        <v/>
      </c>
      <c r="B1322" s="59" t="str">
        <f t="shared" si="162"/>
        <v/>
      </c>
      <c r="V1322" s="59" t="str">
        <f t="shared" si="163"/>
        <v/>
      </c>
      <c r="W1322" s="59" t="str">
        <f t="shared" si="160"/>
        <v/>
      </c>
      <c r="X1322" s="59" t="str">
        <f t="shared" si="164"/>
        <v/>
      </c>
      <c r="AC1322" s="50">
        <f t="shared" si="165"/>
        <v>0</v>
      </c>
      <c r="AD1322" s="43">
        <f t="shared" si="166"/>
        <v>0</v>
      </c>
      <c r="AE1322" s="50">
        <f t="shared" si="167"/>
        <v>0</v>
      </c>
    </row>
    <row r="1323" spans="1:31">
      <c r="A1323" s="59" t="str">
        <f t="shared" si="161"/>
        <v/>
      </c>
      <c r="B1323" s="59" t="str">
        <f t="shared" si="162"/>
        <v/>
      </c>
      <c r="V1323" s="59" t="str">
        <f t="shared" si="163"/>
        <v/>
      </c>
      <c r="W1323" s="59" t="str">
        <f t="shared" si="160"/>
        <v/>
      </c>
      <c r="X1323" s="59" t="str">
        <f t="shared" si="164"/>
        <v/>
      </c>
      <c r="AC1323" s="50">
        <f t="shared" si="165"/>
        <v>0</v>
      </c>
      <c r="AD1323" s="43">
        <f t="shared" si="166"/>
        <v>0</v>
      </c>
      <c r="AE1323" s="50">
        <f t="shared" si="167"/>
        <v>0</v>
      </c>
    </row>
    <row r="1324" spans="1:31">
      <c r="A1324" s="59" t="str">
        <f t="shared" si="161"/>
        <v/>
      </c>
      <c r="B1324" s="59" t="str">
        <f t="shared" si="162"/>
        <v/>
      </c>
      <c r="V1324" s="59" t="str">
        <f t="shared" si="163"/>
        <v/>
      </c>
      <c r="W1324" s="59" t="str">
        <f t="shared" si="160"/>
        <v/>
      </c>
      <c r="X1324" s="59" t="str">
        <f t="shared" si="164"/>
        <v/>
      </c>
      <c r="AC1324" s="50">
        <f t="shared" si="165"/>
        <v>0</v>
      </c>
      <c r="AD1324" s="43">
        <f t="shared" si="166"/>
        <v>0</v>
      </c>
      <c r="AE1324" s="50">
        <f t="shared" si="167"/>
        <v>0</v>
      </c>
    </row>
    <row r="1325" spans="1:31">
      <c r="A1325" s="59" t="str">
        <f t="shared" si="161"/>
        <v/>
      </c>
      <c r="B1325" s="59" t="str">
        <f t="shared" si="162"/>
        <v/>
      </c>
      <c r="V1325" s="59" t="str">
        <f t="shared" si="163"/>
        <v/>
      </c>
      <c r="W1325" s="59" t="str">
        <f t="shared" si="160"/>
        <v/>
      </c>
      <c r="X1325" s="59" t="str">
        <f t="shared" si="164"/>
        <v/>
      </c>
      <c r="AC1325" s="50">
        <f t="shared" si="165"/>
        <v>0</v>
      </c>
      <c r="AD1325" s="43">
        <f t="shared" si="166"/>
        <v>0</v>
      </c>
      <c r="AE1325" s="50">
        <f t="shared" si="167"/>
        <v>0</v>
      </c>
    </row>
    <row r="1326" spans="1:31">
      <c r="A1326" s="59" t="str">
        <f t="shared" si="161"/>
        <v/>
      </c>
      <c r="B1326" s="59" t="str">
        <f t="shared" si="162"/>
        <v/>
      </c>
      <c r="V1326" s="59" t="str">
        <f t="shared" si="163"/>
        <v/>
      </c>
      <c r="W1326" s="59" t="str">
        <f t="shared" si="160"/>
        <v/>
      </c>
      <c r="X1326" s="59" t="str">
        <f t="shared" si="164"/>
        <v/>
      </c>
      <c r="AC1326" s="50">
        <f t="shared" si="165"/>
        <v>0</v>
      </c>
      <c r="AD1326" s="43">
        <f t="shared" si="166"/>
        <v>0</v>
      </c>
      <c r="AE1326" s="50">
        <f t="shared" si="167"/>
        <v>0</v>
      </c>
    </row>
    <row r="1327" spans="1:31">
      <c r="A1327" s="59" t="str">
        <f t="shared" si="161"/>
        <v/>
      </c>
      <c r="B1327" s="59" t="str">
        <f t="shared" si="162"/>
        <v/>
      </c>
      <c r="V1327" s="59" t="str">
        <f t="shared" si="163"/>
        <v/>
      </c>
      <c r="W1327" s="59" t="str">
        <f t="shared" si="160"/>
        <v/>
      </c>
      <c r="X1327" s="59" t="str">
        <f t="shared" si="164"/>
        <v/>
      </c>
      <c r="AC1327" s="50">
        <f t="shared" si="165"/>
        <v>0</v>
      </c>
      <c r="AD1327" s="43">
        <f t="shared" si="166"/>
        <v>0</v>
      </c>
      <c r="AE1327" s="50">
        <f t="shared" si="167"/>
        <v>0</v>
      </c>
    </row>
    <row r="1328" spans="1:31">
      <c r="A1328" s="59" t="str">
        <f t="shared" si="161"/>
        <v/>
      </c>
      <c r="B1328" s="59" t="str">
        <f t="shared" si="162"/>
        <v/>
      </c>
      <c r="V1328" s="59" t="str">
        <f t="shared" si="163"/>
        <v/>
      </c>
      <c r="W1328" s="59" t="str">
        <f t="shared" si="160"/>
        <v/>
      </c>
      <c r="X1328" s="59" t="str">
        <f t="shared" si="164"/>
        <v/>
      </c>
      <c r="AC1328" s="50">
        <f t="shared" si="165"/>
        <v>0</v>
      </c>
      <c r="AD1328" s="43">
        <f t="shared" si="166"/>
        <v>0</v>
      </c>
      <c r="AE1328" s="50">
        <f t="shared" si="167"/>
        <v>0</v>
      </c>
    </row>
    <row r="1329" spans="1:31">
      <c r="A1329" s="59" t="str">
        <f t="shared" si="161"/>
        <v/>
      </c>
      <c r="B1329" s="59" t="str">
        <f t="shared" si="162"/>
        <v/>
      </c>
      <c r="V1329" s="59" t="str">
        <f t="shared" si="163"/>
        <v/>
      </c>
      <c r="W1329" s="59" t="str">
        <f t="shared" si="160"/>
        <v/>
      </c>
      <c r="X1329" s="59" t="str">
        <f t="shared" si="164"/>
        <v/>
      </c>
      <c r="AC1329" s="50">
        <f t="shared" si="165"/>
        <v>0</v>
      </c>
      <c r="AD1329" s="43">
        <f t="shared" si="166"/>
        <v>0</v>
      </c>
      <c r="AE1329" s="50">
        <f t="shared" si="167"/>
        <v>0</v>
      </c>
    </row>
    <row r="1330" spans="1:31">
      <c r="A1330" s="59" t="str">
        <f t="shared" si="161"/>
        <v/>
      </c>
      <c r="B1330" s="59" t="str">
        <f t="shared" si="162"/>
        <v/>
      </c>
      <c r="V1330" s="59" t="str">
        <f t="shared" si="163"/>
        <v/>
      </c>
      <c r="W1330" s="59" t="str">
        <f t="shared" si="160"/>
        <v/>
      </c>
      <c r="X1330" s="59" t="str">
        <f t="shared" si="164"/>
        <v/>
      </c>
      <c r="AC1330" s="50">
        <f t="shared" si="165"/>
        <v>0</v>
      </c>
      <c r="AD1330" s="43">
        <f t="shared" si="166"/>
        <v>0</v>
      </c>
      <c r="AE1330" s="50">
        <f t="shared" si="167"/>
        <v>0</v>
      </c>
    </row>
    <row r="1331" spans="1:31">
      <c r="A1331" s="59" t="str">
        <f t="shared" si="161"/>
        <v/>
      </c>
      <c r="B1331" s="59" t="str">
        <f t="shared" si="162"/>
        <v/>
      </c>
      <c r="V1331" s="59" t="str">
        <f t="shared" si="163"/>
        <v/>
      </c>
      <c r="W1331" s="59" t="str">
        <f t="shared" si="160"/>
        <v/>
      </c>
      <c r="X1331" s="59" t="str">
        <f t="shared" si="164"/>
        <v/>
      </c>
      <c r="AC1331" s="50">
        <f t="shared" si="165"/>
        <v>0</v>
      </c>
      <c r="AD1331" s="43">
        <f t="shared" si="166"/>
        <v>0</v>
      </c>
      <c r="AE1331" s="50">
        <f t="shared" si="167"/>
        <v>0</v>
      </c>
    </row>
    <row r="1332" spans="1:31">
      <c r="A1332" s="59" t="str">
        <f t="shared" si="161"/>
        <v/>
      </c>
      <c r="B1332" s="59" t="str">
        <f t="shared" si="162"/>
        <v/>
      </c>
      <c r="V1332" s="59" t="str">
        <f t="shared" si="163"/>
        <v/>
      </c>
      <c r="W1332" s="59" t="str">
        <f t="shared" si="160"/>
        <v/>
      </c>
      <c r="X1332" s="59" t="str">
        <f t="shared" si="164"/>
        <v/>
      </c>
      <c r="AC1332" s="50">
        <f t="shared" si="165"/>
        <v>0</v>
      </c>
      <c r="AD1332" s="43">
        <f t="shared" si="166"/>
        <v>0</v>
      </c>
      <c r="AE1332" s="50">
        <f t="shared" si="167"/>
        <v>0</v>
      </c>
    </row>
    <row r="1333" spans="1:31">
      <c r="A1333" s="59" t="str">
        <f t="shared" si="161"/>
        <v/>
      </c>
      <c r="B1333" s="59" t="str">
        <f t="shared" si="162"/>
        <v/>
      </c>
      <c r="V1333" s="59" t="str">
        <f t="shared" si="163"/>
        <v/>
      </c>
      <c r="W1333" s="59" t="str">
        <f t="shared" si="160"/>
        <v/>
      </c>
      <c r="X1333" s="59" t="str">
        <f t="shared" si="164"/>
        <v/>
      </c>
      <c r="AC1333" s="50">
        <f t="shared" si="165"/>
        <v>0</v>
      </c>
      <c r="AD1333" s="43">
        <f t="shared" si="166"/>
        <v>0</v>
      </c>
      <c r="AE1333" s="50">
        <f t="shared" si="167"/>
        <v>0</v>
      </c>
    </row>
    <row r="1334" spans="1:31">
      <c r="A1334" s="59" t="str">
        <f t="shared" si="161"/>
        <v/>
      </c>
      <c r="B1334" s="59" t="str">
        <f t="shared" si="162"/>
        <v/>
      </c>
      <c r="V1334" s="59" t="str">
        <f t="shared" si="163"/>
        <v/>
      </c>
      <c r="W1334" s="59" t="str">
        <f t="shared" si="160"/>
        <v/>
      </c>
      <c r="X1334" s="59" t="str">
        <f t="shared" si="164"/>
        <v/>
      </c>
      <c r="AC1334" s="50">
        <f t="shared" si="165"/>
        <v>0</v>
      </c>
      <c r="AD1334" s="43">
        <f t="shared" si="166"/>
        <v>0</v>
      </c>
      <c r="AE1334" s="50">
        <f t="shared" si="167"/>
        <v>0</v>
      </c>
    </row>
    <row r="1335" spans="1:31">
      <c r="A1335" s="59" t="str">
        <f t="shared" si="161"/>
        <v/>
      </c>
      <c r="B1335" s="59" t="str">
        <f t="shared" si="162"/>
        <v/>
      </c>
      <c r="V1335" s="59" t="str">
        <f t="shared" si="163"/>
        <v/>
      </c>
      <c r="W1335" s="59" t="str">
        <f t="shared" si="160"/>
        <v/>
      </c>
      <c r="X1335" s="59" t="str">
        <f t="shared" si="164"/>
        <v/>
      </c>
      <c r="AC1335" s="50">
        <f t="shared" si="165"/>
        <v>0</v>
      </c>
      <c r="AD1335" s="43">
        <f t="shared" si="166"/>
        <v>0</v>
      </c>
      <c r="AE1335" s="50">
        <f t="shared" si="167"/>
        <v>0</v>
      </c>
    </row>
    <row r="1336" spans="1:31">
      <c r="A1336" s="59" t="str">
        <f t="shared" si="161"/>
        <v/>
      </c>
      <c r="B1336" s="59" t="str">
        <f t="shared" si="162"/>
        <v/>
      </c>
      <c r="V1336" s="59" t="str">
        <f t="shared" si="163"/>
        <v/>
      </c>
      <c r="W1336" s="59" t="str">
        <f t="shared" si="160"/>
        <v/>
      </c>
      <c r="X1336" s="59" t="str">
        <f t="shared" si="164"/>
        <v/>
      </c>
      <c r="AC1336" s="50">
        <f t="shared" si="165"/>
        <v>0</v>
      </c>
      <c r="AD1336" s="43">
        <f t="shared" si="166"/>
        <v>0</v>
      </c>
      <c r="AE1336" s="50">
        <f t="shared" si="167"/>
        <v>0</v>
      </c>
    </row>
    <row r="1337" spans="1:31">
      <c r="A1337" s="59" t="str">
        <f t="shared" si="161"/>
        <v/>
      </c>
      <c r="B1337" s="59" t="str">
        <f t="shared" si="162"/>
        <v/>
      </c>
      <c r="V1337" s="59" t="str">
        <f t="shared" si="163"/>
        <v/>
      </c>
      <c r="W1337" s="59" t="str">
        <f t="shared" si="160"/>
        <v/>
      </c>
      <c r="X1337" s="59" t="str">
        <f t="shared" si="164"/>
        <v/>
      </c>
      <c r="AC1337" s="50">
        <f t="shared" si="165"/>
        <v>0</v>
      </c>
      <c r="AD1337" s="43">
        <f t="shared" si="166"/>
        <v>0</v>
      </c>
      <c r="AE1337" s="50">
        <f t="shared" si="167"/>
        <v>0</v>
      </c>
    </row>
    <row r="1338" spans="1:31">
      <c r="A1338" s="59" t="str">
        <f t="shared" si="161"/>
        <v/>
      </c>
      <c r="B1338" s="59" t="str">
        <f t="shared" si="162"/>
        <v/>
      </c>
      <c r="V1338" s="59" t="str">
        <f t="shared" si="163"/>
        <v/>
      </c>
      <c r="W1338" s="59" t="str">
        <f t="shared" si="160"/>
        <v/>
      </c>
      <c r="X1338" s="59" t="str">
        <f t="shared" si="164"/>
        <v/>
      </c>
      <c r="AC1338" s="50">
        <f t="shared" si="165"/>
        <v>0</v>
      </c>
      <c r="AD1338" s="43">
        <f t="shared" si="166"/>
        <v>0</v>
      </c>
      <c r="AE1338" s="50">
        <f t="shared" si="167"/>
        <v>0</v>
      </c>
    </row>
    <row r="1339" spans="1:31">
      <c r="A1339" s="59" t="str">
        <f t="shared" si="161"/>
        <v/>
      </c>
      <c r="B1339" s="59" t="str">
        <f t="shared" si="162"/>
        <v/>
      </c>
      <c r="V1339" s="59" t="str">
        <f t="shared" si="163"/>
        <v/>
      </c>
      <c r="W1339" s="59" t="str">
        <f t="shared" si="160"/>
        <v/>
      </c>
      <c r="X1339" s="59" t="str">
        <f t="shared" si="164"/>
        <v/>
      </c>
      <c r="AC1339" s="50">
        <f t="shared" si="165"/>
        <v>0</v>
      </c>
      <c r="AD1339" s="43">
        <f t="shared" si="166"/>
        <v>0</v>
      </c>
      <c r="AE1339" s="50">
        <f t="shared" si="167"/>
        <v>0</v>
      </c>
    </row>
    <row r="1340" spans="1:31">
      <c r="A1340" s="59" t="str">
        <f t="shared" si="161"/>
        <v/>
      </c>
      <c r="B1340" s="59" t="str">
        <f t="shared" si="162"/>
        <v/>
      </c>
      <c r="V1340" s="59" t="str">
        <f t="shared" si="163"/>
        <v/>
      </c>
      <c r="W1340" s="59" t="str">
        <f t="shared" si="160"/>
        <v/>
      </c>
      <c r="X1340" s="59" t="str">
        <f t="shared" si="164"/>
        <v/>
      </c>
      <c r="AC1340" s="50">
        <f t="shared" si="165"/>
        <v>0</v>
      </c>
      <c r="AD1340" s="43">
        <f t="shared" si="166"/>
        <v>0</v>
      </c>
      <c r="AE1340" s="50">
        <f t="shared" si="167"/>
        <v>0</v>
      </c>
    </row>
    <row r="1341" spans="1:31">
      <c r="A1341" s="59" t="str">
        <f t="shared" si="161"/>
        <v/>
      </c>
      <c r="B1341" s="59" t="str">
        <f t="shared" si="162"/>
        <v/>
      </c>
      <c r="V1341" s="59" t="str">
        <f t="shared" si="163"/>
        <v/>
      </c>
      <c r="W1341" s="59" t="str">
        <f t="shared" si="160"/>
        <v/>
      </c>
      <c r="X1341" s="59" t="str">
        <f t="shared" si="164"/>
        <v/>
      </c>
      <c r="AC1341" s="50">
        <f t="shared" si="165"/>
        <v>0</v>
      </c>
      <c r="AD1341" s="43">
        <f t="shared" si="166"/>
        <v>0</v>
      </c>
      <c r="AE1341" s="50">
        <f t="shared" si="167"/>
        <v>0</v>
      </c>
    </row>
    <row r="1342" spans="1:31">
      <c r="A1342" s="59" t="str">
        <f t="shared" si="161"/>
        <v/>
      </c>
      <c r="B1342" s="59" t="str">
        <f t="shared" si="162"/>
        <v/>
      </c>
      <c r="V1342" s="59" t="str">
        <f t="shared" si="163"/>
        <v/>
      </c>
      <c r="W1342" s="59" t="str">
        <f t="shared" si="160"/>
        <v/>
      </c>
      <c r="X1342" s="59" t="str">
        <f t="shared" si="164"/>
        <v/>
      </c>
      <c r="AC1342" s="50">
        <f t="shared" si="165"/>
        <v>0</v>
      </c>
      <c r="AD1342" s="43">
        <f t="shared" si="166"/>
        <v>0</v>
      </c>
      <c r="AE1342" s="50">
        <f t="shared" si="167"/>
        <v>0</v>
      </c>
    </row>
    <row r="1343" spans="1:31">
      <c r="A1343" s="59" t="str">
        <f t="shared" si="161"/>
        <v/>
      </c>
      <c r="B1343" s="59" t="str">
        <f t="shared" si="162"/>
        <v/>
      </c>
      <c r="V1343" s="59" t="str">
        <f t="shared" si="163"/>
        <v/>
      </c>
      <c r="W1343" s="59" t="str">
        <f t="shared" si="160"/>
        <v/>
      </c>
      <c r="X1343" s="59" t="str">
        <f t="shared" si="164"/>
        <v/>
      </c>
      <c r="AC1343" s="50">
        <f t="shared" si="165"/>
        <v>0</v>
      </c>
      <c r="AD1343" s="43">
        <f t="shared" si="166"/>
        <v>0</v>
      </c>
      <c r="AE1343" s="50">
        <f t="shared" si="167"/>
        <v>0</v>
      </c>
    </row>
    <row r="1344" spans="1:31">
      <c r="A1344" s="59" t="str">
        <f t="shared" si="161"/>
        <v/>
      </c>
      <c r="B1344" s="59" t="str">
        <f t="shared" si="162"/>
        <v/>
      </c>
      <c r="V1344" s="59" t="str">
        <f t="shared" si="163"/>
        <v/>
      </c>
      <c r="W1344" s="59" t="str">
        <f t="shared" si="160"/>
        <v/>
      </c>
      <c r="X1344" s="59" t="str">
        <f t="shared" si="164"/>
        <v/>
      </c>
      <c r="AC1344" s="50">
        <f t="shared" si="165"/>
        <v>0</v>
      </c>
      <c r="AD1344" s="43">
        <f t="shared" si="166"/>
        <v>0</v>
      </c>
      <c r="AE1344" s="50">
        <f t="shared" si="167"/>
        <v>0</v>
      </c>
    </row>
    <row r="1345" spans="1:31">
      <c r="A1345" s="59" t="str">
        <f t="shared" si="161"/>
        <v/>
      </c>
      <c r="B1345" s="59" t="str">
        <f t="shared" si="162"/>
        <v/>
      </c>
      <c r="V1345" s="59" t="str">
        <f t="shared" si="163"/>
        <v/>
      </c>
      <c r="W1345" s="59" t="str">
        <f t="shared" si="160"/>
        <v/>
      </c>
      <c r="X1345" s="59" t="str">
        <f t="shared" si="164"/>
        <v/>
      </c>
      <c r="AC1345" s="50">
        <f t="shared" si="165"/>
        <v>0</v>
      </c>
      <c r="AD1345" s="43">
        <f t="shared" si="166"/>
        <v>0</v>
      </c>
      <c r="AE1345" s="50">
        <f t="shared" si="167"/>
        <v>0</v>
      </c>
    </row>
    <row r="1346" spans="1:31">
      <c r="A1346" s="59" t="str">
        <f t="shared" si="161"/>
        <v/>
      </c>
      <c r="B1346" s="59" t="str">
        <f t="shared" si="162"/>
        <v/>
      </c>
      <c r="V1346" s="59" t="str">
        <f t="shared" si="163"/>
        <v/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59" t="str">
        <f t="shared" si="164"/>
        <v/>
      </c>
      <c r="AC1346" s="50">
        <f t="shared" si="165"/>
        <v>0</v>
      </c>
      <c r="AD1346" s="43">
        <f t="shared" si="166"/>
        <v>0</v>
      </c>
      <c r="AE1346" s="50">
        <f t="shared" si="167"/>
        <v>0</v>
      </c>
    </row>
    <row r="1347" spans="1:31">
      <c r="A1347" s="59" t="str">
        <f t="shared" ref="A1347:A1410" si="169">IF(G1347&amp;Q1347&lt;&gt;"",W1347&amp;Q1347,"")</f>
        <v/>
      </c>
      <c r="B1347" s="59" t="str">
        <f t="shared" ref="B1347:B1410" si="170">IF(C1347&lt;&gt;"",LEFT(C1347,9),"")</f>
        <v/>
      </c>
      <c r="V1347" s="59" t="str">
        <f t="shared" ref="V1347:V1410" si="171">W1347&amp;H1347</f>
        <v/>
      </c>
      <c r="W1347" s="59" t="str">
        <f t="shared" si="168"/>
        <v/>
      </c>
      <c r="X1347" s="59" t="str">
        <f t="shared" ref="X1347:X1410" si="172">IF(A1347&lt;&gt;"",IFERROR(IF(FIND(" ",G1347)&gt;=1,MID(G1347,FIND(" ",G1347)+1,LEN(G1347)),""),""),"")</f>
        <v/>
      </c>
      <c r="AC1347" s="50">
        <f t="shared" ref="AC1347:AC1410" si="173">IFERROR(VALUE(MID($C1347,1,2)),0)</f>
        <v>0</v>
      </c>
      <c r="AD1347" s="43">
        <f t="shared" ref="AD1347:AD1410" si="174">IFERROR(VALUE(MID($C1347,4,3)),0)</f>
        <v>0</v>
      </c>
      <c r="AE1347" s="50">
        <f t="shared" ref="AE1347:AE1410" si="175">VALUE(RIGHT("00"&amp;AC1347,2)&amp;RIGHT("000"&amp;AD1347,3))</f>
        <v>0</v>
      </c>
    </row>
    <row r="1348" spans="1:31">
      <c r="A1348" s="59" t="str">
        <f t="shared" si="169"/>
        <v/>
      </c>
      <c r="B1348" s="59" t="str">
        <f t="shared" si="170"/>
        <v/>
      </c>
      <c r="V1348" s="59" t="str">
        <f t="shared" si="171"/>
        <v/>
      </c>
      <c r="W1348" s="59" t="str">
        <f t="shared" si="168"/>
        <v/>
      </c>
      <c r="X1348" s="59" t="str">
        <f t="shared" si="172"/>
        <v/>
      </c>
      <c r="AC1348" s="50">
        <f t="shared" si="173"/>
        <v>0</v>
      </c>
      <c r="AD1348" s="43">
        <f t="shared" si="174"/>
        <v>0</v>
      </c>
      <c r="AE1348" s="50">
        <f t="shared" si="175"/>
        <v>0</v>
      </c>
    </row>
    <row r="1349" spans="1:31">
      <c r="A1349" s="59" t="str">
        <f t="shared" si="169"/>
        <v/>
      </c>
      <c r="B1349" s="59" t="str">
        <f t="shared" si="170"/>
        <v/>
      </c>
      <c r="V1349" s="59" t="str">
        <f t="shared" si="171"/>
        <v/>
      </c>
      <c r="W1349" s="59" t="str">
        <f t="shared" si="168"/>
        <v/>
      </c>
      <c r="X1349" s="59" t="str">
        <f t="shared" si="172"/>
        <v/>
      </c>
      <c r="AC1349" s="50">
        <f t="shared" si="173"/>
        <v>0</v>
      </c>
      <c r="AD1349" s="43">
        <f t="shared" si="174"/>
        <v>0</v>
      </c>
      <c r="AE1349" s="50">
        <f t="shared" si="175"/>
        <v>0</v>
      </c>
    </row>
    <row r="1350" spans="1:31">
      <c r="A1350" s="59" t="str">
        <f t="shared" si="169"/>
        <v/>
      </c>
      <c r="B1350" s="59" t="str">
        <f t="shared" si="170"/>
        <v/>
      </c>
      <c r="V1350" s="59" t="str">
        <f t="shared" si="171"/>
        <v/>
      </c>
      <c r="W1350" s="59" t="str">
        <f t="shared" si="168"/>
        <v/>
      </c>
      <c r="X1350" s="59" t="str">
        <f t="shared" si="172"/>
        <v/>
      </c>
      <c r="AC1350" s="50">
        <f t="shared" si="173"/>
        <v>0</v>
      </c>
      <c r="AD1350" s="43">
        <f t="shared" si="174"/>
        <v>0</v>
      </c>
      <c r="AE1350" s="50">
        <f t="shared" si="175"/>
        <v>0</v>
      </c>
    </row>
    <row r="1351" spans="1:31">
      <c r="A1351" s="59" t="str">
        <f t="shared" si="169"/>
        <v/>
      </c>
      <c r="B1351" s="59" t="str">
        <f t="shared" si="170"/>
        <v/>
      </c>
      <c r="V1351" s="59" t="str">
        <f t="shared" si="171"/>
        <v/>
      </c>
      <c r="W1351" s="59" t="str">
        <f t="shared" si="168"/>
        <v/>
      </c>
      <c r="X1351" s="59" t="str">
        <f t="shared" si="172"/>
        <v/>
      </c>
      <c r="AC1351" s="50">
        <f t="shared" si="173"/>
        <v>0</v>
      </c>
      <c r="AD1351" s="43">
        <f t="shared" si="174"/>
        <v>0</v>
      </c>
      <c r="AE1351" s="50">
        <f t="shared" si="175"/>
        <v>0</v>
      </c>
    </row>
    <row r="1352" spans="1:31">
      <c r="A1352" s="59" t="str">
        <f t="shared" si="169"/>
        <v/>
      </c>
      <c r="B1352" s="59" t="str">
        <f t="shared" si="170"/>
        <v/>
      </c>
      <c r="V1352" s="59" t="str">
        <f t="shared" si="171"/>
        <v/>
      </c>
      <c r="W1352" s="59" t="str">
        <f t="shared" si="168"/>
        <v/>
      </c>
      <c r="X1352" s="59" t="str">
        <f t="shared" si="172"/>
        <v/>
      </c>
      <c r="AC1352" s="50">
        <f t="shared" si="173"/>
        <v>0</v>
      </c>
      <c r="AD1352" s="43">
        <f t="shared" si="174"/>
        <v>0</v>
      </c>
      <c r="AE1352" s="50">
        <f t="shared" si="175"/>
        <v>0</v>
      </c>
    </row>
    <row r="1353" spans="1:31">
      <c r="A1353" s="59" t="str">
        <f t="shared" si="169"/>
        <v/>
      </c>
      <c r="B1353" s="59" t="str">
        <f t="shared" si="170"/>
        <v/>
      </c>
      <c r="V1353" s="59" t="str">
        <f t="shared" si="171"/>
        <v/>
      </c>
      <c r="W1353" s="59" t="str">
        <f t="shared" si="168"/>
        <v/>
      </c>
      <c r="X1353" s="59" t="str">
        <f t="shared" si="172"/>
        <v/>
      </c>
      <c r="AC1353" s="50">
        <f t="shared" si="173"/>
        <v>0</v>
      </c>
      <c r="AD1353" s="43">
        <f t="shared" si="174"/>
        <v>0</v>
      </c>
      <c r="AE1353" s="50">
        <f t="shared" si="175"/>
        <v>0</v>
      </c>
    </row>
    <row r="1354" spans="1:31">
      <c r="A1354" s="59" t="str">
        <f t="shared" si="169"/>
        <v/>
      </c>
      <c r="B1354" s="59" t="str">
        <f t="shared" si="170"/>
        <v/>
      </c>
      <c r="V1354" s="59" t="str">
        <f t="shared" si="171"/>
        <v/>
      </c>
      <c r="W1354" s="59" t="str">
        <f t="shared" si="168"/>
        <v/>
      </c>
      <c r="X1354" s="59" t="str">
        <f t="shared" si="172"/>
        <v/>
      </c>
      <c r="AC1354" s="50">
        <f t="shared" si="173"/>
        <v>0</v>
      </c>
      <c r="AD1354" s="43">
        <f t="shared" si="174"/>
        <v>0</v>
      </c>
      <c r="AE1354" s="50">
        <f t="shared" si="175"/>
        <v>0</v>
      </c>
    </row>
    <row r="1355" spans="1:31">
      <c r="A1355" s="59" t="str">
        <f t="shared" si="169"/>
        <v/>
      </c>
      <c r="B1355" s="59" t="str">
        <f t="shared" si="170"/>
        <v/>
      </c>
      <c r="V1355" s="59" t="str">
        <f t="shared" si="171"/>
        <v/>
      </c>
      <c r="W1355" s="59" t="str">
        <f t="shared" si="168"/>
        <v/>
      </c>
      <c r="X1355" s="59" t="str">
        <f t="shared" si="172"/>
        <v/>
      </c>
      <c r="AC1355" s="50">
        <f t="shared" si="173"/>
        <v>0</v>
      </c>
      <c r="AD1355" s="43">
        <f t="shared" si="174"/>
        <v>0</v>
      </c>
      <c r="AE1355" s="50">
        <f t="shared" si="175"/>
        <v>0</v>
      </c>
    </row>
    <row r="1356" spans="1:31">
      <c r="A1356" s="59" t="str">
        <f t="shared" si="169"/>
        <v/>
      </c>
      <c r="B1356" s="59" t="str">
        <f t="shared" si="170"/>
        <v/>
      </c>
      <c r="V1356" s="59" t="str">
        <f t="shared" si="171"/>
        <v/>
      </c>
      <c r="W1356" s="59" t="str">
        <f t="shared" si="168"/>
        <v/>
      </c>
      <c r="X1356" s="59" t="str">
        <f t="shared" si="172"/>
        <v/>
      </c>
      <c r="AC1356" s="50">
        <f t="shared" si="173"/>
        <v>0</v>
      </c>
      <c r="AD1356" s="43">
        <f t="shared" si="174"/>
        <v>0</v>
      </c>
      <c r="AE1356" s="50">
        <f t="shared" si="175"/>
        <v>0</v>
      </c>
    </row>
    <row r="1357" spans="1:31">
      <c r="A1357" s="59" t="str">
        <f t="shared" si="169"/>
        <v/>
      </c>
      <c r="B1357" s="59" t="str">
        <f t="shared" si="170"/>
        <v/>
      </c>
      <c r="V1357" s="59" t="str">
        <f t="shared" si="171"/>
        <v/>
      </c>
      <c r="W1357" s="59" t="str">
        <f t="shared" si="168"/>
        <v/>
      </c>
      <c r="X1357" s="59" t="str">
        <f t="shared" si="172"/>
        <v/>
      </c>
      <c r="AC1357" s="50">
        <f t="shared" si="173"/>
        <v>0</v>
      </c>
      <c r="AD1357" s="43">
        <f t="shared" si="174"/>
        <v>0</v>
      </c>
      <c r="AE1357" s="50">
        <f t="shared" si="175"/>
        <v>0</v>
      </c>
    </row>
    <row r="1358" spans="1:31">
      <c r="A1358" s="59" t="str">
        <f t="shared" si="169"/>
        <v/>
      </c>
      <c r="B1358" s="59" t="str">
        <f t="shared" si="170"/>
        <v/>
      </c>
      <c r="V1358" s="59" t="str">
        <f t="shared" si="171"/>
        <v/>
      </c>
      <c r="W1358" s="59" t="str">
        <f t="shared" si="168"/>
        <v/>
      </c>
      <c r="X1358" s="59" t="str">
        <f t="shared" si="172"/>
        <v/>
      </c>
      <c r="AC1358" s="50">
        <f t="shared" si="173"/>
        <v>0</v>
      </c>
      <c r="AD1358" s="43">
        <f t="shared" si="174"/>
        <v>0</v>
      </c>
      <c r="AE1358" s="50">
        <f t="shared" si="175"/>
        <v>0</v>
      </c>
    </row>
    <row r="1359" spans="1:31">
      <c r="A1359" s="59" t="str">
        <f t="shared" si="169"/>
        <v/>
      </c>
      <c r="B1359" s="59" t="str">
        <f t="shared" si="170"/>
        <v/>
      </c>
      <c r="V1359" s="59" t="str">
        <f t="shared" si="171"/>
        <v/>
      </c>
      <c r="W1359" s="59" t="str">
        <f t="shared" si="168"/>
        <v/>
      </c>
      <c r="X1359" s="59" t="str">
        <f t="shared" si="172"/>
        <v/>
      </c>
      <c r="AC1359" s="50">
        <f t="shared" si="173"/>
        <v>0</v>
      </c>
      <c r="AD1359" s="43">
        <f t="shared" si="174"/>
        <v>0</v>
      </c>
      <c r="AE1359" s="50">
        <f t="shared" si="175"/>
        <v>0</v>
      </c>
    </row>
    <row r="1360" spans="1:31">
      <c r="A1360" s="59" t="str">
        <f t="shared" si="169"/>
        <v/>
      </c>
      <c r="B1360" s="59" t="str">
        <f t="shared" si="170"/>
        <v/>
      </c>
      <c r="V1360" s="59" t="str">
        <f t="shared" si="171"/>
        <v/>
      </c>
      <c r="W1360" s="59" t="str">
        <f t="shared" si="168"/>
        <v/>
      </c>
      <c r="X1360" s="59" t="str">
        <f t="shared" si="172"/>
        <v/>
      </c>
      <c r="AC1360" s="50">
        <f t="shared" si="173"/>
        <v>0</v>
      </c>
      <c r="AD1360" s="43">
        <f t="shared" si="174"/>
        <v>0</v>
      </c>
      <c r="AE1360" s="50">
        <f t="shared" si="175"/>
        <v>0</v>
      </c>
    </row>
    <row r="1361" spans="1:31">
      <c r="A1361" s="59" t="str">
        <f t="shared" si="169"/>
        <v/>
      </c>
      <c r="B1361" s="59" t="str">
        <f t="shared" si="170"/>
        <v/>
      </c>
      <c r="V1361" s="59" t="str">
        <f t="shared" si="171"/>
        <v/>
      </c>
      <c r="W1361" s="59" t="str">
        <f t="shared" si="168"/>
        <v/>
      </c>
      <c r="X1361" s="59" t="str">
        <f t="shared" si="172"/>
        <v/>
      </c>
      <c r="AC1361" s="50">
        <f t="shared" si="173"/>
        <v>0</v>
      </c>
      <c r="AD1361" s="43">
        <f t="shared" si="174"/>
        <v>0</v>
      </c>
      <c r="AE1361" s="50">
        <f t="shared" si="175"/>
        <v>0</v>
      </c>
    </row>
    <row r="1362" spans="1:31">
      <c r="A1362" s="59" t="str">
        <f t="shared" si="169"/>
        <v/>
      </c>
      <c r="B1362" s="59" t="str">
        <f t="shared" si="170"/>
        <v/>
      </c>
      <c r="V1362" s="59" t="str">
        <f t="shared" si="171"/>
        <v/>
      </c>
      <c r="W1362" s="59" t="str">
        <f t="shared" si="168"/>
        <v/>
      </c>
      <c r="X1362" s="59" t="str">
        <f t="shared" si="172"/>
        <v/>
      </c>
      <c r="AC1362" s="50">
        <f t="shared" si="173"/>
        <v>0</v>
      </c>
      <c r="AD1362" s="43">
        <f t="shared" si="174"/>
        <v>0</v>
      </c>
      <c r="AE1362" s="50">
        <f t="shared" si="175"/>
        <v>0</v>
      </c>
    </row>
    <row r="1363" spans="1:31">
      <c r="A1363" s="59" t="str">
        <f t="shared" si="169"/>
        <v/>
      </c>
      <c r="B1363" s="59" t="str">
        <f t="shared" si="170"/>
        <v/>
      </c>
      <c r="V1363" s="59" t="str">
        <f t="shared" si="171"/>
        <v/>
      </c>
      <c r="W1363" s="59" t="str">
        <f t="shared" si="168"/>
        <v/>
      </c>
      <c r="X1363" s="59" t="str">
        <f t="shared" si="172"/>
        <v/>
      </c>
      <c r="AC1363" s="50">
        <f t="shared" si="173"/>
        <v>0</v>
      </c>
      <c r="AD1363" s="43">
        <f t="shared" si="174"/>
        <v>0</v>
      </c>
      <c r="AE1363" s="50">
        <f t="shared" si="175"/>
        <v>0</v>
      </c>
    </row>
    <row r="1364" spans="1:31">
      <c r="A1364" s="59" t="str">
        <f t="shared" si="169"/>
        <v/>
      </c>
      <c r="B1364" s="59" t="str">
        <f t="shared" si="170"/>
        <v/>
      </c>
      <c r="V1364" s="59" t="str">
        <f t="shared" si="171"/>
        <v/>
      </c>
      <c r="W1364" s="59" t="str">
        <f t="shared" si="168"/>
        <v/>
      </c>
      <c r="X1364" s="59" t="str">
        <f t="shared" si="172"/>
        <v/>
      </c>
      <c r="AC1364" s="50">
        <f t="shared" si="173"/>
        <v>0</v>
      </c>
      <c r="AD1364" s="43">
        <f t="shared" si="174"/>
        <v>0</v>
      </c>
      <c r="AE1364" s="50">
        <f t="shared" si="175"/>
        <v>0</v>
      </c>
    </row>
    <row r="1365" spans="1:31">
      <c r="A1365" s="59" t="str">
        <f t="shared" si="169"/>
        <v/>
      </c>
      <c r="B1365" s="59" t="str">
        <f t="shared" si="170"/>
        <v/>
      </c>
      <c r="V1365" s="59" t="str">
        <f t="shared" si="171"/>
        <v/>
      </c>
      <c r="W1365" s="59" t="str">
        <f t="shared" si="168"/>
        <v/>
      </c>
      <c r="X1365" s="59" t="str">
        <f t="shared" si="172"/>
        <v/>
      </c>
      <c r="AC1365" s="50">
        <f t="shared" si="173"/>
        <v>0</v>
      </c>
      <c r="AD1365" s="43">
        <f t="shared" si="174"/>
        <v>0</v>
      </c>
      <c r="AE1365" s="50">
        <f t="shared" si="175"/>
        <v>0</v>
      </c>
    </row>
    <row r="1366" spans="1:31">
      <c r="A1366" s="59" t="str">
        <f t="shared" si="169"/>
        <v/>
      </c>
      <c r="B1366" s="59" t="str">
        <f t="shared" si="170"/>
        <v/>
      </c>
      <c r="V1366" s="59" t="str">
        <f t="shared" si="171"/>
        <v/>
      </c>
      <c r="W1366" s="59" t="str">
        <f t="shared" si="168"/>
        <v/>
      </c>
      <c r="X1366" s="59" t="str">
        <f t="shared" si="172"/>
        <v/>
      </c>
      <c r="AC1366" s="50">
        <f t="shared" si="173"/>
        <v>0</v>
      </c>
      <c r="AD1366" s="43">
        <f t="shared" si="174"/>
        <v>0</v>
      </c>
      <c r="AE1366" s="50">
        <f t="shared" si="175"/>
        <v>0</v>
      </c>
    </row>
    <row r="1367" spans="1:31">
      <c r="A1367" s="59" t="str">
        <f t="shared" si="169"/>
        <v/>
      </c>
      <c r="B1367" s="59" t="str">
        <f t="shared" si="170"/>
        <v/>
      </c>
      <c r="V1367" s="59" t="str">
        <f t="shared" si="171"/>
        <v/>
      </c>
      <c r="W1367" s="59" t="str">
        <f t="shared" si="168"/>
        <v/>
      </c>
      <c r="X1367" s="59" t="str">
        <f t="shared" si="172"/>
        <v/>
      </c>
      <c r="AC1367" s="50">
        <f t="shared" si="173"/>
        <v>0</v>
      </c>
      <c r="AD1367" s="43">
        <f t="shared" si="174"/>
        <v>0</v>
      </c>
      <c r="AE1367" s="50">
        <f t="shared" si="175"/>
        <v>0</v>
      </c>
    </row>
    <row r="1368" spans="1:31">
      <c r="A1368" s="59" t="str">
        <f t="shared" si="169"/>
        <v/>
      </c>
      <c r="B1368" s="59" t="str">
        <f t="shared" si="170"/>
        <v/>
      </c>
      <c r="V1368" s="59" t="str">
        <f t="shared" si="171"/>
        <v/>
      </c>
      <c r="W1368" s="59" t="str">
        <f t="shared" si="168"/>
        <v/>
      </c>
      <c r="X1368" s="59" t="str">
        <f t="shared" si="172"/>
        <v/>
      </c>
      <c r="AC1368" s="50">
        <f t="shared" si="173"/>
        <v>0</v>
      </c>
      <c r="AD1368" s="43">
        <f t="shared" si="174"/>
        <v>0</v>
      </c>
      <c r="AE1368" s="50">
        <f t="shared" si="175"/>
        <v>0</v>
      </c>
    </row>
    <row r="1369" spans="1:31">
      <c r="A1369" s="59" t="str">
        <f t="shared" si="169"/>
        <v/>
      </c>
      <c r="B1369" s="59" t="str">
        <f t="shared" si="170"/>
        <v/>
      </c>
      <c r="V1369" s="59" t="str">
        <f t="shared" si="171"/>
        <v/>
      </c>
      <c r="W1369" s="59" t="str">
        <f t="shared" si="168"/>
        <v/>
      </c>
      <c r="X1369" s="59" t="str">
        <f t="shared" si="172"/>
        <v/>
      </c>
      <c r="AC1369" s="50">
        <f t="shared" si="173"/>
        <v>0</v>
      </c>
      <c r="AD1369" s="43">
        <f t="shared" si="174"/>
        <v>0</v>
      </c>
      <c r="AE1369" s="50">
        <f t="shared" si="175"/>
        <v>0</v>
      </c>
    </row>
    <row r="1370" spans="1:31">
      <c r="A1370" s="59" t="str">
        <f t="shared" si="169"/>
        <v/>
      </c>
      <c r="B1370" s="59" t="str">
        <f t="shared" si="170"/>
        <v/>
      </c>
      <c r="V1370" s="59" t="str">
        <f t="shared" si="171"/>
        <v/>
      </c>
      <c r="W1370" s="59" t="str">
        <f t="shared" si="168"/>
        <v/>
      </c>
      <c r="X1370" s="59" t="str">
        <f t="shared" si="172"/>
        <v/>
      </c>
      <c r="AC1370" s="50">
        <f t="shared" si="173"/>
        <v>0</v>
      </c>
      <c r="AD1370" s="43">
        <f t="shared" si="174"/>
        <v>0</v>
      </c>
      <c r="AE1370" s="50">
        <f t="shared" si="175"/>
        <v>0</v>
      </c>
    </row>
    <row r="1371" spans="1:31">
      <c r="A1371" s="59" t="str">
        <f t="shared" si="169"/>
        <v/>
      </c>
      <c r="B1371" s="59" t="str">
        <f t="shared" si="170"/>
        <v/>
      </c>
      <c r="V1371" s="59" t="str">
        <f t="shared" si="171"/>
        <v/>
      </c>
      <c r="W1371" s="59" t="str">
        <f t="shared" si="168"/>
        <v/>
      </c>
      <c r="X1371" s="59" t="str">
        <f t="shared" si="172"/>
        <v/>
      </c>
      <c r="AC1371" s="50">
        <f t="shared" si="173"/>
        <v>0</v>
      </c>
      <c r="AD1371" s="43">
        <f t="shared" si="174"/>
        <v>0</v>
      </c>
      <c r="AE1371" s="50">
        <f t="shared" si="175"/>
        <v>0</v>
      </c>
    </row>
    <row r="1372" spans="1:31">
      <c r="A1372" s="59" t="str">
        <f t="shared" si="169"/>
        <v/>
      </c>
      <c r="B1372" s="59" t="str">
        <f t="shared" si="170"/>
        <v/>
      </c>
      <c r="V1372" s="59" t="str">
        <f t="shared" si="171"/>
        <v/>
      </c>
      <c r="W1372" s="59" t="str">
        <f t="shared" si="168"/>
        <v/>
      </c>
      <c r="X1372" s="59" t="str">
        <f t="shared" si="172"/>
        <v/>
      </c>
      <c r="AC1372" s="50">
        <f t="shared" si="173"/>
        <v>0</v>
      </c>
      <c r="AD1372" s="43">
        <f t="shared" si="174"/>
        <v>0</v>
      </c>
      <c r="AE1372" s="50">
        <f t="shared" si="175"/>
        <v>0</v>
      </c>
    </row>
    <row r="1373" spans="1:31">
      <c r="A1373" s="59" t="str">
        <f t="shared" si="169"/>
        <v/>
      </c>
      <c r="B1373" s="59" t="str">
        <f t="shared" si="170"/>
        <v/>
      </c>
      <c r="V1373" s="59" t="str">
        <f t="shared" si="171"/>
        <v/>
      </c>
      <c r="W1373" s="59" t="str">
        <f t="shared" si="168"/>
        <v/>
      </c>
      <c r="X1373" s="59" t="str">
        <f t="shared" si="172"/>
        <v/>
      </c>
      <c r="AC1373" s="50">
        <f t="shared" si="173"/>
        <v>0</v>
      </c>
      <c r="AD1373" s="43">
        <f t="shared" si="174"/>
        <v>0</v>
      </c>
      <c r="AE1373" s="50">
        <f t="shared" si="175"/>
        <v>0</v>
      </c>
    </row>
    <row r="1374" spans="1:31">
      <c r="A1374" s="59" t="str">
        <f t="shared" si="169"/>
        <v/>
      </c>
      <c r="B1374" s="59" t="str">
        <f t="shared" si="170"/>
        <v/>
      </c>
      <c r="V1374" s="59" t="str">
        <f t="shared" si="171"/>
        <v/>
      </c>
      <c r="W1374" s="59" t="str">
        <f t="shared" si="168"/>
        <v/>
      </c>
      <c r="X1374" s="59" t="str">
        <f t="shared" si="172"/>
        <v/>
      </c>
      <c r="AC1374" s="50">
        <f t="shared" si="173"/>
        <v>0</v>
      </c>
      <c r="AD1374" s="43">
        <f t="shared" si="174"/>
        <v>0</v>
      </c>
      <c r="AE1374" s="50">
        <f t="shared" si="175"/>
        <v>0</v>
      </c>
    </row>
    <row r="1375" spans="1:31">
      <c r="A1375" s="59" t="str">
        <f t="shared" si="169"/>
        <v/>
      </c>
      <c r="B1375" s="59" t="str">
        <f t="shared" si="170"/>
        <v/>
      </c>
      <c r="V1375" s="59" t="str">
        <f t="shared" si="171"/>
        <v/>
      </c>
      <c r="W1375" s="59" t="str">
        <f t="shared" si="168"/>
        <v/>
      </c>
      <c r="X1375" s="59" t="str">
        <f t="shared" si="172"/>
        <v/>
      </c>
      <c r="AC1375" s="50">
        <f t="shared" si="173"/>
        <v>0</v>
      </c>
      <c r="AD1375" s="43">
        <f t="shared" si="174"/>
        <v>0</v>
      </c>
      <c r="AE1375" s="50">
        <f t="shared" si="175"/>
        <v>0</v>
      </c>
    </row>
    <row r="1376" spans="1:31">
      <c r="A1376" s="59" t="str">
        <f t="shared" si="169"/>
        <v/>
      </c>
      <c r="B1376" s="59" t="str">
        <f t="shared" si="170"/>
        <v/>
      </c>
      <c r="V1376" s="59" t="str">
        <f t="shared" si="171"/>
        <v/>
      </c>
      <c r="W1376" s="59" t="str">
        <f t="shared" si="168"/>
        <v/>
      </c>
      <c r="X1376" s="59" t="str">
        <f t="shared" si="172"/>
        <v/>
      </c>
      <c r="AC1376" s="50">
        <f t="shared" si="173"/>
        <v>0</v>
      </c>
      <c r="AD1376" s="43">
        <f t="shared" si="174"/>
        <v>0</v>
      </c>
      <c r="AE1376" s="50">
        <f t="shared" si="175"/>
        <v>0</v>
      </c>
    </row>
    <row r="1377" spans="1:31">
      <c r="A1377" s="59" t="str">
        <f t="shared" si="169"/>
        <v/>
      </c>
      <c r="B1377" s="59" t="str">
        <f t="shared" si="170"/>
        <v/>
      </c>
      <c r="V1377" s="59" t="str">
        <f t="shared" si="171"/>
        <v/>
      </c>
      <c r="W1377" s="59" t="str">
        <f t="shared" si="168"/>
        <v/>
      </c>
      <c r="X1377" s="59" t="str">
        <f t="shared" si="172"/>
        <v/>
      </c>
      <c r="AC1377" s="50">
        <f t="shared" si="173"/>
        <v>0</v>
      </c>
      <c r="AD1377" s="43">
        <f t="shared" si="174"/>
        <v>0</v>
      </c>
      <c r="AE1377" s="50">
        <f t="shared" si="175"/>
        <v>0</v>
      </c>
    </row>
    <row r="1378" spans="1:31">
      <c r="A1378" s="59" t="str">
        <f t="shared" si="169"/>
        <v/>
      </c>
      <c r="B1378" s="59" t="str">
        <f t="shared" si="170"/>
        <v/>
      </c>
      <c r="V1378" s="59" t="str">
        <f t="shared" si="171"/>
        <v/>
      </c>
      <c r="W1378" s="59" t="str">
        <f t="shared" si="168"/>
        <v/>
      </c>
      <c r="X1378" s="59" t="str">
        <f t="shared" si="172"/>
        <v/>
      </c>
      <c r="AC1378" s="50">
        <f t="shared" si="173"/>
        <v>0</v>
      </c>
      <c r="AD1378" s="43">
        <f t="shared" si="174"/>
        <v>0</v>
      </c>
      <c r="AE1378" s="50">
        <f t="shared" si="175"/>
        <v>0</v>
      </c>
    </row>
    <row r="1379" spans="1:31">
      <c r="A1379" s="59" t="str">
        <f t="shared" si="169"/>
        <v/>
      </c>
      <c r="B1379" s="59" t="str">
        <f t="shared" si="170"/>
        <v/>
      </c>
      <c r="V1379" s="59" t="str">
        <f t="shared" si="171"/>
        <v/>
      </c>
      <c r="W1379" s="59" t="str">
        <f t="shared" si="168"/>
        <v/>
      </c>
      <c r="X1379" s="59" t="str">
        <f t="shared" si="172"/>
        <v/>
      </c>
      <c r="AC1379" s="50">
        <f t="shared" si="173"/>
        <v>0</v>
      </c>
      <c r="AD1379" s="43">
        <f t="shared" si="174"/>
        <v>0</v>
      </c>
      <c r="AE1379" s="50">
        <f t="shared" si="175"/>
        <v>0</v>
      </c>
    </row>
    <row r="1380" spans="1:31">
      <c r="A1380" s="59" t="str">
        <f t="shared" si="169"/>
        <v/>
      </c>
      <c r="B1380" s="59" t="str">
        <f t="shared" si="170"/>
        <v/>
      </c>
      <c r="V1380" s="59" t="str">
        <f t="shared" si="171"/>
        <v/>
      </c>
      <c r="W1380" s="59" t="str">
        <f t="shared" si="168"/>
        <v/>
      </c>
      <c r="X1380" s="59" t="str">
        <f t="shared" si="172"/>
        <v/>
      </c>
      <c r="AC1380" s="50">
        <f t="shared" si="173"/>
        <v>0</v>
      </c>
      <c r="AD1380" s="43">
        <f t="shared" si="174"/>
        <v>0</v>
      </c>
      <c r="AE1380" s="50">
        <f t="shared" si="175"/>
        <v>0</v>
      </c>
    </row>
    <row r="1381" spans="1:31">
      <c r="A1381" s="59" t="str">
        <f t="shared" si="169"/>
        <v/>
      </c>
      <c r="B1381" s="59" t="str">
        <f t="shared" si="170"/>
        <v/>
      </c>
      <c r="V1381" s="59" t="str">
        <f t="shared" si="171"/>
        <v/>
      </c>
      <c r="W1381" s="59" t="str">
        <f t="shared" si="168"/>
        <v/>
      </c>
      <c r="X1381" s="59" t="str">
        <f t="shared" si="172"/>
        <v/>
      </c>
      <c r="AC1381" s="50">
        <f t="shared" si="173"/>
        <v>0</v>
      </c>
      <c r="AD1381" s="43">
        <f t="shared" si="174"/>
        <v>0</v>
      </c>
      <c r="AE1381" s="50">
        <f t="shared" si="175"/>
        <v>0</v>
      </c>
    </row>
    <row r="1382" spans="1:31">
      <c r="A1382" s="59" t="str">
        <f t="shared" si="169"/>
        <v/>
      </c>
      <c r="B1382" s="59" t="str">
        <f t="shared" si="170"/>
        <v/>
      </c>
      <c r="V1382" s="59" t="str">
        <f t="shared" si="171"/>
        <v/>
      </c>
      <c r="W1382" s="59" t="str">
        <f t="shared" si="168"/>
        <v/>
      </c>
      <c r="X1382" s="59" t="str">
        <f t="shared" si="172"/>
        <v/>
      </c>
      <c r="AC1382" s="50">
        <f t="shared" si="173"/>
        <v>0</v>
      </c>
      <c r="AD1382" s="43">
        <f t="shared" si="174"/>
        <v>0</v>
      </c>
      <c r="AE1382" s="50">
        <f t="shared" si="175"/>
        <v>0</v>
      </c>
    </row>
    <row r="1383" spans="1:31">
      <c r="A1383" s="59" t="str">
        <f t="shared" si="169"/>
        <v/>
      </c>
      <c r="B1383" s="59" t="str">
        <f t="shared" si="170"/>
        <v/>
      </c>
      <c r="V1383" s="59" t="str">
        <f t="shared" si="171"/>
        <v/>
      </c>
      <c r="W1383" s="59" t="str">
        <f t="shared" si="168"/>
        <v/>
      </c>
      <c r="X1383" s="59" t="str">
        <f t="shared" si="172"/>
        <v/>
      </c>
      <c r="AC1383" s="50">
        <f t="shared" si="173"/>
        <v>0</v>
      </c>
      <c r="AD1383" s="43">
        <f t="shared" si="174"/>
        <v>0</v>
      </c>
      <c r="AE1383" s="50">
        <f t="shared" si="175"/>
        <v>0</v>
      </c>
    </row>
    <row r="1384" spans="1:31">
      <c r="A1384" s="59" t="str">
        <f t="shared" si="169"/>
        <v/>
      </c>
      <c r="B1384" s="59" t="str">
        <f t="shared" si="170"/>
        <v/>
      </c>
      <c r="V1384" s="59" t="str">
        <f t="shared" si="171"/>
        <v/>
      </c>
      <c r="W1384" s="59" t="str">
        <f t="shared" si="168"/>
        <v/>
      </c>
      <c r="X1384" s="59" t="str">
        <f t="shared" si="172"/>
        <v/>
      </c>
      <c r="AC1384" s="50">
        <f t="shared" si="173"/>
        <v>0</v>
      </c>
      <c r="AD1384" s="43">
        <f t="shared" si="174"/>
        <v>0</v>
      </c>
      <c r="AE1384" s="50">
        <f t="shared" si="175"/>
        <v>0</v>
      </c>
    </row>
    <row r="1385" spans="1:31">
      <c r="A1385" s="59" t="str">
        <f t="shared" si="169"/>
        <v/>
      </c>
      <c r="B1385" s="59" t="str">
        <f t="shared" si="170"/>
        <v/>
      </c>
      <c r="V1385" s="59" t="str">
        <f t="shared" si="171"/>
        <v/>
      </c>
      <c r="W1385" s="59" t="str">
        <f t="shared" si="168"/>
        <v/>
      </c>
      <c r="X1385" s="59" t="str">
        <f t="shared" si="172"/>
        <v/>
      </c>
      <c r="AC1385" s="50">
        <f t="shared" si="173"/>
        <v>0</v>
      </c>
      <c r="AD1385" s="43">
        <f t="shared" si="174"/>
        <v>0</v>
      </c>
      <c r="AE1385" s="50">
        <f t="shared" si="175"/>
        <v>0</v>
      </c>
    </row>
    <row r="1386" spans="1:31">
      <c r="A1386" s="59" t="str">
        <f t="shared" si="169"/>
        <v/>
      </c>
      <c r="B1386" s="59" t="str">
        <f t="shared" si="170"/>
        <v/>
      </c>
      <c r="V1386" s="59" t="str">
        <f t="shared" si="171"/>
        <v/>
      </c>
      <c r="W1386" s="59" t="str">
        <f t="shared" si="168"/>
        <v/>
      </c>
      <c r="X1386" s="59" t="str">
        <f t="shared" si="172"/>
        <v/>
      </c>
      <c r="AC1386" s="50">
        <f t="shared" si="173"/>
        <v>0</v>
      </c>
      <c r="AD1386" s="43">
        <f t="shared" si="174"/>
        <v>0</v>
      </c>
      <c r="AE1386" s="50">
        <f t="shared" si="175"/>
        <v>0</v>
      </c>
    </row>
    <row r="1387" spans="1:31">
      <c r="A1387" s="59" t="str">
        <f t="shared" si="169"/>
        <v/>
      </c>
      <c r="B1387" s="59" t="str">
        <f t="shared" si="170"/>
        <v/>
      </c>
      <c r="V1387" s="59" t="str">
        <f t="shared" si="171"/>
        <v/>
      </c>
      <c r="W1387" s="59" t="str">
        <f t="shared" si="168"/>
        <v/>
      </c>
      <c r="X1387" s="59" t="str">
        <f t="shared" si="172"/>
        <v/>
      </c>
      <c r="AC1387" s="50">
        <f t="shared" si="173"/>
        <v>0</v>
      </c>
      <c r="AD1387" s="43">
        <f t="shared" si="174"/>
        <v>0</v>
      </c>
      <c r="AE1387" s="50">
        <f t="shared" si="175"/>
        <v>0</v>
      </c>
    </row>
    <row r="1388" spans="1:31">
      <c r="A1388" s="59" t="str">
        <f t="shared" si="169"/>
        <v/>
      </c>
      <c r="B1388" s="59" t="str">
        <f t="shared" si="170"/>
        <v/>
      </c>
      <c r="V1388" s="59" t="str">
        <f t="shared" si="171"/>
        <v/>
      </c>
      <c r="W1388" s="59" t="str">
        <f t="shared" si="168"/>
        <v/>
      </c>
      <c r="X1388" s="59" t="str">
        <f t="shared" si="172"/>
        <v/>
      </c>
      <c r="AC1388" s="50">
        <f t="shared" si="173"/>
        <v>0</v>
      </c>
      <c r="AD1388" s="43">
        <f t="shared" si="174"/>
        <v>0</v>
      </c>
      <c r="AE1388" s="50">
        <f t="shared" si="175"/>
        <v>0</v>
      </c>
    </row>
    <row r="1389" spans="1:31">
      <c r="A1389" s="59" t="str">
        <f t="shared" si="169"/>
        <v/>
      </c>
      <c r="B1389" s="59" t="str">
        <f t="shared" si="170"/>
        <v/>
      </c>
      <c r="V1389" s="59" t="str">
        <f t="shared" si="171"/>
        <v/>
      </c>
      <c r="W1389" s="59" t="str">
        <f t="shared" si="168"/>
        <v/>
      </c>
      <c r="X1389" s="59" t="str">
        <f t="shared" si="172"/>
        <v/>
      </c>
      <c r="AC1389" s="50">
        <f t="shared" si="173"/>
        <v>0</v>
      </c>
      <c r="AD1389" s="43">
        <f t="shared" si="174"/>
        <v>0</v>
      </c>
      <c r="AE1389" s="50">
        <f t="shared" si="175"/>
        <v>0</v>
      </c>
    </row>
    <row r="1390" spans="1:31">
      <c r="A1390" s="59" t="str">
        <f t="shared" si="169"/>
        <v/>
      </c>
      <c r="B1390" s="59" t="str">
        <f t="shared" si="170"/>
        <v/>
      </c>
      <c r="V1390" s="59" t="str">
        <f t="shared" si="171"/>
        <v/>
      </c>
      <c r="W1390" s="59" t="str">
        <f t="shared" si="168"/>
        <v/>
      </c>
      <c r="X1390" s="59" t="str">
        <f t="shared" si="172"/>
        <v/>
      </c>
      <c r="AC1390" s="50">
        <f t="shared" si="173"/>
        <v>0</v>
      </c>
      <c r="AD1390" s="43">
        <f t="shared" si="174"/>
        <v>0</v>
      </c>
      <c r="AE1390" s="50">
        <f t="shared" si="175"/>
        <v>0</v>
      </c>
    </row>
    <row r="1391" spans="1:31">
      <c r="A1391" s="59" t="str">
        <f t="shared" si="169"/>
        <v/>
      </c>
      <c r="B1391" s="59" t="str">
        <f t="shared" si="170"/>
        <v/>
      </c>
      <c r="V1391" s="59" t="str">
        <f t="shared" si="171"/>
        <v/>
      </c>
      <c r="W1391" s="59" t="str">
        <f t="shared" si="168"/>
        <v/>
      </c>
      <c r="X1391" s="59" t="str">
        <f t="shared" si="172"/>
        <v/>
      </c>
      <c r="AC1391" s="50">
        <f t="shared" si="173"/>
        <v>0</v>
      </c>
      <c r="AD1391" s="43">
        <f t="shared" si="174"/>
        <v>0</v>
      </c>
      <c r="AE1391" s="50">
        <f t="shared" si="175"/>
        <v>0</v>
      </c>
    </row>
    <row r="1392" spans="1:31">
      <c r="A1392" s="59" t="str">
        <f t="shared" si="169"/>
        <v/>
      </c>
      <c r="B1392" s="59" t="str">
        <f t="shared" si="170"/>
        <v/>
      </c>
      <c r="V1392" s="59" t="str">
        <f t="shared" si="171"/>
        <v/>
      </c>
      <c r="W1392" s="59" t="str">
        <f t="shared" si="168"/>
        <v/>
      </c>
      <c r="X1392" s="59" t="str">
        <f t="shared" si="172"/>
        <v/>
      </c>
      <c r="AC1392" s="50">
        <f t="shared" si="173"/>
        <v>0</v>
      </c>
      <c r="AD1392" s="43">
        <f t="shared" si="174"/>
        <v>0</v>
      </c>
      <c r="AE1392" s="50">
        <f t="shared" si="175"/>
        <v>0</v>
      </c>
    </row>
    <row r="1393" spans="1:31">
      <c r="A1393" s="59" t="str">
        <f t="shared" si="169"/>
        <v/>
      </c>
      <c r="B1393" s="59" t="str">
        <f t="shared" si="170"/>
        <v/>
      </c>
      <c r="V1393" s="59" t="str">
        <f t="shared" si="171"/>
        <v/>
      </c>
      <c r="W1393" s="59" t="str">
        <f t="shared" si="168"/>
        <v/>
      </c>
      <c r="X1393" s="59" t="str">
        <f t="shared" si="172"/>
        <v/>
      </c>
      <c r="AC1393" s="50">
        <f t="shared" si="173"/>
        <v>0</v>
      </c>
      <c r="AD1393" s="43">
        <f t="shared" si="174"/>
        <v>0</v>
      </c>
      <c r="AE1393" s="50">
        <f t="shared" si="175"/>
        <v>0</v>
      </c>
    </row>
    <row r="1394" spans="1:31">
      <c r="A1394" s="59" t="str">
        <f t="shared" si="169"/>
        <v/>
      </c>
      <c r="B1394" s="59" t="str">
        <f t="shared" si="170"/>
        <v/>
      </c>
      <c r="V1394" s="59" t="str">
        <f t="shared" si="171"/>
        <v/>
      </c>
      <c r="W1394" s="59" t="str">
        <f t="shared" si="168"/>
        <v/>
      </c>
      <c r="X1394" s="59" t="str">
        <f t="shared" si="172"/>
        <v/>
      </c>
      <c r="AC1394" s="50">
        <f t="shared" si="173"/>
        <v>0</v>
      </c>
      <c r="AD1394" s="43">
        <f t="shared" si="174"/>
        <v>0</v>
      </c>
      <c r="AE1394" s="50">
        <f t="shared" si="175"/>
        <v>0</v>
      </c>
    </row>
    <row r="1395" spans="1:31">
      <c r="A1395" s="59" t="str">
        <f t="shared" si="169"/>
        <v/>
      </c>
      <c r="B1395" s="59" t="str">
        <f t="shared" si="170"/>
        <v/>
      </c>
      <c r="V1395" s="59" t="str">
        <f t="shared" si="171"/>
        <v/>
      </c>
      <c r="W1395" s="59" t="str">
        <f t="shared" si="168"/>
        <v/>
      </c>
      <c r="X1395" s="59" t="str">
        <f t="shared" si="172"/>
        <v/>
      </c>
      <c r="AC1395" s="50">
        <f t="shared" si="173"/>
        <v>0</v>
      </c>
      <c r="AD1395" s="43">
        <f t="shared" si="174"/>
        <v>0</v>
      </c>
      <c r="AE1395" s="50">
        <f t="shared" si="175"/>
        <v>0</v>
      </c>
    </row>
    <row r="1396" spans="1:31">
      <c r="A1396" s="59" t="str">
        <f t="shared" si="169"/>
        <v/>
      </c>
      <c r="B1396" s="59" t="str">
        <f t="shared" si="170"/>
        <v/>
      </c>
      <c r="V1396" s="59" t="str">
        <f t="shared" si="171"/>
        <v/>
      </c>
      <c r="W1396" s="59" t="str">
        <f t="shared" si="168"/>
        <v/>
      </c>
      <c r="X1396" s="59" t="str">
        <f t="shared" si="172"/>
        <v/>
      </c>
      <c r="AC1396" s="50">
        <f t="shared" si="173"/>
        <v>0</v>
      </c>
      <c r="AD1396" s="43">
        <f t="shared" si="174"/>
        <v>0</v>
      </c>
      <c r="AE1396" s="50">
        <f t="shared" si="175"/>
        <v>0</v>
      </c>
    </row>
    <row r="1397" spans="1:31">
      <c r="A1397" s="59" t="str">
        <f t="shared" si="169"/>
        <v/>
      </c>
      <c r="B1397" s="59" t="str">
        <f t="shared" si="170"/>
        <v/>
      </c>
      <c r="V1397" s="59" t="str">
        <f t="shared" si="171"/>
        <v/>
      </c>
      <c r="W1397" s="59" t="str">
        <f t="shared" si="168"/>
        <v/>
      </c>
      <c r="X1397" s="59" t="str">
        <f t="shared" si="172"/>
        <v/>
      </c>
      <c r="AC1397" s="50">
        <f t="shared" si="173"/>
        <v>0</v>
      </c>
      <c r="AD1397" s="43">
        <f t="shared" si="174"/>
        <v>0</v>
      </c>
      <c r="AE1397" s="50">
        <f t="shared" si="175"/>
        <v>0</v>
      </c>
    </row>
    <row r="1398" spans="1:31">
      <c r="A1398" s="59" t="str">
        <f t="shared" si="169"/>
        <v/>
      </c>
      <c r="B1398" s="59" t="str">
        <f t="shared" si="170"/>
        <v/>
      </c>
      <c r="V1398" s="59" t="str">
        <f t="shared" si="171"/>
        <v/>
      </c>
      <c r="W1398" s="59" t="str">
        <f t="shared" si="168"/>
        <v/>
      </c>
      <c r="X1398" s="59" t="str">
        <f t="shared" si="172"/>
        <v/>
      </c>
      <c r="AC1398" s="50">
        <f t="shared" si="173"/>
        <v>0</v>
      </c>
      <c r="AD1398" s="43">
        <f t="shared" si="174"/>
        <v>0</v>
      </c>
      <c r="AE1398" s="50">
        <f t="shared" si="175"/>
        <v>0</v>
      </c>
    </row>
    <row r="1399" spans="1:31">
      <c r="A1399" s="59" t="str">
        <f t="shared" si="169"/>
        <v/>
      </c>
      <c r="B1399" s="59" t="str">
        <f t="shared" si="170"/>
        <v/>
      </c>
      <c r="V1399" s="59" t="str">
        <f t="shared" si="171"/>
        <v/>
      </c>
      <c r="W1399" s="59" t="str">
        <f t="shared" si="168"/>
        <v/>
      </c>
      <c r="X1399" s="59" t="str">
        <f t="shared" si="172"/>
        <v/>
      </c>
      <c r="AC1399" s="50">
        <f t="shared" si="173"/>
        <v>0</v>
      </c>
      <c r="AD1399" s="43">
        <f t="shared" si="174"/>
        <v>0</v>
      </c>
      <c r="AE1399" s="50">
        <f t="shared" si="175"/>
        <v>0</v>
      </c>
    </row>
    <row r="1400" spans="1:31">
      <c r="A1400" s="59" t="str">
        <f t="shared" si="169"/>
        <v/>
      </c>
      <c r="B1400" s="59" t="str">
        <f t="shared" si="170"/>
        <v/>
      </c>
      <c r="V1400" s="59" t="str">
        <f t="shared" si="171"/>
        <v/>
      </c>
      <c r="W1400" s="59" t="str">
        <f t="shared" si="168"/>
        <v/>
      </c>
      <c r="X1400" s="59" t="str">
        <f t="shared" si="172"/>
        <v/>
      </c>
      <c r="AC1400" s="50">
        <f t="shared" si="173"/>
        <v>0</v>
      </c>
      <c r="AD1400" s="43">
        <f t="shared" si="174"/>
        <v>0</v>
      </c>
      <c r="AE1400" s="50">
        <f t="shared" si="175"/>
        <v>0</v>
      </c>
    </row>
    <row r="1401" spans="1:31">
      <c r="A1401" s="59" t="str">
        <f t="shared" si="169"/>
        <v/>
      </c>
      <c r="B1401" s="59" t="str">
        <f t="shared" si="170"/>
        <v/>
      </c>
      <c r="V1401" s="59" t="str">
        <f t="shared" si="171"/>
        <v/>
      </c>
      <c r="W1401" s="59" t="str">
        <f t="shared" si="168"/>
        <v/>
      </c>
      <c r="X1401" s="59" t="str">
        <f t="shared" si="172"/>
        <v/>
      </c>
      <c r="AC1401" s="50">
        <f t="shared" si="173"/>
        <v>0</v>
      </c>
      <c r="AD1401" s="43">
        <f t="shared" si="174"/>
        <v>0</v>
      </c>
      <c r="AE1401" s="50">
        <f t="shared" si="175"/>
        <v>0</v>
      </c>
    </row>
    <row r="1402" spans="1:31">
      <c r="A1402" s="59" t="str">
        <f t="shared" si="169"/>
        <v/>
      </c>
      <c r="B1402" s="59" t="str">
        <f t="shared" si="170"/>
        <v/>
      </c>
      <c r="V1402" s="59" t="str">
        <f t="shared" si="171"/>
        <v/>
      </c>
      <c r="W1402" s="59" t="str">
        <f t="shared" si="168"/>
        <v/>
      </c>
      <c r="X1402" s="59" t="str">
        <f t="shared" si="172"/>
        <v/>
      </c>
      <c r="AC1402" s="50">
        <f t="shared" si="173"/>
        <v>0</v>
      </c>
      <c r="AD1402" s="43">
        <f t="shared" si="174"/>
        <v>0</v>
      </c>
      <c r="AE1402" s="50">
        <f t="shared" si="175"/>
        <v>0</v>
      </c>
    </row>
    <row r="1403" spans="1:31">
      <c r="A1403" s="59" t="str">
        <f t="shared" si="169"/>
        <v/>
      </c>
      <c r="B1403" s="59" t="str">
        <f t="shared" si="170"/>
        <v/>
      </c>
      <c r="V1403" s="59" t="str">
        <f t="shared" si="171"/>
        <v/>
      </c>
      <c r="W1403" s="59" t="str">
        <f t="shared" si="168"/>
        <v/>
      </c>
      <c r="X1403" s="59" t="str">
        <f t="shared" si="172"/>
        <v/>
      </c>
      <c r="AC1403" s="50">
        <f t="shared" si="173"/>
        <v>0</v>
      </c>
      <c r="AD1403" s="43">
        <f t="shared" si="174"/>
        <v>0</v>
      </c>
      <c r="AE1403" s="50">
        <f t="shared" si="175"/>
        <v>0</v>
      </c>
    </row>
    <row r="1404" spans="1:31">
      <c r="A1404" s="59" t="str">
        <f t="shared" si="169"/>
        <v/>
      </c>
      <c r="B1404" s="59" t="str">
        <f t="shared" si="170"/>
        <v/>
      </c>
      <c r="V1404" s="59" t="str">
        <f t="shared" si="171"/>
        <v/>
      </c>
      <c r="W1404" s="59" t="str">
        <f t="shared" si="168"/>
        <v/>
      </c>
      <c r="X1404" s="59" t="str">
        <f t="shared" si="172"/>
        <v/>
      </c>
      <c r="AC1404" s="50">
        <f t="shared" si="173"/>
        <v>0</v>
      </c>
      <c r="AD1404" s="43">
        <f t="shared" si="174"/>
        <v>0</v>
      </c>
      <c r="AE1404" s="50">
        <f t="shared" si="175"/>
        <v>0</v>
      </c>
    </row>
    <row r="1405" spans="1:31">
      <c r="A1405" s="59" t="str">
        <f t="shared" si="169"/>
        <v/>
      </c>
      <c r="B1405" s="59" t="str">
        <f t="shared" si="170"/>
        <v/>
      </c>
      <c r="V1405" s="59" t="str">
        <f t="shared" si="171"/>
        <v/>
      </c>
      <c r="W1405" s="59" t="str">
        <f t="shared" si="168"/>
        <v/>
      </c>
      <c r="X1405" s="59" t="str">
        <f t="shared" si="172"/>
        <v/>
      </c>
      <c r="AC1405" s="50">
        <f t="shared" si="173"/>
        <v>0</v>
      </c>
      <c r="AD1405" s="43">
        <f t="shared" si="174"/>
        <v>0</v>
      </c>
      <c r="AE1405" s="50">
        <f t="shared" si="175"/>
        <v>0</v>
      </c>
    </row>
    <row r="1406" spans="1:31">
      <c r="A1406" s="59" t="str">
        <f t="shared" si="169"/>
        <v/>
      </c>
      <c r="B1406" s="59" t="str">
        <f t="shared" si="170"/>
        <v/>
      </c>
      <c r="V1406" s="59" t="str">
        <f t="shared" si="171"/>
        <v/>
      </c>
      <c r="W1406" s="59" t="str">
        <f t="shared" si="168"/>
        <v/>
      </c>
      <c r="X1406" s="59" t="str">
        <f t="shared" si="172"/>
        <v/>
      </c>
      <c r="AC1406" s="50">
        <f t="shared" si="173"/>
        <v>0</v>
      </c>
      <c r="AD1406" s="43">
        <f t="shared" si="174"/>
        <v>0</v>
      </c>
      <c r="AE1406" s="50">
        <f t="shared" si="175"/>
        <v>0</v>
      </c>
    </row>
    <row r="1407" spans="1:31">
      <c r="A1407" s="59" t="str">
        <f t="shared" si="169"/>
        <v/>
      </c>
      <c r="B1407" s="59" t="str">
        <f t="shared" si="170"/>
        <v/>
      </c>
      <c r="V1407" s="59" t="str">
        <f t="shared" si="171"/>
        <v/>
      </c>
      <c r="W1407" s="59" t="str">
        <f t="shared" si="168"/>
        <v/>
      </c>
      <c r="X1407" s="59" t="str">
        <f t="shared" si="172"/>
        <v/>
      </c>
      <c r="AC1407" s="50">
        <f t="shared" si="173"/>
        <v>0</v>
      </c>
      <c r="AD1407" s="43">
        <f t="shared" si="174"/>
        <v>0</v>
      </c>
      <c r="AE1407" s="50">
        <f t="shared" si="175"/>
        <v>0</v>
      </c>
    </row>
    <row r="1408" spans="1:31">
      <c r="A1408" s="59" t="str">
        <f t="shared" si="169"/>
        <v/>
      </c>
      <c r="B1408" s="59" t="str">
        <f t="shared" si="170"/>
        <v/>
      </c>
      <c r="V1408" s="59" t="str">
        <f t="shared" si="171"/>
        <v/>
      </c>
      <c r="W1408" s="59" t="str">
        <f t="shared" si="168"/>
        <v/>
      </c>
      <c r="X1408" s="59" t="str">
        <f t="shared" si="172"/>
        <v/>
      </c>
      <c r="AC1408" s="50">
        <f t="shared" si="173"/>
        <v>0</v>
      </c>
      <c r="AD1408" s="43">
        <f t="shared" si="174"/>
        <v>0</v>
      </c>
      <c r="AE1408" s="50">
        <f t="shared" si="175"/>
        <v>0</v>
      </c>
    </row>
    <row r="1409" spans="1:31">
      <c r="A1409" s="59" t="str">
        <f t="shared" si="169"/>
        <v/>
      </c>
      <c r="B1409" s="59" t="str">
        <f t="shared" si="170"/>
        <v/>
      </c>
      <c r="V1409" s="59" t="str">
        <f t="shared" si="171"/>
        <v/>
      </c>
      <c r="W1409" s="59" t="str">
        <f t="shared" si="168"/>
        <v/>
      </c>
      <c r="X1409" s="59" t="str">
        <f t="shared" si="172"/>
        <v/>
      </c>
      <c r="AC1409" s="50">
        <f t="shared" si="173"/>
        <v>0</v>
      </c>
      <c r="AD1409" s="43">
        <f t="shared" si="174"/>
        <v>0</v>
      </c>
      <c r="AE1409" s="50">
        <f t="shared" si="175"/>
        <v>0</v>
      </c>
    </row>
    <row r="1410" spans="1:31">
      <c r="A1410" s="59" t="str">
        <f t="shared" si="169"/>
        <v/>
      </c>
      <c r="B1410" s="59" t="str">
        <f t="shared" si="170"/>
        <v/>
      </c>
      <c r="V1410" s="59" t="str">
        <f t="shared" si="171"/>
        <v/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59" t="str">
        <f t="shared" si="172"/>
        <v/>
      </c>
      <c r="AC1410" s="50">
        <f t="shared" si="173"/>
        <v>0</v>
      </c>
      <c r="AD1410" s="43">
        <f t="shared" si="174"/>
        <v>0</v>
      </c>
      <c r="AE1410" s="50">
        <f t="shared" si="175"/>
        <v>0</v>
      </c>
    </row>
    <row r="1411" spans="1:31">
      <c r="A1411" s="59" t="str">
        <f t="shared" ref="A1411:A1474" si="177">IF(G1411&amp;Q1411&lt;&gt;"",W1411&amp;Q1411,"")</f>
        <v/>
      </c>
      <c r="B1411" s="59" t="str">
        <f t="shared" ref="B1411:B1474" si="178">IF(C1411&lt;&gt;"",LEFT(C1411,9),"")</f>
        <v/>
      </c>
      <c r="V1411" s="59" t="str">
        <f t="shared" ref="V1411:V1474" si="179">W1411&amp;H1411</f>
        <v/>
      </c>
      <c r="W1411" s="59" t="str">
        <f t="shared" si="176"/>
        <v/>
      </c>
      <c r="X1411" s="59" t="str">
        <f t="shared" ref="X1411:X1474" si="180">IF(A1411&lt;&gt;"",IFERROR(IF(FIND(" ",G1411)&gt;=1,MID(G1411,FIND(" ",G1411)+1,LEN(G1411)),""),""),"")</f>
        <v/>
      </c>
      <c r="AC1411" s="50">
        <f t="shared" ref="AC1411:AC1474" si="181">IFERROR(VALUE(MID($C1411,1,2)),0)</f>
        <v>0</v>
      </c>
      <c r="AD1411" s="43">
        <f t="shared" ref="AD1411:AD1474" si="182">IFERROR(VALUE(MID($C1411,4,3)),0)</f>
        <v>0</v>
      </c>
      <c r="AE1411" s="50">
        <f t="shared" ref="AE1411:AE1474" si="183">VALUE(RIGHT("00"&amp;AC1411,2)&amp;RIGHT("000"&amp;AD1411,3))</f>
        <v>0</v>
      </c>
    </row>
    <row r="1412" spans="1:31">
      <c r="A1412" s="59" t="str">
        <f t="shared" si="177"/>
        <v/>
      </c>
      <c r="B1412" s="59" t="str">
        <f t="shared" si="178"/>
        <v/>
      </c>
      <c r="V1412" s="59" t="str">
        <f t="shared" si="179"/>
        <v/>
      </c>
      <c r="W1412" s="59" t="str">
        <f t="shared" si="176"/>
        <v/>
      </c>
      <c r="X1412" s="59" t="str">
        <f t="shared" si="180"/>
        <v/>
      </c>
      <c r="AC1412" s="50">
        <f t="shared" si="181"/>
        <v>0</v>
      </c>
      <c r="AD1412" s="43">
        <f t="shared" si="182"/>
        <v>0</v>
      </c>
      <c r="AE1412" s="50">
        <f t="shared" si="183"/>
        <v>0</v>
      </c>
    </row>
    <row r="1413" spans="1:31">
      <c r="A1413" s="59" t="str">
        <f t="shared" si="177"/>
        <v/>
      </c>
      <c r="B1413" s="59" t="str">
        <f t="shared" si="178"/>
        <v/>
      </c>
      <c r="V1413" s="59" t="str">
        <f t="shared" si="179"/>
        <v/>
      </c>
      <c r="W1413" s="59" t="str">
        <f t="shared" si="176"/>
        <v/>
      </c>
      <c r="X1413" s="59" t="str">
        <f t="shared" si="180"/>
        <v/>
      </c>
      <c r="AC1413" s="50">
        <f t="shared" si="181"/>
        <v>0</v>
      </c>
      <c r="AD1413" s="43">
        <f t="shared" si="182"/>
        <v>0</v>
      </c>
      <c r="AE1413" s="50">
        <f t="shared" si="183"/>
        <v>0</v>
      </c>
    </row>
    <row r="1414" spans="1:31">
      <c r="A1414" s="59" t="str">
        <f t="shared" si="177"/>
        <v/>
      </c>
      <c r="B1414" s="59" t="str">
        <f t="shared" si="178"/>
        <v/>
      </c>
      <c r="V1414" s="59" t="str">
        <f t="shared" si="179"/>
        <v/>
      </c>
      <c r="W1414" s="59" t="str">
        <f t="shared" si="176"/>
        <v/>
      </c>
      <c r="X1414" s="59" t="str">
        <f t="shared" si="180"/>
        <v/>
      </c>
      <c r="AC1414" s="50">
        <f t="shared" si="181"/>
        <v>0</v>
      </c>
      <c r="AD1414" s="43">
        <f t="shared" si="182"/>
        <v>0</v>
      </c>
      <c r="AE1414" s="50">
        <f t="shared" si="183"/>
        <v>0</v>
      </c>
    </row>
    <row r="1415" spans="1:31">
      <c r="A1415" s="59" t="str">
        <f t="shared" si="177"/>
        <v/>
      </c>
      <c r="B1415" s="59" t="str">
        <f t="shared" si="178"/>
        <v/>
      </c>
      <c r="V1415" s="59" t="str">
        <f t="shared" si="179"/>
        <v/>
      </c>
      <c r="W1415" s="59" t="str">
        <f t="shared" si="176"/>
        <v/>
      </c>
      <c r="X1415" s="59" t="str">
        <f t="shared" si="180"/>
        <v/>
      </c>
      <c r="AC1415" s="50">
        <f t="shared" si="181"/>
        <v>0</v>
      </c>
      <c r="AD1415" s="43">
        <f t="shared" si="182"/>
        <v>0</v>
      </c>
      <c r="AE1415" s="50">
        <f t="shared" si="183"/>
        <v>0</v>
      </c>
    </row>
    <row r="1416" spans="1:31">
      <c r="A1416" s="59" t="str">
        <f t="shared" si="177"/>
        <v/>
      </c>
      <c r="B1416" s="59" t="str">
        <f t="shared" si="178"/>
        <v/>
      </c>
      <c r="V1416" s="59" t="str">
        <f t="shared" si="179"/>
        <v/>
      </c>
      <c r="W1416" s="59" t="str">
        <f t="shared" si="176"/>
        <v/>
      </c>
      <c r="X1416" s="59" t="str">
        <f t="shared" si="180"/>
        <v/>
      </c>
      <c r="AC1416" s="50">
        <f t="shared" si="181"/>
        <v>0</v>
      </c>
      <c r="AD1416" s="43">
        <f t="shared" si="182"/>
        <v>0</v>
      </c>
      <c r="AE1416" s="50">
        <f t="shared" si="183"/>
        <v>0</v>
      </c>
    </row>
    <row r="1417" spans="1:31">
      <c r="A1417" s="59" t="str">
        <f t="shared" si="177"/>
        <v/>
      </c>
      <c r="B1417" s="59" t="str">
        <f t="shared" si="178"/>
        <v/>
      </c>
      <c r="V1417" s="59" t="str">
        <f t="shared" si="179"/>
        <v/>
      </c>
      <c r="W1417" s="59" t="str">
        <f t="shared" si="176"/>
        <v/>
      </c>
      <c r="X1417" s="59" t="str">
        <f t="shared" si="180"/>
        <v/>
      </c>
      <c r="AC1417" s="50">
        <f t="shared" si="181"/>
        <v>0</v>
      </c>
      <c r="AD1417" s="43">
        <f t="shared" si="182"/>
        <v>0</v>
      </c>
      <c r="AE1417" s="50">
        <f t="shared" si="183"/>
        <v>0</v>
      </c>
    </row>
    <row r="1418" spans="1:31">
      <c r="A1418" s="59" t="str">
        <f t="shared" si="177"/>
        <v/>
      </c>
      <c r="B1418" s="59" t="str">
        <f t="shared" si="178"/>
        <v/>
      </c>
      <c r="V1418" s="59" t="str">
        <f t="shared" si="179"/>
        <v/>
      </c>
      <c r="W1418" s="59" t="str">
        <f t="shared" si="176"/>
        <v/>
      </c>
      <c r="X1418" s="59" t="str">
        <f t="shared" si="180"/>
        <v/>
      </c>
      <c r="AC1418" s="50">
        <f t="shared" si="181"/>
        <v>0</v>
      </c>
      <c r="AD1418" s="43">
        <f t="shared" si="182"/>
        <v>0</v>
      </c>
      <c r="AE1418" s="50">
        <f t="shared" si="183"/>
        <v>0</v>
      </c>
    </row>
    <row r="1419" spans="1:31">
      <c r="A1419" s="59" t="str">
        <f t="shared" si="177"/>
        <v/>
      </c>
      <c r="B1419" s="59" t="str">
        <f t="shared" si="178"/>
        <v/>
      </c>
      <c r="V1419" s="59" t="str">
        <f t="shared" si="179"/>
        <v/>
      </c>
      <c r="W1419" s="59" t="str">
        <f t="shared" si="176"/>
        <v/>
      </c>
      <c r="X1419" s="59" t="str">
        <f t="shared" si="180"/>
        <v/>
      </c>
      <c r="AC1419" s="50">
        <f t="shared" si="181"/>
        <v>0</v>
      </c>
      <c r="AD1419" s="43">
        <f t="shared" si="182"/>
        <v>0</v>
      </c>
      <c r="AE1419" s="50">
        <f t="shared" si="183"/>
        <v>0</v>
      </c>
    </row>
    <row r="1420" spans="1:31">
      <c r="A1420" s="59" t="str">
        <f t="shared" si="177"/>
        <v/>
      </c>
      <c r="B1420" s="59" t="str">
        <f t="shared" si="178"/>
        <v/>
      </c>
      <c r="V1420" s="59" t="str">
        <f t="shared" si="179"/>
        <v/>
      </c>
      <c r="W1420" s="59" t="str">
        <f t="shared" si="176"/>
        <v/>
      </c>
      <c r="X1420" s="59" t="str">
        <f t="shared" si="180"/>
        <v/>
      </c>
      <c r="AC1420" s="50">
        <f t="shared" si="181"/>
        <v>0</v>
      </c>
      <c r="AD1420" s="43">
        <f t="shared" si="182"/>
        <v>0</v>
      </c>
      <c r="AE1420" s="50">
        <f t="shared" si="183"/>
        <v>0</v>
      </c>
    </row>
    <row r="1421" spans="1:31">
      <c r="A1421" s="59" t="str">
        <f t="shared" si="177"/>
        <v/>
      </c>
      <c r="B1421" s="59" t="str">
        <f t="shared" si="178"/>
        <v/>
      </c>
      <c r="V1421" s="59" t="str">
        <f t="shared" si="179"/>
        <v/>
      </c>
      <c r="W1421" s="59" t="str">
        <f t="shared" si="176"/>
        <v/>
      </c>
      <c r="X1421" s="59" t="str">
        <f t="shared" si="180"/>
        <v/>
      </c>
      <c r="AC1421" s="50">
        <f t="shared" si="181"/>
        <v>0</v>
      </c>
      <c r="AD1421" s="43">
        <f t="shared" si="182"/>
        <v>0</v>
      </c>
      <c r="AE1421" s="50">
        <f t="shared" si="183"/>
        <v>0</v>
      </c>
    </row>
    <row r="1422" spans="1:31">
      <c r="A1422" s="59" t="str">
        <f t="shared" si="177"/>
        <v/>
      </c>
      <c r="B1422" s="59" t="str">
        <f t="shared" si="178"/>
        <v/>
      </c>
      <c r="V1422" s="59" t="str">
        <f t="shared" si="179"/>
        <v/>
      </c>
      <c r="W1422" s="59" t="str">
        <f t="shared" si="176"/>
        <v/>
      </c>
      <c r="X1422" s="59" t="str">
        <f t="shared" si="180"/>
        <v/>
      </c>
      <c r="AC1422" s="50">
        <f t="shared" si="181"/>
        <v>0</v>
      </c>
      <c r="AD1422" s="43">
        <f t="shared" si="182"/>
        <v>0</v>
      </c>
      <c r="AE1422" s="50">
        <f t="shared" si="183"/>
        <v>0</v>
      </c>
    </row>
    <row r="1423" spans="1:31">
      <c r="A1423" s="59" t="str">
        <f t="shared" si="177"/>
        <v/>
      </c>
      <c r="B1423" s="59" t="str">
        <f t="shared" si="178"/>
        <v/>
      </c>
      <c r="V1423" s="59" t="str">
        <f t="shared" si="179"/>
        <v/>
      </c>
      <c r="W1423" s="59" t="str">
        <f t="shared" si="176"/>
        <v/>
      </c>
      <c r="X1423" s="59" t="str">
        <f t="shared" si="180"/>
        <v/>
      </c>
      <c r="AC1423" s="50">
        <f t="shared" si="181"/>
        <v>0</v>
      </c>
      <c r="AD1423" s="43">
        <f t="shared" si="182"/>
        <v>0</v>
      </c>
      <c r="AE1423" s="50">
        <f t="shared" si="183"/>
        <v>0</v>
      </c>
    </row>
    <row r="1424" spans="1:31">
      <c r="A1424" s="59" t="str">
        <f t="shared" si="177"/>
        <v/>
      </c>
      <c r="B1424" s="59" t="str">
        <f t="shared" si="178"/>
        <v/>
      </c>
      <c r="V1424" s="59" t="str">
        <f t="shared" si="179"/>
        <v/>
      </c>
      <c r="W1424" s="59" t="str">
        <f t="shared" si="176"/>
        <v/>
      </c>
      <c r="X1424" s="59" t="str">
        <f t="shared" si="180"/>
        <v/>
      </c>
      <c r="AC1424" s="50">
        <f t="shared" si="181"/>
        <v>0</v>
      </c>
      <c r="AD1424" s="43">
        <f t="shared" si="182"/>
        <v>0</v>
      </c>
      <c r="AE1424" s="50">
        <f t="shared" si="183"/>
        <v>0</v>
      </c>
    </row>
    <row r="1425" spans="1:31">
      <c r="A1425" s="59" t="str">
        <f t="shared" si="177"/>
        <v/>
      </c>
      <c r="B1425" s="59" t="str">
        <f t="shared" si="178"/>
        <v/>
      </c>
      <c r="V1425" s="59" t="str">
        <f t="shared" si="179"/>
        <v/>
      </c>
      <c r="W1425" s="59" t="str">
        <f t="shared" si="176"/>
        <v/>
      </c>
      <c r="X1425" s="59" t="str">
        <f t="shared" si="180"/>
        <v/>
      </c>
      <c r="AC1425" s="50">
        <f t="shared" si="181"/>
        <v>0</v>
      </c>
      <c r="AD1425" s="43">
        <f t="shared" si="182"/>
        <v>0</v>
      </c>
      <c r="AE1425" s="50">
        <f t="shared" si="183"/>
        <v>0</v>
      </c>
    </row>
    <row r="1426" spans="1:31">
      <c r="A1426" s="59" t="str">
        <f t="shared" si="177"/>
        <v/>
      </c>
      <c r="B1426" s="59" t="str">
        <f t="shared" si="178"/>
        <v/>
      </c>
      <c r="V1426" s="59" t="str">
        <f t="shared" si="179"/>
        <v/>
      </c>
      <c r="W1426" s="59" t="str">
        <f t="shared" si="176"/>
        <v/>
      </c>
      <c r="X1426" s="59" t="str">
        <f t="shared" si="180"/>
        <v/>
      </c>
      <c r="AC1426" s="50">
        <f t="shared" si="181"/>
        <v>0</v>
      </c>
      <c r="AD1426" s="43">
        <f t="shared" si="182"/>
        <v>0</v>
      </c>
      <c r="AE1426" s="50">
        <f t="shared" si="183"/>
        <v>0</v>
      </c>
    </row>
    <row r="1427" spans="1:31">
      <c r="A1427" s="59" t="str">
        <f t="shared" si="177"/>
        <v/>
      </c>
      <c r="B1427" s="59" t="str">
        <f t="shared" si="178"/>
        <v/>
      </c>
      <c r="V1427" s="59" t="str">
        <f t="shared" si="179"/>
        <v/>
      </c>
      <c r="W1427" s="59" t="str">
        <f t="shared" si="176"/>
        <v/>
      </c>
      <c r="X1427" s="59" t="str">
        <f t="shared" si="180"/>
        <v/>
      </c>
      <c r="AC1427" s="50">
        <f t="shared" si="181"/>
        <v>0</v>
      </c>
      <c r="AD1427" s="43">
        <f t="shared" si="182"/>
        <v>0</v>
      </c>
      <c r="AE1427" s="50">
        <f t="shared" si="183"/>
        <v>0</v>
      </c>
    </row>
    <row r="1428" spans="1:31">
      <c r="A1428" s="59" t="str">
        <f t="shared" si="177"/>
        <v/>
      </c>
      <c r="B1428" s="59" t="str">
        <f t="shared" si="178"/>
        <v/>
      </c>
      <c r="V1428" s="59" t="str">
        <f t="shared" si="179"/>
        <v/>
      </c>
      <c r="W1428" s="59" t="str">
        <f t="shared" si="176"/>
        <v/>
      </c>
      <c r="X1428" s="59" t="str">
        <f t="shared" si="180"/>
        <v/>
      </c>
      <c r="AC1428" s="50">
        <f t="shared" si="181"/>
        <v>0</v>
      </c>
      <c r="AD1428" s="43">
        <f t="shared" si="182"/>
        <v>0</v>
      </c>
      <c r="AE1428" s="50">
        <f t="shared" si="183"/>
        <v>0</v>
      </c>
    </row>
    <row r="1429" spans="1:31">
      <c r="A1429" s="59" t="str">
        <f t="shared" si="177"/>
        <v/>
      </c>
      <c r="B1429" s="59" t="str">
        <f t="shared" si="178"/>
        <v/>
      </c>
      <c r="V1429" s="59" t="str">
        <f t="shared" si="179"/>
        <v/>
      </c>
      <c r="W1429" s="59" t="str">
        <f t="shared" si="176"/>
        <v/>
      </c>
      <c r="X1429" s="59" t="str">
        <f t="shared" si="180"/>
        <v/>
      </c>
      <c r="AC1429" s="50">
        <f t="shared" si="181"/>
        <v>0</v>
      </c>
      <c r="AD1429" s="43">
        <f t="shared" si="182"/>
        <v>0</v>
      </c>
      <c r="AE1429" s="50">
        <f t="shared" si="183"/>
        <v>0</v>
      </c>
    </row>
    <row r="1430" spans="1:31">
      <c r="A1430" s="59" t="str">
        <f t="shared" si="177"/>
        <v/>
      </c>
      <c r="B1430" s="59" t="str">
        <f t="shared" si="178"/>
        <v/>
      </c>
      <c r="V1430" s="59" t="str">
        <f t="shared" si="179"/>
        <v/>
      </c>
      <c r="W1430" s="59" t="str">
        <f t="shared" si="176"/>
        <v/>
      </c>
      <c r="X1430" s="59" t="str">
        <f t="shared" si="180"/>
        <v/>
      </c>
      <c r="AC1430" s="50">
        <f t="shared" si="181"/>
        <v>0</v>
      </c>
      <c r="AD1430" s="43">
        <f t="shared" si="182"/>
        <v>0</v>
      </c>
      <c r="AE1430" s="50">
        <f t="shared" si="183"/>
        <v>0</v>
      </c>
    </row>
    <row r="1431" spans="1:31">
      <c r="A1431" s="59" t="str">
        <f t="shared" si="177"/>
        <v/>
      </c>
      <c r="B1431" s="59" t="str">
        <f t="shared" si="178"/>
        <v/>
      </c>
      <c r="V1431" s="59" t="str">
        <f t="shared" si="179"/>
        <v/>
      </c>
      <c r="W1431" s="59" t="str">
        <f t="shared" si="176"/>
        <v/>
      </c>
      <c r="X1431" s="59" t="str">
        <f t="shared" si="180"/>
        <v/>
      </c>
      <c r="AC1431" s="50">
        <f t="shared" si="181"/>
        <v>0</v>
      </c>
      <c r="AD1431" s="43">
        <f t="shared" si="182"/>
        <v>0</v>
      </c>
      <c r="AE1431" s="50">
        <f t="shared" si="183"/>
        <v>0</v>
      </c>
    </row>
    <row r="1432" spans="1:31">
      <c r="A1432" s="59" t="str">
        <f t="shared" si="177"/>
        <v/>
      </c>
      <c r="B1432" s="59" t="str">
        <f t="shared" si="178"/>
        <v/>
      </c>
      <c r="V1432" s="59" t="str">
        <f t="shared" si="179"/>
        <v/>
      </c>
      <c r="W1432" s="59" t="str">
        <f t="shared" si="176"/>
        <v/>
      </c>
      <c r="X1432" s="59" t="str">
        <f t="shared" si="180"/>
        <v/>
      </c>
      <c r="AC1432" s="50">
        <f t="shared" si="181"/>
        <v>0</v>
      </c>
      <c r="AD1432" s="43">
        <f t="shared" si="182"/>
        <v>0</v>
      </c>
      <c r="AE1432" s="50">
        <f t="shared" si="183"/>
        <v>0</v>
      </c>
    </row>
    <row r="1433" spans="1:31">
      <c r="A1433" s="59" t="str">
        <f t="shared" si="177"/>
        <v/>
      </c>
      <c r="B1433" s="59" t="str">
        <f t="shared" si="178"/>
        <v/>
      </c>
      <c r="V1433" s="59" t="str">
        <f t="shared" si="179"/>
        <v/>
      </c>
      <c r="W1433" s="59" t="str">
        <f t="shared" si="176"/>
        <v/>
      </c>
      <c r="X1433" s="59" t="str">
        <f t="shared" si="180"/>
        <v/>
      </c>
      <c r="AC1433" s="50">
        <f t="shared" si="181"/>
        <v>0</v>
      </c>
      <c r="AD1433" s="43">
        <f t="shared" si="182"/>
        <v>0</v>
      </c>
      <c r="AE1433" s="50">
        <f t="shared" si="183"/>
        <v>0</v>
      </c>
    </row>
    <row r="1434" spans="1:31">
      <c r="A1434" s="59" t="str">
        <f t="shared" si="177"/>
        <v/>
      </c>
      <c r="B1434" s="59" t="str">
        <f t="shared" si="178"/>
        <v/>
      </c>
      <c r="V1434" s="59" t="str">
        <f t="shared" si="179"/>
        <v/>
      </c>
      <c r="W1434" s="59" t="str">
        <f t="shared" si="176"/>
        <v/>
      </c>
      <c r="X1434" s="59" t="str">
        <f t="shared" si="180"/>
        <v/>
      </c>
      <c r="AC1434" s="50">
        <f t="shared" si="181"/>
        <v>0</v>
      </c>
      <c r="AD1434" s="43">
        <f t="shared" si="182"/>
        <v>0</v>
      </c>
      <c r="AE1434" s="50">
        <f t="shared" si="183"/>
        <v>0</v>
      </c>
    </row>
    <row r="1435" spans="1:31">
      <c r="A1435" s="59" t="str">
        <f t="shared" si="177"/>
        <v/>
      </c>
      <c r="B1435" s="59" t="str">
        <f t="shared" si="178"/>
        <v/>
      </c>
      <c r="V1435" s="59" t="str">
        <f t="shared" si="179"/>
        <v/>
      </c>
      <c r="W1435" s="59" t="str">
        <f t="shared" si="176"/>
        <v/>
      </c>
      <c r="X1435" s="59" t="str">
        <f t="shared" si="180"/>
        <v/>
      </c>
      <c r="AC1435" s="50">
        <f t="shared" si="181"/>
        <v>0</v>
      </c>
      <c r="AD1435" s="43">
        <f t="shared" si="182"/>
        <v>0</v>
      </c>
      <c r="AE1435" s="50">
        <f t="shared" si="183"/>
        <v>0</v>
      </c>
    </row>
    <row r="1436" spans="1:31">
      <c r="A1436" s="59" t="str">
        <f t="shared" si="177"/>
        <v/>
      </c>
      <c r="B1436" s="59" t="str">
        <f t="shared" si="178"/>
        <v/>
      </c>
      <c r="V1436" s="59" t="str">
        <f t="shared" si="179"/>
        <v/>
      </c>
      <c r="W1436" s="59" t="str">
        <f t="shared" si="176"/>
        <v/>
      </c>
      <c r="X1436" s="59" t="str">
        <f t="shared" si="180"/>
        <v/>
      </c>
      <c r="AC1436" s="50">
        <f t="shared" si="181"/>
        <v>0</v>
      </c>
      <c r="AD1436" s="43">
        <f t="shared" si="182"/>
        <v>0</v>
      </c>
      <c r="AE1436" s="50">
        <f t="shared" si="183"/>
        <v>0</v>
      </c>
    </row>
    <row r="1437" spans="1:31">
      <c r="A1437" s="59" t="str">
        <f t="shared" si="177"/>
        <v/>
      </c>
      <c r="B1437" s="59" t="str">
        <f t="shared" si="178"/>
        <v/>
      </c>
      <c r="V1437" s="59" t="str">
        <f t="shared" si="179"/>
        <v/>
      </c>
      <c r="W1437" s="59" t="str">
        <f t="shared" si="176"/>
        <v/>
      </c>
      <c r="X1437" s="59" t="str">
        <f t="shared" si="180"/>
        <v/>
      </c>
      <c r="AC1437" s="50">
        <f t="shared" si="181"/>
        <v>0</v>
      </c>
      <c r="AD1437" s="43">
        <f t="shared" si="182"/>
        <v>0</v>
      </c>
      <c r="AE1437" s="50">
        <f t="shared" si="183"/>
        <v>0</v>
      </c>
    </row>
    <row r="1438" spans="1:31">
      <c r="A1438" s="59" t="str">
        <f t="shared" si="177"/>
        <v/>
      </c>
      <c r="B1438" s="59" t="str">
        <f t="shared" si="178"/>
        <v/>
      </c>
      <c r="V1438" s="59" t="str">
        <f t="shared" si="179"/>
        <v/>
      </c>
      <c r="W1438" s="59" t="str">
        <f t="shared" si="176"/>
        <v/>
      </c>
      <c r="X1438" s="59" t="str">
        <f t="shared" si="180"/>
        <v/>
      </c>
      <c r="AC1438" s="50">
        <f t="shared" si="181"/>
        <v>0</v>
      </c>
      <c r="AD1438" s="43">
        <f t="shared" si="182"/>
        <v>0</v>
      </c>
      <c r="AE1438" s="50">
        <f t="shared" si="183"/>
        <v>0</v>
      </c>
    </row>
    <row r="1439" spans="1:31">
      <c r="A1439" s="59" t="str">
        <f t="shared" si="177"/>
        <v/>
      </c>
      <c r="B1439" s="59" t="str">
        <f t="shared" si="178"/>
        <v/>
      </c>
      <c r="V1439" s="59" t="str">
        <f t="shared" si="179"/>
        <v/>
      </c>
      <c r="W1439" s="59" t="str">
        <f t="shared" si="176"/>
        <v/>
      </c>
      <c r="X1439" s="59" t="str">
        <f t="shared" si="180"/>
        <v/>
      </c>
      <c r="AC1439" s="50">
        <f t="shared" si="181"/>
        <v>0</v>
      </c>
      <c r="AD1439" s="43">
        <f t="shared" si="182"/>
        <v>0</v>
      </c>
      <c r="AE1439" s="50">
        <f t="shared" si="183"/>
        <v>0</v>
      </c>
    </row>
    <row r="1440" spans="1:31">
      <c r="A1440" s="59" t="str">
        <f t="shared" si="177"/>
        <v/>
      </c>
      <c r="B1440" s="59" t="str">
        <f t="shared" si="178"/>
        <v/>
      </c>
      <c r="V1440" s="59" t="str">
        <f t="shared" si="179"/>
        <v/>
      </c>
      <c r="W1440" s="59" t="str">
        <f t="shared" si="176"/>
        <v/>
      </c>
      <c r="X1440" s="59" t="str">
        <f t="shared" si="180"/>
        <v/>
      </c>
      <c r="AC1440" s="50">
        <f t="shared" si="181"/>
        <v>0</v>
      </c>
      <c r="AD1440" s="43">
        <f t="shared" si="182"/>
        <v>0</v>
      </c>
      <c r="AE1440" s="50">
        <f t="shared" si="183"/>
        <v>0</v>
      </c>
    </row>
    <row r="1441" spans="1:31">
      <c r="A1441" s="59" t="str">
        <f t="shared" si="177"/>
        <v/>
      </c>
      <c r="B1441" s="59" t="str">
        <f t="shared" si="178"/>
        <v/>
      </c>
      <c r="V1441" s="59" t="str">
        <f t="shared" si="179"/>
        <v/>
      </c>
      <c r="W1441" s="59" t="str">
        <f t="shared" si="176"/>
        <v/>
      </c>
      <c r="X1441" s="59" t="str">
        <f t="shared" si="180"/>
        <v/>
      </c>
      <c r="AC1441" s="50">
        <f t="shared" si="181"/>
        <v>0</v>
      </c>
      <c r="AD1441" s="43">
        <f t="shared" si="182"/>
        <v>0</v>
      </c>
      <c r="AE1441" s="50">
        <f t="shared" si="183"/>
        <v>0</v>
      </c>
    </row>
    <row r="1442" spans="1:31">
      <c r="A1442" s="59" t="str">
        <f t="shared" si="177"/>
        <v/>
      </c>
      <c r="B1442" s="59" t="str">
        <f t="shared" si="178"/>
        <v/>
      </c>
      <c r="V1442" s="59" t="str">
        <f t="shared" si="179"/>
        <v/>
      </c>
      <c r="W1442" s="59" t="str">
        <f t="shared" si="176"/>
        <v/>
      </c>
      <c r="X1442" s="59" t="str">
        <f t="shared" si="180"/>
        <v/>
      </c>
      <c r="AC1442" s="50">
        <f t="shared" si="181"/>
        <v>0</v>
      </c>
      <c r="AD1442" s="43">
        <f t="shared" si="182"/>
        <v>0</v>
      </c>
      <c r="AE1442" s="50">
        <f t="shared" si="183"/>
        <v>0</v>
      </c>
    </row>
    <row r="1443" spans="1:31">
      <c r="A1443" s="59" t="str">
        <f t="shared" si="177"/>
        <v/>
      </c>
      <c r="B1443" s="59" t="str">
        <f t="shared" si="178"/>
        <v/>
      </c>
      <c r="V1443" s="59" t="str">
        <f t="shared" si="179"/>
        <v/>
      </c>
      <c r="W1443" s="59" t="str">
        <f t="shared" si="176"/>
        <v/>
      </c>
      <c r="X1443" s="59" t="str">
        <f t="shared" si="180"/>
        <v/>
      </c>
      <c r="AC1443" s="50">
        <f t="shared" si="181"/>
        <v>0</v>
      </c>
      <c r="AD1443" s="43">
        <f t="shared" si="182"/>
        <v>0</v>
      </c>
      <c r="AE1443" s="50">
        <f t="shared" si="183"/>
        <v>0</v>
      </c>
    </row>
    <row r="1444" spans="1:31">
      <c r="A1444" s="59" t="str">
        <f t="shared" si="177"/>
        <v/>
      </c>
      <c r="B1444" s="59" t="str">
        <f t="shared" si="178"/>
        <v/>
      </c>
      <c r="V1444" s="59" t="str">
        <f t="shared" si="179"/>
        <v/>
      </c>
      <c r="W1444" s="59" t="str">
        <f t="shared" si="176"/>
        <v/>
      </c>
      <c r="X1444" s="59" t="str">
        <f t="shared" si="180"/>
        <v/>
      </c>
      <c r="AC1444" s="50">
        <f t="shared" si="181"/>
        <v>0</v>
      </c>
      <c r="AD1444" s="43">
        <f t="shared" si="182"/>
        <v>0</v>
      </c>
      <c r="AE1444" s="50">
        <f t="shared" si="183"/>
        <v>0</v>
      </c>
    </row>
    <row r="1445" spans="1:31">
      <c r="A1445" s="59" t="str">
        <f t="shared" si="177"/>
        <v/>
      </c>
      <c r="B1445" s="59" t="str">
        <f t="shared" si="178"/>
        <v/>
      </c>
      <c r="V1445" s="59" t="str">
        <f t="shared" si="179"/>
        <v/>
      </c>
      <c r="W1445" s="59" t="str">
        <f t="shared" si="176"/>
        <v/>
      </c>
      <c r="X1445" s="59" t="str">
        <f t="shared" si="180"/>
        <v/>
      </c>
      <c r="AC1445" s="50">
        <f t="shared" si="181"/>
        <v>0</v>
      </c>
      <c r="AD1445" s="43">
        <f t="shared" si="182"/>
        <v>0</v>
      </c>
      <c r="AE1445" s="50">
        <f t="shared" si="183"/>
        <v>0</v>
      </c>
    </row>
    <row r="1446" spans="1:31">
      <c r="A1446" s="59" t="str">
        <f t="shared" si="177"/>
        <v/>
      </c>
      <c r="B1446" s="59" t="str">
        <f t="shared" si="178"/>
        <v/>
      </c>
      <c r="V1446" s="59" t="str">
        <f t="shared" si="179"/>
        <v/>
      </c>
      <c r="W1446" s="59" t="str">
        <f t="shared" si="176"/>
        <v/>
      </c>
      <c r="X1446" s="59" t="str">
        <f t="shared" si="180"/>
        <v/>
      </c>
      <c r="AC1446" s="50">
        <f t="shared" si="181"/>
        <v>0</v>
      </c>
      <c r="AD1446" s="43">
        <f t="shared" si="182"/>
        <v>0</v>
      </c>
      <c r="AE1446" s="50">
        <f t="shared" si="183"/>
        <v>0</v>
      </c>
    </row>
    <row r="1447" spans="1:31">
      <c r="A1447" s="59" t="str">
        <f t="shared" si="177"/>
        <v/>
      </c>
      <c r="B1447" s="59" t="str">
        <f t="shared" si="178"/>
        <v/>
      </c>
      <c r="V1447" s="59" t="str">
        <f t="shared" si="179"/>
        <v/>
      </c>
      <c r="W1447" s="59" t="str">
        <f t="shared" si="176"/>
        <v/>
      </c>
      <c r="X1447" s="59" t="str">
        <f t="shared" si="180"/>
        <v/>
      </c>
      <c r="AC1447" s="50">
        <f t="shared" si="181"/>
        <v>0</v>
      </c>
      <c r="AD1447" s="43">
        <f t="shared" si="182"/>
        <v>0</v>
      </c>
      <c r="AE1447" s="50">
        <f t="shared" si="183"/>
        <v>0</v>
      </c>
    </row>
    <row r="1448" spans="1:31">
      <c r="A1448" s="59" t="str">
        <f t="shared" si="177"/>
        <v/>
      </c>
      <c r="B1448" s="59" t="str">
        <f t="shared" si="178"/>
        <v/>
      </c>
      <c r="V1448" s="59" t="str">
        <f t="shared" si="179"/>
        <v/>
      </c>
      <c r="W1448" s="59" t="str">
        <f t="shared" si="176"/>
        <v/>
      </c>
      <c r="X1448" s="59" t="str">
        <f t="shared" si="180"/>
        <v/>
      </c>
      <c r="AC1448" s="50">
        <f t="shared" si="181"/>
        <v>0</v>
      </c>
      <c r="AD1448" s="43">
        <f t="shared" si="182"/>
        <v>0</v>
      </c>
      <c r="AE1448" s="50">
        <f t="shared" si="183"/>
        <v>0</v>
      </c>
    </row>
    <row r="1449" spans="1:31">
      <c r="A1449" s="59" t="str">
        <f t="shared" si="177"/>
        <v/>
      </c>
      <c r="B1449" s="59" t="str">
        <f t="shared" si="178"/>
        <v/>
      </c>
      <c r="V1449" s="59" t="str">
        <f t="shared" si="179"/>
        <v/>
      </c>
      <c r="W1449" s="59" t="str">
        <f t="shared" si="176"/>
        <v/>
      </c>
      <c r="X1449" s="59" t="str">
        <f t="shared" si="180"/>
        <v/>
      </c>
      <c r="AC1449" s="50">
        <f t="shared" si="181"/>
        <v>0</v>
      </c>
      <c r="AD1449" s="43">
        <f t="shared" si="182"/>
        <v>0</v>
      </c>
      <c r="AE1449" s="50">
        <f t="shared" si="183"/>
        <v>0</v>
      </c>
    </row>
    <row r="1450" spans="1:31">
      <c r="A1450" s="59" t="str">
        <f t="shared" si="177"/>
        <v/>
      </c>
      <c r="B1450" s="59" t="str">
        <f t="shared" si="178"/>
        <v/>
      </c>
      <c r="V1450" s="59" t="str">
        <f t="shared" si="179"/>
        <v/>
      </c>
      <c r="W1450" s="59" t="str">
        <f t="shared" si="176"/>
        <v/>
      </c>
      <c r="X1450" s="59" t="str">
        <f t="shared" si="180"/>
        <v/>
      </c>
      <c r="AC1450" s="50">
        <f t="shared" si="181"/>
        <v>0</v>
      </c>
      <c r="AD1450" s="43">
        <f t="shared" si="182"/>
        <v>0</v>
      </c>
      <c r="AE1450" s="50">
        <f t="shared" si="183"/>
        <v>0</v>
      </c>
    </row>
    <row r="1451" spans="1:31">
      <c r="A1451" s="59" t="str">
        <f t="shared" si="177"/>
        <v/>
      </c>
      <c r="B1451" s="59" t="str">
        <f t="shared" si="178"/>
        <v/>
      </c>
      <c r="V1451" s="59" t="str">
        <f t="shared" si="179"/>
        <v/>
      </c>
      <c r="W1451" s="59" t="str">
        <f t="shared" si="176"/>
        <v/>
      </c>
      <c r="X1451" s="59" t="str">
        <f t="shared" si="180"/>
        <v/>
      </c>
      <c r="AC1451" s="50">
        <f t="shared" si="181"/>
        <v>0</v>
      </c>
      <c r="AD1451" s="43">
        <f t="shared" si="182"/>
        <v>0</v>
      </c>
      <c r="AE1451" s="50">
        <f t="shared" si="183"/>
        <v>0</v>
      </c>
    </row>
    <row r="1452" spans="1:31">
      <c r="A1452" s="59" t="str">
        <f t="shared" si="177"/>
        <v/>
      </c>
      <c r="B1452" s="59" t="str">
        <f t="shared" si="178"/>
        <v/>
      </c>
      <c r="V1452" s="59" t="str">
        <f t="shared" si="179"/>
        <v/>
      </c>
      <c r="W1452" s="59" t="str">
        <f t="shared" si="176"/>
        <v/>
      </c>
      <c r="X1452" s="59" t="str">
        <f t="shared" si="180"/>
        <v/>
      </c>
      <c r="AC1452" s="50">
        <f t="shared" si="181"/>
        <v>0</v>
      </c>
      <c r="AD1452" s="43">
        <f t="shared" si="182"/>
        <v>0</v>
      </c>
      <c r="AE1452" s="50">
        <f t="shared" si="183"/>
        <v>0</v>
      </c>
    </row>
    <row r="1453" spans="1:31">
      <c r="A1453" s="59" t="str">
        <f t="shared" si="177"/>
        <v/>
      </c>
      <c r="B1453" s="59" t="str">
        <f t="shared" si="178"/>
        <v/>
      </c>
      <c r="V1453" s="59" t="str">
        <f t="shared" si="179"/>
        <v/>
      </c>
      <c r="W1453" s="59" t="str">
        <f t="shared" si="176"/>
        <v/>
      </c>
      <c r="X1453" s="59" t="str">
        <f t="shared" si="180"/>
        <v/>
      </c>
      <c r="AC1453" s="50">
        <f t="shared" si="181"/>
        <v>0</v>
      </c>
      <c r="AD1453" s="43">
        <f t="shared" si="182"/>
        <v>0</v>
      </c>
      <c r="AE1453" s="50">
        <f t="shared" si="183"/>
        <v>0</v>
      </c>
    </row>
    <row r="1454" spans="1:31">
      <c r="A1454" s="59" t="str">
        <f t="shared" si="177"/>
        <v/>
      </c>
      <c r="B1454" s="59" t="str">
        <f t="shared" si="178"/>
        <v/>
      </c>
      <c r="V1454" s="59" t="str">
        <f t="shared" si="179"/>
        <v/>
      </c>
      <c r="W1454" s="59" t="str">
        <f t="shared" si="176"/>
        <v/>
      </c>
      <c r="X1454" s="59" t="str">
        <f t="shared" si="180"/>
        <v/>
      </c>
      <c r="AC1454" s="50">
        <f t="shared" si="181"/>
        <v>0</v>
      </c>
      <c r="AD1454" s="43">
        <f t="shared" si="182"/>
        <v>0</v>
      </c>
      <c r="AE1454" s="50">
        <f t="shared" si="183"/>
        <v>0</v>
      </c>
    </row>
    <row r="1455" spans="1:31">
      <c r="A1455" s="59" t="str">
        <f t="shared" si="177"/>
        <v/>
      </c>
      <c r="B1455" s="59" t="str">
        <f t="shared" si="178"/>
        <v/>
      </c>
      <c r="V1455" s="59" t="str">
        <f t="shared" si="179"/>
        <v/>
      </c>
      <c r="W1455" s="59" t="str">
        <f t="shared" si="176"/>
        <v/>
      </c>
      <c r="X1455" s="59" t="str">
        <f t="shared" si="180"/>
        <v/>
      </c>
      <c r="AC1455" s="50">
        <f t="shared" si="181"/>
        <v>0</v>
      </c>
      <c r="AD1455" s="43">
        <f t="shared" si="182"/>
        <v>0</v>
      </c>
      <c r="AE1455" s="50">
        <f t="shared" si="183"/>
        <v>0</v>
      </c>
    </row>
    <row r="1456" spans="1:31">
      <c r="A1456" s="59" t="str">
        <f t="shared" si="177"/>
        <v/>
      </c>
      <c r="B1456" s="59" t="str">
        <f t="shared" si="178"/>
        <v/>
      </c>
      <c r="V1456" s="59" t="str">
        <f t="shared" si="179"/>
        <v/>
      </c>
      <c r="W1456" s="59" t="str">
        <f t="shared" si="176"/>
        <v/>
      </c>
      <c r="X1456" s="59" t="str">
        <f t="shared" si="180"/>
        <v/>
      </c>
      <c r="AC1456" s="50">
        <f t="shared" si="181"/>
        <v>0</v>
      </c>
      <c r="AD1456" s="43">
        <f t="shared" si="182"/>
        <v>0</v>
      </c>
      <c r="AE1456" s="50">
        <f t="shared" si="183"/>
        <v>0</v>
      </c>
    </row>
    <row r="1457" spans="1:31">
      <c r="A1457" s="59" t="str">
        <f t="shared" si="177"/>
        <v/>
      </c>
      <c r="B1457" s="59" t="str">
        <f t="shared" si="178"/>
        <v/>
      </c>
      <c r="V1457" s="59" t="str">
        <f t="shared" si="179"/>
        <v/>
      </c>
      <c r="W1457" s="59" t="str">
        <f t="shared" si="176"/>
        <v/>
      </c>
      <c r="X1457" s="59" t="str">
        <f t="shared" si="180"/>
        <v/>
      </c>
      <c r="AC1457" s="50">
        <f t="shared" si="181"/>
        <v>0</v>
      </c>
      <c r="AD1457" s="43">
        <f t="shared" si="182"/>
        <v>0</v>
      </c>
      <c r="AE1457" s="50">
        <f t="shared" si="183"/>
        <v>0</v>
      </c>
    </row>
    <row r="1458" spans="1:31">
      <c r="A1458" s="59" t="str">
        <f t="shared" si="177"/>
        <v/>
      </c>
      <c r="B1458" s="59" t="str">
        <f t="shared" si="178"/>
        <v/>
      </c>
      <c r="V1458" s="59" t="str">
        <f t="shared" si="179"/>
        <v/>
      </c>
      <c r="W1458" s="59" t="str">
        <f t="shared" si="176"/>
        <v/>
      </c>
      <c r="X1458" s="59" t="str">
        <f t="shared" si="180"/>
        <v/>
      </c>
      <c r="AC1458" s="50">
        <f t="shared" si="181"/>
        <v>0</v>
      </c>
      <c r="AD1458" s="43">
        <f t="shared" si="182"/>
        <v>0</v>
      </c>
      <c r="AE1458" s="50">
        <f t="shared" si="183"/>
        <v>0</v>
      </c>
    </row>
    <row r="1459" spans="1:31">
      <c r="A1459" s="59" t="str">
        <f t="shared" si="177"/>
        <v/>
      </c>
      <c r="B1459" s="59" t="str">
        <f t="shared" si="178"/>
        <v/>
      </c>
      <c r="V1459" s="59" t="str">
        <f t="shared" si="179"/>
        <v/>
      </c>
      <c r="W1459" s="59" t="str">
        <f t="shared" si="176"/>
        <v/>
      </c>
      <c r="X1459" s="59" t="str">
        <f t="shared" si="180"/>
        <v/>
      </c>
      <c r="AC1459" s="50">
        <f t="shared" si="181"/>
        <v>0</v>
      </c>
      <c r="AD1459" s="43">
        <f t="shared" si="182"/>
        <v>0</v>
      </c>
      <c r="AE1459" s="50">
        <f t="shared" si="183"/>
        <v>0</v>
      </c>
    </row>
    <row r="1460" spans="1:31">
      <c r="A1460" s="59" t="str">
        <f t="shared" si="177"/>
        <v/>
      </c>
      <c r="B1460" s="59" t="str">
        <f t="shared" si="178"/>
        <v/>
      </c>
      <c r="V1460" s="59" t="str">
        <f t="shared" si="179"/>
        <v/>
      </c>
      <c r="W1460" s="59" t="str">
        <f t="shared" si="176"/>
        <v/>
      </c>
      <c r="X1460" s="59" t="str">
        <f t="shared" si="180"/>
        <v/>
      </c>
      <c r="AC1460" s="50">
        <f t="shared" si="181"/>
        <v>0</v>
      </c>
      <c r="AD1460" s="43">
        <f t="shared" si="182"/>
        <v>0</v>
      </c>
      <c r="AE1460" s="50">
        <f t="shared" si="183"/>
        <v>0</v>
      </c>
    </row>
    <row r="1461" spans="1:31">
      <c r="A1461" s="59" t="str">
        <f t="shared" si="177"/>
        <v/>
      </c>
      <c r="B1461" s="59" t="str">
        <f t="shared" si="178"/>
        <v/>
      </c>
      <c r="V1461" s="59" t="str">
        <f t="shared" si="179"/>
        <v/>
      </c>
      <c r="W1461" s="59" t="str">
        <f t="shared" si="176"/>
        <v/>
      </c>
      <c r="X1461" s="59" t="str">
        <f t="shared" si="180"/>
        <v/>
      </c>
      <c r="AC1461" s="50">
        <f t="shared" si="181"/>
        <v>0</v>
      </c>
      <c r="AD1461" s="43">
        <f t="shared" si="182"/>
        <v>0</v>
      </c>
      <c r="AE1461" s="50">
        <f t="shared" si="183"/>
        <v>0</v>
      </c>
    </row>
    <row r="1462" spans="1:31">
      <c r="A1462" s="59" t="str">
        <f t="shared" si="177"/>
        <v/>
      </c>
      <c r="B1462" s="59" t="str">
        <f t="shared" si="178"/>
        <v/>
      </c>
      <c r="V1462" s="59" t="str">
        <f t="shared" si="179"/>
        <v/>
      </c>
      <c r="W1462" s="59" t="str">
        <f t="shared" si="176"/>
        <v/>
      </c>
      <c r="X1462" s="59" t="str">
        <f t="shared" si="180"/>
        <v/>
      </c>
      <c r="AC1462" s="50">
        <f t="shared" si="181"/>
        <v>0</v>
      </c>
      <c r="AD1462" s="43">
        <f t="shared" si="182"/>
        <v>0</v>
      </c>
      <c r="AE1462" s="50">
        <f t="shared" si="183"/>
        <v>0</v>
      </c>
    </row>
    <row r="1463" spans="1:31">
      <c r="A1463" s="59" t="str">
        <f t="shared" si="177"/>
        <v/>
      </c>
      <c r="B1463" s="59" t="str">
        <f t="shared" si="178"/>
        <v/>
      </c>
      <c r="V1463" s="59" t="str">
        <f t="shared" si="179"/>
        <v/>
      </c>
      <c r="W1463" s="59" t="str">
        <f t="shared" si="176"/>
        <v/>
      </c>
      <c r="X1463" s="59" t="str">
        <f t="shared" si="180"/>
        <v/>
      </c>
      <c r="AC1463" s="50">
        <f t="shared" si="181"/>
        <v>0</v>
      </c>
      <c r="AD1463" s="43">
        <f t="shared" si="182"/>
        <v>0</v>
      </c>
      <c r="AE1463" s="50">
        <f t="shared" si="183"/>
        <v>0</v>
      </c>
    </row>
    <row r="1464" spans="1:31">
      <c r="A1464" s="59" t="str">
        <f t="shared" si="177"/>
        <v/>
      </c>
      <c r="B1464" s="59" t="str">
        <f t="shared" si="178"/>
        <v/>
      </c>
      <c r="V1464" s="59" t="str">
        <f t="shared" si="179"/>
        <v/>
      </c>
      <c r="W1464" s="59" t="str">
        <f t="shared" si="176"/>
        <v/>
      </c>
      <c r="X1464" s="59" t="str">
        <f t="shared" si="180"/>
        <v/>
      </c>
      <c r="AC1464" s="50">
        <f t="shared" si="181"/>
        <v>0</v>
      </c>
      <c r="AD1464" s="43">
        <f t="shared" si="182"/>
        <v>0</v>
      </c>
      <c r="AE1464" s="50">
        <f t="shared" si="183"/>
        <v>0</v>
      </c>
    </row>
    <row r="1465" spans="1:31">
      <c r="A1465" s="59" t="str">
        <f t="shared" si="177"/>
        <v/>
      </c>
      <c r="B1465" s="59" t="str">
        <f t="shared" si="178"/>
        <v/>
      </c>
      <c r="V1465" s="59" t="str">
        <f t="shared" si="179"/>
        <v/>
      </c>
      <c r="W1465" s="59" t="str">
        <f t="shared" si="176"/>
        <v/>
      </c>
      <c r="X1465" s="59" t="str">
        <f t="shared" si="180"/>
        <v/>
      </c>
      <c r="AC1465" s="50">
        <f t="shared" si="181"/>
        <v>0</v>
      </c>
      <c r="AD1465" s="43">
        <f t="shared" si="182"/>
        <v>0</v>
      </c>
      <c r="AE1465" s="50">
        <f t="shared" si="183"/>
        <v>0</v>
      </c>
    </row>
    <row r="1466" spans="1:31">
      <c r="A1466" s="59" t="str">
        <f t="shared" si="177"/>
        <v/>
      </c>
      <c r="B1466" s="59" t="str">
        <f t="shared" si="178"/>
        <v/>
      </c>
      <c r="V1466" s="59" t="str">
        <f t="shared" si="179"/>
        <v/>
      </c>
      <c r="W1466" s="59" t="str">
        <f t="shared" si="176"/>
        <v/>
      </c>
      <c r="X1466" s="59" t="str">
        <f t="shared" si="180"/>
        <v/>
      </c>
      <c r="AC1466" s="50">
        <f t="shared" si="181"/>
        <v>0</v>
      </c>
      <c r="AD1466" s="43">
        <f t="shared" si="182"/>
        <v>0</v>
      </c>
      <c r="AE1466" s="50">
        <f t="shared" si="183"/>
        <v>0</v>
      </c>
    </row>
    <row r="1467" spans="1:31">
      <c r="A1467" s="59" t="str">
        <f t="shared" si="177"/>
        <v/>
      </c>
      <c r="B1467" s="59" t="str">
        <f t="shared" si="178"/>
        <v/>
      </c>
      <c r="V1467" s="59" t="str">
        <f t="shared" si="179"/>
        <v/>
      </c>
      <c r="W1467" s="59" t="str">
        <f t="shared" si="176"/>
        <v/>
      </c>
      <c r="X1467" s="59" t="str">
        <f t="shared" si="180"/>
        <v/>
      </c>
      <c r="AC1467" s="50">
        <f t="shared" si="181"/>
        <v>0</v>
      </c>
      <c r="AD1467" s="43">
        <f t="shared" si="182"/>
        <v>0</v>
      </c>
      <c r="AE1467" s="50">
        <f t="shared" si="183"/>
        <v>0</v>
      </c>
    </row>
    <row r="1468" spans="1:31">
      <c r="A1468" s="59" t="str">
        <f t="shared" si="177"/>
        <v/>
      </c>
      <c r="B1468" s="59" t="str">
        <f t="shared" si="178"/>
        <v/>
      </c>
      <c r="V1468" s="59" t="str">
        <f t="shared" si="179"/>
        <v/>
      </c>
      <c r="W1468" s="59" t="str">
        <f t="shared" si="176"/>
        <v/>
      </c>
      <c r="X1468" s="59" t="str">
        <f t="shared" si="180"/>
        <v/>
      </c>
      <c r="AC1468" s="50">
        <f t="shared" si="181"/>
        <v>0</v>
      </c>
      <c r="AD1468" s="43">
        <f t="shared" si="182"/>
        <v>0</v>
      </c>
      <c r="AE1468" s="50">
        <f t="shared" si="183"/>
        <v>0</v>
      </c>
    </row>
    <row r="1469" spans="1:31">
      <c r="A1469" s="59" t="str">
        <f t="shared" si="177"/>
        <v/>
      </c>
      <c r="B1469" s="59" t="str">
        <f t="shared" si="178"/>
        <v/>
      </c>
      <c r="V1469" s="59" t="str">
        <f t="shared" si="179"/>
        <v/>
      </c>
      <c r="W1469" s="59" t="str">
        <f t="shared" si="176"/>
        <v/>
      </c>
      <c r="X1469" s="59" t="str">
        <f t="shared" si="180"/>
        <v/>
      </c>
      <c r="AC1469" s="50">
        <f t="shared" si="181"/>
        <v>0</v>
      </c>
      <c r="AD1469" s="43">
        <f t="shared" si="182"/>
        <v>0</v>
      </c>
      <c r="AE1469" s="50">
        <f t="shared" si="183"/>
        <v>0</v>
      </c>
    </row>
    <row r="1470" spans="1:31">
      <c r="A1470" s="59" t="str">
        <f t="shared" si="177"/>
        <v/>
      </c>
      <c r="B1470" s="59" t="str">
        <f t="shared" si="178"/>
        <v/>
      </c>
      <c r="V1470" s="59" t="str">
        <f t="shared" si="179"/>
        <v/>
      </c>
      <c r="W1470" s="59" t="str">
        <f t="shared" si="176"/>
        <v/>
      </c>
      <c r="X1470" s="59" t="str">
        <f t="shared" si="180"/>
        <v/>
      </c>
      <c r="AC1470" s="50">
        <f t="shared" si="181"/>
        <v>0</v>
      </c>
      <c r="AD1470" s="43">
        <f t="shared" si="182"/>
        <v>0</v>
      </c>
      <c r="AE1470" s="50">
        <f t="shared" si="183"/>
        <v>0</v>
      </c>
    </row>
    <row r="1471" spans="1:31">
      <c r="A1471" s="59" t="str">
        <f t="shared" si="177"/>
        <v/>
      </c>
      <c r="B1471" s="59" t="str">
        <f t="shared" si="178"/>
        <v/>
      </c>
      <c r="V1471" s="59" t="str">
        <f t="shared" si="179"/>
        <v/>
      </c>
      <c r="W1471" s="59" t="str">
        <f t="shared" si="176"/>
        <v/>
      </c>
      <c r="X1471" s="59" t="str">
        <f t="shared" si="180"/>
        <v/>
      </c>
      <c r="AC1471" s="50">
        <f t="shared" si="181"/>
        <v>0</v>
      </c>
      <c r="AD1471" s="43">
        <f t="shared" si="182"/>
        <v>0</v>
      </c>
      <c r="AE1471" s="50">
        <f t="shared" si="183"/>
        <v>0</v>
      </c>
    </row>
    <row r="1472" spans="1:31">
      <c r="A1472" s="59" t="str">
        <f t="shared" si="177"/>
        <v/>
      </c>
      <c r="B1472" s="59" t="str">
        <f t="shared" si="178"/>
        <v/>
      </c>
      <c r="V1472" s="59" t="str">
        <f t="shared" si="179"/>
        <v/>
      </c>
      <c r="W1472" s="59" t="str">
        <f t="shared" si="176"/>
        <v/>
      </c>
      <c r="X1472" s="59" t="str">
        <f t="shared" si="180"/>
        <v/>
      </c>
      <c r="AC1472" s="50">
        <f t="shared" si="181"/>
        <v>0</v>
      </c>
      <c r="AD1472" s="43">
        <f t="shared" si="182"/>
        <v>0</v>
      </c>
      <c r="AE1472" s="50">
        <f t="shared" si="183"/>
        <v>0</v>
      </c>
    </row>
    <row r="1473" spans="1:31">
      <c r="A1473" s="59" t="str">
        <f t="shared" si="177"/>
        <v/>
      </c>
      <c r="B1473" s="59" t="str">
        <f t="shared" si="178"/>
        <v/>
      </c>
      <c r="V1473" s="59" t="str">
        <f t="shared" si="179"/>
        <v/>
      </c>
      <c r="W1473" s="59" t="str">
        <f t="shared" si="176"/>
        <v/>
      </c>
      <c r="X1473" s="59" t="str">
        <f t="shared" si="180"/>
        <v/>
      </c>
      <c r="AC1473" s="50">
        <f t="shared" si="181"/>
        <v>0</v>
      </c>
      <c r="AD1473" s="43">
        <f t="shared" si="182"/>
        <v>0</v>
      </c>
      <c r="AE1473" s="50">
        <f t="shared" si="183"/>
        <v>0</v>
      </c>
    </row>
    <row r="1474" spans="1:31">
      <c r="A1474" s="59" t="str">
        <f t="shared" si="177"/>
        <v/>
      </c>
      <c r="B1474" s="59" t="str">
        <f t="shared" si="178"/>
        <v/>
      </c>
      <c r="V1474" s="59" t="str">
        <f t="shared" si="179"/>
        <v/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59" t="str">
        <f t="shared" si="180"/>
        <v/>
      </c>
      <c r="AC1474" s="50">
        <f t="shared" si="181"/>
        <v>0</v>
      </c>
      <c r="AD1474" s="43">
        <f t="shared" si="182"/>
        <v>0</v>
      </c>
      <c r="AE1474" s="50">
        <f t="shared" si="183"/>
        <v>0</v>
      </c>
    </row>
    <row r="1475" spans="1:31">
      <c r="A1475" s="59" t="str">
        <f t="shared" ref="A1475:A1538" si="185">IF(G1475&amp;Q1475&lt;&gt;"",W1475&amp;Q1475,"")</f>
        <v/>
      </c>
      <c r="B1475" s="59" t="str">
        <f t="shared" ref="B1475:B1538" si="186">IF(C1475&lt;&gt;"",LEFT(C1475,9),"")</f>
        <v/>
      </c>
      <c r="V1475" s="59" t="str">
        <f t="shared" ref="V1475:V1538" si="187">W1475&amp;H1475</f>
        <v/>
      </c>
      <c r="W1475" s="59" t="str">
        <f t="shared" si="184"/>
        <v/>
      </c>
      <c r="X1475" s="59" t="str">
        <f t="shared" ref="X1475:X1538" si="188">IF(A1475&lt;&gt;"",IFERROR(IF(FIND(" ",G1475)&gt;=1,MID(G1475,FIND(" ",G1475)+1,LEN(G1475)),""),""),"")</f>
        <v/>
      </c>
      <c r="AC1475" s="50">
        <f t="shared" ref="AC1475:AC1538" si="189">IFERROR(VALUE(MID($C1475,1,2)),0)</f>
        <v>0</v>
      </c>
      <c r="AD1475" s="43">
        <f t="shared" ref="AD1475:AD1538" si="190">IFERROR(VALUE(MID($C1475,4,3)),0)</f>
        <v>0</v>
      </c>
      <c r="AE1475" s="50">
        <f t="shared" ref="AE1475:AE1538" si="191">VALUE(RIGHT("00"&amp;AC1475,2)&amp;RIGHT("000"&amp;AD1475,3))</f>
        <v>0</v>
      </c>
    </row>
    <row r="1476" spans="1:31">
      <c r="A1476" s="59" t="str">
        <f t="shared" si="185"/>
        <v/>
      </c>
      <c r="B1476" s="59" t="str">
        <f t="shared" si="186"/>
        <v/>
      </c>
      <c r="V1476" s="59" t="str">
        <f t="shared" si="187"/>
        <v/>
      </c>
      <c r="W1476" s="59" t="str">
        <f t="shared" si="184"/>
        <v/>
      </c>
      <c r="X1476" s="59" t="str">
        <f t="shared" si="188"/>
        <v/>
      </c>
      <c r="AC1476" s="50">
        <f t="shared" si="189"/>
        <v>0</v>
      </c>
      <c r="AD1476" s="43">
        <f t="shared" si="190"/>
        <v>0</v>
      </c>
      <c r="AE1476" s="50">
        <f t="shared" si="191"/>
        <v>0</v>
      </c>
    </row>
    <row r="1477" spans="1:31">
      <c r="A1477" s="59" t="str">
        <f t="shared" si="185"/>
        <v/>
      </c>
      <c r="B1477" s="59" t="str">
        <f t="shared" si="186"/>
        <v/>
      </c>
      <c r="V1477" s="59" t="str">
        <f t="shared" si="187"/>
        <v/>
      </c>
      <c r="W1477" s="59" t="str">
        <f t="shared" si="184"/>
        <v/>
      </c>
      <c r="X1477" s="59" t="str">
        <f t="shared" si="188"/>
        <v/>
      </c>
      <c r="AC1477" s="50">
        <f t="shared" si="189"/>
        <v>0</v>
      </c>
      <c r="AD1477" s="43">
        <f t="shared" si="190"/>
        <v>0</v>
      </c>
      <c r="AE1477" s="50">
        <f t="shared" si="191"/>
        <v>0</v>
      </c>
    </row>
    <row r="1478" spans="1:31">
      <c r="A1478" s="59" t="str">
        <f t="shared" si="185"/>
        <v/>
      </c>
      <c r="B1478" s="59" t="str">
        <f t="shared" si="186"/>
        <v/>
      </c>
      <c r="V1478" s="59" t="str">
        <f t="shared" si="187"/>
        <v/>
      </c>
      <c r="W1478" s="59" t="str">
        <f t="shared" si="184"/>
        <v/>
      </c>
      <c r="X1478" s="59" t="str">
        <f t="shared" si="188"/>
        <v/>
      </c>
      <c r="AC1478" s="50">
        <f t="shared" si="189"/>
        <v>0</v>
      </c>
      <c r="AD1478" s="43">
        <f t="shared" si="190"/>
        <v>0</v>
      </c>
      <c r="AE1478" s="50">
        <f t="shared" si="191"/>
        <v>0</v>
      </c>
    </row>
    <row r="1479" spans="1:31">
      <c r="A1479" s="59" t="str">
        <f t="shared" si="185"/>
        <v/>
      </c>
      <c r="B1479" s="59" t="str">
        <f t="shared" si="186"/>
        <v/>
      </c>
      <c r="V1479" s="59" t="str">
        <f t="shared" si="187"/>
        <v/>
      </c>
      <c r="W1479" s="59" t="str">
        <f t="shared" si="184"/>
        <v/>
      </c>
      <c r="X1479" s="59" t="str">
        <f t="shared" si="188"/>
        <v/>
      </c>
      <c r="AC1479" s="50">
        <f t="shared" si="189"/>
        <v>0</v>
      </c>
      <c r="AD1479" s="43">
        <f t="shared" si="190"/>
        <v>0</v>
      </c>
      <c r="AE1479" s="50">
        <f t="shared" si="191"/>
        <v>0</v>
      </c>
    </row>
    <row r="1480" spans="1:31">
      <c r="A1480" s="59" t="str">
        <f t="shared" si="185"/>
        <v/>
      </c>
      <c r="B1480" s="59" t="str">
        <f t="shared" si="186"/>
        <v/>
      </c>
      <c r="V1480" s="59" t="str">
        <f t="shared" si="187"/>
        <v/>
      </c>
      <c r="W1480" s="59" t="str">
        <f t="shared" si="184"/>
        <v/>
      </c>
      <c r="X1480" s="59" t="str">
        <f t="shared" si="188"/>
        <v/>
      </c>
      <c r="AC1480" s="50">
        <f t="shared" si="189"/>
        <v>0</v>
      </c>
      <c r="AD1480" s="43">
        <f t="shared" si="190"/>
        <v>0</v>
      </c>
      <c r="AE1480" s="50">
        <f t="shared" si="191"/>
        <v>0</v>
      </c>
    </row>
    <row r="1481" spans="1:31">
      <c r="A1481" s="59" t="str">
        <f t="shared" si="185"/>
        <v/>
      </c>
      <c r="B1481" s="59" t="str">
        <f t="shared" si="186"/>
        <v/>
      </c>
      <c r="V1481" s="59" t="str">
        <f t="shared" si="187"/>
        <v/>
      </c>
      <c r="W1481" s="59" t="str">
        <f t="shared" si="184"/>
        <v/>
      </c>
      <c r="X1481" s="59" t="str">
        <f t="shared" si="188"/>
        <v/>
      </c>
      <c r="AC1481" s="50">
        <f t="shared" si="189"/>
        <v>0</v>
      </c>
      <c r="AD1481" s="43">
        <f t="shared" si="190"/>
        <v>0</v>
      </c>
      <c r="AE1481" s="50">
        <f t="shared" si="191"/>
        <v>0</v>
      </c>
    </row>
    <row r="1482" spans="1:31">
      <c r="A1482" s="59" t="str">
        <f t="shared" si="185"/>
        <v/>
      </c>
      <c r="B1482" s="59" t="str">
        <f t="shared" si="186"/>
        <v/>
      </c>
      <c r="V1482" s="59" t="str">
        <f t="shared" si="187"/>
        <v/>
      </c>
      <c r="W1482" s="59" t="str">
        <f t="shared" si="184"/>
        <v/>
      </c>
      <c r="X1482" s="59" t="str">
        <f t="shared" si="188"/>
        <v/>
      </c>
      <c r="AC1482" s="50">
        <f t="shared" si="189"/>
        <v>0</v>
      </c>
      <c r="AD1482" s="43">
        <f t="shared" si="190"/>
        <v>0</v>
      </c>
      <c r="AE1482" s="50">
        <f t="shared" si="191"/>
        <v>0</v>
      </c>
    </row>
    <row r="1483" spans="1:31">
      <c r="A1483" s="59" t="str">
        <f t="shared" si="185"/>
        <v/>
      </c>
      <c r="B1483" s="59" t="str">
        <f t="shared" si="186"/>
        <v/>
      </c>
      <c r="V1483" s="59" t="str">
        <f t="shared" si="187"/>
        <v/>
      </c>
      <c r="W1483" s="59" t="str">
        <f t="shared" si="184"/>
        <v/>
      </c>
      <c r="X1483" s="59" t="str">
        <f t="shared" si="188"/>
        <v/>
      </c>
      <c r="AC1483" s="50">
        <f t="shared" si="189"/>
        <v>0</v>
      </c>
      <c r="AD1483" s="43">
        <f t="shared" si="190"/>
        <v>0</v>
      </c>
      <c r="AE1483" s="50">
        <f t="shared" si="191"/>
        <v>0</v>
      </c>
    </row>
    <row r="1484" spans="1:31">
      <c r="A1484" s="59" t="str">
        <f t="shared" si="185"/>
        <v/>
      </c>
      <c r="B1484" s="59" t="str">
        <f t="shared" si="186"/>
        <v/>
      </c>
      <c r="V1484" s="59" t="str">
        <f t="shared" si="187"/>
        <v/>
      </c>
      <c r="W1484" s="59" t="str">
        <f t="shared" si="184"/>
        <v/>
      </c>
      <c r="X1484" s="59" t="str">
        <f t="shared" si="188"/>
        <v/>
      </c>
      <c r="AC1484" s="50">
        <f t="shared" si="189"/>
        <v>0</v>
      </c>
      <c r="AD1484" s="43">
        <f t="shared" si="190"/>
        <v>0</v>
      </c>
      <c r="AE1484" s="50">
        <f t="shared" si="191"/>
        <v>0</v>
      </c>
    </row>
    <row r="1485" spans="1:31">
      <c r="A1485" s="59" t="str">
        <f t="shared" si="185"/>
        <v/>
      </c>
      <c r="B1485" s="59" t="str">
        <f t="shared" si="186"/>
        <v/>
      </c>
      <c r="V1485" s="59" t="str">
        <f t="shared" si="187"/>
        <v/>
      </c>
      <c r="W1485" s="59" t="str">
        <f t="shared" si="184"/>
        <v/>
      </c>
      <c r="X1485" s="59" t="str">
        <f t="shared" si="188"/>
        <v/>
      </c>
      <c r="AC1485" s="50">
        <f t="shared" si="189"/>
        <v>0</v>
      </c>
      <c r="AD1485" s="43">
        <f t="shared" si="190"/>
        <v>0</v>
      </c>
      <c r="AE1485" s="50">
        <f t="shared" si="191"/>
        <v>0</v>
      </c>
    </row>
    <row r="1486" spans="1:31">
      <c r="A1486" s="59" t="str">
        <f t="shared" si="185"/>
        <v/>
      </c>
      <c r="B1486" s="59" t="str">
        <f t="shared" si="186"/>
        <v/>
      </c>
      <c r="V1486" s="59" t="str">
        <f t="shared" si="187"/>
        <v/>
      </c>
      <c r="W1486" s="59" t="str">
        <f t="shared" si="184"/>
        <v/>
      </c>
      <c r="X1486" s="59" t="str">
        <f t="shared" si="188"/>
        <v/>
      </c>
      <c r="AC1486" s="50">
        <f t="shared" si="189"/>
        <v>0</v>
      </c>
      <c r="AD1486" s="43">
        <f t="shared" si="190"/>
        <v>0</v>
      </c>
      <c r="AE1486" s="50">
        <f t="shared" si="191"/>
        <v>0</v>
      </c>
    </row>
    <row r="1487" spans="1:31">
      <c r="A1487" s="59" t="str">
        <f t="shared" si="185"/>
        <v/>
      </c>
      <c r="B1487" s="59" t="str">
        <f t="shared" si="186"/>
        <v/>
      </c>
      <c r="V1487" s="59" t="str">
        <f t="shared" si="187"/>
        <v/>
      </c>
      <c r="W1487" s="59" t="str">
        <f t="shared" si="184"/>
        <v/>
      </c>
      <c r="X1487" s="59" t="str">
        <f t="shared" si="188"/>
        <v/>
      </c>
      <c r="AC1487" s="50">
        <f t="shared" si="189"/>
        <v>0</v>
      </c>
      <c r="AD1487" s="43">
        <f t="shared" si="190"/>
        <v>0</v>
      </c>
      <c r="AE1487" s="50">
        <f t="shared" si="191"/>
        <v>0</v>
      </c>
    </row>
    <row r="1488" spans="1:31">
      <c r="A1488" s="59" t="str">
        <f t="shared" si="185"/>
        <v/>
      </c>
      <c r="B1488" s="59" t="str">
        <f t="shared" si="186"/>
        <v/>
      </c>
      <c r="V1488" s="59" t="str">
        <f t="shared" si="187"/>
        <v/>
      </c>
      <c r="W1488" s="59" t="str">
        <f t="shared" si="184"/>
        <v/>
      </c>
      <c r="X1488" s="59" t="str">
        <f t="shared" si="188"/>
        <v/>
      </c>
      <c r="AC1488" s="50">
        <f t="shared" si="189"/>
        <v>0</v>
      </c>
      <c r="AD1488" s="43">
        <f t="shared" si="190"/>
        <v>0</v>
      </c>
      <c r="AE1488" s="50">
        <f t="shared" si="191"/>
        <v>0</v>
      </c>
    </row>
    <row r="1489" spans="1:31">
      <c r="A1489" s="59" t="str">
        <f t="shared" si="185"/>
        <v/>
      </c>
      <c r="B1489" s="59" t="str">
        <f t="shared" si="186"/>
        <v/>
      </c>
      <c r="V1489" s="59" t="str">
        <f t="shared" si="187"/>
        <v/>
      </c>
      <c r="W1489" s="59" t="str">
        <f t="shared" si="184"/>
        <v/>
      </c>
      <c r="X1489" s="59" t="str">
        <f t="shared" si="188"/>
        <v/>
      </c>
      <c r="AC1489" s="50">
        <f t="shared" si="189"/>
        <v>0</v>
      </c>
      <c r="AD1489" s="43">
        <f t="shared" si="190"/>
        <v>0</v>
      </c>
      <c r="AE1489" s="50">
        <f t="shared" si="191"/>
        <v>0</v>
      </c>
    </row>
    <row r="1490" spans="1:31">
      <c r="A1490" s="59" t="str">
        <f t="shared" si="185"/>
        <v/>
      </c>
      <c r="B1490" s="59" t="str">
        <f t="shared" si="186"/>
        <v/>
      </c>
      <c r="V1490" s="59" t="str">
        <f t="shared" si="187"/>
        <v/>
      </c>
      <c r="W1490" s="59" t="str">
        <f t="shared" si="184"/>
        <v/>
      </c>
      <c r="X1490" s="59" t="str">
        <f t="shared" si="188"/>
        <v/>
      </c>
      <c r="AC1490" s="50">
        <f t="shared" si="189"/>
        <v>0</v>
      </c>
      <c r="AD1490" s="43">
        <f t="shared" si="190"/>
        <v>0</v>
      </c>
      <c r="AE1490" s="50">
        <f t="shared" si="191"/>
        <v>0</v>
      </c>
    </row>
    <row r="1491" spans="1:31">
      <c r="A1491" s="59" t="str">
        <f t="shared" si="185"/>
        <v/>
      </c>
      <c r="B1491" s="59" t="str">
        <f t="shared" si="186"/>
        <v/>
      </c>
      <c r="V1491" s="59" t="str">
        <f t="shared" si="187"/>
        <v/>
      </c>
      <c r="W1491" s="59" t="str">
        <f t="shared" si="184"/>
        <v/>
      </c>
      <c r="X1491" s="59" t="str">
        <f t="shared" si="188"/>
        <v/>
      </c>
      <c r="AC1491" s="50">
        <f t="shared" si="189"/>
        <v>0</v>
      </c>
      <c r="AD1491" s="43">
        <f t="shared" si="190"/>
        <v>0</v>
      </c>
      <c r="AE1491" s="50">
        <f t="shared" si="191"/>
        <v>0</v>
      </c>
    </row>
    <row r="1492" spans="1:31">
      <c r="A1492" s="59" t="str">
        <f t="shared" si="185"/>
        <v/>
      </c>
      <c r="B1492" s="59" t="str">
        <f t="shared" si="186"/>
        <v/>
      </c>
      <c r="V1492" s="59" t="str">
        <f t="shared" si="187"/>
        <v/>
      </c>
      <c r="W1492" s="59" t="str">
        <f t="shared" si="184"/>
        <v/>
      </c>
      <c r="X1492" s="59" t="str">
        <f t="shared" si="188"/>
        <v/>
      </c>
      <c r="AC1492" s="50">
        <f t="shared" si="189"/>
        <v>0</v>
      </c>
      <c r="AD1492" s="43">
        <f t="shared" si="190"/>
        <v>0</v>
      </c>
      <c r="AE1492" s="50">
        <f t="shared" si="191"/>
        <v>0</v>
      </c>
    </row>
    <row r="1493" spans="1:31">
      <c r="A1493" s="59" t="str">
        <f t="shared" si="185"/>
        <v/>
      </c>
      <c r="B1493" s="59" t="str">
        <f t="shared" si="186"/>
        <v/>
      </c>
      <c r="V1493" s="59" t="str">
        <f t="shared" si="187"/>
        <v/>
      </c>
      <c r="W1493" s="59" t="str">
        <f t="shared" si="184"/>
        <v/>
      </c>
      <c r="X1493" s="59" t="str">
        <f t="shared" si="188"/>
        <v/>
      </c>
      <c r="AC1493" s="50">
        <f t="shared" si="189"/>
        <v>0</v>
      </c>
      <c r="AD1493" s="43">
        <f t="shared" si="190"/>
        <v>0</v>
      </c>
      <c r="AE1493" s="50">
        <f t="shared" si="191"/>
        <v>0</v>
      </c>
    </row>
    <row r="1494" spans="1:31">
      <c r="A1494" s="59" t="str">
        <f t="shared" si="185"/>
        <v/>
      </c>
      <c r="B1494" s="59" t="str">
        <f t="shared" si="186"/>
        <v/>
      </c>
      <c r="V1494" s="59" t="str">
        <f t="shared" si="187"/>
        <v/>
      </c>
      <c r="W1494" s="59" t="str">
        <f t="shared" si="184"/>
        <v/>
      </c>
      <c r="X1494" s="59" t="str">
        <f t="shared" si="188"/>
        <v/>
      </c>
      <c r="AC1494" s="50">
        <f t="shared" si="189"/>
        <v>0</v>
      </c>
      <c r="AD1494" s="43">
        <f t="shared" si="190"/>
        <v>0</v>
      </c>
      <c r="AE1494" s="50">
        <f t="shared" si="191"/>
        <v>0</v>
      </c>
    </row>
    <row r="1495" spans="1:31">
      <c r="A1495" s="59" t="str">
        <f t="shared" si="185"/>
        <v/>
      </c>
      <c r="B1495" s="59" t="str">
        <f t="shared" si="186"/>
        <v/>
      </c>
      <c r="V1495" s="59" t="str">
        <f t="shared" si="187"/>
        <v/>
      </c>
      <c r="W1495" s="59" t="str">
        <f t="shared" si="184"/>
        <v/>
      </c>
      <c r="X1495" s="59" t="str">
        <f t="shared" si="188"/>
        <v/>
      </c>
      <c r="AC1495" s="50">
        <f t="shared" si="189"/>
        <v>0</v>
      </c>
      <c r="AD1495" s="43">
        <f t="shared" si="190"/>
        <v>0</v>
      </c>
      <c r="AE1495" s="50">
        <f t="shared" si="191"/>
        <v>0</v>
      </c>
    </row>
    <row r="1496" spans="1:31">
      <c r="A1496" s="59" t="str">
        <f t="shared" si="185"/>
        <v/>
      </c>
      <c r="B1496" s="59" t="str">
        <f t="shared" si="186"/>
        <v/>
      </c>
      <c r="V1496" s="59" t="str">
        <f t="shared" si="187"/>
        <v/>
      </c>
      <c r="W1496" s="59" t="str">
        <f t="shared" si="184"/>
        <v/>
      </c>
      <c r="X1496" s="59" t="str">
        <f t="shared" si="188"/>
        <v/>
      </c>
      <c r="AC1496" s="50">
        <f t="shared" si="189"/>
        <v>0</v>
      </c>
      <c r="AD1496" s="43">
        <f t="shared" si="190"/>
        <v>0</v>
      </c>
      <c r="AE1496" s="50">
        <f t="shared" si="191"/>
        <v>0</v>
      </c>
    </row>
    <row r="1497" spans="1:31">
      <c r="A1497" s="59" t="str">
        <f t="shared" si="185"/>
        <v/>
      </c>
      <c r="B1497" s="59" t="str">
        <f t="shared" si="186"/>
        <v/>
      </c>
      <c r="V1497" s="59" t="str">
        <f t="shared" si="187"/>
        <v/>
      </c>
      <c r="W1497" s="59" t="str">
        <f t="shared" si="184"/>
        <v/>
      </c>
      <c r="X1497" s="59" t="str">
        <f t="shared" si="188"/>
        <v/>
      </c>
      <c r="AC1497" s="50">
        <f t="shared" si="189"/>
        <v>0</v>
      </c>
      <c r="AD1497" s="43">
        <f t="shared" si="190"/>
        <v>0</v>
      </c>
      <c r="AE1497" s="50">
        <f t="shared" si="191"/>
        <v>0</v>
      </c>
    </row>
    <row r="1498" spans="1:31">
      <c r="A1498" s="59" t="str">
        <f t="shared" si="185"/>
        <v/>
      </c>
      <c r="B1498" s="59" t="str">
        <f t="shared" si="186"/>
        <v/>
      </c>
      <c r="V1498" s="59" t="str">
        <f t="shared" si="187"/>
        <v/>
      </c>
      <c r="W1498" s="59" t="str">
        <f t="shared" si="184"/>
        <v/>
      </c>
      <c r="X1498" s="59" t="str">
        <f t="shared" si="188"/>
        <v/>
      </c>
      <c r="AC1498" s="50">
        <f t="shared" si="189"/>
        <v>0</v>
      </c>
      <c r="AD1498" s="43">
        <f t="shared" si="190"/>
        <v>0</v>
      </c>
      <c r="AE1498" s="50">
        <f t="shared" si="191"/>
        <v>0</v>
      </c>
    </row>
    <row r="1499" spans="1:31">
      <c r="A1499" s="59" t="str">
        <f t="shared" si="185"/>
        <v/>
      </c>
      <c r="B1499" s="59" t="str">
        <f t="shared" si="186"/>
        <v/>
      </c>
      <c r="V1499" s="59" t="str">
        <f t="shared" si="187"/>
        <v/>
      </c>
      <c r="W1499" s="59" t="str">
        <f t="shared" si="184"/>
        <v/>
      </c>
      <c r="X1499" s="59" t="str">
        <f t="shared" si="188"/>
        <v/>
      </c>
      <c r="AC1499" s="50">
        <f t="shared" si="189"/>
        <v>0</v>
      </c>
      <c r="AD1499" s="43">
        <f t="shared" si="190"/>
        <v>0</v>
      </c>
      <c r="AE1499" s="50">
        <f t="shared" si="191"/>
        <v>0</v>
      </c>
    </row>
    <row r="1500" spans="1:31">
      <c r="A1500" s="59" t="str">
        <f t="shared" si="185"/>
        <v/>
      </c>
      <c r="B1500" s="59" t="str">
        <f t="shared" si="186"/>
        <v/>
      </c>
      <c r="V1500" s="59" t="str">
        <f t="shared" si="187"/>
        <v/>
      </c>
      <c r="W1500" s="59" t="str">
        <f t="shared" si="184"/>
        <v/>
      </c>
      <c r="X1500" s="59" t="str">
        <f t="shared" si="188"/>
        <v/>
      </c>
      <c r="AC1500" s="50">
        <f t="shared" si="189"/>
        <v>0</v>
      </c>
      <c r="AD1500" s="43">
        <f t="shared" si="190"/>
        <v>0</v>
      </c>
      <c r="AE1500" s="50">
        <f t="shared" si="191"/>
        <v>0</v>
      </c>
    </row>
    <row r="1501" spans="1:31">
      <c r="A1501" s="59" t="str">
        <f t="shared" si="185"/>
        <v/>
      </c>
      <c r="B1501" s="59" t="str">
        <f t="shared" si="186"/>
        <v/>
      </c>
      <c r="V1501" s="59" t="str">
        <f t="shared" si="187"/>
        <v/>
      </c>
      <c r="W1501" s="59" t="str">
        <f t="shared" si="184"/>
        <v/>
      </c>
      <c r="X1501" s="59" t="str">
        <f t="shared" si="188"/>
        <v/>
      </c>
      <c r="AC1501" s="50">
        <f t="shared" si="189"/>
        <v>0</v>
      </c>
      <c r="AD1501" s="43">
        <f t="shared" si="190"/>
        <v>0</v>
      </c>
      <c r="AE1501" s="50">
        <f t="shared" si="191"/>
        <v>0</v>
      </c>
    </row>
    <row r="1502" spans="1:31">
      <c r="A1502" s="59" t="str">
        <f t="shared" si="185"/>
        <v/>
      </c>
      <c r="B1502" s="59" t="str">
        <f t="shared" si="186"/>
        <v/>
      </c>
      <c r="V1502" s="59" t="str">
        <f t="shared" si="187"/>
        <v/>
      </c>
      <c r="W1502" s="59" t="str">
        <f t="shared" si="184"/>
        <v/>
      </c>
      <c r="X1502" s="59" t="str">
        <f t="shared" si="188"/>
        <v/>
      </c>
      <c r="AC1502" s="50">
        <f t="shared" si="189"/>
        <v>0</v>
      </c>
      <c r="AD1502" s="43">
        <f t="shared" si="190"/>
        <v>0</v>
      </c>
      <c r="AE1502" s="50">
        <f t="shared" si="191"/>
        <v>0</v>
      </c>
    </row>
    <row r="1503" spans="1:31">
      <c r="A1503" s="59" t="str">
        <f t="shared" si="185"/>
        <v/>
      </c>
      <c r="B1503" s="59" t="str">
        <f t="shared" si="186"/>
        <v/>
      </c>
      <c r="V1503" s="59" t="str">
        <f t="shared" si="187"/>
        <v/>
      </c>
      <c r="W1503" s="59" t="str">
        <f t="shared" si="184"/>
        <v/>
      </c>
      <c r="X1503" s="59" t="str">
        <f t="shared" si="188"/>
        <v/>
      </c>
      <c r="AC1503" s="50">
        <f t="shared" si="189"/>
        <v>0</v>
      </c>
      <c r="AD1503" s="43">
        <f t="shared" si="190"/>
        <v>0</v>
      </c>
      <c r="AE1503" s="50">
        <f t="shared" si="191"/>
        <v>0</v>
      </c>
    </row>
    <row r="1504" spans="1:31">
      <c r="A1504" s="59" t="str">
        <f t="shared" si="185"/>
        <v/>
      </c>
      <c r="B1504" s="59" t="str">
        <f t="shared" si="186"/>
        <v/>
      </c>
      <c r="V1504" s="59" t="str">
        <f t="shared" si="187"/>
        <v/>
      </c>
      <c r="W1504" s="59" t="str">
        <f t="shared" si="184"/>
        <v/>
      </c>
      <c r="X1504" s="59" t="str">
        <f t="shared" si="188"/>
        <v/>
      </c>
      <c r="AC1504" s="50">
        <f t="shared" si="189"/>
        <v>0</v>
      </c>
      <c r="AD1504" s="43">
        <f t="shared" si="190"/>
        <v>0</v>
      </c>
      <c r="AE1504" s="50">
        <f t="shared" si="191"/>
        <v>0</v>
      </c>
    </row>
    <row r="1505" spans="1:31">
      <c r="A1505" s="59" t="str">
        <f t="shared" si="185"/>
        <v/>
      </c>
      <c r="B1505" s="59" t="str">
        <f t="shared" si="186"/>
        <v/>
      </c>
      <c r="V1505" s="59" t="str">
        <f t="shared" si="187"/>
        <v/>
      </c>
      <c r="W1505" s="59" t="str">
        <f t="shared" si="184"/>
        <v/>
      </c>
      <c r="X1505" s="59" t="str">
        <f t="shared" si="188"/>
        <v/>
      </c>
      <c r="AC1505" s="50">
        <f t="shared" si="189"/>
        <v>0</v>
      </c>
      <c r="AD1505" s="43">
        <f t="shared" si="190"/>
        <v>0</v>
      </c>
      <c r="AE1505" s="50">
        <f t="shared" si="191"/>
        <v>0</v>
      </c>
    </row>
    <row r="1506" spans="1:31">
      <c r="A1506" s="59" t="str">
        <f t="shared" si="185"/>
        <v/>
      </c>
      <c r="B1506" s="59" t="str">
        <f t="shared" si="186"/>
        <v/>
      </c>
      <c r="V1506" s="59" t="str">
        <f t="shared" si="187"/>
        <v/>
      </c>
      <c r="W1506" s="59" t="str">
        <f t="shared" si="184"/>
        <v/>
      </c>
      <c r="X1506" s="59" t="str">
        <f t="shared" si="188"/>
        <v/>
      </c>
      <c r="AC1506" s="50">
        <f t="shared" si="189"/>
        <v>0</v>
      </c>
      <c r="AD1506" s="43">
        <f t="shared" si="190"/>
        <v>0</v>
      </c>
      <c r="AE1506" s="50">
        <f t="shared" si="191"/>
        <v>0</v>
      </c>
    </row>
    <row r="1507" spans="1:31">
      <c r="A1507" s="59" t="str">
        <f t="shared" si="185"/>
        <v/>
      </c>
      <c r="B1507" s="59" t="str">
        <f t="shared" si="186"/>
        <v/>
      </c>
      <c r="V1507" s="59" t="str">
        <f t="shared" si="187"/>
        <v/>
      </c>
      <c r="W1507" s="59" t="str">
        <f t="shared" si="184"/>
        <v/>
      </c>
      <c r="X1507" s="59" t="str">
        <f t="shared" si="188"/>
        <v/>
      </c>
      <c r="AC1507" s="50">
        <f t="shared" si="189"/>
        <v>0</v>
      </c>
      <c r="AD1507" s="43">
        <f t="shared" si="190"/>
        <v>0</v>
      </c>
      <c r="AE1507" s="50">
        <f t="shared" si="191"/>
        <v>0</v>
      </c>
    </row>
    <row r="1508" spans="1:31">
      <c r="A1508" s="59" t="str">
        <f t="shared" si="185"/>
        <v/>
      </c>
      <c r="B1508" s="59" t="str">
        <f t="shared" si="186"/>
        <v/>
      </c>
      <c r="V1508" s="59" t="str">
        <f t="shared" si="187"/>
        <v/>
      </c>
      <c r="W1508" s="59" t="str">
        <f t="shared" si="184"/>
        <v/>
      </c>
      <c r="X1508" s="59" t="str">
        <f t="shared" si="188"/>
        <v/>
      </c>
      <c r="AC1508" s="50">
        <f t="shared" si="189"/>
        <v>0</v>
      </c>
      <c r="AD1508" s="43">
        <f t="shared" si="190"/>
        <v>0</v>
      </c>
      <c r="AE1508" s="50">
        <f t="shared" si="191"/>
        <v>0</v>
      </c>
    </row>
    <row r="1509" spans="1:31">
      <c r="A1509" s="59" t="str">
        <f t="shared" si="185"/>
        <v/>
      </c>
      <c r="B1509" s="59" t="str">
        <f t="shared" si="186"/>
        <v/>
      </c>
      <c r="V1509" s="59" t="str">
        <f t="shared" si="187"/>
        <v/>
      </c>
      <c r="W1509" s="59" t="str">
        <f t="shared" si="184"/>
        <v/>
      </c>
      <c r="X1509" s="59" t="str">
        <f t="shared" si="188"/>
        <v/>
      </c>
      <c r="AC1509" s="50">
        <f t="shared" si="189"/>
        <v>0</v>
      </c>
      <c r="AD1509" s="43">
        <f t="shared" si="190"/>
        <v>0</v>
      </c>
      <c r="AE1509" s="50">
        <f t="shared" si="191"/>
        <v>0</v>
      </c>
    </row>
    <row r="1510" spans="1:31">
      <c r="A1510" s="59" t="str">
        <f t="shared" si="185"/>
        <v/>
      </c>
      <c r="B1510" s="59" t="str">
        <f t="shared" si="186"/>
        <v/>
      </c>
      <c r="V1510" s="59" t="str">
        <f t="shared" si="187"/>
        <v/>
      </c>
      <c r="W1510" s="59" t="str">
        <f t="shared" si="184"/>
        <v/>
      </c>
      <c r="X1510" s="59" t="str">
        <f t="shared" si="188"/>
        <v/>
      </c>
      <c r="AC1510" s="50">
        <f t="shared" si="189"/>
        <v>0</v>
      </c>
      <c r="AD1510" s="43">
        <f t="shared" si="190"/>
        <v>0</v>
      </c>
      <c r="AE1510" s="50">
        <f t="shared" si="191"/>
        <v>0</v>
      </c>
    </row>
    <row r="1511" spans="1:31">
      <c r="A1511" s="59" t="str">
        <f t="shared" si="185"/>
        <v/>
      </c>
      <c r="B1511" s="59" t="str">
        <f t="shared" si="186"/>
        <v/>
      </c>
      <c r="V1511" s="59" t="str">
        <f t="shared" si="187"/>
        <v/>
      </c>
      <c r="W1511" s="59" t="str">
        <f t="shared" si="184"/>
        <v/>
      </c>
      <c r="X1511" s="59" t="str">
        <f t="shared" si="188"/>
        <v/>
      </c>
      <c r="AC1511" s="50">
        <f t="shared" si="189"/>
        <v>0</v>
      </c>
      <c r="AD1511" s="43">
        <f t="shared" si="190"/>
        <v>0</v>
      </c>
      <c r="AE1511" s="50">
        <f t="shared" si="191"/>
        <v>0</v>
      </c>
    </row>
    <row r="1512" spans="1:31">
      <c r="A1512" s="59" t="str">
        <f t="shared" si="185"/>
        <v/>
      </c>
      <c r="B1512" s="59" t="str">
        <f t="shared" si="186"/>
        <v/>
      </c>
      <c r="V1512" s="59" t="str">
        <f t="shared" si="187"/>
        <v/>
      </c>
      <c r="W1512" s="59" t="str">
        <f t="shared" si="184"/>
        <v/>
      </c>
      <c r="X1512" s="59" t="str">
        <f t="shared" si="188"/>
        <v/>
      </c>
      <c r="AC1512" s="50">
        <f t="shared" si="189"/>
        <v>0</v>
      </c>
      <c r="AD1512" s="43">
        <f t="shared" si="190"/>
        <v>0</v>
      </c>
      <c r="AE1512" s="50">
        <f t="shared" si="191"/>
        <v>0</v>
      </c>
    </row>
    <row r="1513" spans="1:31">
      <c r="A1513" s="59" t="str">
        <f t="shared" si="185"/>
        <v/>
      </c>
      <c r="B1513" s="59" t="str">
        <f t="shared" si="186"/>
        <v/>
      </c>
      <c r="V1513" s="59" t="str">
        <f t="shared" si="187"/>
        <v/>
      </c>
      <c r="W1513" s="59" t="str">
        <f t="shared" si="184"/>
        <v/>
      </c>
      <c r="X1513" s="59" t="str">
        <f t="shared" si="188"/>
        <v/>
      </c>
      <c r="AC1513" s="50">
        <f t="shared" si="189"/>
        <v>0</v>
      </c>
      <c r="AD1513" s="43">
        <f t="shared" si="190"/>
        <v>0</v>
      </c>
      <c r="AE1513" s="50">
        <f t="shared" si="191"/>
        <v>0</v>
      </c>
    </row>
    <row r="1514" spans="1:31">
      <c r="A1514" s="59" t="str">
        <f t="shared" si="185"/>
        <v/>
      </c>
      <c r="B1514" s="59" t="str">
        <f t="shared" si="186"/>
        <v/>
      </c>
      <c r="V1514" s="59" t="str">
        <f t="shared" si="187"/>
        <v/>
      </c>
      <c r="W1514" s="59" t="str">
        <f t="shared" si="184"/>
        <v/>
      </c>
      <c r="X1514" s="59" t="str">
        <f t="shared" si="188"/>
        <v/>
      </c>
      <c r="AC1514" s="50">
        <f t="shared" si="189"/>
        <v>0</v>
      </c>
      <c r="AD1514" s="43">
        <f t="shared" si="190"/>
        <v>0</v>
      </c>
      <c r="AE1514" s="50">
        <f t="shared" si="191"/>
        <v>0</v>
      </c>
    </row>
    <row r="1515" spans="1:31">
      <c r="A1515" s="59" t="str">
        <f t="shared" si="185"/>
        <v/>
      </c>
      <c r="B1515" s="59" t="str">
        <f t="shared" si="186"/>
        <v/>
      </c>
      <c r="V1515" s="59" t="str">
        <f t="shared" si="187"/>
        <v/>
      </c>
      <c r="W1515" s="59" t="str">
        <f t="shared" si="184"/>
        <v/>
      </c>
      <c r="X1515" s="59" t="str">
        <f t="shared" si="188"/>
        <v/>
      </c>
      <c r="AC1515" s="50">
        <f t="shared" si="189"/>
        <v>0</v>
      </c>
      <c r="AD1515" s="43">
        <f t="shared" si="190"/>
        <v>0</v>
      </c>
      <c r="AE1515" s="50">
        <f t="shared" si="191"/>
        <v>0</v>
      </c>
    </row>
    <row r="1516" spans="1:31">
      <c r="A1516" s="59" t="str">
        <f t="shared" si="185"/>
        <v/>
      </c>
      <c r="B1516" s="59" t="str">
        <f t="shared" si="186"/>
        <v/>
      </c>
      <c r="V1516" s="59" t="str">
        <f t="shared" si="187"/>
        <v/>
      </c>
      <c r="W1516" s="59" t="str">
        <f t="shared" si="184"/>
        <v/>
      </c>
      <c r="X1516" s="59" t="str">
        <f t="shared" si="188"/>
        <v/>
      </c>
      <c r="AC1516" s="50">
        <f t="shared" si="189"/>
        <v>0</v>
      </c>
      <c r="AD1516" s="43">
        <f t="shared" si="190"/>
        <v>0</v>
      </c>
      <c r="AE1516" s="50">
        <f t="shared" si="191"/>
        <v>0</v>
      </c>
    </row>
    <row r="1517" spans="1:31">
      <c r="A1517" s="59" t="str">
        <f t="shared" si="185"/>
        <v/>
      </c>
      <c r="B1517" s="59" t="str">
        <f t="shared" si="186"/>
        <v/>
      </c>
      <c r="V1517" s="59" t="str">
        <f t="shared" si="187"/>
        <v/>
      </c>
      <c r="W1517" s="59" t="str">
        <f t="shared" si="184"/>
        <v/>
      </c>
      <c r="X1517" s="59" t="str">
        <f t="shared" si="188"/>
        <v/>
      </c>
      <c r="AC1517" s="50">
        <f t="shared" si="189"/>
        <v>0</v>
      </c>
      <c r="AD1517" s="43">
        <f t="shared" si="190"/>
        <v>0</v>
      </c>
      <c r="AE1517" s="50">
        <f t="shared" si="191"/>
        <v>0</v>
      </c>
    </row>
    <row r="1518" spans="1:31">
      <c r="A1518" s="59" t="str">
        <f t="shared" si="185"/>
        <v/>
      </c>
      <c r="B1518" s="59" t="str">
        <f t="shared" si="186"/>
        <v/>
      </c>
      <c r="V1518" s="59" t="str">
        <f t="shared" si="187"/>
        <v/>
      </c>
      <c r="W1518" s="59" t="str">
        <f t="shared" si="184"/>
        <v/>
      </c>
      <c r="X1518" s="59" t="str">
        <f t="shared" si="188"/>
        <v/>
      </c>
      <c r="AC1518" s="50">
        <f t="shared" si="189"/>
        <v>0</v>
      </c>
      <c r="AD1518" s="43">
        <f t="shared" si="190"/>
        <v>0</v>
      </c>
      <c r="AE1518" s="50">
        <f t="shared" si="191"/>
        <v>0</v>
      </c>
    </row>
    <row r="1519" spans="1:31">
      <c r="A1519" s="59" t="str">
        <f t="shared" si="185"/>
        <v/>
      </c>
      <c r="B1519" s="59" t="str">
        <f t="shared" si="186"/>
        <v/>
      </c>
      <c r="V1519" s="59" t="str">
        <f t="shared" si="187"/>
        <v/>
      </c>
      <c r="W1519" s="59" t="str">
        <f t="shared" si="184"/>
        <v/>
      </c>
      <c r="X1519" s="59" t="str">
        <f t="shared" si="188"/>
        <v/>
      </c>
      <c r="AC1519" s="50">
        <f t="shared" si="189"/>
        <v>0</v>
      </c>
      <c r="AD1519" s="43">
        <f t="shared" si="190"/>
        <v>0</v>
      </c>
      <c r="AE1519" s="50">
        <f t="shared" si="191"/>
        <v>0</v>
      </c>
    </row>
    <row r="1520" spans="1:31">
      <c r="A1520" s="59" t="str">
        <f t="shared" si="185"/>
        <v/>
      </c>
      <c r="B1520" s="59" t="str">
        <f t="shared" si="186"/>
        <v/>
      </c>
      <c r="V1520" s="59" t="str">
        <f t="shared" si="187"/>
        <v/>
      </c>
      <c r="W1520" s="59" t="str">
        <f t="shared" si="184"/>
        <v/>
      </c>
      <c r="X1520" s="59" t="str">
        <f t="shared" si="188"/>
        <v/>
      </c>
      <c r="AC1520" s="50">
        <f t="shared" si="189"/>
        <v>0</v>
      </c>
      <c r="AD1520" s="43">
        <f t="shared" si="190"/>
        <v>0</v>
      </c>
      <c r="AE1520" s="50">
        <f t="shared" si="191"/>
        <v>0</v>
      </c>
    </row>
    <row r="1521" spans="1:31">
      <c r="A1521" s="59" t="str">
        <f t="shared" si="185"/>
        <v/>
      </c>
      <c r="B1521" s="59" t="str">
        <f t="shared" si="186"/>
        <v/>
      </c>
      <c r="V1521" s="59" t="str">
        <f t="shared" si="187"/>
        <v/>
      </c>
      <c r="W1521" s="59" t="str">
        <f t="shared" si="184"/>
        <v/>
      </c>
      <c r="X1521" s="59" t="str">
        <f t="shared" si="188"/>
        <v/>
      </c>
      <c r="AC1521" s="50">
        <f t="shared" si="189"/>
        <v>0</v>
      </c>
      <c r="AD1521" s="43">
        <f t="shared" si="190"/>
        <v>0</v>
      </c>
      <c r="AE1521" s="50">
        <f t="shared" si="191"/>
        <v>0</v>
      </c>
    </row>
    <row r="1522" spans="1:31">
      <c r="A1522" s="59" t="str">
        <f t="shared" si="185"/>
        <v/>
      </c>
      <c r="B1522" s="59" t="str">
        <f t="shared" si="186"/>
        <v/>
      </c>
      <c r="V1522" s="59" t="str">
        <f t="shared" si="187"/>
        <v/>
      </c>
      <c r="W1522" s="59" t="str">
        <f t="shared" si="184"/>
        <v/>
      </c>
      <c r="X1522" s="59" t="str">
        <f t="shared" si="188"/>
        <v/>
      </c>
      <c r="AC1522" s="50">
        <f t="shared" si="189"/>
        <v>0</v>
      </c>
      <c r="AD1522" s="43">
        <f t="shared" si="190"/>
        <v>0</v>
      </c>
      <c r="AE1522" s="50">
        <f t="shared" si="191"/>
        <v>0</v>
      </c>
    </row>
    <row r="1523" spans="1:31">
      <c r="A1523" s="59" t="str">
        <f t="shared" si="185"/>
        <v/>
      </c>
      <c r="B1523" s="59" t="str">
        <f t="shared" si="186"/>
        <v/>
      </c>
      <c r="V1523" s="59" t="str">
        <f t="shared" si="187"/>
        <v/>
      </c>
      <c r="W1523" s="59" t="str">
        <f t="shared" si="184"/>
        <v/>
      </c>
      <c r="X1523" s="59" t="str">
        <f t="shared" si="188"/>
        <v/>
      </c>
      <c r="AC1523" s="50">
        <f t="shared" si="189"/>
        <v>0</v>
      </c>
      <c r="AD1523" s="43">
        <f t="shared" si="190"/>
        <v>0</v>
      </c>
      <c r="AE1523" s="50">
        <f t="shared" si="191"/>
        <v>0</v>
      </c>
    </row>
    <row r="1524" spans="1:31">
      <c r="A1524" s="59" t="str">
        <f t="shared" si="185"/>
        <v/>
      </c>
      <c r="B1524" s="59" t="str">
        <f t="shared" si="186"/>
        <v/>
      </c>
      <c r="V1524" s="59" t="str">
        <f t="shared" si="187"/>
        <v/>
      </c>
      <c r="W1524" s="59" t="str">
        <f t="shared" si="184"/>
        <v/>
      </c>
      <c r="X1524" s="59" t="str">
        <f t="shared" si="188"/>
        <v/>
      </c>
      <c r="AC1524" s="50">
        <f t="shared" si="189"/>
        <v>0</v>
      </c>
      <c r="AD1524" s="43">
        <f t="shared" si="190"/>
        <v>0</v>
      </c>
      <c r="AE1524" s="50">
        <f t="shared" si="191"/>
        <v>0</v>
      </c>
    </row>
    <row r="1525" spans="1:31">
      <c r="A1525" s="59" t="str">
        <f t="shared" si="185"/>
        <v/>
      </c>
      <c r="B1525" s="59" t="str">
        <f t="shared" si="186"/>
        <v/>
      </c>
      <c r="V1525" s="59" t="str">
        <f t="shared" si="187"/>
        <v/>
      </c>
      <c r="W1525" s="59" t="str">
        <f t="shared" si="184"/>
        <v/>
      </c>
      <c r="X1525" s="59" t="str">
        <f t="shared" si="188"/>
        <v/>
      </c>
      <c r="AC1525" s="50">
        <f t="shared" si="189"/>
        <v>0</v>
      </c>
      <c r="AD1525" s="43">
        <f t="shared" si="190"/>
        <v>0</v>
      </c>
      <c r="AE1525" s="50">
        <f t="shared" si="191"/>
        <v>0</v>
      </c>
    </row>
    <row r="1526" spans="1:31">
      <c r="A1526" s="59" t="str">
        <f t="shared" si="185"/>
        <v/>
      </c>
      <c r="B1526" s="59" t="str">
        <f t="shared" si="186"/>
        <v/>
      </c>
      <c r="V1526" s="59" t="str">
        <f t="shared" si="187"/>
        <v/>
      </c>
      <c r="W1526" s="59" t="str">
        <f t="shared" si="184"/>
        <v/>
      </c>
      <c r="X1526" s="59" t="str">
        <f t="shared" si="188"/>
        <v/>
      </c>
      <c r="AC1526" s="50">
        <f t="shared" si="189"/>
        <v>0</v>
      </c>
      <c r="AD1526" s="43">
        <f t="shared" si="190"/>
        <v>0</v>
      </c>
      <c r="AE1526" s="50">
        <f t="shared" si="191"/>
        <v>0</v>
      </c>
    </row>
    <row r="1527" spans="1:31">
      <c r="A1527" s="59" t="str">
        <f t="shared" si="185"/>
        <v/>
      </c>
      <c r="B1527" s="59" t="str">
        <f t="shared" si="186"/>
        <v/>
      </c>
      <c r="V1527" s="59" t="str">
        <f t="shared" si="187"/>
        <v/>
      </c>
      <c r="W1527" s="59" t="str">
        <f t="shared" si="184"/>
        <v/>
      </c>
      <c r="X1527" s="59" t="str">
        <f t="shared" si="188"/>
        <v/>
      </c>
      <c r="AC1527" s="50">
        <f t="shared" si="189"/>
        <v>0</v>
      </c>
      <c r="AD1527" s="43">
        <f t="shared" si="190"/>
        <v>0</v>
      </c>
      <c r="AE1527" s="50">
        <f t="shared" si="191"/>
        <v>0</v>
      </c>
    </row>
    <row r="1528" spans="1:31">
      <c r="A1528" s="59" t="str">
        <f t="shared" si="185"/>
        <v/>
      </c>
      <c r="B1528" s="59" t="str">
        <f t="shared" si="186"/>
        <v/>
      </c>
      <c r="V1528" s="59" t="str">
        <f t="shared" si="187"/>
        <v/>
      </c>
      <c r="W1528" s="59" t="str">
        <f t="shared" si="184"/>
        <v/>
      </c>
      <c r="X1528" s="59" t="str">
        <f t="shared" si="188"/>
        <v/>
      </c>
      <c r="AC1528" s="50">
        <f t="shared" si="189"/>
        <v>0</v>
      </c>
      <c r="AD1528" s="43">
        <f t="shared" si="190"/>
        <v>0</v>
      </c>
      <c r="AE1528" s="50">
        <f t="shared" si="191"/>
        <v>0</v>
      </c>
    </row>
    <row r="1529" spans="1:31">
      <c r="A1529" s="59" t="str">
        <f t="shared" si="185"/>
        <v/>
      </c>
      <c r="B1529" s="59" t="str">
        <f t="shared" si="186"/>
        <v/>
      </c>
      <c r="V1529" s="59" t="str">
        <f t="shared" si="187"/>
        <v/>
      </c>
      <c r="W1529" s="59" t="str">
        <f t="shared" si="184"/>
        <v/>
      </c>
      <c r="X1529" s="59" t="str">
        <f t="shared" si="188"/>
        <v/>
      </c>
      <c r="AC1529" s="50">
        <f t="shared" si="189"/>
        <v>0</v>
      </c>
      <c r="AD1529" s="43">
        <f t="shared" si="190"/>
        <v>0</v>
      </c>
      <c r="AE1529" s="50">
        <f t="shared" si="191"/>
        <v>0</v>
      </c>
    </row>
    <row r="1530" spans="1:31">
      <c r="A1530" s="59" t="str">
        <f t="shared" si="185"/>
        <v/>
      </c>
      <c r="B1530" s="59" t="str">
        <f t="shared" si="186"/>
        <v/>
      </c>
      <c r="V1530" s="59" t="str">
        <f t="shared" si="187"/>
        <v/>
      </c>
      <c r="W1530" s="59" t="str">
        <f t="shared" si="184"/>
        <v/>
      </c>
      <c r="X1530" s="59" t="str">
        <f t="shared" si="188"/>
        <v/>
      </c>
      <c r="AC1530" s="50">
        <f t="shared" si="189"/>
        <v>0</v>
      </c>
      <c r="AD1530" s="43">
        <f t="shared" si="190"/>
        <v>0</v>
      </c>
      <c r="AE1530" s="50">
        <f t="shared" si="191"/>
        <v>0</v>
      </c>
    </row>
    <row r="1531" spans="1:31">
      <c r="A1531" s="59" t="str">
        <f t="shared" si="185"/>
        <v/>
      </c>
      <c r="B1531" s="59" t="str">
        <f t="shared" si="186"/>
        <v/>
      </c>
      <c r="V1531" s="59" t="str">
        <f t="shared" si="187"/>
        <v/>
      </c>
      <c r="W1531" s="59" t="str">
        <f t="shared" si="184"/>
        <v/>
      </c>
      <c r="X1531" s="59" t="str">
        <f t="shared" si="188"/>
        <v/>
      </c>
      <c r="AC1531" s="50">
        <f t="shared" si="189"/>
        <v>0</v>
      </c>
      <c r="AD1531" s="43">
        <f t="shared" si="190"/>
        <v>0</v>
      </c>
      <c r="AE1531" s="50">
        <f t="shared" si="191"/>
        <v>0</v>
      </c>
    </row>
    <row r="1532" spans="1:31">
      <c r="A1532" s="59" t="str">
        <f t="shared" si="185"/>
        <v/>
      </c>
      <c r="B1532" s="59" t="str">
        <f t="shared" si="186"/>
        <v/>
      </c>
      <c r="V1532" s="59" t="str">
        <f t="shared" si="187"/>
        <v/>
      </c>
      <c r="W1532" s="59" t="str">
        <f t="shared" si="184"/>
        <v/>
      </c>
      <c r="X1532" s="59" t="str">
        <f t="shared" si="188"/>
        <v/>
      </c>
      <c r="AC1532" s="50">
        <f t="shared" si="189"/>
        <v>0</v>
      </c>
      <c r="AD1532" s="43">
        <f t="shared" si="190"/>
        <v>0</v>
      </c>
      <c r="AE1532" s="50">
        <f t="shared" si="191"/>
        <v>0</v>
      </c>
    </row>
    <row r="1533" spans="1:31">
      <c r="A1533" s="59" t="str">
        <f t="shared" si="185"/>
        <v/>
      </c>
      <c r="B1533" s="59" t="str">
        <f t="shared" si="186"/>
        <v/>
      </c>
      <c r="V1533" s="59" t="str">
        <f t="shared" si="187"/>
        <v/>
      </c>
      <c r="W1533" s="59" t="str">
        <f t="shared" si="184"/>
        <v/>
      </c>
      <c r="X1533" s="59" t="str">
        <f t="shared" si="188"/>
        <v/>
      </c>
      <c r="AC1533" s="50">
        <f t="shared" si="189"/>
        <v>0</v>
      </c>
      <c r="AD1533" s="43">
        <f t="shared" si="190"/>
        <v>0</v>
      </c>
      <c r="AE1533" s="50">
        <f t="shared" si="191"/>
        <v>0</v>
      </c>
    </row>
    <row r="1534" spans="1:31">
      <c r="A1534" s="59" t="str">
        <f t="shared" si="185"/>
        <v/>
      </c>
      <c r="B1534" s="59" t="str">
        <f t="shared" si="186"/>
        <v/>
      </c>
      <c r="V1534" s="59" t="str">
        <f t="shared" si="187"/>
        <v/>
      </c>
      <c r="W1534" s="59" t="str">
        <f t="shared" si="184"/>
        <v/>
      </c>
      <c r="X1534" s="59" t="str">
        <f t="shared" si="188"/>
        <v/>
      </c>
      <c r="AC1534" s="50">
        <f t="shared" si="189"/>
        <v>0</v>
      </c>
      <c r="AD1534" s="43">
        <f t="shared" si="190"/>
        <v>0</v>
      </c>
      <c r="AE1534" s="50">
        <f t="shared" si="191"/>
        <v>0</v>
      </c>
    </row>
    <row r="1535" spans="1:31">
      <c r="A1535" s="59" t="str">
        <f t="shared" si="185"/>
        <v/>
      </c>
      <c r="B1535" s="59" t="str">
        <f t="shared" si="186"/>
        <v/>
      </c>
      <c r="V1535" s="59" t="str">
        <f t="shared" si="187"/>
        <v/>
      </c>
      <c r="W1535" s="59" t="str">
        <f t="shared" si="184"/>
        <v/>
      </c>
      <c r="X1535" s="59" t="str">
        <f t="shared" si="188"/>
        <v/>
      </c>
      <c r="AC1535" s="50">
        <f t="shared" si="189"/>
        <v>0</v>
      </c>
      <c r="AD1535" s="43">
        <f t="shared" si="190"/>
        <v>0</v>
      </c>
      <c r="AE1535" s="50">
        <f t="shared" si="191"/>
        <v>0</v>
      </c>
    </row>
    <row r="1536" spans="1:31">
      <c r="A1536" s="59" t="str">
        <f t="shared" si="185"/>
        <v/>
      </c>
      <c r="B1536" s="59" t="str">
        <f t="shared" si="186"/>
        <v/>
      </c>
      <c r="V1536" s="59" t="str">
        <f t="shared" si="187"/>
        <v/>
      </c>
      <c r="W1536" s="59" t="str">
        <f t="shared" si="184"/>
        <v/>
      </c>
      <c r="X1536" s="59" t="str">
        <f t="shared" si="188"/>
        <v/>
      </c>
      <c r="AC1536" s="50">
        <f t="shared" si="189"/>
        <v>0</v>
      </c>
      <c r="AD1536" s="43">
        <f t="shared" si="190"/>
        <v>0</v>
      </c>
      <c r="AE1536" s="50">
        <f t="shared" si="191"/>
        <v>0</v>
      </c>
    </row>
    <row r="1537" spans="1:31">
      <c r="A1537" s="59" t="str">
        <f t="shared" si="185"/>
        <v/>
      </c>
      <c r="B1537" s="59" t="str">
        <f t="shared" si="186"/>
        <v/>
      </c>
      <c r="V1537" s="59" t="str">
        <f t="shared" si="187"/>
        <v/>
      </c>
      <c r="W1537" s="59" t="str">
        <f t="shared" si="184"/>
        <v/>
      </c>
      <c r="X1537" s="59" t="str">
        <f t="shared" si="188"/>
        <v/>
      </c>
      <c r="AC1537" s="50">
        <f t="shared" si="189"/>
        <v>0</v>
      </c>
      <c r="AD1537" s="43">
        <f t="shared" si="190"/>
        <v>0</v>
      </c>
      <c r="AE1537" s="50">
        <f t="shared" si="191"/>
        <v>0</v>
      </c>
    </row>
    <row r="1538" spans="1:31">
      <c r="A1538" s="59" t="str">
        <f t="shared" si="185"/>
        <v/>
      </c>
      <c r="B1538" s="59" t="str">
        <f t="shared" si="186"/>
        <v/>
      </c>
      <c r="V1538" s="59" t="str">
        <f t="shared" si="187"/>
        <v/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59" t="str">
        <f t="shared" si="188"/>
        <v/>
      </c>
      <c r="AC1538" s="50">
        <f t="shared" si="189"/>
        <v>0</v>
      </c>
      <c r="AD1538" s="43">
        <f t="shared" si="190"/>
        <v>0</v>
      </c>
      <c r="AE1538" s="50">
        <f t="shared" si="191"/>
        <v>0</v>
      </c>
    </row>
    <row r="1539" spans="1:31">
      <c r="A1539" s="59" t="str">
        <f t="shared" ref="A1539:A1602" si="193">IF(G1539&amp;Q1539&lt;&gt;"",W1539&amp;Q1539,"")</f>
        <v/>
      </c>
      <c r="B1539" s="59" t="str">
        <f t="shared" ref="B1539:B1602" si="194">IF(C1539&lt;&gt;"",LEFT(C1539,9),"")</f>
        <v/>
      </c>
      <c r="V1539" s="59" t="str">
        <f t="shared" ref="V1539:V1602" si="195">W1539&amp;H1539</f>
        <v/>
      </c>
      <c r="W1539" s="59" t="str">
        <f t="shared" si="192"/>
        <v/>
      </c>
      <c r="X1539" s="59" t="str">
        <f t="shared" ref="X1539:X1602" si="196">IF(A1539&lt;&gt;"",IFERROR(IF(FIND(" ",G1539)&gt;=1,MID(G1539,FIND(" ",G1539)+1,LEN(G1539)),""),""),"")</f>
        <v/>
      </c>
      <c r="AC1539" s="50">
        <f t="shared" ref="AC1539:AC1602" si="197">IFERROR(VALUE(MID($C1539,1,2)),0)</f>
        <v>0</v>
      </c>
      <c r="AD1539" s="43">
        <f t="shared" ref="AD1539:AD1602" si="198">IFERROR(VALUE(MID($C1539,4,3)),0)</f>
        <v>0</v>
      </c>
      <c r="AE1539" s="50">
        <f t="shared" ref="AE1539:AE1602" si="199">VALUE(RIGHT("00"&amp;AC1539,2)&amp;RIGHT("000"&amp;AD1539,3))</f>
        <v>0</v>
      </c>
    </row>
    <row r="1540" spans="1:31">
      <c r="A1540" s="59" t="str">
        <f t="shared" si="193"/>
        <v/>
      </c>
      <c r="B1540" s="59" t="str">
        <f t="shared" si="194"/>
        <v/>
      </c>
      <c r="V1540" s="59" t="str">
        <f t="shared" si="195"/>
        <v/>
      </c>
      <c r="W1540" s="59" t="str">
        <f t="shared" si="192"/>
        <v/>
      </c>
      <c r="X1540" s="59" t="str">
        <f t="shared" si="196"/>
        <v/>
      </c>
      <c r="AC1540" s="50">
        <f t="shared" si="197"/>
        <v>0</v>
      </c>
      <c r="AD1540" s="43">
        <f t="shared" si="198"/>
        <v>0</v>
      </c>
      <c r="AE1540" s="50">
        <f t="shared" si="199"/>
        <v>0</v>
      </c>
    </row>
    <row r="1541" spans="1:31">
      <c r="A1541" s="59" t="str">
        <f t="shared" si="193"/>
        <v/>
      </c>
      <c r="B1541" s="59" t="str">
        <f t="shared" si="194"/>
        <v/>
      </c>
      <c r="V1541" s="59" t="str">
        <f t="shared" si="195"/>
        <v/>
      </c>
      <c r="W1541" s="59" t="str">
        <f t="shared" si="192"/>
        <v/>
      </c>
      <c r="X1541" s="59" t="str">
        <f t="shared" si="196"/>
        <v/>
      </c>
      <c r="AC1541" s="50">
        <f t="shared" si="197"/>
        <v>0</v>
      </c>
      <c r="AD1541" s="43">
        <f t="shared" si="198"/>
        <v>0</v>
      </c>
      <c r="AE1541" s="50">
        <f t="shared" si="199"/>
        <v>0</v>
      </c>
    </row>
    <row r="1542" spans="1:31">
      <c r="A1542" s="59" t="str">
        <f t="shared" si="193"/>
        <v/>
      </c>
      <c r="B1542" s="59" t="str">
        <f t="shared" si="194"/>
        <v/>
      </c>
      <c r="V1542" s="59" t="str">
        <f t="shared" si="195"/>
        <v/>
      </c>
      <c r="W1542" s="59" t="str">
        <f t="shared" si="192"/>
        <v/>
      </c>
      <c r="X1542" s="59" t="str">
        <f t="shared" si="196"/>
        <v/>
      </c>
      <c r="AC1542" s="50">
        <f t="shared" si="197"/>
        <v>0</v>
      </c>
      <c r="AD1542" s="43">
        <f t="shared" si="198"/>
        <v>0</v>
      </c>
      <c r="AE1542" s="50">
        <f t="shared" si="199"/>
        <v>0</v>
      </c>
    </row>
    <row r="1543" spans="1:31">
      <c r="A1543" s="59" t="str">
        <f t="shared" si="193"/>
        <v/>
      </c>
      <c r="B1543" s="59" t="str">
        <f t="shared" si="194"/>
        <v/>
      </c>
      <c r="V1543" s="59" t="str">
        <f t="shared" si="195"/>
        <v/>
      </c>
      <c r="W1543" s="59" t="str">
        <f t="shared" si="192"/>
        <v/>
      </c>
      <c r="X1543" s="59" t="str">
        <f t="shared" si="196"/>
        <v/>
      </c>
      <c r="AC1543" s="50">
        <f t="shared" si="197"/>
        <v>0</v>
      </c>
      <c r="AD1543" s="43">
        <f t="shared" si="198"/>
        <v>0</v>
      </c>
      <c r="AE1543" s="50">
        <f t="shared" si="199"/>
        <v>0</v>
      </c>
    </row>
    <row r="1544" spans="1:31">
      <c r="A1544" s="59" t="str">
        <f t="shared" si="193"/>
        <v/>
      </c>
      <c r="B1544" s="59" t="str">
        <f t="shared" si="194"/>
        <v/>
      </c>
      <c r="V1544" s="59" t="str">
        <f t="shared" si="195"/>
        <v/>
      </c>
      <c r="W1544" s="59" t="str">
        <f t="shared" si="192"/>
        <v/>
      </c>
      <c r="X1544" s="59" t="str">
        <f t="shared" si="196"/>
        <v/>
      </c>
      <c r="AC1544" s="50">
        <f t="shared" si="197"/>
        <v>0</v>
      </c>
      <c r="AD1544" s="43">
        <f t="shared" si="198"/>
        <v>0</v>
      </c>
      <c r="AE1544" s="50">
        <f t="shared" si="199"/>
        <v>0</v>
      </c>
    </row>
    <row r="1545" spans="1:31">
      <c r="A1545" s="59" t="str">
        <f t="shared" si="193"/>
        <v/>
      </c>
      <c r="B1545" s="59" t="str">
        <f t="shared" si="194"/>
        <v/>
      </c>
      <c r="V1545" s="59" t="str">
        <f t="shared" si="195"/>
        <v/>
      </c>
      <c r="W1545" s="59" t="str">
        <f t="shared" si="192"/>
        <v/>
      </c>
      <c r="X1545" s="59" t="str">
        <f t="shared" si="196"/>
        <v/>
      </c>
      <c r="AC1545" s="50">
        <f t="shared" si="197"/>
        <v>0</v>
      </c>
      <c r="AD1545" s="43">
        <f t="shared" si="198"/>
        <v>0</v>
      </c>
      <c r="AE1545" s="50">
        <f t="shared" si="199"/>
        <v>0</v>
      </c>
    </row>
    <row r="1546" spans="1:31">
      <c r="A1546" s="59" t="str">
        <f t="shared" si="193"/>
        <v/>
      </c>
      <c r="B1546" s="59" t="str">
        <f t="shared" si="194"/>
        <v/>
      </c>
      <c r="V1546" s="59" t="str">
        <f t="shared" si="195"/>
        <v/>
      </c>
      <c r="W1546" s="59" t="str">
        <f t="shared" si="192"/>
        <v/>
      </c>
      <c r="X1546" s="59" t="str">
        <f t="shared" si="196"/>
        <v/>
      </c>
      <c r="AC1546" s="50">
        <f t="shared" si="197"/>
        <v>0</v>
      </c>
      <c r="AD1546" s="43">
        <f t="shared" si="198"/>
        <v>0</v>
      </c>
      <c r="AE1546" s="50">
        <f t="shared" si="199"/>
        <v>0</v>
      </c>
    </row>
    <row r="1547" spans="1:31">
      <c r="A1547" s="59" t="str">
        <f t="shared" si="193"/>
        <v/>
      </c>
      <c r="B1547" s="59" t="str">
        <f t="shared" si="194"/>
        <v/>
      </c>
      <c r="V1547" s="59" t="str">
        <f t="shared" si="195"/>
        <v/>
      </c>
      <c r="W1547" s="59" t="str">
        <f t="shared" si="192"/>
        <v/>
      </c>
      <c r="X1547" s="59" t="str">
        <f t="shared" si="196"/>
        <v/>
      </c>
      <c r="AC1547" s="50">
        <f t="shared" si="197"/>
        <v>0</v>
      </c>
      <c r="AD1547" s="43">
        <f t="shared" si="198"/>
        <v>0</v>
      </c>
      <c r="AE1547" s="50">
        <f t="shared" si="199"/>
        <v>0</v>
      </c>
    </row>
    <row r="1548" spans="1:31">
      <c r="A1548" s="59" t="str">
        <f t="shared" si="193"/>
        <v/>
      </c>
      <c r="B1548" s="59" t="str">
        <f t="shared" si="194"/>
        <v/>
      </c>
      <c r="V1548" s="59" t="str">
        <f t="shared" si="195"/>
        <v/>
      </c>
      <c r="W1548" s="59" t="str">
        <f t="shared" si="192"/>
        <v/>
      </c>
      <c r="X1548" s="59" t="str">
        <f t="shared" si="196"/>
        <v/>
      </c>
      <c r="AC1548" s="50">
        <f t="shared" si="197"/>
        <v>0</v>
      </c>
      <c r="AD1548" s="43">
        <f t="shared" si="198"/>
        <v>0</v>
      </c>
      <c r="AE1548" s="50">
        <f t="shared" si="199"/>
        <v>0</v>
      </c>
    </row>
    <row r="1549" spans="1:31">
      <c r="A1549" s="59" t="str">
        <f t="shared" si="193"/>
        <v/>
      </c>
      <c r="B1549" s="59" t="str">
        <f t="shared" si="194"/>
        <v/>
      </c>
      <c r="V1549" s="59" t="str">
        <f t="shared" si="195"/>
        <v/>
      </c>
      <c r="W1549" s="59" t="str">
        <f t="shared" si="192"/>
        <v/>
      </c>
      <c r="X1549" s="59" t="str">
        <f t="shared" si="196"/>
        <v/>
      </c>
      <c r="AC1549" s="50">
        <f t="shared" si="197"/>
        <v>0</v>
      </c>
      <c r="AD1549" s="43">
        <f t="shared" si="198"/>
        <v>0</v>
      </c>
      <c r="AE1549" s="50">
        <f t="shared" si="199"/>
        <v>0</v>
      </c>
    </row>
    <row r="1550" spans="1:31">
      <c r="A1550" s="59" t="str">
        <f t="shared" si="193"/>
        <v/>
      </c>
      <c r="B1550" s="59" t="str">
        <f t="shared" si="194"/>
        <v/>
      </c>
      <c r="V1550" s="59" t="str">
        <f t="shared" si="195"/>
        <v/>
      </c>
      <c r="W1550" s="59" t="str">
        <f t="shared" si="192"/>
        <v/>
      </c>
      <c r="X1550" s="59" t="str">
        <f t="shared" si="196"/>
        <v/>
      </c>
      <c r="AC1550" s="50">
        <f t="shared" si="197"/>
        <v>0</v>
      </c>
      <c r="AD1550" s="43">
        <f t="shared" si="198"/>
        <v>0</v>
      </c>
      <c r="AE1550" s="50">
        <f t="shared" si="199"/>
        <v>0</v>
      </c>
    </row>
    <row r="1551" spans="1:31">
      <c r="A1551" s="59" t="str">
        <f t="shared" si="193"/>
        <v/>
      </c>
      <c r="B1551" s="59" t="str">
        <f t="shared" si="194"/>
        <v/>
      </c>
      <c r="V1551" s="59" t="str">
        <f t="shared" si="195"/>
        <v/>
      </c>
      <c r="W1551" s="59" t="str">
        <f t="shared" si="192"/>
        <v/>
      </c>
      <c r="X1551" s="59" t="str">
        <f t="shared" si="196"/>
        <v/>
      </c>
      <c r="AC1551" s="50">
        <f t="shared" si="197"/>
        <v>0</v>
      </c>
      <c r="AD1551" s="43">
        <f t="shared" si="198"/>
        <v>0</v>
      </c>
      <c r="AE1551" s="50">
        <f t="shared" si="199"/>
        <v>0</v>
      </c>
    </row>
    <row r="1552" spans="1:31">
      <c r="A1552" s="59" t="str">
        <f t="shared" si="193"/>
        <v/>
      </c>
      <c r="B1552" s="59" t="str">
        <f t="shared" si="194"/>
        <v/>
      </c>
      <c r="V1552" s="59" t="str">
        <f t="shared" si="195"/>
        <v/>
      </c>
      <c r="W1552" s="59" t="str">
        <f t="shared" si="192"/>
        <v/>
      </c>
      <c r="X1552" s="59" t="str">
        <f t="shared" si="196"/>
        <v/>
      </c>
      <c r="AC1552" s="50">
        <f t="shared" si="197"/>
        <v>0</v>
      </c>
      <c r="AD1552" s="43">
        <f t="shared" si="198"/>
        <v>0</v>
      </c>
      <c r="AE1552" s="50">
        <f t="shared" si="199"/>
        <v>0</v>
      </c>
    </row>
    <row r="1553" spans="1:31">
      <c r="A1553" s="59" t="str">
        <f t="shared" si="193"/>
        <v/>
      </c>
      <c r="B1553" s="59" t="str">
        <f t="shared" si="194"/>
        <v/>
      </c>
      <c r="V1553" s="59" t="str">
        <f t="shared" si="195"/>
        <v/>
      </c>
      <c r="W1553" s="59" t="str">
        <f t="shared" si="192"/>
        <v/>
      </c>
      <c r="X1553" s="59" t="str">
        <f t="shared" si="196"/>
        <v/>
      </c>
      <c r="AC1553" s="50">
        <f t="shared" si="197"/>
        <v>0</v>
      </c>
      <c r="AD1553" s="43">
        <f t="shared" si="198"/>
        <v>0</v>
      </c>
      <c r="AE1553" s="50">
        <f t="shared" si="199"/>
        <v>0</v>
      </c>
    </row>
    <row r="1554" spans="1:31">
      <c r="A1554" s="59" t="str">
        <f t="shared" si="193"/>
        <v/>
      </c>
      <c r="B1554" s="59" t="str">
        <f t="shared" si="194"/>
        <v/>
      </c>
      <c r="V1554" s="59" t="str">
        <f t="shared" si="195"/>
        <v/>
      </c>
      <c r="W1554" s="59" t="str">
        <f t="shared" si="192"/>
        <v/>
      </c>
      <c r="X1554" s="59" t="str">
        <f t="shared" si="196"/>
        <v/>
      </c>
      <c r="AC1554" s="50">
        <f t="shared" si="197"/>
        <v>0</v>
      </c>
      <c r="AD1554" s="43">
        <f t="shared" si="198"/>
        <v>0</v>
      </c>
      <c r="AE1554" s="50">
        <f t="shared" si="199"/>
        <v>0</v>
      </c>
    </row>
    <row r="1555" spans="1:31">
      <c r="A1555" s="59" t="str">
        <f t="shared" si="193"/>
        <v/>
      </c>
      <c r="B1555" s="59" t="str">
        <f t="shared" si="194"/>
        <v/>
      </c>
      <c r="V1555" s="59" t="str">
        <f t="shared" si="195"/>
        <v/>
      </c>
      <c r="W1555" s="59" t="str">
        <f t="shared" si="192"/>
        <v/>
      </c>
      <c r="X1555" s="59" t="str">
        <f t="shared" si="196"/>
        <v/>
      </c>
      <c r="AC1555" s="50">
        <f t="shared" si="197"/>
        <v>0</v>
      </c>
      <c r="AD1555" s="43">
        <f t="shared" si="198"/>
        <v>0</v>
      </c>
      <c r="AE1555" s="50">
        <f t="shared" si="199"/>
        <v>0</v>
      </c>
    </row>
    <row r="1556" spans="1:31">
      <c r="A1556" s="59" t="str">
        <f t="shared" si="193"/>
        <v/>
      </c>
      <c r="B1556" s="59" t="str">
        <f t="shared" si="194"/>
        <v/>
      </c>
      <c r="V1556" s="59" t="str">
        <f t="shared" si="195"/>
        <v/>
      </c>
      <c r="W1556" s="59" t="str">
        <f t="shared" si="192"/>
        <v/>
      </c>
      <c r="X1556" s="59" t="str">
        <f t="shared" si="196"/>
        <v/>
      </c>
      <c r="AC1556" s="50">
        <f t="shared" si="197"/>
        <v>0</v>
      </c>
      <c r="AD1556" s="43">
        <f t="shared" si="198"/>
        <v>0</v>
      </c>
      <c r="AE1556" s="50">
        <f t="shared" si="199"/>
        <v>0</v>
      </c>
    </row>
    <row r="1557" spans="1:31">
      <c r="A1557" s="59" t="str">
        <f t="shared" si="193"/>
        <v/>
      </c>
      <c r="B1557" s="59" t="str">
        <f t="shared" si="194"/>
        <v/>
      </c>
      <c r="V1557" s="59" t="str">
        <f t="shared" si="195"/>
        <v/>
      </c>
      <c r="W1557" s="59" t="str">
        <f t="shared" si="192"/>
        <v/>
      </c>
      <c r="X1557" s="59" t="str">
        <f t="shared" si="196"/>
        <v/>
      </c>
      <c r="AC1557" s="50">
        <f t="shared" si="197"/>
        <v>0</v>
      </c>
      <c r="AD1557" s="43">
        <f t="shared" si="198"/>
        <v>0</v>
      </c>
      <c r="AE1557" s="50">
        <f t="shared" si="199"/>
        <v>0</v>
      </c>
    </row>
    <row r="1558" spans="1:31">
      <c r="A1558" s="59" t="str">
        <f t="shared" si="193"/>
        <v/>
      </c>
      <c r="B1558" s="59" t="str">
        <f t="shared" si="194"/>
        <v/>
      </c>
      <c r="V1558" s="59" t="str">
        <f t="shared" si="195"/>
        <v/>
      </c>
      <c r="W1558" s="59" t="str">
        <f t="shared" si="192"/>
        <v/>
      </c>
      <c r="X1558" s="59" t="str">
        <f t="shared" si="196"/>
        <v/>
      </c>
      <c r="AC1558" s="50">
        <f t="shared" si="197"/>
        <v>0</v>
      </c>
      <c r="AD1558" s="43">
        <f t="shared" si="198"/>
        <v>0</v>
      </c>
      <c r="AE1558" s="50">
        <f t="shared" si="199"/>
        <v>0</v>
      </c>
    </row>
    <row r="1559" spans="1:31">
      <c r="A1559" s="59" t="str">
        <f t="shared" si="193"/>
        <v/>
      </c>
      <c r="B1559" s="59" t="str">
        <f t="shared" si="194"/>
        <v/>
      </c>
      <c r="V1559" s="59" t="str">
        <f t="shared" si="195"/>
        <v/>
      </c>
      <c r="W1559" s="59" t="str">
        <f t="shared" si="192"/>
        <v/>
      </c>
      <c r="X1559" s="59" t="str">
        <f t="shared" si="196"/>
        <v/>
      </c>
      <c r="AC1559" s="50">
        <f t="shared" si="197"/>
        <v>0</v>
      </c>
      <c r="AD1559" s="43">
        <f t="shared" si="198"/>
        <v>0</v>
      </c>
      <c r="AE1559" s="50">
        <f t="shared" si="199"/>
        <v>0</v>
      </c>
    </row>
    <row r="1560" spans="1:31">
      <c r="A1560" s="59" t="str">
        <f t="shared" si="193"/>
        <v/>
      </c>
      <c r="B1560" s="59" t="str">
        <f t="shared" si="194"/>
        <v/>
      </c>
      <c r="V1560" s="59" t="str">
        <f t="shared" si="195"/>
        <v/>
      </c>
      <c r="W1560" s="59" t="str">
        <f t="shared" si="192"/>
        <v/>
      </c>
      <c r="X1560" s="59" t="str">
        <f t="shared" si="196"/>
        <v/>
      </c>
      <c r="AC1560" s="50">
        <f t="shared" si="197"/>
        <v>0</v>
      </c>
      <c r="AD1560" s="43">
        <f t="shared" si="198"/>
        <v>0</v>
      </c>
      <c r="AE1560" s="50">
        <f t="shared" si="199"/>
        <v>0</v>
      </c>
    </row>
    <row r="1561" spans="1:31">
      <c r="A1561" s="59" t="str">
        <f t="shared" si="193"/>
        <v/>
      </c>
      <c r="B1561" s="59" t="str">
        <f t="shared" si="194"/>
        <v/>
      </c>
      <c r="V1561" s="59" t="str">
        <f t="shared" si="195"/>
        <v/>
      </c>
      <c r="W1561" s="59" t="str">
        <f t="shared" si="192"/>
        <v/>
      </c>
      <c r="X1561" s="59" t="str">
        <f t="shared" si="196"/>
        <v/>
      </c>
      <c r="AC1561" s="50">
        <f t="shared" si="197"/>
        <v>0</v>
      </c>
      <c r="AD1561" s="43">
        <f t="shared" si="198"/>
        <v>0</v>
      </c>
      <c r="AE1561" s="50">
        <f t="shared" si="199"/>
        <v>0</v>
      </c>
    </row>
    <row r="1562" spans="1:31">
      <c r="A1562" s="59" t="str">
        <f t="shared" si="193"/>
        <v/>
      </c>
      <c r="B1562" s="59" t="str">
        <f t="shared" si="194"/>
        <v/>
      </c>
      <c r="V1562" s="59" t="str">
        <f t="shared" si="195"/>
        <v/>
      </c>
      <c r="W1562" s="59" t="str">
        <f t="shared" si="192"/>
        <v/>
      </c>
      <c r="X1562" s="59" t="str">
        <f t="shared" si="196"/>
        <v/>
      </c>
      <c r="AC1562" s="50">
        <f t="shared" si="197"/>
        <v>0</v>
      </c>
      <c r="AD1562" s="43">
        <f t="shared" si="198"/>
        <v>0</v>
      </c>
      <c r="AE1562" s="50">
        <f t="shared" si="199"/>
        <v>0</v>
      </c>
    </row>
    <row r="1563" spans="1:31">
      <c r="A1563" s="59" t="str">
        <f t="shared" si="193"/>
        <v/>
      </c>
      <c r="B1563" s="59" t="str">
        <f t="shared" si="194"/>
        <v/>
      </c>
      <c r="V1563" s="59" t="str">
        <f t="shared" si="195"/>
        <v/>
      </c>
      <c r="W1563" s="59" t="str">
        <f t="shared" si="192"/>
        <v/>
      </c>
      <c r="X1563" s="59" t="str">
        <f t="shared" si="196"/>
        <v/>
      </c>
      <c r="AC1563" s="50">
        <f t="shared" si="197"/>
        <v>0</v>
      </c>
      <c r="AD1563" s="43">
        <f t="shared" si="198"/>
        <v>0</v>
      </c>
      <c r="AE1563" s="50">
        <f t="shared" si="199"/>
        <v>0</v>
      </c>
    </row>
    <row r="1564" spans="1:31">
      <c r="A1564" s="59" t="str">
        <f t="shared" si="193"/>
        <v/>
      </c>
      <c r="B1564" s="59" t="str">
        <f t="shared" si="194"/>
        <v/>
      </c>
      <c r="V1564" s="59" t="str">
        <f t="shared" si="195"/>
        <v/>
      </c>
      <c r="W1564" s="59" t="str">
        <f t="shared" si="192"/>
        <v/>
      </c>
      <c r="X1564" s="59" t="str">
        <f t="shared" si="196"/>
        <v/>
      </c>
      <c r="AC1564" s="50">
        <f t="shared" si="197"/>
        <v>0</v>
      </c>
      <c r="AD1564" s="43">
        <f t="shared" si="198"/>
        <v>0</v>
      </c>
      <c r="AE1564" s="50">
        <f t="shared" si="199"/>
        <v>0</v>
      </c>
    </row>
    <row r="1565" spans="1:31">
      <c r="A1565" s="59" t="str">
        <f t="shared" si="193"/>
        <v/>
      </c>
      <c r="B1565" s="59" t="str">
        <f t="shared" si="194"/>
        <v/>
      </c>
      <c r="V1565" s="59" t="str">
        <f t="shared" si="195"/>
        <v/>
      </c>
      <c r="W1565" s="59" t="str">
        <f t="shared" si="192"/>
        <v/>
      </c>
      <c r="X1565" s="59" t="str">
        <f t="shared" si="196"/>
        <v/>
      </c>
      <c r="AC1565" s="50">
        <f t="shared" si="197"/>
        <v>0</v>
      </c>
      <c r="AD1565" s="43">
        <f t="shared" si="198"/>
        <v>0</v>
      </c>
      <c r="AE1565" s="50">
        <f t="shared" si="199"/>
        <v>0</v>
      </c>
    </row>
    <row r="1566" spans="1:31">
      <c r="A1566" s="59" t="str">
        <f t="shared" si="193"/>
        <v/>
      </c>
      <c r="B1566" s="59" t="str">
        <f t="shared" si="194"/>
        <v/>
      </c>
      <c r="V1566" s="59" t="str">
        <f t="shared" si="195"/>
        <v/>
      </c>
      <c r="W1566" s="59" t="str">
        <f t="shared" si="192"/>
        <v/>
      </c>
      <c r="X1566" s="59" t="str">
        <f t="shared" si="196"/>
        <v/>
      </c>
      <c r="AC1566" s="50">
        <f t="shared" si="197"/>
        <v>0</v>
      </c>
      <c r="AD1566" s="43">
        <f t="shared" si="198"/>
        <v>0</v>
      </c>
      <c r="AE1566" s="50">
        <f t="shared" si="199"/>
        <v>0</v>
      </c>
    </row>
    <row r="1567" spans="1:31">
      <c r="A1567" s="59" t="str">
        <f t="shared" si="193"/>
        <v/>
      </c>
      <c r="B1567" s="59" t="str">
        <f t="shared" si="194"/>
        <v/>
      </c>
      <c r="V1567" s="59" t="str">
        <f t="shared" si="195"/>
        <v/>
      </c>
      <c r="W1567" s="59" t="str">
        <f t="shared" si="192"/>
        <v/>
      </c>
      <c r="X1567" s="59" t="str">
        <f t="shared" si="196"/>
        <v/>
      </c>
      <c r="AC1567" s="50">
        <f t="shared" si="197"/>
        <v>0</v>
      </c>
      <c r="AD1567" s="43">
        <f t="shared" si="198"/>
        <v>0</v>
      </c>
      <c r="AE1567" s="50">
        <f t="shared" si="199"/>
        <v>0</v>
      </c>
    </row>
    <row r="1568" spans="1:31">
      <c r="A1568" s="59" t="str">
        <f t="shared" si="193"/>
        <v/>
      </c>
      <c r="B1568" s="59" t="str">
        <f t="shared" si="194"/>
        <v/>
      </c>
      <c r="V1568" s="59" t="str">
        <f t="shared" si="195"/>
        <v/>
      </c>
      <c r="W1568" s="59" t="str">
        <f t="shared" si="192"/>
        <v/>
      </c>
      <c r="X1568" s="59" t="str">
        <f t="shared" si="196"/>
        <v/>
      </c>
      <c r="AC1568" s="50">
        <f t="shared" si="197"/>
        <v>0</v>
      </c>
      <c r="AD1568" s="43">
        <f t="shared" si="198"/>
        <v>0</v>
      </c>
      <c r="AE1568" s="50">
        <f t="shared" si="199"/>
        <v>0</v>
      </c>
    </row>
    <row r="1569" spans="1:31">
      <c r="A1569" s="59" t="str">
        <f t="shared" si="193"/>
        <v/>
      </c>
      <c r="B1569" s="59" t="str">
        <f t="shared" si="194"/>
        <v/>
      </c>
      <c r="V1569" s="59" t="str">
        <f t="shared" si="195"/>
        <v/>
      </c>
      <c r="W1569" s="59" t="str">
        <f t="shared" si="192"/>
        <v/>
      </c>
      <c r="X1569" s="59" t="str">
        <f t="shared" si="196"/>
        <v/>
      </c>
      <c r="AC1569" s="50">
        <f t="shared" si="197"/>
        <v>0</v>
      </c>
      <c r="AD1569" s="43">
        <f t="shared" si="198"/>
        <v>0</v>
      </c>
      <c r="AE1569" s="50">
        <f t="shared" si="199"/>
        <v>0</v>
      </c>
    </row>
    <row r="1570" spans="1:31">
      <c r="A1570" s="59" t="str">
        <f t="shared" si="193"/>
        <v/>
      </c>
      <c r="B1570" s="59" t="str">
        <f t="shared" si="194"/>
        <v/>
      </c>
      <c r="V1570" s="59" t="str">
        <f t="shared" si="195"/>
        <v/>
      </c>
      <c r="W1570" s="59" t="str">
        <f t="shared" si="192"/>
        <v/>
      </c>
      <c r="X1570" s="59" t="str">
        <f t="shared" si="196"/>
        <v/>
      </c>
      <c r="AC1570" s="50">
        <f t="shared" si="197"/>
        <v>0</v>
      </c>
      <c r="AD1570" s="43">
        <f t="shared" si="198"/>
        <v>0</v>
      </c>
      <c r="AE1570" s="50">
        <f t="shared" si="199"/>
        <v>0</v>
      </c>
    </row>
    <row r="1571" spans="1:31">
      <c r="A1571" s="59" t="str">
        <f t="shared" si="193"/>
        <v/>
      </c>
      <c r="B1571" s="59" t="str">
        <f t="shared" si="194"/>
        <v/>
      </c>
      <c r="V1571" s="59" t="str">
        <f t="shared" si="195"/>
        <v/>
      </c>
      <c r="W1571" s="59" t="str">
        <f t="shared" si="192"/>
        <v/>
      </c>
      <c r="X1571" s="59" t="str">
        <f t="shared" si="196"/>
        <v/>
      </c>
      <c r="AC1571" s="50">
        <f t="shared" si="197"/>
        <v>0</v>
      </c>
      <c r="AD1571" s="43">
        <f t="shared" si="198"/>
        <v>0</v>
      </c>
      <c r="AE1571" s="50">
        <f t="shared" si="199"/>
        <v>0</v>
      </c>
    </row>
    <row r="1572" spans="1:31">
      <c r="A1572" s="59" t="str">
        <f t="shared" si="193"/>
        <v/>
      </c>
      <c r="B1572" s="59" t="str">
        <f t="shared" si="194"/>
        <v/>
      </c>
      <c r="V1572" s="59" t="str">
        <f t="shared" si="195"/>
        <v/>
      </c>
      <c r="W1572" s="59" t="str">
        <f t="shared" si="192"/>
        <v/>
      </c>
      <c r="X1572" s="59" t="str">
        <f t="shared" si="196"/>
        <v/>
      </c>
      <c r="AC1572" s="50">
        <f t="shared" si="197"/>
        <v>0</v>
      </c>
      <c r="AD1572" s="43">
        <f t="shared" si="198"/>
        <v>0</v>
      </c>
      <c r="AE1572" s="50">
        <f t="shared" si="199"/>
        <v>0</v>
      </c>
    </row>
    <row r="1573" spans="1:31">
      <c r="A1573" s="59" t="str">
        <f t="shared" si="193"/>
        <v/>
      </c>
      <c r="B1573" s="59" t="str">
        <f t="shared" si="194"/>
        <v/>
      </c>
      <c r="V1573" s="59" t="str">
        <f t="shared" si="195"/>
        <v/>
      </c>
      <c r="W1573" s="59" t="str">
        <f t="shared" si="192"/>
        <v/>
      </c>
      <c r="X1573" s="59" t="str">
        <f t="shared" si="196"/>
        <v/>
      </c>
      <c r="AC1573" s="50">
        <f t="shared" si="197"/>
        <v>0</v>
      </c>
      <c r="AD1573" s="43">
        <f t="shared" si="198"/>
        <v>0</v>
      </c>
      <c r="AE1573" s="50">
        <f t="shared" si="199"/>
        <v>0</v>
      </c>
    </row>
    <row r="1574" spans="1:31">
      <c r="A1574" s="59" t="str">
        <f t="shared" si="193"/>
        <v/>
      </c>
      <c r="B1574" s="59" t="str">
        <f t="shared" si="194"/>
        <v/>
      </c>
      <c r="V1574" s="59" t="str">
        <f t="shared" si="195"/>
        <v/>
      </c>
      <c r="W1574" s="59" t="str">
        <f t="shared" si="192"/>
        <v/>
      </c>
      <c r="X1574" s="59" t="str">
        <f t="shared" si="196"/>
        <v/>
      </c>
      <c r="AC1574" s="50">
        <f t="shared" si="197"/>
        <v>0</v>
      </c>
      <c r="AD1574" s="43">
        <f t="shared" si="198"/>
        <v>0</v>
      </c>
      <c r="AE1574" s="50">
        <f t="shared" si="199"/>
        <v>0</v>
      </c>
    </row>
    <row r="1575" spans="1:31">
      <c r="A1575" s="59" t="str">
        <f t="shared" si="193"/>
        <v/>
      </c>
      <c r="B1575" s="59" t="str">
        <f t="shared" si="194"/>
        <v/>
      </c>
      <c r="V1575" s="59" t="str">
        <f t="shared" si="195"/>
        <v/>
      </c>
      <c r="W1575" s="59" t="str">
        <f t="shared" si="192"/>
        <v/>
      </c>
      <c r="X1575" s="59" t="str">
        <f t="shared" si="196"/>
        <v/>
      </c>
      <c r="AC1575" s="50">
        <f t="shared" si="197"/>
        <v>0</v>
      </c>
      <c r="AD1575" s="43">
        <f t="shared" si="198"/>
        <v>0</v>
      </c>
      <c r="AE1575" s="50">
        <f t="shared" si="199"/>
        <v>0</v>
      </c>
    </row>
    <row r="1576" spans="1:31">
      <c r="A1576" s="59" t="str">
        <f t="shared" si="193"/>
        <v/>
      </c>
      <c r="B1576" s="59" t="str">
        <f t="shared" si="194"/>
        <v/>
      </c>
      <c r="V1576" s="59" t="str">
        <f t="shared" si="195"/>
        <v/>
      </c>
      <c r="W1576" s="59" t="str">
        <f t="shared" si="192"/>
        <v/>
      </c>
      <c r="X1576" s="59" t="str">
        <f t="shared" si="196"/>
        <v/>
      </c>
      <c r="AC1576" s="50">
        <f t="shared" si="197"/>
        <v>0</v>
      </c>
      <c r="AD1576" s="43">
        <f t="shared" si="198"/>
        <v>0</v>
      </c>
      <c r="AE1576" s="50">
        <f t="shared" si="199"/>
        <v>0</v>
      </c>
    </row>
    <row r="1577" spans="1:31">
      <c r="A1577" s="59" t="str">
        <f t="shared" si="193"/>
        <v/>
      </c>
      <c r="B1577" s="59" t="str">
        <f t="shared" si="194"/>
        <v/>
      </c>
      <c r="V1577" s="59" t="str">
        <f t="shared" si="195"/>
        <v/>
      </c>
      <c r="W1577" s="59" t="str">
        <f t="shared" si="192"/>
        <v/>
      </c>
      <c r="X1577" s="59" t="str">
        <f t="shared" si="196"/>
        <v/>
      </c>
      <c r="AC1577" s="50">
        <f t="shared" si="197"/>
        <v>0</v>
      </c>
      <c r="AD1577" s="43">
        <f t="shared" si="198"/>
        <v>0</v>
      </c>
      <c r="AE1577" s="50">
        <f t="shared" si="199"/>
        <v>0</v>
      </c>
    </row>
    <row r="1578" spans="1:31">
      <c r="A1578" s="59" t="str">
        <f t="shared" si="193"/>
        <v/>
      </c>
      <c r="B1578" s="59" t="str">
        <f t="shared" si="194"/>
        <v/>
      </c>
      <c r="V1578" s="59" t="str">
        <f t="shared" si="195"/>
        <v/>
      </c>
      <c r="W1578" s="59" t="str">
        <f t="shared" si="192"/>
        <v/>
      </c>
      <c r="X1578" s="59" t="str">
        <f t="shared" si="196"/>
        <v/>
      </c>
      <c r="AC1578" s="50">
        <f t="shared" si="197"/>
        <v>0</v>
      </c>
      <c r="AD1578" s="43">
        <f t="shared" si="198"/>
        <v>0</v>
      </c>
      <c r="AE1578" s="50">
        <f t="shared" si="199"/>
        <v>0</v>
      </c>
    </row>
    <row r="1579" spans="1:31">
      <c r="A1579" s="59" t="str">
        <f t="shared" si="193"/>
        <v/>
      </c>
      <c r="B1579" s="59" t="str">
        <f t="shared" si="194"/>
        <v/>
      </c>
      <c r="V1579" s="59" t="str">
        <f t="shared" si="195"/>
        <v/>
      </c>
      <c r="W1579" s="59" t="str">
        <f t="shared" si="192"/>
        <v/>
      </c>
      <c r="X1579" s="59" t="str">
        <f t="shared" si="196"/>
        <v/>
      </c>
      <c r="AC1579" s="50">
        <f t="shared" si="197"/>
        <v>0</v>
      </c>
      <c r="AD1579" s="43">
        <f t="shared" si="198"/>
        <v>0</v>
      </c>
      <c r="AE1579" s="50">
        <f t="shared" si="199"/>
        <v>0</v>
      </c>
    </row>
    <row r="1580" spans="1:31">
      <c r="A1580" s="59" t="str">
        <f t="shared" si="193"/>
        <v/>
      </c>
      <c r="B1580" s="59" t="str">
        <f t="shared" si="194"/>
        <v/>
      </c>
      <c r="V1580" s="59" t="str">
        <f t="shared" si="195"/>
        <v/>
      </c>
      <c r="W1580" s="59" t="str">
        <f t="shared" si="192"/>
        <v/>
      </c>
      <c r="X1580" s="59" t="str">
        <f t="shared" si="196"/>
        <v/>
      </c>
      <c r="AC1580" s="50">
        <f t="shared" si="197"/>
        <v>0</v>
      </c>
      <c r="AD1580" s="43">
        <f t="shared" si="198"/>
        <v>0</v>
      </c>
      <c r="AE1580" s="50">
        <f t="shared" si="199"/>
        <v>0</v>
      </c>
    </row>
    <row r="1581" spans="1:31">
      <c r="A1581" s="59" t="str">
        <f t="shared" si="193"/>
        <v/>
      </c>
      <c r="B1581" s="59" t="str">
        <f t="shared" si="194"/>
        <v/>
      </c>
      <c r="V1581" s="59" t="str">
        <f t="shared" si="195"/>
        <v/>
      </c>
      <c r="W1581" s="59" t="str">
        <f t="shared" si="192"/>
        <v/>
      </c>
      <c r="X1581" s="59" t="str">
        <f t="shared" si="196"/>
        <v/>
      </c>
      <c r="AC1581" s="50">
        <f t="shared" si="197"/>
        <v>0</v>
      </c>
      <c r="AD1581" s="43">
        <f t="shared" si="198"/>
        <v>0</v>
      </c>
      <c r="AE1581" s="50">
        <f t="shared" si="199"/>
        <v>0</v>
      </c>
    </row>
    <row r="1582" spans="1:31">
      <c r="A1582" s="59" t="str">
        <f t="shared" si="193"/>
        <v/>
      </c>
      <c r="B1582" s="59" t="str">
        <f t="shared" si="194"/>
        <v/>
      </c>
      <c r="V1582" s="59" t="str">
        <f t="shared" si="195"/>
        <v/>
      </c>
      <c r="W1582" s="59" t="str">
        <f t="shared" si="192"/>
        <v/>
      </c>
      <c r="X1582" s="59" t="str">
        <f t="shared" si="196"/>
        <v/>
      </c>
      <c r="AC1582" s="50">
        <f t="shared" si="197"/>
        <v>0</v>
      </c>
      <c r="AD1582" s="43">
        <f t="shared" si="198"/>
        <v>0</v>
      </c>
      <c r="AE1582" s="50">
        <f t="shared" si="199"/>
        <v>0</v>
      </c>
    </row>
    <row r="1583" spans="1:31">
      <c r="A1583" s="59" t="str">
        <f t="shared" si="193"/>
        <v/>
      </c>
      <c r="B1583" s="59" t="str">
        <f t="shared" si="194"/>
        <v/>
      </c>
      <c r="V1583" s="59" t="str">
        <f t="shared" si="195"/>
        <v/>
      </c>
      <c r="W1583" s="59" t="str">
        <f t="shared" si="192"/>
        <v/>
      </c>
      <c r="X1583" s="59" t="str">
        <f t="shared" si="196"/>
        <v/>
      </c>
      <c r="AC1583" s="50">
        <f t="shared" si="197"/>
        <v>0</v>
      </c>
      <c r="AD1583" s="43">
        <f t="shared" si="198"/>
        <v>0</v>
      </c>
      <c r="AE1583" s="50">
        <f t="shared" si="199"/>
        <v>0</v>
      </c>
    </row>
    <row r="1584" spans="1:31">
      <c r="A1584" s="59" t="str">
        <f t="shared" si="193"/>
        <v/>
      </c>
      <c r="B1584" s="59" t="str">
        <f t="shared" si="194"/>
        <v/>
      </c>
      <c r="V1584" s="59" t="str">
        <f t="shared" si="195"/>
        <v/>
      </c>
      <c r="W1584" s="59" t="str">
        <f t="shared" si="192"/>
        <v/>
      </c>
      <c r="X1584" s="59" t="str">
        <f t="shared" si="196"/>
        <v/>
      </c>
      <c r="AC1584" s="50">
        <f t="shared" si="197"/>
        <v>0</v>
      </c>
      <c r="AD1584" s="43">
        <f t="shared" si="198"/>
        <v>0</v>
      </c>
      <c r="AE1584" s="50">
        <f t="shared" si="199"/>
        <v>0</v>
      </c>
    </row>
    <row r="1585" spans="1:31">
      <c r="A1585" s="59" t="str">
        <f t="shared" si="193"/>
        <v/>
      </c>
      <c r="B1585" s="59" t="str">
        <f t="shared" si="194"/>
        <v/>
      </c>
      <c r="V1585" s="59" t="str">
        <f t="shared" si="195"/>
        <v/>
      </c>
      <c r="W1585" s="59" t="str">
        <f t="shared" si="192"/>
        <v/>
      </c>
      <c r="X1585" s="59" t="str">
        <f t="shared" si="196"/>
        <v/>
      </c>
      <c r="AC1585" s="50">
        <f t="shared" si="197"/>
        <v>0</v>
      </c>
      <c r="AD1585" s="43">
        <f t="shared" si="198"/>
        <v>0</v>
      </c>
      <c r="AE1585" s="50">
        <f t="shared" si="199"/>
        <v>0</v>
      </c>
    </row>
    <row r="1586" spans="1:31">
      <c r="A1586" s="59" t="str">
        <f t="shared" si="193"/>
        <v/>
      </c>
      <c r="B1586" s="59" t="str">
        <f t="shared" si="194"/>
        <v/>
      </c>
      <c r="V1586" s="59" t="str">
        <f t="shared" si="195"/>
        <v/>
      </c>
      <c r="W1586" s="59" t="str">
        <f t="shared" si="192"/>
        <v/>
      </c>
      <c r="X1586" s="59" t="str">
        <f t="shared" si="196"/>
        <v/>
      </c>
      <c r="AC1586" s="50">
        <f t="shared" si="197"/>
        <v>0</v>
      </c>
      <c r="AD1586" s="43">
        <f t="shared" si="198"/>
        <v>0</v>
      </c>
      <c r="AE1586" s="50">
        <f t="shared" si="199"/>
        <v>0</v>
      </c>
    </row>
    <row r="1587" spans="1:31">
      <c r="A1587" s="59" t="str">
        <f t="shared" si="193"/>
        <v/>
      </c>
      <c r="B1587" s="59" t="str">
        <f t="shared" si="194"/>
        <v/>
      </c>
      <c r="V1587" s="59" t="str">
        <f t="shared" si="195"/>
        <v/>
      </c>
      <c r="W1587" s="59" t="str">
        <f t="shared" si="192"/>
        <v/>
      </c>
      <c r="X1587" s="59" t="str">
        <f t="shared" si="196"/>
        <v/>
      </c>
      <c r="AC1587" s="50">
        <f t="shared" si="197"/>
        <v>0</v>
      </c>
      <c r="AD1587" s="43">
        <f t="shared" si="198"/>
        <v>0</v>
      </c>
      <c r="AE1587" s="50">
        <f t="shared" si="199"/>
        <v>0</v>
      </c>
    </row>
    <row r="1588" spans="1:31">
      <c r="A1588" s="59" t="str">
        <f t="shared" si="193"/>
        <v/>
      </c>
      <c r="B1588" s="59" t="str">
        <f t="shared" si="194"/>
        <v/>
      </c>
      <c r="V1588" s="59" t="str">
        <f t="shared" si="195"/>
        <v/>
      </c>
      <c r="W1588" s="59" t="str">
        <f t="shared" si="192"/>
        <v/>
      </c>
      <c r="X1588" s="59" t="str">
        <f t="shared" si="196"/>
        <v/>
      </c>
      <c r="AC1588" s="50">
        <f t="shared" si="197"/>
        <v>0</v>
      </c>
      <c r="AD1588" s="43">
        <f t="shared" si="198"/>
        <v>0</v>
      </c>
      <c r="AE1588" s="50">
        <f t="shared" si="199"/>
        <v>0</v>
      </c>
    </row>
    <row r="1589" spans="1:31">
      <c r="A1589" s="59" t="str">
        <f t="shared" si="193"/>
        <v/>
      </c>
      <c r="B1589" s="59" t="str">
        <f t="shared" si="194"/>
        <v/>
      </c>
      <c r="V1589" s="59" t="str">
        <f t="shared" si="195"/>
        <v/>
      </c>
      <c r="W1589" s="59" t="str">
        <f t="shared" si="192"/>
        <v/>
      </c>
      <c r="X1589" s="59" t="str">
        <f t="shared" si="196"/>
        <v/>
      </c>
      <c r="AC1589" s="50">
        <f t="shared" si="197"/>
        <v>0</v>
      </c>
      <c r="AD1589" s="43">
        <f t="shared" si="198"/>
        <v>0</v>
      </c>
      <c r="AE1589" s="50">
        <f t="shared" si="199"/>
        <v>0</v>
      </c>
    </row>
    <row r="1590" spans="1:31">
      <c r="A1590" s="59" t="str">
        <f t="shared" si="193"/>
        <v/>
      </c>
      <c r="B1590" s="59" t="str">
        <f t="shared" si="194"/>
        <v/>
      </c>
      <c r="V1590" s="59" t="str">
        <f t="shared" si="195"/>
        <v/>
      </c>
      <c r="W1590" s="59" t="str">
        <f t="shared" si="192"/>
        <v/>
      </c>
      <c r="X1590" s="59" t="str">
        <f t="shared" si="196"/>
        <v/>
      </c>
      <c r="AC1590" s="50">
        <f t="shared" si="197"/>
        <v>0</v>
      </c>
      <c r="AD1590" s="43">
        <f t="shared" si="198"/>
        <v>0</v>
      </c>
      <c r="AE1590" s="50">
        <f t="shared" si="199"/>
        <v>0</v>
      </c>
    </row>
    <row r="1591" spans="1:31">
      <c r="A1591" s="59" t="str">
        <f t="shared" si="193"/>
        <v/>
      </c>
      <c r="B1591" s="59" t="str">
        <f t="shared" si="194"/>
        <v/>
      </c>
      <c r="V1591" s="59" t="str">
        <f t="shared" si="195"/>
        <v/>
      </c>
      <c r="W1591" s="59" t="str">
        <f t="shared" si="192"/>
        <v/>
      </c>
      <c r="X1591" s="59" t="str">
        <f t="shared" si="196"/>
        <v/>
      </c>
      <c r="AC1591" s="50">
        <f t="shared" si="197"/>
        <v>0</v>
      </c>
      <c r="AD1591" s="43">
        <f t="shared" si="198"/>
        <v>0</v>
      </c>
      <c r="AE1591" s="50">
        <f t="shared" si="199"/>
        <v>0</v>
      </c>
    </row>
    <row r="1592" spans="1:31">
      <c r="A1592" s="59" t="str">
        <f t="shared" si="193"/>
        <v/>
      </c>
      <c r="B1592" s="59" t="str">
        <f t="shared" si="194"/>
        <v/>
      </c>
      <c r="V1592" s="59" t="str">
        <f t="shared" si="195"/>
        <v/>
      </c>
      <c r="W1592" s="59" t="str">
        <f t="shared" si="192"/>
        <v/>
      </c>
      <c r="X1592" s="59" t="str">
        <f t="shared" si="196"/>
        <v/>
      </c>
      <c r="AC1592" s="50">
        <f t="shared" si="197"/>
        <v>0</v>
      </c>
      <c r="AD1592" s="43">
        <f t="shared" si="198"/>
        <v>0</v>
      </c>
      <c r="AE1592" s="50">
        <f t="shared" si="199"/>
        <v>0</v>
      </c>
    </row>
    <row r="1593" spans="1:31">
      <c r="A1593" s="59" t="str">
        <f t="shared" si="193"/>
        <v/>
      </c>
      <c r="B1593" s="59" t="str">
        <f t="shared" si="194"/>
        <v/>
      </c>
      <c r="V1593" s="59" t="str">
        <f t="shared" si="195"/>
        <v/>
      </c>
      <c r="W1593" s="59" t="str">
        <f t="shared" si="192"/>
        <v/>
      </c>
      <c r="X1593" s="59" t="str">
        <f t="shared" si="196"/>
        <v/>
      </c>
      <c r="AC1593" s="50">
        <f t="shared" si="197"/>
        <v>0</v>
      </c>
      <c r="AD1593" s="43">
        <f t="shared" si="198"/>
        <v>0</v>
      </c>
      <c r="AE1593" s="50">
        <f t="shared" si="199"/>
        <v>0</v>
      </c>
    </row>
    <row r="1594" spans="1:31">
      <c r="A1594" s="59" t="str">
        <f t="shared" si="193"/>
        <v/>
      </c>
      <c r="B1594" s="59" t="str">
        <f t="shared" si="194"/>
        <v/>
      </c>
      <c r="V1594" s="59" t="str">
        <f t="shared" si="195"/>
        <v/>
      </c>
      <c r="W1594" s="59" t="str">
        <f t="shared" si="192"/>
        <v/>
      </c>
      <c r="X1594" s="59" t="str">
        <f t="shared" si="196"/>
        <v/>
      </c>
      <c r="AC1594" s="50">
        <f t="shared" si="197"/>
        <v>0</v>
      </c>
      <c r="AD1594" s="43">
        <f t="shared" si="198"/>
        <v>0</v>
      </c>
      <c r="AE1594" s="50">
        <f t="shared" si="199"/>
        <v>0</v>
      </c>
    </row>
    <row r="1595" spans="1:31">
      <c r="A1595" s="59" t="str">
        <f t="shared" si="193"/>
        <v/>
      </c>
      <c r="B1595" s="59" t="str">
        <f t="shared" si="194"/>
        <v/>
      </c>
      <c r="V1595" s="59" t="str">
        <f t="shared" si="195"/>
        <v/>
      </c>
      <c r="W1595" s="59" t="str">
        <f t="shared" si="192"/>
        <v/>
      </c>
      <c r="X1595" s="59" t="str">
        <f t="shared" si="196"/>
        <v/>
      </c>
      <c r="AC1595" s="50">
        <f t="shared" si="197"/>
        <v>0</v>
      </c>
      <c r="AD1595" s="43">
        <f t="shared" si="198"/>
        <v>0</v>
      </c>
      <c r="AE1595" s="50">
        <f t="shared" si="199"/>
        <v>0</v>
      </c>
    </row>
    <row r="1596" spans="1:31">
      <c r="A1596" s="59" t="str">
        <f t="shared" si="193"/>
        <v/>
      </c>
      <c r="B1596" s="59" t="str">
        <f t="shared" si="194"/>
        <v/>
      </c>
      <c r="V1596" s="59" t="str">
        <f t="shared" si="195"/>
        <v/>
      </c>
      <c r="W1596" s="59" t="str">
        <f t="shared" si="192"/>
        <v/>
      </c>
      <c r="X1596" s="59" t="str">
        <f t="shared" si="196"/>
        <v/>
      </c>
      <c r="AC1596" s="50">
        <f t="shared" si="197"/>
        <v>0</v>
      </c>
      <c r="AD1596" s="43">
        <f t="shared" si="198"/>
        <v>0</v>
      </c>
      <c r="AE1596" s="50">
        <f t="shared" si="199"/>
        <v>0</v>
      </c>
    </row>
    <row r="1597" spans="1:31">
      <c r="A1597" s="59" t="str">
        <f t="shared" si="193"/>
        <v/>
      </c>
      <c r="B1597" s="59" t="str">
        <f t="shared" si="194"/>
        <v/>
      </c>
      <c r="V1597" s="59" t="str">
        <f t="shared" si="195"/>
        <v/>
      </c>
      <c r="W1597" s="59" t="str">
        <f t="shared" si="192"/>
        <v/>
      </c>
      <c r="X1597" s="59" t="str">
        <f t="shared" si="196"/>
        <v/>
      </c>
      <c r="AC1597" s="50">
        <f t="shared" si="197"/>
        <v>0</v>
      </c>
      <c r="AD1597" s="43">
        <f t="shared" si="198"/>
        <v>0</v>
      </c>
      <c r="AE1597" s="50">
        <f t="shared" si="199"/>
        <v>0</v>
      </c>
    </row>
    <row r="1598" spans="1:31">
      <c r="A1598" s="59" t="str">
        <f t="shared" si="193"/>
        <v/>
      </c>
      <c r="B1598" s="59" t="str">
        <f t="shared" si="194"/>
        <v/>
      </c>
      <c r="V1598" s="59" t="str">
        <f t="shared" si="195"/>
        <v/>
      </c>
      <c r="W1598" s="59" t="str">
        <f t="shared" si="192"/>
        <v/>
      </c>
      <c r="X1598" s="59" t="str">
        <f t="shared" si="196"/>
        <v/>
      </c>
      <c r="AC1598" s="50">
        <f t="shared" si="197"/>
        <v>0</v>
      </c>
      <c r="AD1598" s="43">
        <f t="shared" si="198"/>
        <v>0</v>
      </c>
      <c r="AE1598" s="50">
        <f t="shared" si="199"/>
        <v>0</v>
      </c>
    </row>
    <row r="1599" spans="1:31">
      <c r="A1599" s="59" t="str">
        <f t="shared" si="193"/>
        <v/>
      </c>
      <c r="B1599" s="59" t="str">
        <f t="shared" si="194"/>
        <v/>
      </c>
      <c r="V1599" s="59" t="str">
        <f t="shared" si="195"/>
        <v/>
      </c>
      <c r="W1599" s="59" t="str">
        <f t="shared" si="192"/>
        <v/>
      </c>
      <c r="X1599" s="59" t="str">
        <f t="shared" si="196"/>
        <v/>
      </c>
      <c r="AC1599" s="50">
        <f t="shared" si="197"/>
        <v>0</v>
      </c>
      <c r="AD1599" s="43">
        <f t="shared" si="198"/>
        <v>0</v>
      </c>
      <c r="AE1599" s="50">
        <f t="shared" si="199"/>
        <v>0</v>
      </c>
    </row>
    <row r="1600" spans="1:31">
      <c r="A1600" s="59" t="str">
        <f t="shared" si="193"/>
        <v/>
      </c>
      <c r="B1600" s="59" t="str">
        <f t="shared" si="194"/>
        <v/>
      </c>
      <c r="V1600" s="59" t="str">
        <f t="shared" si="195"/>
        <v/>
      </c>
      <c r="W1600" s="59" t="str">
        <f t="shared" si="192"/>
        <v/>
      </c>
      <c r="X1600" s="59" t="str">
        <f t="shared" si="196"/>
        <v/>
      </c>
      <c r="AC1600" s="50">
        <f t="shared" si="197"/>
        <v>0</v>
      </c>
      <c r="AD1600" s="43">
        <f t="shared" si="198"/>
        <v>0</v>
      </c>
      <c r="AE1600" s="50">
        <f t="shared" si="199"/>
        <v>0</v>
      </c>
    </row>
    <row r="1601" spans="1:31">
      <c r="A1601" s="59" t="str">
        <f t="shared" si="193"/>
        <v/>
      </c>
      <c r="B1601" s="59" t="str">
        <f t="shared" si="194"/>
        <v/>
      </c>
      <c r="V1601" s="59" t="str">
        <f t="shared" si="195"/>
        <v/>
      </c>
      <c r="W1601" s="59" t="str">
        <f t="shared" si="192"/>
        <v/>
      </c>
      <c r="X1601" s="59" t="str">
        <f t="shared" si="196"/>
        <v/>
      </c>
      <c r="AC1601" s="50">
        <f t="shared" si="197"/>
        <v>0</v>
      </c>
      <c r="AD1601" s="43">
        <f t="shared" si="198"/>
        <v>0</v>
      </c>
      <c r="AE1601" s="50">
        <f t="shared" si="199"/>
        <v>0</v>
      </c>
    </row>
    <row r="1602" spans="1:31">
      <c r="A1602" s="59" t="str">
        <f t="shared" si="193"/>
        <v/>
      </c>
      <c r="B1602" s="59" t="str">
        <f t="shared" si="194"/>
        <v/>
      </c>
      <c r="V1602" s="59" t="str">
        <f t="shared" si="195"/>
        <v/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59" t="str">
        <f t="shared" si="196"/>
        <v/>
      </c>
      <c r="AC1602" s="50">
        <f t="shared" si="197"/>
        <v>0</v>
      </c>
      <c r="AD1602" s="43">
        <f t="shared" si="198"/>
        <v>0</v>
      </c>
      <c r="AE1602" s="50">
        <f t="shared" si="199"/>
        <v>0</v>
      </c>
    </row>
    <row r="1603" spans="1:31">
      <c r="A1603" s="59" t="str">
        <f t="shared" ref="A1603:A1666" si="201">IF(G1603&amp;Q1603&lt;&gt;"",W1603&amp;Q1603,"")</f>
        <v/>
      </c>
      <c r="B1603" s="59" t="str">
        <f t="shared" ref="B1603:B1666" si="202">IF(C1603&lt;&gt;"",LEFT(C1603,9),"")</f>
        <v/>
      </c>
      <c r="V1603" s="59" t="str">
        <f t="shared" ref="V1603:V1666" si="203">W1603&amp;H1603</f>
        <v/>
      </c>
      <c r="W1603" s="59" t="str">
        <f t="shared" si="200"/>
        <v/>
      </c>
      <c r="X1603" s="59" t="str">
        <f t="shared" ref="X1603:X1666" si="204">IF(A1603&lt;&gt;"",IFERROR(IF(FIND(" ",G1603)&gt;=1,MID(G1603,FIND(" ",G1603)+1,LEN(G1603)),""),""),"")</f>
        <v/>
      </c>
      <c r="AC1603" s="50">
        <f t="shared" ref="AC1603:AC1666" si="205">IFERROR(VALUE(MID($C1603,1,2)),0)</f>
        <v>0</v>
      </c>
      <c r="AD1603" s="43">
        <f t="shared" ref="AD1603:AD1666" si="206">IFERROR(VALUE(MID($C1603,4,3)),0)</f>
        <v>0</v>
      </c>
      <c r="AE1603" s="50">
        <f t="shared" ref="AE1603:AE1666" si="207">VALUE(RIGHT("00"&amp;AC1603,2)&amp;RIGHT("000"&amp;AD1603,3))</f>
        <v>0</v>
      </c>
    </row>
    <row r="1604" spans="1:31">
      <c r="A1604" s="59" t="str">
        <f t="shared" si="201"/>
        <v/>
      </c>
      <c r="B1604" s="59" t="str">
        <f t="shared" si="202"/>
        <v/>
      </c>
      <c r="V1604" s="59" t="str">
        <f t="shared" si="203"/>
        <v/>
      </c>
      <c r="W1604" s="59" t="str">
        <f t="shared" si="200"/>
        <v/>
      </c>
      <c r="X1604" s="59" t="str">
        <f t="shared" si="204"/>
        <v/>
      </c>
      <c r="AC1604" s="50">
        <f t="shared" si="205"/>
        <v>0</v>
      </c>
      <c r="AD1604" s="43">
        <f t="shared" si="206"/>
        <v>0</v>
      </c>
      <c r="AE1604" s="50">
        <f t="shared" si="207"/>
        <v>0</v>
      </c>
    </row>
    <row r="1605" spans="1:31">
      <c r="A1605" s="59" t="str">
        <f t="shared" si="201"/>
        <v/>
      </c>
      <c r="B1605" s="59" t="str">
        <f t="shared" si="202"/>
        <v/>
      </c>
      <c r="V1605" s="59" t="str">
        <f t="shared" si="203"/>
        <v/>
      </c>
      <c r="W1605" s="59" t="str">
        <f t="shared" si="200"/>
        <v/>
      </c>
      <c r="X1605" s="59" t="str">
        <f t="shared" si="204"/>
        <v/>
      </c>
      <c r="AC1605" s="50">
        <f t="shared" si="205"/>
        <v>0</v>
      </c>
      <c r="AD1605" s="43">
        <f t="shared" si="206"/>
        <v>0</v>
      </c>
      <c r="AE1605" s="50">
        <f t="shared" si="207"/>
        <v>0</v>
      </c>
    </row>
    <row r="1606" spans="1:31">
      <c r="A1606" s="59" t="str">
        <f t="shared" si="201"/>
        <v/>
      </c>
      <c r="B1606" s="59" t="str">
        <f t="shared" si="202"/>
        <v/>
      </c>
      <c r="V1606" s="59" t="str">
        <f t="shared" si="203"/>
        <v/>
      </c>
      <c r="W1606" s="59" t="str">
        <f t="shared" si="200"/>
        <v/>
      </c>
      <c r="X1606" s="59" t="str">
        <f t="shared" si="204"/>
        <v/>
      </c>
      <c r="AC1606" s="50">
        <f t="shared" si="205"/>
        <v>0</v>
      </c>
      <c r="AD1606" s="43">
        <f t="shared" si="206"/>
        <v>0</v>
      </c>
      <c r="AE1606" s="50">
        <f t="shared" si="207"/>
        <v>0</v>
      </c>
    </row>
    <row r="1607" spans="1:31">
      <c r="A1607" s="59" t="str">
        <f t="shared" si="201"/>
        <v/>
      </c>
      <c r="B1607" s="59" t="str">
        <f t="shared" si="202"/>
        <v/>
      </c>
      <c r="V1607" s="59" t="str">
        <f t="shared" si="203"/>
        <v/>
      </c>
      <c r="W1607" s="59" t="str">
        <f t="shared" si="200"/>
        <v/>
      </c>
      <c r="X1607" s="59" t="str">
        <f t="shared" si="204"/>
        <v/>
      </c>
      <c r="AC1607" s="50">
        <f t="shared" si="205"/>
        <v>0</v>
      </c>
      <c r="AD1607" s="43">
        <f t="shared" si="206"/>
        <v>0</v>
      </c>
      <c r="AE1607" s="50">
        <f t="shared" si="207"/>
        <v>0</v>
      </c>
    </row>
    <row r="1608" spans="1:31">
      <c r="A1608" s="59" t="str">
        <f t="shared" si="201"/>
        <v/>
      </c>
      <c r="B1608" s="59" t="str">
        <f t="shared" si="202"/>
        <v/>
      </c>
      <c r="V1608" s="59" t="str">
        <f t="shared" si="203"/>
        <v/>
      </c>
      <c r="W1608" s="59" t="str">
        <f t="shared" si="200"/>
        <v/>
      </c>
      <c r="X1608" s="59" t="str">
        <f t="shared" si="204"/>
        <v/>
      </c>
      <c r="AC1608" s="50">
        <f t="shared" si="205"/>
        <v>0</v>
      </c>
      <c r="AD1608" s="43">
        <f t="shared" si="206"/>
        <v>0</v>
      </c>
      <c r="AE1608" s="50">
        <f t="shared" si="207"/>
        <v>0</v>
      </c>
    </row>
    <row r="1609" spans="1:31">
      <c r="A1609" s="59" t="str">
        <f t="shared" si="201"/>
        <v/>
      </c>
      <c r="B1609" s="59" t="str">
        <f t="shared" si="202"/>
        <v/>
      </c>
      <c r="V1609" s="59" t="str">
        <f t="shared" si="203"/>
        <v/>
      </c>
      <c r="W1609" s="59" t="str">
        <f t="shared" si="200"/>
        <v/>
      </c>
      <c r="X1609" s="59" t="str">
        <f t="shared" si="204"/>
        <v/>
      </c>
      <c r="AC1609" s="50">
        <f t="shared" si="205"/>
        <v>0</v>
      </c>
      <c r="AD1609" s="43">
        <f t="shared" si="206"/>
        <v>0</v>
      </c>
      <c r="AE1609" s="50">
        <f t="shared" si="207"/>
        <v>0</v>
      </c>
    </row>
    <row r="1610" spans="1:31">
      <c r="A1610" s="59" t="str">
        <f t="shared" si="201"/>
        <v/>
      </c>
      <c r="B1610" s="59" t="str">
        <f t="shared" si="202"/>
        <v/>
      </c>
      <c r="V1610" s="59" t="str">
        <f t="shared" si="203"/>
        <v/>
      </c>
      <c r="W1610" s="59" t="str">
        <f t="shared" si="200"/>
        <v/>
      </c>
      <c r="X1610" s="59" t="str">
        <f t="shared" si="204"/>
        <v/>
      </c>
      <c r="AC1610" s="50">
        <f t="shared" si="205"/>
        <v>0</v>
      </c>
      <c r="AD1610" s="43">
        <f t="shared" si="206"/>
        <v>0</v>
      </c>
      <c r="AE1610" s="50">
        <f t="shared" si="207"/>
        <v>0</v>
      </c>
    </row>
    <row r="1611" spans="1:31">
      <c r="A1611" s="59" t="str">
        <f t="shared" si="201"/>
        <v/>
      </c>
      <c r="B1611" s="59" t="str">
        <f t="shared" si="202"/>
        <v/>
      </c>
      <c r="V1611" s="59" t="str">
        <f t="shared" si="203"/>
        <v/>
      </c>
      <c r="W1611" s="59" t="str">
        <f t="shared" si="200"/>
        <v/>
      </c>
      <c r="X1611" s="59" t="str">
        <f t="shared" si="204"/>
        <v/>
      </c>
      <c r="AC1611" s="50">
        <f t="shared" si="205"/>
        <v>0</v>
      </c>
      <c r="AD1611" s="43">
        <f t="shared" si="206"/>
        <v>0</v>
      </c>
      <c r="AE1611" s="50">
        <f t="shared" si="207"/>
        <v>0</v>
      </c>
    </row>
    <row r="1612" spans="1:31">
      <c r="A1612" s="59" t="str">
        <f t="shared" si="201"/>
        <v/>
      </c>
      <c r="B1612" s="59" t="str">
        <f t="shared" si="202"/>
        <v/>
      </c>
      <c r="V1612" s="59" t="str">
        <f t="shared" si="203"/>
        <v/>
      </c>
      <c r="W1612" s="59" t="str">
        <f t="shared" si="200"/>
        <v/>
      </c>
      <c r="X1612" s="59" t="str">
        <f t="shared" si="204"/>
        <v/>
      </c>
      <c r="AC1612" s="50">
        <f t="shared" si="205"/>
        <v>0</v>
      </c>
      <c r="AD1612" s="43">
        <f t="shared" si="206"/>
        <v>0</v>
      </c>
      <c r="AE1612" s="50">
        <f t="shared" si="207"/>
        <v>0</v>
      </c>
    </row>
    <row r="1613" spans="1:31">
      <c r="A1613" s="59" t="str">
        <f t="shared" si="201"/>
        <v/>
      </c>
      <c r="B1613" s="59" t="str">
        <f t="shared" si="202"/>
        <v/>
      </c>
      <c r="V1613" s="59" t="str">
        <f t="shared" si="203"/>
        <v/>
      </c>
      <c r="W1613" s="59" t="str">
        <f t="shared" si="200"/>
        <v/>
      </c>
      <c r="X1613" s="59" t="str">
        <f t="shared" si="204"/>
        <v/>
      </c>
      <c r="AC1613" s="50">
        <f t="shared" si="205"/>
        <v>0</v>
      </c>
      <c r="AD1613" s="43">
        <f t="shared" si="206"/>
        <v>0</v>
      </c>
      <c r="AE1613" s="50">
        <f t="shared" si="207"/>
        <v>0</v>
      </c>
    </row>
    <row r="1614" spans="1:31">
      <c r="A1614" s="59" t="str">
        <f t="shared" si="201"/>
        <v/>
      </c>
      <c r="B1614" s="59" t="str">
        <f t="shared" si="202"/>
        <v/>
      </c>
      <c r="V1614" s="59" t="str">
        <f t="shared" si="203"/>
        <v/>
      </c>
      <c r="W1614" s="59" t="str">
        <f t="shared" si="200"/>
        <v/>
      </c>
      <c r="X1614" s="59" t="str">
        <f t="shared" si="204"/>
        <v/>
      </c>
      <c r="AC1614" s="50">
        <f t="shared" si="205"/>
        <v>0</v>
      </c>
      <c r="AD1614" s="43">
        <f t="shared" si="206"/>
        <v>0</v>
      </c>
      <c r="AE1614" s="50">
        <f t="shared" si="207"/>
        <v>0</v>
      </c>
    </row>
    <row r="1615" spans="1:31">
      <c r="A1615" s="59" t="str">
        <f t="shared" si="201"/>
        <v/>
      </c>
      <c r="B1615" s="59" t="str">
        <f t="shared" si="202"/>
        <v/>
      </c>
      <c r="V1615" s="59" t="str">
        <f t="shared" si="203"/>
        <v/>
      </c>
      <c r="W1615" s="59" t="str">
        <f t="shared" si="200"/>
        <v/>
      </c>
      <c r="X1615" s="59" t="str">
        <f t="shared" si="204"/>
        <v/>
      </c>
      <c r="AC1615" s="50">
        <f t="shared" si="205"/>
        <v>0</v>
      </c>
      <c r="AD1615" s="43">
        <f t="shared" si="206"/>
        <v>0</v>
      </c>
      <c r="AE1615" s="50">
        <f t="shared" si="207"/>
        <v>0</v>
      </c>
    </row>
    <row r="1616" spans="1:31">
      <c r="A1616" s="59" t="str">
        <f t="shared" si="201"/>
        <v/>
      </c>
      <c r="B1616" s="59" t="str">
        <f t="shared" si="202"/>
        <v/>
      </c>
      <c r="V1616" s="59" t="str">
        <f t="shared" si="203"/>
        <v/>
      </c>
      <c r="W1616" s="59" t="str">
        <f t="shared" si="200"/>
        <v/>
      </c>
      <c r="X1616" s="59" t="str">
        <f t="shared" si="204"/>
        <v/>
      </c>
      <c r="AC1616" s="50">
        <f t="shared" si="205"/>
        <v>0</v>
      </c>
      <c r="AD1616" s="43">
        <f t="shared" si="206"/>
        <v>0</v>
      </c>
      <c r="AE1616" s="50">
        <f t="shared" si="207"/>
        <v>0</v>
      </c>
    </row>
    <row r="1617" spans="1:31">
      <c r="A1617" s="59" t="str">
        <f t="shared" si="201"/>
        <v/>
      </c>
      <c r="B1617" s="59" t="str">
        <f t="shared" si="202"/>
        <v/>
      </c>
      <c r="V1617" s="59" t="str">
        <f t="shared" si="203"/>
        <v/>
      </c>
      <c r="W1617" s="59" t="str">
        <f t="shared" si="200"/>
        <v/>
      </c>
      <c r="X1617" s="59" t="str">
        <f t="shared" si="204"/>
        <v/>
      </c>
      <c r="AC1617" s="50">
        <f t="shared" si="205"/>
        <v>0</v>
      </c>
      <c r="AD1617" s="43">
        <f t="shared" si="206"/>
        <v>0</v>
      </c>
      <c r="AE1617" s="50">
        <f t="shared" si="207"/>
        <v>0</v>
      </c>
    </row>
    <row r="1618" spans="1:31">
      <c r="A1618" s="59" t="str">
        <f t="shared" si="201"/>
        <v/>
      </c>
      <c r="B1618" s="59" t="str">
        <f t="shared" si="202"/>
        <v/>
      </c>
      <c r="V1618" s="59" t="str">
        <f t="shared" si="203"/>
        <v/>
      </c>
      <c r="W1618" s="59" t="str">
        <f t="shared" si="200"/>
        <v/>
      </c>
      <c r="X1618" s="59" t="str">
        <f t="shared" si="204"/>
        <v/>
      </c>
      <c r="AC1618" s="50">
        <f t="shared" si="205"/>
        <v>0</v>
      </c>
      <c r="AD1618" s="43">
        <f t="shared" si="206"/>
        <v>0</v>
      </c>
      <c r="AE1618" s="50">
        <f t="shared" si="207"/>
        <v>0</v>
      </c>
    </row>
    <row r="1619" spans="1:31">
      <c r="A1619" s="59" t="str">
        <f t="shared" si="201"/>
        <v/>
      </c>
      <c r="B1619" s="59" t="str">
        <f t="shared" si="202"/>
        <v/>
      </c>
      <c r="V1619" s="59" t="str">
        <f t="shared" si="203"/>
        <v/>
      </c>
      <c r="W1619" s="59" t="str">
        <f t="shared" si="200"/>
        <v/>
      </c>
      <c r="X1619" s="59" t="str">
        <f t="shared" si="204"/>
        <v/>
      </c>
      <c r="AC1619" s="50">
        <f t="shared" si="205"/>
        <v>0</v>
      </c>
      <c r="AD1619" s="43">
        <f t="shared" si="206"/>
        <v>0</v>
      </c>
      <c r="AE1619" s="50">
        <f t="shared" si="207"/>
        <v>0</v>
      </c>
    </row>
    <row r="1620" spans="1:31">
      <c r="A1620" s="59" t="str">
        <f t="shared" si="201"/>
        <v/>
      </c>
      <c r="B1620" s="59" t="str">
        <f t="shared" si="202"/>
        <v/>
      </c>
      <c r="V1620" s="59" t="str">
        <f t="shared" si="203"/>
        <v/>
      </c>
      <c r="W1620" s="59" t="str">
        <f t="shared" si="200"/>
        <v/>
      </c>
      <c r="X1620" s="59" t="str">
        <f t="shared" si="204"/>
        <v/>
      </c>
      <c r="AC1620" s="50">
        <f t="shared" si="205"/>
        <v>0</v>
      </c>
      <c r="AD1620" s="43">
        <f t="shared" si="206"/>
        <v>0</v>
      </c>
      <c r="AE1620" s="50">
        <f t="shared" si="207"/>
        <v>0</v>
      </c>
    </row>
    <row r="1621" spans="1:31">
      <c r="A1621" s="59" t="str">
        <f t="shared" si="201"/>
        <v/>
      </c>
      <c r="B1621" s="59" t="str">
        <f t="shared" si="202"/>
        <v/>
      </c>
      <c r="V1621" s="59" t="str">
        <f t="shared" si="203"/>
        <v/>
      </c>
      <c r="W1621" s="59" t="str">
        <f t="shared" si="200"/>
        <v/>
      </c>
      <c r="X1621" s="59" t="str">
        <f t="shared" si="204"/>
        <v/>
      </c>
      <c r="AC1621" s="50">
        <f t="shared" si="205"/>
        <v>0</v>
      </c>
      <c r="AD1621" s="43">
        <f t="shared" si="206"/>
        <v>0</v>
      </c>
      <c r="AE1621" s="50">
        <f t="shared" si="207"/>
        <v>0</v>
      </c>
    </row>
    <row r="1622" spans="1:31">
      <c r="A1622" s="59" t="str">
        <f t="shared" si="201"/>
        <v/>
      </c>
      <c r="B1622" s="59" t="str">
        <f t="shared" si="202"/>
        <v/>
      </c>
      <c r="V1622" s="59" t="str">
        <f t="shared" si="203"/>
        <v/>
      </c>
      <c r="W1622" s="59" t="str">
        <f t="shared" si="200"/>
        <v/>
      </c>
      <c r="X1622" s="59" t="str">
        <f t="shared" si="204"/>
        <v/>
      </c>
      <c r="AC1622" s="50">
        <f t="shared" si="205"/>
        <v>0</v>
      </c>
      <c r="AD1622" s="43">
        <f t="shared" si="206"/>
        <v>0</v>
      </c>
      <c r="AE1622" s="50">
        <f t="shared" si="207"/>
        <v>0</v>
      </c>
    </row>
    <row r="1623" spans="1:31">
      <c r="A1623" s="59" t="str">
        <f t="shared" si="201"/>
        <v/>
      </c>
      <c r="B1623" s="59" t="str">
        <f t="shared" si="202"/>
        <v/>
      </c>
      <c r="V1623" s="59" t="str">
        <f t="shared" si="203"/>
        <v/>
      </c>
      <c r="W1623" s="59" t="str">
        <f t="shared" si="200"/>
        <v/>
      </c>
      <c r="X1623" s="59" t="str">
        <f t="shared" si="204"/>
        <v/>
      </c>
      <c r="AC1623" s="50">
        <f t="shared" si="205"/>
        <v>0</v>
      </c>
      <c r="AD1623" s="43">
        <f t="shared" si="206"/>
        <v>0</v>
      </c>
      <c r="AE1623" s="50">
        <f t="shared" si="207"/>
        <v>0</v>
      </c>
    </row>
    <row r="1624" spans="1:31">
      <c r="A1624" s="59" t="str">
        <f t="shared" si="201"/>
        <v/>
      </c>
      <c r="B1624" s="59" t="str">
        <f t="shared" si="202"/>
        <v/>
      </c>
      <c r="V1624" s="59" t="str">
        <f t="shared" si="203"/>
        <v/>
      </c>
      <c r="W1624" s="59" t="str">
        <f t="shared" si="200"/>
        <v/>
      </c>
      <c r="X1624" s="59" t="str">
        <f t="shared" si="204"/>
        <v/>
      </c>
      <c r="AC1624" s="50">
        <f t="shared" si="205"/>
        <v>0</v>
      </c>
      <c r="AD1624" s="43">
        <f t="shared" si="206"/>
        <v>0</v>
      </c>
      <c r="AE1624" s="50">
        <f t="shared" si="207"/>
        <v>0</v>
      </c>
    </row>
    <row r="1625" spans="1:31">
      <c r="A1625" s="59" t="str">
        <f t="shared" si="201"/>
        <v/>
      </c>
      <c r="B1625" s="59" t="str">
        <f t="shared" si="202"/>
        <v/>
      </c>
      <c r="V1625" s="59" t="str">
        <f t="shared" si="203"/>
        <v/>
      </c>
      <c r="W1625" s="59" t="str">
        <f t="shared" si="200"/>
        <v/>
      </c>
      <c r="X1625" s="59" t="str">
        <f t="shared" si="204"/>
        <v/>
      </c>
      <c r="AC1625" s="50">
        <f t="shared" si="205"/>
        <v>0</v>
      </c>
      <c r="AD1625" s="43">
        <f t="shared" si="206"/>
        <v>0</v>
      </c>
      <c r="AE1625" s="50">
        <f t="shared" si="207"/>
        <v>0</v>
      </c>
    </row>
    <row r="1626" spans="1:31">
      <c r="A1626" s="59" t="str">
        <f t="shared" si="201"/>
        <v/>
      </c>
      <c r="B1626" s="59" t="str">
        <f t="shared" si="202"/>
        <v/>
      </c>
      <c r="V1626" s="59" t="str">
        <f t="shared" si="203"/>
        <v/>
      </c>
      <c r="W1626" s="59" t="str">
        <f t="shared" si="200"/>
        <v/>
      </c>
      <c r="X1626" s="59" t="str">
        <f t="shared" si="204"/>
        <v/>
      </c>
      <c r="AC1626" s="50">
        <f t="shared" si="205"/>
        <v>0</v>
      </c>
      <c r="AD1626" s="43">
        <f t="shared" si="206"/>
        <v>0</v>
      </c>
      <c r="AE1626" s="50">
        <f t="shared" si="207"/>
        <v>0</v>
      </c>
    </row>
    <row r="1627" spans="1:31">
      <c r="A1627" s="59" t="str">
        <f t="shared" si="201"/>
        <v/>
      </c>
      <c r="B1627" s="59" t="str">
        <f t="shared" si="202"/>
        <v/>
      </c>
      <c r="V1627" s="59" t="str">
        <f t="shared" si="203"/>
        <v/>
      </c>
      <c r="W1627" s="59" t="str">
        <f t="shared" si="200"/>
        <v/>
      </c>
      <c r="X1627" s="59" t="str">
        <f t="shared" si="204"/>
        <v/>
      </c>
      <c r="AC1627" s="50">
        <f t="shared" si="205"/>
        <v>0</v>
      </c>
      <c r="AD1627" s="43">
        <f t="shared" si="206"/>
        <v>0</v>
      </c>
      <c r="AE1627" s="50">
        <f t="shared" si="207"/>
        <v>0</v>
      </c>
    </row>
    <row r="1628" spans="1:31">
      <c r="A1628" s="59" t="str">
        <f t="shared" si="201"/>
        <v/>
      </c>
      <c r="B1628" s="59" t="str">
        <f t="shared" si="202"/>
        <v/>
      </c>
      <c r="V1628" s="59" t="str">
        <f t="shared" si="203"/>
        <v/>
      </c>
      <c r="W1628" s="59" t="str">
        <f t="shared" si="200"/>
        <v/>
      </c>
      <c r="X1628" s="59" t="str">
        <f t="shared" si="204"/>
        <v/>
      </c>
      <c r="AC1628" s="50">
        <f t="shared" si="205"/>
        <v>0</v>
      </c>
      <c r="AD1628" s="43">
        <f t="shared" si="206"/>
        <v>0</v>
      </c>
      <c r="AE1628" s="50">
        <f t="shared" si="207"/>
        <v>0</v>
      </c>
    </row>
    <row r="1629" spans="1:31">
      <c r="A1629" s="59" t="str">
        <f t="shared" si="201"/>
        <v/>
      </c>
      <c r="B1629" s="59" t="str">
        <f t="shared" si="202"/>
        <v/>
      </c>
      <c r="V1629" s="59" t="str">
        <f t="shared" si="203"/>
        <v/>
      </c>
      <c r="W1629" s="59" t="str">
        <f t="shared" si="200"/>
        <v/>
      </c>
      <c r="X1629" s="59" t="str">
        <f t="shared" si="204"/>
        <v/>
      </c>
      <c r="AC1629" s="50">
        <f t="shared" si="205"/>
        <v>0</v>
      </c>
      <c r="AD1629" s="43">
        <f t="shared" si="206"/>
        <v>0</v>
      </c>
      <c r="AE1629" s="50">
        <f t="shared" si="207"/>
        <v>0</v>
      </c>
    </row>
    <row r="1630" spans="1:31">
      <c r="A1630" s="59" t="str">
        <f t="shared" si="201"/>
        <v/>
      </c>
      <c r="B1630" s="59" t="str">
        <f t="shared" si="202"/>
        <v/>
      </c>
      <c r="V1630" s="59" t="str">
        <f t="shared" si="203"/>
        <v/>
      </c>
      <c r="W1630" s="59" t="str">
        <f t="shared" si="200"/>
        <v/>
      </c>
      <c r="X1630" s="59" t="str">
        <f t="shared" si="204"/>
        <v/>
      </c>
      <c r="AC1630" s="50">
        <f t="shared" si="205"/>
        <v>0</v>
      </c>
      <c r="AD1630" s="43">
        <f t="shared" si="206"/>
        <v>0</v>
      </c>
      <c r="AE1630" s="50">
        <f t="shared" si="207"/>
        <v>0</v>
      </c>
    </row>
    <row r="1631" spans="1:31">
      <c r="A1631" s="59" t="str">
        <f t="shared" si="201"/>
        <v/>
      </c>
      <c r="B1631" s="59" t="str">
        <f t="shared" si="202"/>
        <v/>
      </c>
      <c r="V1631" s="59" t="str">
        <f t="shared" si="203"/>
        <v/>
      </c>
      <c r="W1631" s="59" t="str">
        <f t="shared" si="200"/>
        <v/>
      </c>
      <c r="X1631" s="59" t="str">
        <f t="shared" si="204"/>
        <v/>
      </c>
      <c r="AC1631" s="50">
        <f t="shared" si="205"/>
        <v>0</v>
      </c>
      <c r="AD1631" s="43">
        <f t="shared" si="206"/>
        <v>0</v>
      </c>
      <c r="AE1631" s="50">
        <f t="shared" si="207"/>
        <v>0</v>
      </c>
    </row>
    <row r="1632" spans="1:31">
      <c r="A1632" s="59" t="str">
        <f t="shared" si="201"/>
        <v/>
      </c>
      <c r="B1632" s="59" t="str">
        <f t="shared" si="202"/>
        <v/>
      </c>
      <c r="V1632" s="59" t="str">
        <f t="shared" si="203"/>
        <v/>
      </c>
      <c r="W1632" s="59" t="str">
        <f t="shared" si="200"/>
        <v/>
      </c>
      <c r="X1632" s="59" t="str">
        <f t="shared" si="204"/>
        <v/>
      </c>
      <c r="AC1632" s="50">
        <f t="shared" si="205"/>
        <v>0</v>
      </c>
      <c r="AD1632" s="43">
        <f t="shared" si="206"/>
        <v>0</v>
      </c>
      <c r="AE1632" s="50">
        <f t="shared" si="207"/>
        <v>0</v>
      </c>
    </row>
    <row r="1633" spans="1:31">
      <c r="A1633" s="59" t="str">
        <f t="shared" si="201"/>
        <v/>
      </c>
      <c r="B1633" s="59" t="str">
        <f t="shared" si="202"/>
        <v/>
      </c>
      <c r="V1633" s="59" t="str">
        <f t="shared" si="203"/>
        <v/>
      </c>
      <c r="W1633" s="59" t="str">
        <f t="shared" si="200"/>
        <v/>
      </c>
      <c r="X1633" s="59" t="str">
        <f t="shared" si="204"/>
        <v/>
      </c>
      <c r="AC1633" s="50">
        <f t="shared" si="205"/>
        <v>0</v>
      </c>
      <c r="AD1633" s="43">
        <f t="shared" si="206"/>
        <v>0</v>
      </c>
      <c r="AE1633" s="50">
        <f t="shared" si="207"/>
        <v>0</v>
      </c>
    </row>
    <row r="1634" spans="1:31">
      <c r="A1634" s="59" t="str">
        <f t="shared" si="201"/>
        <v/>
      </c>
      <c r="B1634" s="59" t="str">
        <f t="shared" si="202"/>
        <v/>
      </c>
      <c r="V1634" s="59" t="str">
        <f t="shared" si="203"/>
        <v/>
      </c>
      <c r="W1634" s="59" t="str">
        <f t="shared" si="200"/>
        <v/>
      </c>
      <c r="X1634" s="59" t="str">
        <f t="shared" si="204"/>
        <v/>
      </c>
      <c r="AC1634" s="50">
        <f t="shared" si="205"/>
        <v>0</v>
      </c>
      <c r="AD1634" s="43">
        <f t="shared" si="206"/>
        <v>0</v>
      </c>
      <c r="AE1634" s="50">
        <f t="shared" si="207"/>
        <v>0</v>
      </c>
    </row>
    <row r="1635" spans="1:31">
      <c r="A1635" s="59" t="str">
        <f t="shared" si="201"/>
        <v/>
      </c>
      <c r="B1635" s="59" t="str">
        <f t="shared" si="202"/>
        <v/>
      </c>
      <c r="V1635" s="59" t="str">
        <f t="shared" si="203"/>
        <v/>
      </c>
      <c r="W1635" s="59" t="str">
        <f t="shared" si="200"/>
        <v/>
      </c>
      <c r="X1635" s="59" t="str">
        <f t="shared" si="204"/>
        <v/>
      </c>
      <c r="AC1635" s="50">
        <f t="shared" si="205"/>
        <v>0</v>
      </c>
      <c r="AD1635" s="43">
        <f t="shared" si="206"/>
        <v>0</v>
      </c>
      <c r="AE1635" s="50">
        <f t="shared" si="207"/>
        <v>0</v>
      </c>
    </row>
    <row r="1636" spans="1:31">
      <c r="A1636" s="59" t="str">
        <f t="shared" si="201"/>
        <v/>
      </c>
      <c r="B1636" s="59" t="str">
        <f t="shared" si="202"/>
        <v/>
      </c>
      <c r="V1636" s="59" t="str">
        <f t="shared" si="203"/>
        <v/>
      </c>
      <c r="W1636" s="59" t="str">
        <f t="shared" si="200"/>
        <v/>
      </c>
      <c r="X1636" s="59" t="str">
        <f t="shared" si="204"/>
        <v/>
      </c>
      <c r="AC1636" s="50">
        <f t="shared" si="205"/>
        <v>0</v>
      </c>
      <c r="AD1636" s="43">
        <f t="shared" si="206"/>
        <v>0</v>
      </c>
      <c r="AE1636" s="50">
        <f t="shared" si="207"/>
        <v>0</v>
      </c>
    </row>
    <row r="1637" spans="1:31">
      <c r="A1637" s="59" t="str">
        <f t="shared" si="201"/>
        <v/>
      </c>
      <c r="B1637" s="59" t="str">
        <f t="shared" si="202"/>
        <v/>
      </c>
      <c r="V1637" s="59" t="str">
        <f t="shared" si="203"/>
        <v/>
      </c>
      <c r="W1637" s="59" t="str">
        <f t="shared" si="200"/>
        <v/>
      </c>
      <c r="X1637" s="59" t="str">
        <f t="shared" si="204"/>
        <v/>
      </c>
      <c r="AC1637" s="50">
        <f t="shared" si="205"/>
        <v>0</v>
      </c>
      <c r="AD1637" s="43">
        <f t="shared" si="206"/>
        <v>0</v>
      </c>
      <c r="AE1637" s="50">
        <f t="shared" si="207"/>
        <v>0</v>
      </c>
    </row>
    <row r="1638" spans="1:31">
      <c r="A1638" s="59" t="str">
        <f t="shared" si="201"/>
        <v/>
      </c>
      <c r="B1638" s="59" t="str">
        <f t="shared" si="202"/>
        <v/>
      </c>
      <c r="V1638" s="59" t="str">
        <f t="shared" si="203"/>
        <v/>
      </c>
      <c r="W1638" s="59" t="str">
        <f t="shared" si="200"/>
        <v/>
      </c>
      <c r="X1638" s="59" t="str">
        <f t="shared" si="204"/>
        <v/>
      </c>
      <c r="AC1638" s="50">
        <f t="shared" si="205"/>
        <v>0</v>
      </c>
      <c r="AD1638" s="43">
        <f t="shared" si="206"/>
        <v>0</v>
      </c>
      <c r="AE1638" s="50">
        <f t="shared" si="207"/>
        <v>0</v>
      </c>
    </row>
    <row r="1639" spans="1:31">
      <c r="A1639" s="59" t="str">
        <f t="shared" si="201"/>
        <v/>
      </c>
      <c r="B1639" s="59" t="str">
        <f t="shared" si="202"/>
        <v/>
      </c>
      <c r="V1639" s="59" t="str">
        <f t="shared" si="203"/>
        <v/>
      </c>
      <c r="W1639" s="59" t="str">
        <f t="shared" si="200"/>
        <v/>
      </c>
      <c r="X1639" s="59" t="str">
        <f t="shared" si="204"/>
        <v/>
      </c>
      <c r="AC1639" s="50">
        <f t="shared" si="205"/>
        <v>0</v>
      </c>
      <c r="AD1639" s="43">
        <f t="shared" si="206"/>
        <v>0</v>
      </c>
      <c r="AE1639" s="50">
        <f t="shared" si="207"/>
        <v>0</v>
      </c>
    </row>
    <row r="1640" spans="1:31">
      <c r="A1640" s="59" t="str">
        <f t="shared" si="201"/>
        <v/>
      </c>
      <c r="B1640" s="59" t="str">
        <f t="shared" si="202"/>
        <v/>
      </c>
      <c r="V1640" s="59" t="str">
        <f t="shared" si="203"/>
        <v/>
      </c>
      <c r="W1640" s="59" t="str">
        <f t="shared" si="200"/>
        <v/>
      </c>
      <c r="X1640" s="59" t="str">
        <f t="shared" si="204"/>
        <v/>
      </c>
      <c r="AC1640" s="50">
        <f t="shared" si="205"/>
        <v>0</v>
      </c>
      <c r="AD1640" s="43">
        <f t="shared" si="206"/>
        <v>0</v>
      </c>
      <c r="AE1640" s="50">
        <f t="shared" si="207"/>
        <v>0</v>
      </c>
    </row>
    <row r="1641" spans="1:31">
      <c r="A1641" s="59" t="str">
        <f t="shared" si="201"/>
        <v/>
      </c>
      <c r="B1641" s="59" t="str">
        <f t="shared" si="202"/>
        <v/>
      </c>
      <c r="V1641" s="59" t="str">
        <f t="shared" si="203"/>
        <v/>
      </c>
      <c r="W1641" s="59" t="str">
        <f t="shared" si="200"/>
        <v/>
      </c>
      <c r="X1641" s="59" t="str">
        <f t="shared" si="204"/>
        <v/>
      </c>
      <c r="AC1641" s="50">
        <f t="shared" si="205"/>
        <v>0</v>
      </c>
      <c r="AD1641" s="43">
        <f t="shared" si="206"/>
        <v>0</v>
      </c>
      <c r="AE1641" s="50">
        <f t="shared" si="207"/>
        <v>0</v>
      </c>
    </row>
    <row r="1642" spans="1:31">
      <c r="A1642" s="59" t="str">
        <f t="shared" si="201"/>
        <v/>
      </c>
      <c r="B1642" s="59" t="str">
        <f t="shared" si="202"/>
        <v/>
      </c>
      <c r="V1642" s="59" t="str">
        <f t="shared" si="203"/>
        <v/>
      </c>
      <c r="W1642" s="59" t="str">
        <f t="shared" si="200"/>
        <v/>
      </c>
      <c r="X1642" s="59" t="str">
        <f t="shared" si="204"/>
        <v/>
      </c>
      <c r="AC1642" s="50">
        <f t="shared" si="205"/>
        <v>0</v>
      </c>
      <c r="AD1642" s="43">
        <f t="shared" si="206"/>
        <v>0</v>
      </c>
      <c r="AE1642" s="50">
        <f t="shared" si="207"/>
        <v>0</v>
      </c>
    </row>
    <row r="1643" spans="1:31">
      <c r="A1643" s="59" t="str">
        <f t="shared" si="201"/>
        <v/>
      </c>
      <c r="B1643" s="59" t="str">
        <f t="shared" si="202"/>
        <v/>
      </c>
      <c r="V1643" s="59" t="str">
        <f t="shared" si="203"/>
        <v/>
      </c>
      <c r="W1643" s="59" t="str">
        <f t="shared" si="200"/>
        <v/>
      </c>
      <c r="X1643" s="59" t="str">
        <f t="shared" si="204"/>
        <v/>
      </c>
      <c r="AC1643" s="50">
        <f t="shared" si="205"/>
        <v>0</v>
      </c>
      <c r="AD1643" s="43">
        <f t="shared" si="206"/>
        <v>0</v>
      </c>
      <c r="AE1643" s="50">
        <f t="shared" si="207"/>
        <v>0</v>
      </c>
    </row>
    <row r="1644" spans="1:31">
      <c r="A1644" s="59" t="str">
        <f t="shared" si="201"/>
        <v/>
      </c>
      <c r="B1644" s="59" t="str">
        <f t="shared" si="202"/>
        <v/>
      </c>
      <c r="V1644" s="59" t="str">
        <f t="shared" si="203"/>
        <v/>
      </c>
      <c r="W1644" s="59" t="str">
        <f t="shared" si="200"/>
        <v/>
      </c>
      <c r="X1644" s="59" t="str">
        <f t="shared" si="204"/>
        <v/>
      </c>
      <c r="AC1644" s="50">
        <f t="shared" si="205"/>
        <v>0</v>
      </c>
      <c r="AD1644" s="43">
        <f t="shared" si="206"/>
        <v>0</v>
      </c>
      <c r="AE1644" s="50">
        <f t="shared" si="207"/>
        <v>0</v>
      </c>
    </row>
    <row r="1645" spans="1:31">
      <c r="A1645" s="59" t="str">
        <f t="shared" si="201"/>
        <v/>
      </c>
      <c r="B1645" s="59" t="str">
        <f t="shared" si="202"/>
        <v/>
      </c>
      <c r="V1645" s="59" t="str">
        <f t="shared" si="203"/>
        <v/>
      </c>
      <c r="W1645" s="59" t="str">
        <f t="shared" si="200"/>
        <v/>
      </c>
      <c r="X1645" s="59" t="str">
        <f t="shared" si="204"/>
        <v/>
      </c>
      <c r="AC1645" s="50">
        <f t="shared" si="205"/>
        <v>0</v>
      </c>
      <c r="AD1645" s="43">
        <f t="shared" si="206"/>
        <v>0</v>
      </c>
      <c r="AE1645" s="50">
        <f t="shared" si="207"/>
        <v>0</v>
      </c>
    </row>
    <row r="1646" spans="1:31">
      <c r="A1646" s="59" t="str">
        <f t="shared" si="201"/>
        <v/>
      </c>
      <c r="B1646" s="59" t="str">
        <f t="shared" si="202"/>
        <v/>
      </c>
      <c r="V1646" s="59" t="str">
        <f t="shared" si="203"/>
        <v/>
      </c>
      <c r="W1646" s="59" t="str">
        <f t="shared" si="200"/>
        <v/>
      </c>
      <c r="X1646" s="59" t="str">
        <f t="shared" si="204"/>
        <v/>
      </c>
      <c r="AC1646" s="50">
        <f t="shared" si="205"/>
        <v>0</v>
      </c>
      <c r="AD1646" s="43">
        <f t="shared" si="206"/>
        <v>0</v>
      </c>
      <c r="AE1646" s="50">
        <f t="shared" si="207"/>
        <v>0</v>
      </c>
    </row>
    <row r="1647" spans="1:31">
      <c r="A1647" s="59" t="str">
        <f t="shared" si="201"/>
        <v/>
      </c>
      <c r="B1647" s="59" t="str">
        <f t="shared" si="202"/>
        <v/>
      </c>
      <c r="V1647" s="59" t="str">
        <f t="shared" si="203"/>
        <v/>
      </c>
      <c r="W1647" s="59" t="str">
        <f t="shared" si="200"/>
        <v/>
      </c>
      <c r="X1647" s="59" t="str">
        <f t="shared" si="204"/>
        <v/>
      </c>
      <c r="AC1647" s="50">
        <f t="shared" si="205"/>
        <v>0</v>
      </c>
      <c r="AD1647" s="43">
        <f t="shared" si="206"/>
        <v>0</v>
      </c>
      <c r="AE1647" s="50">
        <f t="shared" si="207"/>
        <v>0</v>
      </c>
    </row>
    <row r="1648" spans="1:31">
      <c r="A1648" s="59" t="str">
        <f t="shared" si="201"/>
        <v/>
      </c>
      <c r="B1648" s="59" t="str">
        <f t="shared" si="202"/>
        <v/>
      </c>
      <c r="V1648" s="59" t="str">
        <f t="shared" si="203"/>
        <v/>
      </c>
      <c r="W1648" s="59" t="str">
        <f t="shared" si="200"/>
        <v/>
      </c>
      <c r="X1648" s="59" t="str">
        <f t="shared" si="204"/>
        <v/>
      </c>
      <c r="AC1648" s="50">
        <f t="shared" si="205"/>
        <v>0</v>
      </c>
      <c r="AD1648" s="43">
        <f t="shared" si="206"/>
        <v>0</v>
      </c>
      <c r="AE1648" s="50">
        <f t="shared" si="207"/>
        <v>0</v>
      </c>
    </row>
    <row r="1649" spans="1:31">
      <c r="A1649" s="59" t="str">
        <f t="shared" si="201"/>
        <v/>
      </c>
      <c r="B1649" s="59" t="str">
        <f t="shared" si="202"/>
        <v/>
      </c>
      <c r="V1649" s="59" t="str">
        <f t="shared" si="203"/>
        <v/>
      </c>
      <c r="W1649" s="59" t="str">
        <f t="shared" si="200"/>
        <v/>
      </c>
      <c r="X1649" s="59" t="str">
        <f t="shared" si="204"/>
        <v/>
      </c>
      <c r="AC1649" s="50">
        <f t="shared" si="205"/>
        <v>0</v>
      </c>
      <c r="AD1649" s="43">
        <f t="shared" si="206"/>
        <v>0</v>
      </c>
      <c r="AE1649" s="50">
        <f t="shared" si="207"/>
        <v>0</v>
      </c>
    </row>
    <row r="1650" spans="1:31">
      <c r="A1650" s="59" t="str">
        <f t="shared" si="201"/>
        <v/>
      </c>
      <c r="B1650" s="59" t="str">
        <f t="shared" si="202"/>
        <v/>
      </c>
      <c r="V1650" s="59" t="str">
        <f t="shared" si="203"/>
        <v/>
      </c>
      <c r="W1650" s="59" t="str">
        <f t="shared" si="200"/>
        <v/>
      </c>
      <c r="X1650" s="59" t="str">
        <f t="shared" si="204"/>
        <v/>
      </c>
      <c r="AC1650" s="50">
        <f t="shared" si="205"/>
        <v>0</v>
      </c>
      <c r="AD1650" s="43">
        <f t="shared" si="206"/>
        <v>0</v>
      </c>
      <c r="AE1650" s="50">
        <f t="shared" si="207"/>
        <v>0</v>
      </c>
    </row>
    <row r="1651" spans="1:31">
      <c r="A1651" s="59" t="str">
        <f t="shared" si="201"/>
        <v/>
      </c>
      <c r="B1651" s="59" t="str">
        <f t="shared" si="202"/>
        <v/>
      </c>
      <c r="V1651" s="59" t="str">
        <f t="shared" si="203"/>
        <v/>
      </c>
      <c r="W1651" s="59" t="str">
        <f t="shared" si="200"/>
        <v/>
      </c>
      <c r="X1651" s="59" t="str">
        <f t="shared" si="204"/>
        <v/>
      </c>
      <c r="AC1651" s="50">
        <f t="shared" si="205"/>
        <v>0</v>
      </c>
      <c r="AD1651" s="43">
        <f t="shared" si="206"/>
        <v>0</v>
      </c>
      <c r="AE1651" s="50">
        <f t="shared" si="207"/>
        <v>0</v>
      </c>
    </row>
    <row r="1652" spans="1:31">
      <c r="A1652" s="59" t="str">
        <f t="shared" si="201"/>
        <v/>
      </c>
      <c r="B1652" s="59" t="str">
        <f t="shared" si="202"/>
        <v/>
      </c>
      <c r="V1652" s="59" t="str">
        <f t="shared" si="203"/>
        <v/>
      </c>
      <c r="W1652" s="59" t="str">
        <f t="shared" si="200"/>
        <v/>
      </c>
      <c r="X1652" s="59" t="str">
        <f t="shared" si="204"/>
        <v/>
      </c>
      <c r="AC1652" s="50">
        <f t="shared" si="205"/>
        <v>0</v>
      </c>
      <c r="AD1652" s="43">
        <f t="shared" si="206"/>
        <v>0</v>
      </c>
      <c r="AE1652" s="50">
        <f t="shared" si="207"/>
        <v>0</v>
      </c>
    </row>
    <row r="1653" spans="1:31">
      <c r="A1653" s="59" t="str">
        <f t="shared" si="201"/>
        <v/>
      </c>
      <c r="B1653" s="59" t="str">
        <f t="shared" si="202"/>
        <v/>
      </c>
      <c r="V1653" s="59" t="str">
        <f t="shared" si="203"/>
        <v/>
      </c>
      <c r="W1653" s="59" t="str">
        <f t="shared" si="200"/>
        <v/>
      </c>
      <c r="X1653" s="59" t="str">
        <f t="shared" si="204"/>
        <v/>
      </c>
      <c r="AC1653" s="50">
        <f t="shared" si="205"/>
        <v>0</v>
      </c>
      <c r="AD1653" s="43">
        <f t="shared" si="206"/>
        <v>0</v>
      </c>
      <c r="AE1653" s="50">
        <f t="shared" si="207"/>
        <v>0</v>
      </c>
    </row>
    <row r="1654" spans="1:31">
      <c r="A1654" s="59" t="str">
        <f t="shared" si="201"/>
        <v/>
      </c>
      <c r="B1654" s="59" t="str">
        <f t="shared" si="202"/>
        <v/>
      </c>
      <c r="V1654" s="59" t="str">
        <f t="shared" si="203"/>
        <v/>
      </c>
      <c r="W1654" s="59" t="str">
        <f t="shared" si="200"/>
        <v/>
      </c>
      <c r="X1654" s="59" t="str">
        <f t="shared" si="204"/>
        <v/>
      </c>
      <c r="AC1654" s="50">
        <f t="shared" si="205"/>
        <v>0</v>
      </c>
      <c r="AD1654" s="43">
        <f t="shared" si="206"/>
        <v>0</v>
      </c>
      <c r="AE1654" s="50">
        <f t="shared" si="207"/>
        <v>0</v>
      </c>
    </row>
    <row r="1655" spans="1:31">
      <c r="A1655" s="59" t="str">
        <f t="shared" si="201"/>
        <v/>
      </c>
      <c r="B1655" s="59" t="str">
        <f t="shared" si="202"/>
        <v/>
      </c>
      <c r="V1655" s="59" t="str">
        <f t="shared" si="203"/>
        <v/>
      </c>
      <c r="W1655" s="59" t="str">
        <f t="shared" si="200"/>
        <v/>
      </c>
      <c r="X1655" s="59" t="str">
        <f t="shared" si="204"/>
        <v/>
      </c>
      <c r="AC1655" s="50">
        <f t="shared" si="205"/>
        <v>0</v>
      </c>
      <c r="AD1655" s="43">
        <f t="shared" si="206"/>
        <v>0</v>
      </c>
      <c r="AE1655" s="50">
        <f t="shared" si="207"/>
        <v>0</v>
      </c>
    </row>
    <row r="1656" spans="1:31">
      <c r="A1656" s="59" t="str">
        <f t="shared" si="201"/>
        <v/>
      </c>
      <c r="B1656" s="59" t="str">
        <f t="shared" si="202"/>
        <v/>
      </c>
      <c r="V1656" s="59" t="str">
        <f t="shared" si="203"/>
        <v/>
      </c>
      <c r="W1656" s="59" t="str">
        <f t="shared" si="200"/>
        <v/>
      </c>
      <c r="X1656" s="59" t="str">
        <f t="shared" si="204"/>
        <v/>
      </c>
      <c r="AC1656" s="50">
        <f t="shared" si="205"/>
        <v>0</v>
      </c>
      <c r="AD1656" s="43">
        <f t="shared" si="206"/>
        <v>0</v>
      </c>
      <c r="AE1656" s="50">
        <f t="shared" si="207"/>
        <v>0</v>
      </c>
    </row>
    <row r="1657" spans="1:31">
      <c r="A1657" s="59" t="str">
        <f t="shared" si="201"/>
        <v/>
      </c>
      <c r="B1657" s="59" t="str">
        <f t="shared" si="202"/>
        <v/>
      </c>
      <c r="V1657" s="59" t="str">
        <f t="shared" si="203"/>
        <v/>
      </c>
      <c r="W1657" s="59" t="str">
        <f t="shared" si="200"/>
        <v/>
      </c>
      <c r="X1657" s="59" t="str">
        <f t="shared" si="204"/>
        <v/>
      </c>
      <c r="AC1657" s="50">
        <f t="shared" si="205"/>
        <v>0</v>
      </c>
      <c r="AD1657" s="43">
        <f t="shared" si="206"/>
        <v>0</v>
      </c>
      <c r="AE1657" s="50">
        <f t="shared" si="207"/>
        <v>0</v>
      </c>
    </row>
    <row r="1658" spans="1:31">
      <c r="A1658" s="59" t="str">
        <f t="shared" si="201"/>
        <v/>
      </c>
      <c r="B1658" s="59" t="str">
        <f t="shared" si="202"/>
        <v/>
      </c>
      <c r="V1658" s="59" t="str">
        <f t="shared" si="203"/>
        <v/>
      </c>
      <c r="W1658" s="59" t="str">
        <f t="shared" si="200"/>
        <v/>
      </c>
      <c r="X1658" s="59" t="str">
        <f t="shared" si="204"/>
        <v/>
      </c>
      <c r="AC1658" s="50">
        <f t="shared" si="205"/>
        <v>0</v>
      </c>
      <c r="AD1658" s="43">
        <f t="shared" si="206"/>
        <v>0</v>
      </c>
      <c r="AE1658" s="50">
        <f t="shared" si="207"/>
        <v>0</v>
      </c>
    </row>
    <row r="1659" spans="1:31">
      <c r="A1659" s="59" t="str">
        <f t="shared" si="201"/>
        <v/>
      </c>
      <c r="B1659" s="59" t="str">
        <f t="shared" si="202"/>
        <v/>
      </c>
      <c r="V1659" s="59" t="str">
        <f t="shared" si="203"/>
        <v/>
      </c>
      <c r="W1659" s="59" t="str">
        <f t="shared" si="200"/>
        <v/>
      </c>
      <c r="X1659" s="59" t="str">
        <f t="shared" si="204"/>
        <v/>
      </c>
      <c r="AC1659" s="50">
        <f t="shared" si="205"/>
        <v>0</v>
      </c>
      <c r="AD1659" s="43">
        <f t="shared" si="206"/>
        <v>0</v>
      </c>
      <c r="AE1659" s="50">
        <f t="shared" si="207"/>
        <v>0</v>
      </c>
    </row>
    <row r="1660" spans="1:31">
      <c r="A1660" s="59" t="str">
        <f t="shared" si="201"/>
        <v/>
      </c>
      <c r="B1660" s="59" t="str">
        <f t="shared" si="202"/>
        <v/>
      </c>
      <c r="V1660" s="59" t="str">
        <f t="shared" si="203"/>
        <v/>
      </c>
      <c r="W1660" s="59" t="str">
        <f t="shared" si="200"/>
        <v/>
      </c>
      <c r="X1660" s="59" t="str">
        <f t="shared" si="204"/>
        <v/>
      </c>
      <c r="AC1660" s="50">
        <f t="shared" si="205"/>
        <v>0</v>
      </c>
      <c r="AD1660" s="43">
        <f t="shared" si="206"/>
        <v>0</v>
      </c>
      <c r="AE1660" s="50">
        <f t="shared" si="207"/>
        <v>0</v>
      </c>
    </row>
    <row r="1661" spans="1:31">
      <c r="A1661" s="59" t="str">
        <f t="shared" si="201"/>
        <v/>
      </c>
      <c r="B1661" s="59" t="str">
        <f t="shared" si="202"/>
        <v/>
      </c>
      <c r="V1661" s="59" t="str">
        <f t="shared" si="203"/>
        <v/>
      </c>
      <c r="W1661" s="59" t="str">
        <f t="shared" si="200"/>
        <v/>
      </c>
      <c r="X1661" s="59" t="str">
        <f t="shared" si="204"/>
        <v/>
      </c>
      <c r="AC1661" s="50">
        <f t="shared" si="205"/>
        <v>0</v>
      </c>
      <c r="AD1661" s="43">
        <f t="shared" si="206"/>
        <v>0</v>
      </c>
      <c r="AE1661" s="50">
        <f t="shared" si="207"/>
        <v>0</v>
      </c>
    </row>
    <row r="1662" spans="1:31">
      <c r="A1662" s="59" t="str">
        <f t="shared" si="201"/>
        <v/>
      </c>
      <c r="B1662" s="59" t="str">
        <f t="shared" si="202"/>
        <v/>
      </c>
      <c r="V1662" s="59" t="str">
        <f t="shared" si="203"/>
        <v/>
      </c>
      <c r="W1662" s="59" t="str">
        <f t="shared" si="200"/>
        <v/>
      </c>
      <c r="X1662" s="59" t="str">
        <f t="shared" si="204"/>
        <v/>
      </c>
      <c r="AC1662" s="50">
        <f t="shared" si="205"/>
        <v>0</v>
      </c>
      <c r="AD1662" s="43">
        <f t="shared" si="206"/>
        <v>0</v>
      </c>
      <c r="AE1662" s="50">
        <f t="shared" si="207"/>
        <v>0</v>
      </c>
    </row>
    <row r="1663" spans="1:31">
      <c r="A1663" s="59" t="str">
        <f t="shared" si="201"/>
        <v/>
      </c>
      <c r="B1663" s="59" t="str">
        <f t="shared" si="202"/>
        <v/>
      </c>
      <c r="V1663" s="59" t="str">
        <f t="shared" si="203"/>
        <v/>
      </c>
      <c r="W1663" s="59" t="str">
        <f t="shared" si="200"/>
        <v/>
      </c>
      <c r="X1663" s="59" t="str">
        <f t="shared" si="204"/>
        <v/>
      </c>
      <c r="AC1663" s="50">
        <f t="shared" si="205"/>
        <v>0</v>
      </c>
      <c r="AD1663" s="43">
        <f t="shared" si="206"/>
        <v>0</v>
      </c>
      <c r="AE1663" s="50">
        <f t="shared" si="207"/>
        <v>0</v>
      </c>
    </row>
    <row r="1664" spans="1:31">
      <c r="A1664" s="59" t="str">
        <f t="shared" si="201"/>
        <v/>
      </c>
      <c r="B1664" s="59" t="str">
        <f t="shared" si="202"/>
        <v/>
      </c>
      <c r="V1664" s="59" t="str">
        <f t="shared" si="203"/>
        <v/>
      </c>
      <c r="W1664" s="59" t="str">
        <f t="shared" si="200"/>
        <v/>
      </c>
      <c r="X1664" s="59" t="str">
        <f t="shared" si="204"/>
        <v/>
      </c>
      <c r="AC1664" s="50">
        <f t="shared" si="205"/>
        <v>0</v>
      </c>
      <c r="AD1664" s="43">
        <f t="shared" si="206"/>
        <v>0</v>
      </c>
      <c r="AE1664" s="50">
        <f t="shared" si="207"/>
        <v>0</v>
      </c>
    </row>
    <row r="1665" spans="1:31">
      <c r="A1665" s="59" t="str">
        <f t="shared" si="201"/>
        <v/>
      </c>
      <c r="B1665" s="59" t="str">
        <f t="shared" si="202"/>
        <v/>
      </c>
      <c r="V1665" s="59" t="str">
        <f t="shared" si="203"/>
        <v/>
      </c>
      <c r="W1665" s="59" t="str">
        <f t="shared" si="200"/>
        <v/>
      </c>
      <c r="X1665" s="59" t="str">
        <f t="shared" si="204"/>
        <v/>
      </c>
      <c r="AC1665" s="50">
        <f t="shared" si="205"/>
        <v>0</v>
      </c>
      <c r="AD1665" s="43">
        <f t="shared" si="206"/>
        <v>0</v>
      </c>
      <c r="AE1665" s="50">
        <f t="shared" si="207"/>
        <v>0</v>
      </c>
    </row>
    <row r="1666" spans="1:31">
      <c r="A1666" s="59" t="str">
        <f t="shared" si="201"/>
        <v/>
      </c>
      <c r="B1666" s="59" t="str">
        <f t="shared" si="202"/>
        <v/>
      </c>
      <c r="V1666" s="59" t="str">
        <f t="shared" si="203"/>
        <v/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59" t="str">
        <f t="shared" si="204"/>
        <v/>
      </c>
      <c r="AC1666" s="50">
        <f t="shared" si="205"/>
        <v>0</v>
      </c>
      <c r="AD1666" s="43">
        <f t="shared" si="206"/>
        <v>0</v>
      </c>
      <c r="AE1666" s="50">
        <f t="shared" si="207"/>
        <v>0</v>
      </c>
    </row>
    <row r="1667" spans="1:31">
      <c r="A1667" s="59" t="str">
        <f t="shared" ref="A1667:A1730" si="209">IF(G1667&amp;Q1667&lt;&gt;"",W1667&amp;Q1667,"")</f>
        <v/>
      </c>
      <c r="B1667" s="59" t="str">
        <f t="shared" ref="B1667:B1730" si="210">IF(C1667&lt;&gt;"",LEFT(C1667,9),"")</f>
        <v/>
      </c>
      <c r="V1667" s="59" t="str">
        <f t="shared" ref="V1667:V1730" si="211">W1667&amp;H1667</f>
        <v/>
      </c>
      <c r="W1667" s="59" t="str">
        <f t="shared" si="208"/>
        <v/>
      </c>
      <c r="X1667" s="59" t="str">
        <f t="shared" ref="X1667:X1730" si="212">IF(A1667&lt;&gt;"",IFERROR(IF(FIND(" ",G1667)&gt;=1,MID(G1667,FIND(" ",G1667)+1,LEN(G1667)),""),""),"")</f>
        <v/>
      </c>
      <c r="AC1667" s="50">
        <f t="shared" ref="AC1667:AC1730" si="213">IFERROR(VALUE(MID($C1667,1,2)),0)</f>
        <v>0</v>
      </c>
      <c r="AD1667" s="43">
        <f t="shared" ref="AD1667:AD1730" si="214">IFERROR(VALUE(MID($C1667,4,3)),0)</f>
        <v>0</v>
      </c>
      <c r="AE1667" s="50">
        <f t="shared" ref="AE1667:AE1730" si="215">VALUE(RIGHT("00"&amp;AC1667,2)&amp;RIGHT("000"&amp;AD1667,3))</f>
        <v>0</v>
      </c>
    </row>
    <row r="1668" spans="1:31">
      <c r="A1668" s="59" t="str">
        <f t="shared" si="209"/>
        <v/>
      </c>
      <c r="B1668" s="59" t="str">
        <f t="shared" si="210"/>
        <v/>
      </c>
      <c r="V1668" s="59" t="str">
        <f t="shared" si="211"/>
        <v/>
      </c>
      <c r="W1668" s="59" t="str">
        <f t="shared" si="208"/>
        <v/>
      </c>
      <c r="X1668" s="59" t="str">
        <f t="shared" si="212"/>
        <v/>
      </c>
      <c r="AC1668" s="50">
        <f t="shared" si="213"/>
        <v>0</v>
      </c>
      <c r="AD1668" s="43">
        <f t="shared" si="214"/>
        <v>0</v>
      </c>
      <c r="AE1668" s="50">
        <f t="shared" si="215"/>
        <v>0</v>
      </c>
    </row>
    <row r="1669" spans="1:31">
      <c r="A1669" s="59" t="str">
        <f t="shared" si="209"/>
        <v/>
      </c>
      <c r="B1669" s="59" t="str">
        <f t="shared" si="210"/>
        <v/>
      </c>
      <c r="V1669" s="59" t="str">
        <f t="shared" si="211"/>
        <v/>
      </c>
      <c r="W1669" s="59" t="str">
        <f t="shared" si="208"/>
        <v/>
      </c>
      <c r="X1669" s="59" t="str">
        <f t="shared" si="212"/>
        <v/>
      </c>
      <c r="AC1669" s="50">
        <f t="shared" si="213"/>
        <v>0</v>
      </c>
      <c r="AD1669" s="43">
        <f t="shared" si="214"/>
        <v>0</v>
      </c>
      <c r="AE1669" s="50">
        <f t="shared" si="215"/>
        <v>0</v>
      </c>
    </row>
    <row r="1670" spans="1:31">
      <c r="A1670" s="59" t="str">
        <f t="shared" si="209"/>
        <v/>
      </c>
      <c r="B1670" s="59" t="str">
        <f t="shared" si="210"/>
        <v/>
      </c>
      <c r="V1670" s="59" t="str">
        <f t="shared" si="211"/>
        <v/>
      </c>
      <c r="W1670" s="59" t="str">
        <f t="shared" si="208"/>
        <v/>
      </c>
      <c r="X1670" s="59" t="str">
        <f t="shared" si="212"/>
        <v/>
      </c>
      <c r="AC1670" s="50">
        <f t="shared" si="213"/>
        <v>0</v>
      </c>
      <c r="AD1670" s="43">
        <f t="shared" si="214"/>
        <v>0</v>
      </c>
      <c r="AE1670" s="50">
        <f t="shared" si="215"/>
        <v>0</v>
      </c>
    </row>
    <row r="1671" spans="1:31">
      <c r="A1671" s="59" t="str">
        <f t="shared" si="209"/>
        <v/>
      </c>
      <c r="B1671" s="59" t="str">
        <f t="shared" si="210"/>
        <v/>
      </c>
      <c r="V1671" s="59" t="str">
        <f t="shared" si="211"/>
        <v/>
      </c>
      <c r="W1671" s="59" t="str">
        <f t="shared" si="208"/>
        <v/>
      </c>
      <c r="X1671" s="59" t="str">
        <f t="shared" si="212"/>
        <v/>
      </c>
      <c r="AC1671" s="50">
        <f t="shared" si="213"/>
        <v>0</v>
      </c>
      <c r="AD1671" s="43">
        <f t="shared" si="214"/>
        <v>0</v>
      </c>
      <c r="AE1671" s="50">
        <f t="shared" si="215"/>
        <v>0</v>
      </c>
    </row>
    <row r="1672" spans="1:31">
      <c r="A1672" s="59" t="str">
        <f t="shared" si="209"/>
        <v/>
      </c>
      <c r="B1672" s="59" t="str">
        <f t="shared" si="210"/>
        <v/>
      </c>
      <c r="V1672" s="59" t="str">
        <f t="shared" si="211"/>
        <v/>
      </c>
      <c r="W1672" s="59" t="str">
        <f t="shared" si="208"/>
        <v/>
      </c>
      <c r="X1672" s="59" t="str">
        <f t="shared" si="212"/>
        <v/>
      </c>
      <c r="AC1672" s="50">
        <f t="shared" si="213"/>
        <v>0</v>
      </c>
      <c r="AD1672" s="43">
        <f t="shared" si="214"/>
        <v>0</v>
      </c>
      <c r="AE1672" s="50">
        <f t="shared" si="215"/>
        <v>0</v>
      </c>
    </row>
    <row r="1673" spans="1:31">
      <c r="A1673" s="59" t="str">
        <f t="shared" si="209"/>
        <v/>
      </c>
      <c r="B1673" s="59" t="str">
        <f t="shared" si="210"/>
        <v/>
      </c>
      <c r="V1673" s="59" t="str">
        <f t="shared" si="211"/>
        <v/>
      </c>
      <c r="W1673" s="59" t="str">
        <f t="shared" si="208"/>
        <v/>
      </c>
      <c r="X1673" s="59" t="str">
        <f t="shared" si="212"/>
        <v/>
      </c>
      <c r="AC1673" s="50">
        <f t="shared" si="213"/>
        <v>0</v>
      </c>
      <c r="AD1673" s="43">
        <f t="shared" si="214"/>
        <v>0</v>
      </c>
      <c r="AE1673" s="50">
        <f t="shared" si="215"/>
        <v>0</v>
      </c>
    </row>
    <row r="1674" spans="1:31">
      <c r="A1674" s="59" t="str">
        <f t="shared" si="209"/>
        <v/>
      </c>
      <c r="B1674" s="59" t="str">
        <f t="shared" si="210"/>
        <v/>
      </c>
      <c r="V1674" s="59" t="str">
        <f t="shared" si="211"/>
        <v/>
      </c>
      <c r="W1674" s="59" t="str">
        <f t="shared" si="208"/>
        <v/>
      </c>
      <c r="X1674" s="59" t="str">
        <f t="shared" si="212"/>
        <v/>
      </c>
      <c r="AC1674" s="50">
        <f t="shared" si="213"/>
        <v>0</v>
      </c>
      <c r="AD1674" s="43">
        <f t="shared" si="214"/>
        <v>0</v>
      </c>
      <c r="AE1674" s="50">
        <f t="shared" si="215"/>
        <v>0</v>
      </c>
    </row>
    <row r="1675" spans="1:31">
      <c r="A1675" s="59" t="str">
        <f t="shared" si="209"/>
        <v/>
      </c>
      <c r="B1675" s="59" t="str">
        <f t="shared" si="210"/>
        <v/>
      </c>
      <c r="V1675" s="59" t="str">
        <f t="shared" si="211"/>
        <v/>
      </c>
      <c r="W1675" s="59" t="str">
        <f t="shared" si="208"/>
        <v/>
      </c>
      <c r="X1675" s="59" t="str">
        <f t="shared" si="212"/>
        <v/>
      </c>
      <c r="AC1675" s="50">
        <f t="shared" si="213"/>
        <v>0</v>
      </c>
      <c r="AD1675" s="43">
        <f t="shared" si="214"/>
        <v>0</v>
      </c>
      <c r="AE1675" s="50">
        <f t="shared" si="215"/>
        <v>0</v>
      </c>
    </row>
    <row r="1676" spans="1:31">
      <c r="A1676" s="59" t="str">
        <f t="shared" si="209"/>
        <v/>
      </c>
      <c r="B1676" s="59" t="str">
        <f t="shared" si="210"/>
        <v/>
      </c>
      <c r="V1676" s="59" t="str">
        <f t="shared" si="211"/>
        <v/>
      </c>
      <c r="W1676" s="59" t="str">
        <f t="shared" si="208"/>
        <v/>
      </c>
      <c r="X1676" s="59" t="str">
        <f t="shared" si="212"/>
        <v/>
      </c>
      <c r="AC1676" s="50">
        <f t="shared" si="213"/>
        <v>0</v>
      </c>
      <c r="AD1676" s="43">
        <f t="shared" si="214"/>
        <v>0</v>
      </c>
      <c r="AE1676" s="50">
        <f t="shared" si="215"/>
        <v>0</v>
      </c>
    </row>
    <row r="1677" spans="1:31">
      <c r="A1677" s="59" t="str">
        <f t="shared" si="209"/>
        <v/>
      </c>
      <c r="B1677" s="59" t="str">
        <f t="shared" si="210"/>
        <v/>
      </c>
      <c r="V1677" s="59" t="str">
        <f t="shared" si="211"/>
        <v/>
      </c>
      <c r="W1677" s="59" t="str">
        <f t="shared" si="208"/>
        <v/>
      </c>
      <c r="X1677" s="59" t="str">
        <f t="shared" si="212"/>
        <v/>
      </c>
      <c r="AC1677" s="50">
        <f t="shared" si="213"/>
        <v>0</v>
      </c>
      <c r="AD1677" s="43">
        <f t="shared" si="214"/>
        <v>0</v>
      </c>
      <c r="AE1677" s="50">
        <f t="shared" si="215"/>
        <v>0</v>
      </c>
    </row>
    <row r="1678" spans="1:31">
      <c r="A1678" s="59" t="str">
        <f t="shared" si="209"/>
        <v/>
      </c>
      <c r="B1678" s="59" t="str">
        <f t="shared" si="210"/>
        <v/>
      </c>
      <c r="V1678" s="59" t="str">
        <f t="shared" si="211"/>
        <v/>
      </c>
      <c r="W1678" s="59" t="str">
        <f t="shared" si="208"/>
        <v/>
      </c>
      <c r="X1678" s="59" t="str">
        <f t="shared" si="212"/>
        <v/>
      </c>
      <c r="AC1678" s="50">
        <f t="shared" si="213"/>
        <v>0</v>
      </c>
      <c r="AD1678" s="43">
        <f t="shared" si="214"/>
        <v>0</v>
      </c>
      <c r="AE1678" s="50">
        <f t="shared" si="215"/>
        <v>0</v>
      </c>
    </row>
    <row r="1679" spans="1:31">
      <c r="A1679" s="59" t="str">
        <f t="shared" si="209"/>
        <v/>
      </c>
      <c r="B1679" s="59" t="str">
        <f t="shared" si="210"/>
        <v/>
      </c>
      <c r="V1679" s="59" t="str">
        <f t="shared" si="211"/>
        <v/>
      </c>
      <c r="W1679" s="59" t="str">
        <f t="shared" si="208"/>
        <v/>
      </c>
      <c r="X1679" s="59" t="str">
        <f t="shared" si="212"/>
        <v/>
      </c>
      <c r="AC1679" s="50">
        <f t="shared" si="213"/>
        <v>0</v>
      </c>
      <c r="AD1679" s="43">
        <f t="shared" si="214"/>
        <v>0</v>
      </c>
      <c r="AE1679" s="50">
        <f t="shared" si="215"/>
        <v>0</v>
      </c>
    </row>
    <row r="1680" spans="1:31">
      <c r="A1680" s="59" t="str">
        <f t="shared" si="209"/>
        <v/>
      </c>
      <c r="B1680" s="59" t="str">
        <f t="shared" si="210"/>
        <v/>
      </c>
      <c r="V1680" s="59" t="str">
        <f t="shared" si="211"/>
        <v/>
      </c>
      <c r="W1680" s="59" t="str">
        <f t="shared" si="208"/>
        <v/>
      </c>
      <c r="X1680" s="59" t="str">
        <f t="shared" si="212"/>
        <v/>
      </c>
      <c r="AC1680" s="50">
        <f t="shared" si="213"/>
        <v>0</v>
      </c>
      <c r="AD1680" s="43">
        <f t="shared" si="214"/>
        <v>0</v>
      </c>
      <c r="AE1680" s="50">
        <f t="shared" si="215"/>
        <v>0</v>
      </c>
    </row>
    <row r="1681" spans="1:31">
      <c r="A1681" s="59" t="str">
        <f t="shared" si="209"/>
        <v/>
      </c>
      <c r="B1681" s="59" t="str">
        <f t="shared" si="210"/>
        <v/>
      </c>
      <c r="V1681" s="59" t="str">
        <f t="shared" si="211"/>
        <v/>
      </c>
      <c r="W1681" s="59" t="str">
        <f t="shared" si="208"/>
        <v/>
      </c>
      <c r="X1681" s="59" t="str">
        <f t="shared" si="212"/>
        <v/>
      </c>
      <c r="AC1681" s="50">
        <f t="shared" si="213"/>
        <v>0</v>
      </c>
      <c r="AD1681" s="43">
        <f t="shared" si="214"/>
        <v>0</v>
      </c>
      <c r="AE1681" s="50">
        <f t="shared" si="215"/>
        <v>0</v>
      </c>
    </row>
    <row r="1682" spans="1:31">
      <c r="A1682" s="59" t="str">
        <f t="shared" si="209"/>
        <v/>
      </c>
      <c r="B1682" s="59" t="str">
        <f t="shared" si="210"/>
        <v/>
      </c>
      <c r="V1682" s="59" t="str">
        <f t="shared" si="211"/>
        <v/>
      </c>
      <c r="W1682" s="59" t="str">
        <f t="shared" si="208"/>
        <v/>
      </c>
      <c r="X1682" s="59" t="str">
        <f t="shared" si="212"/>
        <v/>
      </c>
      <c r="AC1682" s="50">
        <f t="shared" si="213"/>
        <v>0</v>
      </c>
      <c r="AD1682" s="43">
        <f t="shared" si="214"/>
        <v>0</v>
      </c>
      <c r="AE1682" s="50">
        <f t="shared" si="215"/>
        <v>0</v>
      </c>
    </row>
    <row r="1683" spans="1:31">
      <c r="A1683" s="59" t="str">
        <f t="shared" si="209"/>
        <v/>
      </c>
      <c r="B1683" s="59" t="str">
        <f t="shared" si="210"/>
        <v/>
      </c>
      <c r="V1683" s="59" t="str">
        <f t="shared" si="211"/>
        <v/>
      </c>
      <c r="W1683" s="59" t="str">
        <f t="shared" si="208"/>
        <v/>
      </c>
      <c r="X1683" s="59" t="str">
        <f t="shared" si="212"/>
        <v/>
      </c>
      <c r="AC1683" s="50">
        <f t="shared" si="213"/>
        <v>0</v>
      </c>
      <c r="AD1683" s="43">
        <f t="shared" si="214"/>
        <v>0</v>
      </c>
      <c r="AE1683" s="50">
        <f t="shared" si="215"/>
        <v>0</v>
      </c>
    </row>
    <row r="1684" spans="1:31">
      <c r="A1684" s="59" t="str">
        <f t="shared" si="209"/>
        <v/>
      </c>
      <c r="B1684" s="59" t="str">
        <f t="shared" si="210"/>
        <v/>
      </c>
      <c r="V1684" s="59" t="str">
        <f t="shared" si="211"/>
        <v/>
      </c>
      <c r="W1684" s="59" t="str">
        <f t="shared" si="208"/>
        <v/>
      </c>
      <c r="X1684" s="59" t="str">
        <f t="shared" si="212"/>
        <v/>
      </c>
      <c r="AC1684" s="50">
        <f t="shared" si="213"/>
        <v>0</v>
      </c>
      <c r="AD1684" s="43">
        <f t="shared" si="214"/>
        <v>0</v>
      </c>
      <c r="AE1684" s="50">
        <f t="shared" si="215"/>
        <v>0</v>
      </c>
    </row>
    <row r="1685" spans="1:31">
      <c r="A1685" s="59" t="str">
        <f t="shared" si="209"/>
        <v/>
      </c>
      <c r="B1685" s="59" t="str">
        <f t="shared" si="210"/>
        <v/>
      </c>
      <c r="V1685" s="59" t="str">
        <f t="shared" si="211"/>
        <v/>
      </c>
      <c r="W1685" s="59" t="str">
        <f t="shared" si="208"/>
        <v/>
      </c>
      <c r="X1685" s="59" t="str">
        <f t="shared" si="212"/>
        <v/>
      </c>
      <c r="AC1685" s="50">
        <f t="shared" si="213"/>
        <v>0</v>
      </c>
      <c r="AD1685" s="43">
        <f t="shared" si="214"/>
        <v>0</v>
      </c>
      <c r="AE1685" s="50">
        <f t="shared" si="215"/>
        <v>0</v>
      </c>
    </row>
    <row r="1686" spans="1:31">
      <c r="A1686" s="59" t="str">
        <f t="shared" si="209"/>
        <v/>
      </c>
      <c r="B1686" s="59" t="str">
        <f t="shared" si="210"/>
        <v/>
      </c>
      <c r="V1686" s="59" t="str">
        <f t="shared" si="211"/>
        <v/>
      </c>
      <c r="W1686" s="59" t="str">
        <f t="shared" si="208"/>
        <v/>
      </c>
      <c r="X1686" s="59" t="str">
        <f t="shared" si="212"/>
        <v/>
      </c>
      <c r="AC1686" s="50">
        <f t="shared" si="213"/>
        <v>0</v>
      </c>
      <c r="AD1686" s="43">
        <f t="shared" si="214"/>
        <v>0</v>
      </c>
      <c r="AE1686" s="50">
        <f t="shared" si="215"/>
        <v>0</v>
      </c>
    </row>
    <row r="1687" spans="1:31">
      <c r="A1687" s="59" t="str">
        <f t="shared" si="209"/>
        <v/>
      </c>
      <c r="B1687" s="59" t="str">
        <f t="shared" si="210"/>
        <v/>
      </c>
      <c r="V1687" s="59" t="str">
        <f t="shared" si="211"/>
        <v/>
      </c>
      <c r="W1687" s="59" t="str">
        <f t="shared" si="208"/>
        <v/>
      </c>
      <c r="X1687" s="59" t="str">
        <f t="shared" si="212"/>
        <v/>
      </c>
      <c r="AC1687" s="50">
        <f t="shared" si="213"/>
        <v>0</v>
      </c>
      <c r="AD1687" s="43">
        <f t="shared" si="214"/>
        <v>0</v>
      </c>
      <c r="AE1687" s="50">
        <f t="shared" si="215"/>
        <v>0</v>
      </c>
    </row>
    <row r="1688" spans="1:31">
      <c r="A1688" s="59" t="str">
        <f t="shared" si="209"/>
        <v/>
      </c>
      <c r="B1688" s="59" t="str">
        <f t="shared" si="210"/>
        <v/>
      </c>
      <c r="V1688" s="59" t="str">
        <f t="shared" si="211"/>
        <v/>
      </c>
      <c r="W1688" s="59" t="str">
        <f t="shared" si="208"/>
        <v/>
      </c>
      <c r="X1688" s="59" t="str">
        <f t="shared" si="212"/>
        <v/>
      </c>
      <c r="AC1688" s="50">
        <f t="shared" si="213"/>
        <v>0</v>
      </c>
      <c r="AD1688" s="43">
        <f t="shared" si="214"/>
        <v>0</v>
      </c>
      <c r="AE1688" s="50">
        <f t="shared" si="215"/>
        <v>0</v>
      </c>
    </row>
    <row r="1689" spans="1:31">
      <c r="A1689" s="59" t="str">
        <f t="shared" si="209"/>
        <v/>
      </c>
      <c r="B1689" s="59" t="str">
        <f t="shared" si="210"/>
        <v/>
      </c>
      <c r="V1689" s="59" t="str">
        <f t="shared" si="211"/>
        <v/>
      </c>
      <c r="W1689" s="59" t="str">
        <f t="shared" si="208"/>
        <v/>
      </c>
      <c r="X1689" s="59" t="str">
        <f t="shared" si="212"/>
        <v/>
      </c>
      <c r="AC1689" s="50">
        <f t="shared" si="213"/>
        <v>0</v>
      </c>
      <c r="AD1689" s="43">
        <f t="shared" si="214"/>
        <v>0</v>
      </c>
      <c r="AE1689" s="50">
        <f t="shared" si="215"/>
        <v>0</v>
      </c>
    </row>
    <row r="1690" spans="1:31">
      <c r="A1690" s="59" t="str">
        <f t="shared" si="209"/>
        <v/>
      </c>
      <c r="B1690" s="59" t="str">
        <f t="shared" si="210"/>
        <v/>
      </c>
      <c r="V1690" s="59" t="str">
        <f t="shared" si="211"/>
        <v/>
      </c>
      <c r="W1690" s="59" t="str">
        <f t="shared" si="208"/>
        <v/>
      </c>
      <c r="X1690" s="59" t="str">
        <f t="shared" si="212"/>
        <v/>
      </c>
      <c r="AC1690" s="50">
        <f t="shared" si="213"/>
        <v>0</v>
      </c>
      <c r="AD1690" s="43">
        <f t="shared" si="214"/>
        <v>0</v>
      </c>
      <c r="AE1690" s="50">
        <f t="shared" si="215"/>
        <v>0</v>
      </c>
    </row>
    <row r="1691" spans="1:31">
      <c r="A1691" s="59" t="str">
        <f t="shared" si="209"/>
        <v/>
      </c>
      <c r="B1691" s="59" t="str">
        <f t="shared" si="210"/>
        <v/>
      </c>
      <c r="V1691" s="59" t="str">
        <f t="shared" si="211"/>
        <v/>
      </c>
      <c r="W1691" s="59" t="str">
        <f t="shared" si="208"/>
        <v/>
      </c>
      <c r="X1691" s="59" t="str">
        <f t="shared" si="212"/>
        <v/>
      </c>
      <c r="AC1691" s="50">
        <f t="shared" si="213"/>
        <v>0</v>
      </c>
      <c r="AD1691" s="43">
        <f t="shared" si="214"/>
        <v>0</v>
      </c>
      <c r="AE1691" s="50">
        <f t="shared" si="215"/>
        <v>0</v>
      </c>
    </row>
    <row r="1692" spans="1:31">
      <c r="A1692" s="59" t="str">
        <f t="shared" si="209"/>
        <v/>
      </c>
      <c r="B1692" s="59" t="str">
        <f t="shared" si="210"/>
        <v/>
      </c>
      <c r="V1692" s="59" t="str">
        <f t="shared" si="211"/>
        <v/>
      </c>
      <c r="W1692" s="59" t="str">
        <f t="shared" si="208"/>
        <v/>
      </c>
      <c r="X1692" s="59" t="str">
        <f t="shared" si="212"/>
        <v/>
      </c>
      <c r="AC1692" s="50">
        <f t="shared" si="213"/>
        <v>0</v>
      </c>
      <c r="AD1692" s="43">
        <f t="shared" si="214"/>
        <v>0</v>
      </c>
      <c r="AE1692" s="50">
        <f t="shared" si="215"/>
        <v>0</v>
      </c>
    </row>
    <row r="1693" spans="1:31">
      <c r="A1693" s="59" t="str">
        <f t="shared" si="209"/>
        <v/>
      </c>
      <c r="B1693" s="59" t="str">
        <f t="shared" si="210"/>
        <v/>
      </c>
      <c r="V1693" s="59" t="str">
        <f t="shared" si="211"/>
        <v/>
      </c>
      <c r="W1693" s="59" t="str">
        <f t="shared" si="208"/>
        <v/>
      </c>
      <c r="X1693" s="59" t="str">
        <f t="shared" si="212"/>
        <v/>
      </c>
      <c r="AC1693" s="50">
        <f t="shared" si="213"/>
        <v>0</v>
      </c>
      <c r="AD1693" s="43">
        <f t="shared" si="214"/>
        <v>0</v>
      </c>
      <c r="AE1693" s="50">
        <f t="shared" si="215"/>
        <v>0</v>
      </c>
    </row>
    <row r="1694" spans="1:31">
      <c r="A1694" s="59" t="str">
        <f t="shared" si="209"/>
        <v/>
      </c>
      <c r="B1694" s="59" t="str">
        <f t="shared" si="210"/>
        <v/>
      </c>
      <c r="V1694" s="59" t="str">
        <f t="shared" si="211"/>
        <v/>
      </c>
      <c r="W1694" s="59" t="str">
        <f t="shared" si="208"/>
        <v/>
      </c>
      <c r="X1694" s="59" t="str">
        <f t="shared" si="212"/>
        <v/>
      </c>
      <c r="AC1694" s="50">
        <f t="shared" si="213"/>
        <v>0</v>
      </c>
      <c r="AD1694" s="43">
        <f t="shared" si="214"/>
        <v>0</v>
      </c>
      <c r="AE1694" s="50">
        <f t="shared" si="215"/>
        <v>0</v>
      </c>
    </row>
    <row r="1695" spans="1:31">
      <c r="A1695" s="59" t="str">
        <f t="shared" si="209"/>
        <v/>
      </c>
      <c r="B1695" s="59" t="str">
        <f t="shared" si="210"/>
        <v/>
      </c>
      <c r="V1695" s="59" t="str">
        <f t="shared" si="211"/>
        <v/>
      </c>
      <c r="W1695" s="59" t="str">
        <f t="shared" si="208"/>
        <v/>
      </c>
      <c r="X1695" s="59" t="str">
        <f t="shared" si="212"/>
        <v/>
      </c>
      <c r="AC1695" s="50">
        <f t="shared" si="213"/>
        <v>0</v>
      </c>
      <c r="AD1695" s="43">
        <f t="shared" si="214"/>
        <v>0</v>
      </c>
      <c r="AE1695" s="50">
        <f t="shared" si="215"/>
        <v>0</v>
      </c>
    </row>
    <row r="1696" spans="1:31">
      <c r="A1696" s="59" t="str">
        <f t="shared" si="209"/>
        <v/>
      </c>
      <c r="B1696" s="59" t="str">
        <f t="shared" si="210"/>
        <v/>
      </c>
      <c r="V1696" s="59" t="str">
        <f t="shared" si="211"/>
        <v/>
      </c>
      <c r="W1696" s="59" t="str">
        <f t="shared" si="208"/>
        <v/>
      </c>
      <c r="X1696" s="59" t="str">
        <f t="shared" si="212"/>
        <v/>
      </c>
      <c r="AC1696" s="50">
        <f t="shared" si="213"/>
        <v>0</v>
      </c>
      <c r="AD1696" s="43">
        <f t="shared" si="214"/>
        <v>0</v>
      </c>
      <c r="AE1696" s="50">
        <f t="shared" si="215"/>
        <v>0</v>
      </c>
    </row>
    <row r="1697" spans="1:31">
      <c r="A1697" s="59" t="str">
        <f t="shared" si="209"/>
        <v/>
      </c>
      <c r="B1697" s="59" t="str">
        <f t="shared" si="210"/>
        <v/>
      </c>
      <c r="V1697" s="59" t="str">
        <f t="shared" si="211"/>
        <v/>
      </c>
      <c r="W1697" s="59" t="str">
        <f t="shared" si="208"/>
        <v/>
      </c>
      <c r="X1697" s="59" t="str">
        <f t="shared" si="212"/>
        <v/>
      </c>
      <c r="AC1697" s="50">
        <f t="shared" si="213"/>
        <v>0</v>
      </c>
      <c r="AD1697" s="43">
        <f t="shared" si="214"/>
        <v>0</v>
      </c>
      <c r="AE1697" s="50">
        <f t="shared" si="215"/>
        <v>0</v>
      </c>
    </row>
    <row r="1698" spans="1:31">
      <c r="A1698" s="59" t="str">
        <f t="shared" si="209"/>
        <v/>
      </c>
      <c r="B1698" s="59" t="str">
        <f t="shared" si="210"/>
        <v/>
      </c>
      <c r="V1698" s="59" t="str">
        <f t="shared" si="211"/>
        <v/>
      </c>
      <c r="W1698" s="59" t="str">
        <f t="shared" si="208"/>
        <v/>
      </c>
      <c r="X1698" s="59" t="str">
        <f t="shared" si="212"/>
        <v/>
      </c>
      <c r="AC1698" s="50">
        <f t="shared" si="213"/>
        <v>0</v>
      </c>
      <c r="AD1698" s="43">
        <f t="shared" si="214"/>
        <v>0</v>
      </c>
      <c r="AE1698" s="50">
        <f t="shared" si="215"/>
        <v>0</v>
      </c>
    </row>
    <row r="1699" spans="1:31">
      <c r="A1699" s="59" t="str">
        <f t="shared" si="209"/>
        <v/>
      </c>
      <c r="B1699" s="59" t="str">
        <f t="shared" si="210"/>
        <v/>
      </c>
      <c r="V1699" s="59" t="str">
        <f t="shared" si="211"/>
        <v/>
      </c>
      <c r="W1699" s="59" t="str">
        <f t="shared" si="208"/>
        <v/>
      </c>
      <c r="X1699" s="59" t="str">
        <f t="shared" si="212"/>
        <v/>
      </c>
      <c r="AC1699" s="50">
        <f t="shared" si="213"/>
        <v>0</v>
      </c>
      <c r="AD1699" s="43">
        <f t="shared" si="214"/>
        <v>0</v>
      </c>
      <c r="AE1699" s="50">
        <f t="shared" si="215"/>
        <v>0</v>
      </c>
    </row>
    <row r="1700" spans="1:31">
      <c r="A1700" s="59" t="str">
        <f t="shared" si="209"/>
        <v/>
      </c>
      <c r="B1700" s="59" t="str">
        <f t="shared" si="210"/>
        <v/>
      </c>
      <c r="V1700" s="59" t="str">
        <f t="shared" si="211"/>
        <v/>
      </c>
      <c r="W1700" s="59" t="str">
        <f t="shared" si="208"/>
        <v/>
      </c>
      <c r="X1700" s="59" t="str">
        <f t="shared" si="212"/>
        <v/>
      </c>
      <c r="AC1700" s="50">
        <f t="shared" si="213"/>
        <v>0</v>
      </c>
      <c r="AD1700" s="43">
        <f t="shared" si="214"/>
        <v>0</v>
      </c>
      <c r="AE1700" s="50">
        <f t="shared" si="215"/>
        <v>0</v>
      </c>
    </row>
    <row r="1701" spans="1:31">
      <c r="A1701" s="59" t="str">
        <f t="shared" si="209"/>
        <v/>
      </c>
      <c r="B1701" s="59" t="str">
        <f t="shared" si="210"/>
        <v/>
      </c>
      <c r="V1701" s="59" t="str">
        <f t="shared" si="211"/>
        <v/>
      </c>
      <c r="W1701" s="59" t="str">
        <f t="shared" si="208"/>
        <v/>
      </c>
      <c r="X1701" s="59" t="str">
        <f t="shared" si="212"/>
        <v/>
      </c>
      <c r="AC1701" s="50">
        <f t="shared" si="213"/>
        <v>0</v>
      </c>
      <c r="AD1701" s="43">
        <f t="shared" si="214"/>
        <v>0</v>
      </c>
      <c r="AE1701" s="50">
        <f t="shared" si="215"/>
        <v>0</v>
      </c>
    </row>
    <row r="1702" spans="1:31">
      <c r="A1702" s="59" t="str">
        <f t="shared" si="209"/>
        <v/>
      </c>
      <c r="B1702" s="59" t="str">
        <f t="shared" si="210"/>
        <v/>
      </c>
      <c r="V1702" s="59" t="str">
        <f t="shared" si="211"/>
        <v/>
      </c>
      <c r="W1702" s="59" t="str">
        <f t="shared" si="208"/>
        <v/>
      </c>
      <c r="X1702" s="59" t="str">
        <f t="shared" si="212"/>
        <v/>
      </c>
      <c r="AC1702" s="50">
        <f t="shared" si="213"/>
        <v>0</v>
      </c>
      <c r="AD1702" s="43">
        <f t="shared" si="214"/>
        <v>0</v>
      </c>
      <c r="AE1702" s="50">
        <f t="shared" si="215"/>
        <v>0</v>
      </c>
    </row>
    <row r="1703" spans="1:31">
      <c r="A1703" s="59" t="str">
        <f t="shared" si="209"/>
        <v/>
      </c>
      <c r="B1703" s="59" t="str">
        <f t="shared" si="210"/>
        <v/>
      </c>
      <c r="V1703" s="59" t="str">
        <f t="shared" si="211"/>
        <v/>
      </c>
      <c r="W1703" s="59" t="str">
        <f t="shared" si="208"/>
        <v/>
      </c>
      <c r="X1703" s="59" t="str">
        <f t="shared" si="212"/>
        <v/>
      </c>
      <c r="AC1703" s="50">
        <f t="shared" si="213"/>
        <v>0</v>
      </c>
      <c r="AD1703" s="43">
        <f t="shared" si="214"/>
        <v>0</v>
      </c>
      <c r="AE1703" s="50">
        <f t="shared" si="215"/>
        <v>0</v>
      </c>
    </row>
    <row r="1704" spans="1:31">
      <c r="A1704" s="59" t="str">
        <f t="shared" si="209"/>
        <v/>
      </c>
      <c r="B1704" s="59" t="str">
        <f t="shared" si="210"/>
        <v/>
      </c>
      <c r="V1704" s="59" t="str">
        <f t="shared" si="211"/>
        <v/>
      </c>
      <c r="W1704" s="59" t="str">
        <f t="shared" si="208"/>
        <v/>
      </c>
      <c r="X1704" s="59" t="str">
        <f t="shared" si="212"/>
        <v/>
      </c>
      <c r="AC1704" s="50">
        <f t="shared" si="213"/>
        <v>0</v>
      </c>
      <c r="AD1704" s="43">
        <f t="shared" si="214"/>
        <v>0</v>
      </c>
      <c r="AE1704" s="50">
        <f t="shared" si="215"/>
        <v>0</v>
      </c>
    </row>
    <row r="1705" spans="1:31">
      <c r="A1705" s="59" t="str">
        <f t="shared" si="209"/>
        <v/>
      </c>
      <c r="B1705" s="59" t="str">
        <f t="shared" si="210"/>
        <v/>
      </c>
      <c r="V1705" s="59" t="str">
        <f t="shared" si="211"/>
        <v/>
      </c>
      <c r="W1705" s="59" t="str">
        <f t="shared" si="208"/>
        <v/>
      </c>
      <c r="X1705" s="59" t="str">
        <f t="shared" si="212"/>
        <v/>
      </c>
      <c r="AC1705" s="50">
        <f t="shared" si="213"/>
        <v>0</v>
      </c>
      <c r="AD1705" s="43">
        <f t="shared" si="214"/>
        <v>0</v>
      </c>
      <c r="AE1705" s="50">
        <f t="shared" si="215"/>
        <v>0</v>
      </c>
    </row>
    <row r="1706" spans="1:31">
      <c r="A1706" s="59" t="str">
        <f t="shared" si="209"/>
        <v/>
      </c>
      <c r="B1706" s="59" t="str">
        <f t="shared" si="210"/>
        <v/>
      </c>
      <c r="V1706" s="59" t="str">
        <f t="shared" si="211"/>
        <v/>
      </c>
      <c r="W1706" s="59" t="str">
        <f t="shared" si="208"/>
        <v/>
      </c>
      <c r="X1706" s="59" t="str">
        <f t="shared" si="212"/>
        <v/>
      </c>
      <c r="AC1706" s="50">
        <f t="shared" si="213"/>
        <v>0</v>
      </c>
      <c r="AD1706" s="43">
        <f t="shared" si="214"/>
        <v>0</v>
      </c>
      <c r="AE1706" s="50">
        <f t="shared" si="215"/>
        <v>0</v>
      </c>
    </row>
    <row r="1707" spans="1:31">
      <c r="A1707" s="59" t="str">
        <f t="shared" si="209"/>
        <v/>
      </c>
      <c r="B1707" s="59" t="str">
        <f t="shared" si="210"/>
        <v/>
      </c>
      <c r="V1707" s="59" t="str">
        <f t="shared" si="211"/>
        <v/>
      </c>
      <c r="W1707" s="59" t="str">
        <f t="shared" si="208"/>
        <v/>
      </c>
      <c r="X1707" s="59" t="str">
        <f t="shared" si="212"/>
        <v/>
      </c>
      <c r="AC1707" s="50">
        <f t="shared" si="213"/>
        <v>0</v>
      </c>
      <c r="AD1707" s="43">
        <f t="shared" si="214"/>
        <v>0</v>
      </c>
      <c r="AE1707" s="50">
        <f t="shared" si="215"/>
        <v>0</v>
      </c>
    </row>
    <row r="1708" spans="1:31">
      <c r="A1708" s="59" t="str">
        <f t="shared" si="209"/>
        <v/>
      </c>
      <c r="B1708" s="59" t="str">
        <f t="shared" si="210"/>
        <v/>
      </c>
      <c r="V1708" s="59" t="str">
        <f t="shared" si="211"/>
        <v/>
      </c>
      <c r="W1708" s="59" t="str">
        <f t="shared" si="208"/>
        <v/>
      </c>
      <c r="X1708" s="59" t="str">
        <f t="shared" si="212"/>
        <v/>
      </c>
      <c r="AC1708" s="50">
        <f t="shared" si="213"/>
        <v>0</v>
      </c>
      <c r="AD1708" s="43">
        <f t="shared" si="214"/>
        <v>0</v>
      </c>
      <c r="AE1708" s="50">
        <f t="shared" si="215"/>
        <v>0</v>
      </c>
    </row>
    <row r="1709" spans="1:31">
      <c r="A1709" s="59" t="str">
        <f t="shared" si="209"/>
        <v/>
      </c>
      <c r="B1709" s="59" t="str">
        <f t="shared" si="210"/>
        <v/>
      </c>
      <c r="V1709" s="59" t="str">
        <f t="shared" si="211"/>
        <v/>
      </c>
      <c r="W1709" s="59" t="str">
        <f t="shared" si="208"/>
        <v/>
      </c>
      <c r="X1709" s="59" t="str">
        <f t="shared" si="212"/>
        <v/>
      </c>
      <c r="AC1709" s="50">
        <f t="shared" si="213"/>
        <v>0</v>
      </c>
      <c r="AD1709" s="43">
        <f t="shared" si="214"/>
        <v>0</v>
      </c>
      <c r="AE1709" s="50">
        <f t="shared" si="215"/>
        <v>0</v>
      </c>
    </row>
    <row r="1710" spans="1:31">
      <c r="A1710" s="59" t="str">
        <f t="shared" si="209"/>
        <v/>
      </c>
      <c r="B1710" s="59" t="str">
        <f t="shared" si="210"/>
        <v/>
      </c>
      <c r="V1710" s="59" t="str">
        <f t="shared" si="211"/>
        <v/>
      </c>
      <c r="W1710" s="59" t="str">
        <f t="shared" si="208"/>
        <v/>
      </c>
      <c r="X1710" s="59" t="str">
        <f t="shared" si="212"/>
        <v/>
      </c>
      <c r="AC1710" s="50">
        <f t="shared" si="213"/>
        <v>0</v>
      </c>
      <c r="AD1710" s="43">
        <f t="shared" si="214"/>
        <v>0</v>
      </c>
      <c r="AE1710" s="50">
        <f t="shared" si="215"/>
        <v>0</v>
      </c>
    </row>
    <row r="1711" spans="1:31">
      <c r="A1711" s="59" t="str">
        <f t="shared" si="209"/>
        <v/>
      </c>
      <c r="B1711" s="59" t="str">
        <f t="shared" si="210"/>
        <v/>
      </c>
      <c r="V1711" s="59" t="str">
        <f t="shared" si="211"/>
        <v/>
      </c>
      <c r="W1711" s="59" t="str">
        <f t="shared" si="208"/>
        <v/>
      </c>
      <c r="X1711" s="59" t="str">
        <f t="shared" si="212"/>
        <v/>
      </c>
      <c r="AC1711" s="50">
        <f t="shared" si="213"/>
        <v>0</v>
      </c>
      <c r="AD1711" s="43">
        <f t="shared" si="214"/>
        <v>0</v>
      </c>
      <c r="AE1711" s="50">
        <f t="shared" si="215"/>
        <v>0</v>
      </c>
    </row>
    <row r="1712" spans="1:31">
      <c r="A1712" s="59" t="str">
        <f t="shared" si="209"/>
        <v/>
      </c>
      <c r="B1712" s="59" t="str">
        <f t="shared" si="210"/>
        <v/>
      </c>
      <c r="V1712" s="59" t="str">
        <f t="shared" si="211"/>
        <v/>
      </c>
      <c r="W1712" s="59" t="str">
        <f t="shared" si="208"/>
        <v/>
      </c>
      <c r="X1712" s="59" t="str">
        <f t="shared" si="212"/>
        <v/>
      </c>
      <c r="AC1712" s="50">
        <f t="shared" si="213"/>
        <v>0</v>
      </c>
      <c r="AD1712" s="43">
        <f t="shared" si="214"/>
        <v>0</v>
      </c>
      <c r="AE1712" s="50">
        <f t="shared" si="215"/>
        <v>0</v>
      </c>
    </row>
    <row r="1713" spans="1:31">
      <c r="A1713" s="59" t="str">
        <f t="shared" si="209"/>
        <v/>
      </c>
      <c r="B1713" s="59" t="str">
        <f t="shared" si="210"/>
        <v/>
      </c>
      <c r="V1713" s="59" t="str">
        <f t="shared" si="211"/>
        <v/>
      </c>
      <c r="W1713" s="59" t="str">
        <f t="shared" si="208"/>
        <v/>
      </c>
      <c r="X1713" s="59" t="str">
        <f t="shared" si="212"/>
        <v/>
      </c>
      <c r="AC1713" s="50">
        <f t="shared" si="213"/>
        <v>0</v>
      </c>
      <c r="AD1713" s="43">
        <f t="shared" si="214"/>
        <v>0</v>
      </c>
      <c r="AE1713" s="50">
        <f t="shared" si="215"/>
        <v>0</v>
      </c>
    </row>
    <row r="1714" spans="1:31">
      <c r="A1714" s="59" t="str">
        <f t="shared" si="209"/>
        <v/>
      </c>
      <c r="B1714" s="59" t="str">
        <f t="shared" si="210"/>
        <v/>
      </c>
      <c r="V1714" s="59" t="str">
        <f t="shared" si="211"/>
        <v/>
      </c>
      <c r="W1714" s="59" t="str">
        <f t="shared" si="208"/>
        <v/>
      </c>
      <c r="X1714" s="59" t="str">
        <f t="shared" si="212"/>
        <v/>
      </c>
      <c r="AC1714" s="50">
        <f t="shared" si="213"/>
        <v>0</v>
      </c>
      <c r="AD1714" s="43">
        <f t="shared" si="214"/>
        <v>0</v>
      </c>
      <c r="AE1714" s="50">
        <f t="shared" si="215"/>
        <v>0</v>
      </c>
    </row>
    <row r="1715" spans="1:31">
      <c r="A1715" s="59" t="str">
        <f t="shared" si="209"/>
        <v/>
      </c>
      <c r="B1715" s="59" t="str">
        <f t="shared" si="210"/>
        <v/>
      </c>
      <c r="V1715" s="59" t="str">
        <f t="shared" si="211"/>
        <v/>
      </c>
      <c r="W1715" s="59" t="str">
        <f t="shared" si="208"/>
        <v/>
      </c>
      <c r="X1715" s="59" t="str">
        <f t="shared" si="212"/>
        <v/>
      </c>
      <c r="AC1715" s="50">
        <f t="shared" si="213"/>
        <v>0</v>
      </c>
      <c r="AD1715" s="43">
        <f t="shared" si="214"/>
        <v>0</v>
      </c>
      <c r="AE1715" s="50">
        <f t="shared" si="215"/>
        <v>0</v>
      </c>
    </row>
    <row r="1716" spans="1:31">
      <c r="A1716" s="59" t="str">
        <f t="shared" si="209"/>
        <v/>
      </c>
      <c r="B1716" s="59" t="str">
        <f t="shared" si="210"/>
        <v/>
      </c>
      <c r="V1716" s="59" t="str">
        <f t="shared" si="211"/>
        <v/>
      </c>
      <c r="W1716" s="59" t="str">
        <f t="shared" si="208"/>
        <v/>
      </c>
      <c r="X1716" s="59" t="str">
        <f t="shared" si="212"/>
        <v/>
      </c>
      <c r="AC1716" s="50">
        <f t="shared" si="213"/>
        <v>0</v>
      </c>
      <c r="AD1716" s="43">
        <f t="shared" si="214"/>
        <v>0</v>
      </c>
      <c r="AE1716" s="50">
        <f t="shared" si="215"/>
        <v>0</v>
      </c>
    </row>
    <row r="1717" spans="1:31">
      <c r="A1717" s="59" t="str">
        <f t="shared" si="209"/>
        <v/>
      </c>
      <c r="B1717" s="59" t="str">
        <f t="shared" si="210"/>
        <v/>
      </c>
      <c r="V1717" s="59" t="str">
        <f t="shared" si="211"/>
        <v/>
      </c>
      <c r="W1717" s="59" t="str">
        <f t="shared" si="208"/>
        <v/>
      </c>
      <c r="X1717" s="59" t="str">
        <f t="shared" si="212"/>
        <v/>
      </c>
      <c r="AC1717" s="50">
        <f t="shared" si="213"/>
        <v>0</v>
      </c>
      <c r="AD1717" s="43">
        <f t="shared" si="214"/>
        <v>0</v>
      </c>
      <c r="AE1717" s="50">
        <f t="shared" si="215"/>
        <v>0</v>
      </c>
    </row>
    <row r="1718" spans="1:31">
      <c r="A1718" s="59" t="str">
        <f t="shared" si="209"/>
        <v/>
      </c>
      <c r="B1718" s="59" t="str">
        <f t="shared" si="210"/>
        <v/>
      </c>
      <c r="V1718" s="59" t="str">
        <f t="shared" si="211"/>
        <v/>
      </c>
      <c r="W1718" s="59" t="str">
        <f t="shared" si="208"/>
        <v/>
      </c>
      <c r="X1718" s="59" t="str">
        <f t="shared" si="212"/>
        <v/>
      </c>
      <c r="AC1718" s="50">
        <f t="shared" si="213"/>
        <v>0</v>
      </c>
      <c r="AD1718" s="43">
        <f t="shared" si="214"/>
        <v>0</v>
      </c>
      <c r="AE1718" s="50">
        <f t="shared" si="215"/>
        <v>0</v>
      </c>
    </row>
    <row r="1719" spans="1:31">
      <c r="A1719" s="59" t="str">
        <f t="shared" si="209"/>
        <v/>
      </c>
      <c r="B1719" s="59" t="str">
        <f t="shared" si="210"/>
        <v/>
      </c>
      <c r="V1719" s="59" t="str">
        <f t="shared" si="211"/>
        <v/>
      </c>
      <c r="W1719" s="59" t="str">
        <f t="shared" si="208"/>
        <v/>
      </c>
      <c r="X1719" s="59" t="str">
        <f t="shared" si="212"/>
        <v/>
      </c>
      <c r="AC1719" s="50">
        <f t="shared" si="213"/>
        <v>0</v>
      </c>
      <c r="AD1719" s="43">
        <f t="shared" si="214"/>
        <v>0</v>
      </c>
      <c r="AE1719" s="50">
        <f t="shared" si="215"/>
        <v>0</v>
      </c>
    </row>
    <row r="1720" spans="1:31">
      <c r="A1720" s="59" t="str">
        <f t="shared" si="209"/>
        <v/>
      </c>
      <c r="B1720" s="59" t="str">
        <f t="shared" si="210"/>
        <v/>
      </c>
      <c r="V1720" s="59" t="str">
        <f t="shared" si="211"/>
        <v/>
      </c>
      <c r="W1720" s="59" t="str">
        <f t="shared" si="208"/>
        <v/>
      </c>
      <c r="X1720" s="59" t="str">
        <f t="shared" si="212"/>
        <v/>
      </c>
      <c r="AC1720" s="50">
        <f t="shared" si="213"/>
        <v>0</v>
      </c>
      <c r="AD1720" s="43">
        <f t="shared" si="214"/>
        <v>0</v>
      </c>
      <c r="AE1720" s="50">
        <f t="shared" si="215"/>
        <v>0</v>
      </c>
    </row>
    <row r="1721" spans="1:31">
      <c r="A1721" s="59" t="str">
        <f t="shared" si="209"/>
        <v/>
      </c>
      <c r="B1721" s="59" t="str">
        <f t="shared" si="210"/>
        <v/>
      </c>
      <c r="V1721" s="59" t="str">
        <f t="shared" si="211"/>
        <v/>
      </c>
      <c r="W1721" s="59" t="str">
        <f t="shared" si="208"/>
        <v/>
      </c>
      <c r="X1721" s="59" t="str">
        <f t="shared" si="212"/>
        <v/>
      </c>
      <c r="AC1721" s="50">
        <f t="shared" si="213"/>
        <v>0</v>
      </c>
      <c r="AD1721" s="43">
        <f t="shared" si="214"/>
        <v>0</v>
      </c>
      <c r="AE1721" s="50">
        <f t="shared" si="215"/>
        <v>0</v>
      </c>
    </row>
    <row r="1722" spans="1:31">
      <c r="A1722" s="59" t="str">
        <f t="shared" si="209"/>
        <v/>
      </c>
      <c r="B1722" s="59" t="str">
        <f t="shared" si="210"/>
        <v/>
      </c>
      <c r="V1722" s="59" t="str">
        <f t="shared" si="211"/>
        <v/>
      </c>
      <c r="W1722" s="59" t="str">
        <f t="shared" si="208"/>
        <v/>
      </c>
      <c r="X1722" s="59" t="str">
        <f t="shared" si="212"/>
        <v/>
      </c>
      <c r="AC1722" s="50">
        <f t="shared" si="213"/>
        <v>0</v>
      </c>
      <c r="AD1722" s="43">
        <f t="shared" si="214"/>
        <v>0</v>
      </c>
      <c r="AE1722" s="50">
        <f t="shared" si="215"/>
        <v>0</v>
      </c>
    </row>
    <row r="1723" spans="1:31">
      <c r="A1723" s="59" t="str">
        <f t="shared" si="209"/>
        <v/>
      </c>
      <c r="B1723" s="59" t="str">
        <f t="shared" si="210"/>
        <v/>
      </c>
      <c r="V1723" s="59" t="str">
        <f t="shared" si="211"/>
        <v/>
      </c>
      <c r="W1723" s="59" t="str">
        <f t="shared" si="208"/>
        <v/>
      </c>
      <c r="X1723" s="59" t="str">
        <f t="shared" si="212"/>
        <v/>
      </c>
      <c r="AC1723" s="50">
        <f t="shared" si="213"/>
        <v>0</v>
      </c>
      <c r="AD1723" s="43">
        <f t="shared" si="214"/>
        <v>0</v>
      </c>
      <c r="AE1723" s="50">
        <f t="shared" si="215"/>
        <v>0</v>
      </c>
    </row>
    <row r="1724" spans="1:31">
      <c r="A1724" s="59" t="str">
        <f t="shared" si="209"/>
        <v/>
      </c>
      <c r="B1724" s="59" t="str">
        <f t="shared" si="210"/>
        <v/>
      </c>
      <c r="V1724" s="59" t="str">
        <f t="shared" si="211"/>
        <v/>
      </c>
      <c r="W1724" s="59" t="str">
        <f t="shared" si="208"/>
        <v/>
      </c>
      <c r="X1724" s="59" t="str">
        <f t="shared" si="212"/>
        <v/>
      </c>
      <c r="AC1724" s="50">
        <f t="shared" si="213"/>
        <v>0</v>
      </c>
      <c r="AD1724" s="43">
        <f t="shared" si="214"/>
        <v>0</v>
      </c>
      <c r="AE1724" s="50">
        <f t="shared" si="215"/>
        <v>0</v>
      </c>
    </row>
    <row r="1725" spans="1:31">
      <c r="A1725" s="59" t="str">
        <f t="shared" si="209"/>
        <v/>
      </c>
      <c r="B1725" s="59" t="str">
        <f t="shared" si="210"/>
        <v/>
      </c>
      <c r="V1725" s="59" t="str">
        <f t="shared" si="211"/>
        <v/>
      </c>
      <c r="W1725" s="59" t="str">
        <f t="shared" si="208"/>
        <v/>
      </c>
      <c r="X1725" s="59" t="str">
        <f t="shared" si="212"/>
        <v/>
      </c>
      <c r="AC1725" s="50">
        <f t="shared" si="213"/>
        <v>0</v>
      </c>
      <c r="AD1725" s="43">
        <f t="shared" si="214"/>
        <v>0</v>
      </c>
      <c r="AE1725" s="50">
        <f t="shared" si="215"/>
        <v>0</v>
      </c>
    </row>
    <row r="1726" spans="1:31">
      <c r="A1726" s="59" t="str">
        <f t="shared" si="209"/>
        <v/>
      </c>
      <c r="B1726" s="59" t="str">
        <f t="shared" si="210"/>
        <v/>
      </c>
      <c r="V1726" s="59" t="str">
        <f t="shared" si="211"/>
        <v/>
      </c>
      <c r="W1726" s="59" t="str">
        <f t="shared" si="208"/>
        <v/>
      </c>
      <c r="X1726" s="59" t="str">
        <f t="shared" si="212"/>
        <v/>
      </c>
      <c r="AC1726" s="50">
        <f t="shared" si="213"/>
        <v>0</v>
      </c>
      <c r="AD1726" s="43">
        <f t="shared" si="214"/>
        <v>0</v>
      </c>
      <c r="AE1726" s="50">
        <f t="shared" si="215"/>
        <v>0</v>
      </c>
    </row>
    <row r="1727" spans="1:31">
      <c r="A1727" s="59" t="str">
        <f t="shared" si="209"/>
        <v/>
      </c>
      <c r="B1727" s="59" t="str">
        <f t="shared" si="210"/>
        <v/>
      </c>
      <c r="V1727" s="59" t="str">
        <f t="shared" si="211"/>
        <v/>
      </c>
      <c r="W1727" s="59" t="str">
        <f t="shared" si="208"/>
        <v/>
      </c>
      <c r="X1727" s="59" t="str">
        <f t="shared" si="212"/>
        <v/>
      </c>
      <c r="AC1727" s="50">
        <f t="shared" si="213"/>
        <v>0</v>
      </c>
      <c r="AD1727" s="43">
        <f t="shared" si="214"/>
        <v>0</v>
      </c>
      <c r="AE1727" s="50">
        <f t="shared" si="215"/>
        <v>0</v>
      </c>
    </row>
    <row r="1728" spans="1:31">
      <c r="A1728" s="59" t="str">
        <f t="shared" si="209"/>
        <v/>
      </c>
      <c r="B1728" s="59" t="str">
        <f t="shared" si="210"/>
        <v/>
      </c>
      <c r="V1728" s="59" t="str">
        <f t="shared" si="211"/>
        <v/>
      </c>
      <c r="W1728" s="59" t="str">
        <f t="shared" si="208"/>
        <v/>
      </c>
      <c r="X1728" s="59" t="str">
        <f t="shared" si="212"/>
        <v/>
      </c>
      <c r="AC1728" s="50">
        <f t="shared" si="213"/>
        <v>0</v>
      </c>
      <c r="AD1728" s="43">
        <f t="shared" si="214"/>
        <v>0</v>
      </c>
      <c r="AE1728" s="50">
        <f t="shared" si="215"/>
        <v>0</v>
      </c>
    </row>
    <row r="1729" spans="1:31">
      <c r="A1729" s="59" t="str">
        <f t="shared" si="209"/>
        <v/>
      </c>
      <c r="B1729" s="59" t="str">
        <f t="shared" si="210"/>
        <v/>
      </c>
      <c r="V1729" s="59" t="str">
        <f t="shared" si="211"/>
        <v/>
      </c>
      <c r="W1729" s="59" t="str">
        <f t="shared" si="208"/>
        <v/>
      </c>
      <c r="X1729" s="59" t="str">
        <f t="shared" si="212"/>
        <v/>
      </c>
      <c r="AC1729" s="50">
        <f t="shared" si="213"/>
        <v>0</v>
      </c>
      <c r="AD1729" s="43">
        <f t="shared" si="214"/>
        <v>0</v>
      </c>
      <c r="AE1729" s="50">
        <f t="shared" si="215"/>
        <v>0</v>
      </c>
    </row>
    <row r="1730" spans="1:31">
      <c r="A1730" s="59" t="str">
        <f t="shared" si="209"/>
        <v/>
      </c>
      <c r="B1730" s="59" t="str">
        <f t="shared" si="210"/>
        <v/>
      </c>
      <c r="V1730" s="59" t="str">
        <f t="shared" si="211"/>
        <v/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59" t="str">
        <f t="shared" si="212"/>
        <v/>
      </c>
      <c r="AC1730" s="50">
        <f t="shared" si="213"/>
        <v>0</v>
      </c>
      <c r="AD1730" s="43">
        <f t="shared" si="214"/>
        <v>0</v>
      </c>
      <c r="AE1730" s="50">
        <f t="shared" si="215"/>
        <v>0</v>
      </c>
    </row>
    <row r="1731" spans="1:31">
      <c r="A1731" s="59" t="str">
        <f t="shared" ref="A1731:A1794" si="217">IF(G1731&amp;Q1731&lt;&gt;"",W1731&amp;Q1731,"")</f>
        <v/>
      </c>
      <c r="B1731" s="59" t="str">
        <f t="shared" ref="B1731:B1794" si="218">IF(C1731&lt;&gt;"",LEFT(C1731,9),"")</f>
        <v/>
      </c>
      <c r="V1731" s="59" t="str">
        <f t="shared" ref="V1731:V1794" si="219">W1731&amp;H1731</f>
        <v/>
      </c>
      <c r="W1731" s="59" t="str">
        <f t="shared" si="216"/>
        <v/>
      </c>
      <c r="X1731" s="59" t="str">
        <f t="shared" ref="X1731:X1794" si="220">IF(A1731&lt;&gt;"",IFERROR(IF(FIND(" ",G1731)&gt;=1,MID(G1731,FIND(" ",G1731)+1,LEN(G1731)),""),""),"")</f>
        <v/>
      </c>
      <c r="AC1731" s="50">
        <f t="shared" ref="AC1731:AC1794" si="221">IFERROR(VALUE(MID($C1731,1,2)),0)</f>
        <v>0</v>
      </c>
      <c r="AD1731" s="43">
        <f t="shared" ref="AD1731:AD1794" si="222">IFERROR(VALUE(MID($C1731,4,3)),0)</f>
        <v>0</v>
      </c>
      <c r="AE1731" s="50">
        <f t="shared" ref="AE1731:AE1794" si="223">VALUE(RIGHT("00"&amp;AC1731,2)&amp;RIGHT("000"&amp;AD1731,3))</f>
        <v>0</v>
      </c>
    </row>
    <row r="1732" spans="1:31">
      <c r="A1732" s="59" t="str">
        <f t="shared" si="217"/>
        <v/>
      </c>
      <c r="B1732" s="59" t="str">
        <f t="shared" si="218"/>
        <v/>
      </c>
      <c r="V1732" s="59" t="str">
        <f t="shared" si="219"/>
        <v/>
      </c>
      <c r="W1732" s="59" t="str">
        <f t="shared" si="216"/>
        <v/>
      </c>
      <c r="X1732" s="59" t="str">
        <f t="shared" si="220"/>
        <v/>
      </c>
      <c r="AC1732" s="50">
        <f t="shared" si="221"/>
        <v>0</v>
      </c>
      <c r="AD1732" s="43">
        <f t="shared" si="222"/>
        <v>0</v>
      </c>
      <c r="AE1732" s="50">
        <f t="shared" si="223"/>
        <v>0</v>
      </c>
    </row>
    <row r="1733" spans="1:31">
      <c r="A1733" s="59" t="str">
        <f t="shared" si="217"/>
        <v/>
      </c>
      <c r="B1733" s="59" t="str">
        <f t="shared" si="218"/>
        <v/>
      </c>
      <c r="V1733" s="59" t="str">
        <f t="shared" si="219"/>
        <v/>
      </c>
      <c r="W1733" s="59" t="str">
        <f t="shared" si="216"/>
        <v/>
      </c>
      <c r="X1733" s="59" t="str">
        <f t="shared" si="220"/>
        <v/>
      </c>
      <c r="AC1733" s="50">
        <f t="shared" si="221"/>
        <v>0</v>
      </c>
      <c r="AD1733" s="43">
        <f t="shared" si="222"/>
        <v>0</v>
      </c>
      <c r="AE1733" s="50">
        <f t="shared" si="223"/>
        <v>0</v>
      </c>
    </row>
    <row r="1734" spans="1:31">
      <c r="A1734" s="59" t="str">
        <f t="shared" si="217"/>
        <v/>
      </c>
      <c r="B1734" s="59" t="str">
        <f t="shared" si="218"/>
        <v/>
      </c>
      <c r="V1734" s="59" t="str">
        <f t="shared" si="219"/>
        <v/>
      </c>
      <c r="W1734" s="59" t="str">
        <f t="shared" si="216"/>
        <v/>
      </c>
      <c r="X1734" s="59" t="str">
        <f t="shared" si="220"/>
        <v/>
      </c>
      <c r="AC1734" s="50">
        <f t="shared" si="221"/>
        <v>0</v>
      </c>
      <c r="AD1734" s="43">
        <f t="shared" si="222"/>
        <v>0</v>
      </c>
      <c r="AE1734" s="50">
        <f t="shared" si="223"/>
        <v>0</v>
      </c>
    </row>
    <row r="1735" spans="1:31">
      <c r="A1735" s="59" t="str">
        <f t="shared" si="217"/>
        <v/>
      </c>
      <c r="B1735" s="59" t="str">
        <f t="shared" si="218"/>
        <v/>
      </c>
      <c r="V1735" s="59" t="str">
        <f t="shared" si="219"/>
        <v/>
      </c>
      <c r="W1735" s="59" t="str">
        <f t="shared" si="216"/>
        <v/>
      </c>
      <c r="X1735" s="59" t="str">
        <f t="shared" si="220"/>
        <v/>
      </c>
      <c r="AC1735" s="50">
        <f t="shared" si="221"/>
        <v>0</v>
      </c>
      <c r="AD1735" s="43">
        <f t="shared" si="222"/>
        <v>0</v>
      </c>
      <c r="AE1735" s="50">
        <f t="shared" si="223"/>
        <v>0</v>
      </c>
    </row>
    <row r="1736" spans="1:31">
      <c r="A1736" s="59" t="str">
        <f t="shared" si="217"/>
        <v/>
      </c>
      <c r="B1736" s="59" t="str">
        <f t="shared" si="218"/>
        <v/>
      </c>
      <c r="V1736" s="59" t="str">
        <f t="shared" si="219"/>
        <v/>
      </c>
      <c r="W1736" s="59" t="str">
        <f t="shared" si="216"/>
        <v/>
      </c>
      <c r="X1736" s="59" t="str">
        <f t="shared" si="220"/>
        <v/>
      </c>
      <c r="AC1736" s="50">
        <f t="shared" si="221"/>
        <v>0</v>
      </c>
      <c r="AD1736" s="43">
        <f t="shared" si="222"/>
        <v>0</v>
      </c>
      <c r="AE1736" s="50">
        <f t="shared" si="223"/>
        <v>0</v>
      </c>
    </row>
    <row r="1737" spans="1:31">
      <c r="A1737" s="59" t="str">
        <f t="shared" si="217"/>
        <v/>
      </c>
      <c r="B1737" s="59" t="str">
        <f t="shared" si="218"/>
        <v/>
      </c>
      <c r="V1737" s="59" t="str">
        <f t="shared" si="219"/>
        <v/>
      </c>
      <c r="W1737" s="59" t="str">
        <f t="shared" si="216"/>
        <v/>
      </c>
      <c r="X1737" s="59" t="str">
        <f t="shared" si="220"/>
        <v/>
      </c>
      <c r="AC1737" s="50">
        <f t="shared" si="221"/>
        <v>0</v>
      </c>
      <c r="AD1737" s="43">
        <f t="shared" si="222"/>
        <v>0</v>
      </c>
      <c r="AE1737" s="50">
        <f t="shared" si="223"/>
        <v>0</v>
      </c>
    </row>
    <row r="1738" spans="1:31">
      <c r="A1738" s="59" t="str">
        <f t="shared" si="217"/>
        <v/>
      </c>
      <c r="B1738" s="59" t="str">
        <f t="shared" si="218"/>
        <v/>
      </c>
      <c r="V1738" s="59" t="str">
        <f t="shared" si="219"/>
        <v/>
      </c>
      <c r="W1738" s="59" t="str">
        <f t="shared" si="216"/>
        <v/>
      </c>
      <c r="X1738" s="59" t="str">
        <f t="shared" si="220"/>
        <v/>
      </c>
      <c r="AC1738" s="50">
        <f t="shared" si="221"/>
        <v>0</v>
      </c>
      <c r="AD1738" s="43">
        <f t="shared" si="222"/>
        <v>0</v>
      </c>
      <c r="AE1738" s="50">
        <f t="shared" si="223"/>
        <v>0</v>
      </c>
    </row>
    <row r="1739" spans="1:31">
      <c r="A1739" s="59" t="str">
        <f t="shared" si="217"/>
        <v/>
      </c>
      <c r="B1739" s="59" t="str">
        <f t="shared" si="218"/>
        <v/>
      </c>
      <c r="V1739" s="59" t="str">
        <f t="shared" si="219"/>
        <v/>
      </c>
      <c r="W1739" s="59" t="str">
        <f t="shared" si="216"/>
        <v/>
      </c>
      <c r="X1739" s="59" t="str">
        <f t="shared" si="220"/>
        <v/>
      </c>
      <c r="AC1739" s="50">
        <f t="shared" si="221"/>
        <v>0</v>
      </c>
      <c r="AD1739" s="43">
        <f t="shared" si="222"/>
        <v>0</v>
      </c>
      <c r="AE1739" s="50">
        <f t="shared" si="223"/>
        <v>0</v>
      </c>
    </row>
    <row r="1740" spans="1:31">
      <c r="A1740" s="59" t="str">
        <f t="shared" si="217"/>
        <v/>
      </c>
      <c r="B1740" s="59" t="str">
        <f t="shared" si="218"/>
        <v/>
      </c>
      <c r="V1740" s="59" t="str">
        <f t="shared" si="219"/>
        <v/>
      </c>
      <c r="W1740" s="59" t="str">
        <f t="shared" si="216"/>
        <v/>
      </c>
      <c r="X1740" s="59" t="str">
        <f t="shared" si="220"/>
        <v/>
      </c>
      <c r="AC1740" s="50">
        <f t="shared" si="221"/>
        <v>0</v>
      </c>
      <c r="AD1740" s="43">
        <f t="shared" si="222"/>
        <v>0</v>
      </c>
      <c r="AE1740" s="50">
        <f t="shared" si="223"/>
        <v>0</v>
      </c>
    </row>
    <row r="1741" spans="1:31">
      <c r="A1741" s="59" t="str">
        <f t="shared" si="217"/>
        <v/>
      </c>
      <c r="B1741" s="59" t="str">
        <f t="shared" si="218"/>
        <v/>
      </c>
      <c r="V1741" s="59" t="str">
        <f t="shared" si="219"/>
        <v/>
      </c>
      <c r="W1741" s="59" t="str">
        <f t="shared" si="216"/>
        <v/>
      </c>
      <c r="X1741" s="59" t="str">
        <f t="shared" si="220"/>
        <v/>
      </c>
      <c r="AC1741" s="50">
        <f t="shared" si="221"/>
        <v>0</v>
      </c>
      <c r="AD1741" s="43">
        <f t="shared" si="222"/>
        <v>0</v>
      </c>
      <c r="AE1741" s="50">
        <f t="shared" si="223"/>
        <v>0</v>
      </c>
    </row>
    <row r="1742" spans="1:31">
      <c r="A1742" s="59" t="str">
        <f t="shared" si="217"/>
        <v/>
      </c>
      <c r="B1742" s="59" t="str">
        <f t="shared" si="218"/>
        <v/>
      </c>
      <c r="V1742" s="59" t="str">
        <f t="shared" si="219"/>
        <v/>
      </c>
      <c r="W1742" s="59" t="str">
        <f t="shared" si="216"/>
        <v/>
      </c>
      <c r="X1742" s="59" t="str">
        <f t="shared" si="220"/>
        <v/>
      </c>
      <c r="AC1742" s="50">
        <f t="shared" si="221"/>
        <v>0</v>
      </c>
      <c r="AD1742" s="43">
        <f t="shared" si="222"/>
        <v>0</v>
      </c>
      <c r="AE1742" s="50">
        <f t="shared" si="223"/>
        <v>0</v>
      </c>
    </row>
    <row r="1743" spans="1:31">
      <c r="A1743" s="59" t="str">
        <f t="shared" si="217"/>
        <v/>
      </c>
      <c r="B1743" s="59" t="str">
        <f t="shared" si="218"/>
        <v/>
      </c>
      <c r="V1743" s="59" t="str">
        <f t="shared" si="219"/>
        <v/>
      </c>
      <c r="W1743" s="59" t="str">
        <f t="shared" si="216"/>
        <v/>
      </c>
      <c r="X1743" s="59" t="str">
        <f t="shared" si="220"/>
        <v/>
      </c>
      <c r="AC1743" s="50">
        <f t="shared" si="221"/>
        <v>0</v>
      </c>
      <c r="AD1743" s="43">
        <f t="shared" si="222"/>
        <v>0</v>
      </c>
      <c r="AE1743" s="50">
        <f t="shared" si="223"/>
        <v>0</v>
      </c>
    </row>
    <row r="1744" spans="1:31">
      <c r="A1744" s="59" t="str">
        <f t="shared" si="217"/>
        <v/>
      </c>
      <c r="B1744" s="59" t="str">
        <f t="shared" si="218"/>
        <v/>
      </c>
      <c r="V1744" s="59" t="str">
        <f t="shared" si="219"/>
        <v/>
      </c>
      <c r="W1744" s="59" t="str">
        <f t="shared" si="216"/>
        <v/>
      </c>
      <c r="X1744" s="59" t="str">
        <f t="shared" si="220"/>
        <v/>
      </c>
      <c r="AC1744" s="50">
        <f t="shared" si="221"/>
        <v>0</v>
      </c>
      <c r="AD1744" s="43">
        <f t="shared" si="222"/>
        <v>0</v>
      </c>
      <c r="AE1744" s="50">
        <f t="shared" si="223"/>
        <v>0</v>
      </c>
    </row>
    <row r="1745" spans="1:31">
      <c r="A1745" s="59" t="str">
        <f t="shared" si="217"/>
        <v/>
      </c>
      <c r="B1745" s="59" t="str">
        <f t="shared" si="218"/>
        <v/>
      </c>
      <c r="V1745" s="59" t="str">
        <f t="shared" si="219"/>
        <v/>
      </c>
      <c r="W1745" s="59" t="str">
        <f t="shared" si="216"/>
        <v/>
      </c>
      <c r="X1745" s="59" t="str">
        <f t="shared" si="220"/>
        <v/>
      </c>
      <c r="AC1745" s="50">
        <f t="shared" si="221"/>
        <v>0</v>
      </c>
      <c r="AD1745" s="43">
        <f t="shared" si="222"/>
        <v>0</v>
      </c>
      <c r="AE1745" s="50">
        <f t="shared" si="223"/>
        <v>0</v>
      </c>
    </row>
    <row r="1746" spans="1:31">
      <c r="A1746" s="59" t="str">
        <f t="shared" si="217"/>
        <v/>
      </c>
      <c r="B1746" s="59" t="str">
        <f t="shared" si="218"/>
        <v/>
      </c>
      <c r="V1746" s="59" t="str">
        <f t="shared" si="219"/>
        <v/>
      </c>
      <c r="W1746" s="59" t="str">
        <f t="shared" si="216"/>
        <v/>
      </c>
      <c r="X1746" s="59" t="str">
        <f t="shared" si="220"/>
        <v/>
      </c>
      <c r="AC1746" s="50">
        <f t="shared" si="221"/>
        <v>0</v>
      </c>
      <c r="AD1746" s="43">
        <f t="shared" si="222"/>
        <v>0</v>
      </c>
      <c r="AE1746" s="50">
        <f t="shared" si="223"/>
        <v>0</v>
      </c>
    </row>
    <row r="1747" spans="1:31">
      <c r="A1747" s="59" t="str">
        <f t="shared" si="217"/>
        <v/>
      </c>
      <c r="B1747" s="59" t="str">
        <f t="shared" si="218"/>
        <v/>
      </c>
      <c r="V1747" s="59" t="str">
        <f t="shared" si="219"/>
        <v/>
      </c>
      <c r="W1747" s="59" t="str">
        <f t="shared" si="216"/>
        <v/>
      </c>
      <c r="X1747" s="59" t="str">
        <f t="shared" si="220"/>
        <v/>
      </c>
      <c r="AC1747" s="50">
        <f t="shared" si="221"/>
        <v>0</v>
      </c>
      <c r="AD1747" s="43">
        <f t="shared" si="222"/>
        <v>0</v>
      </c>
      <c r="AE1747" s="50">
        <f t="shared" si="223"/>
        <v>0</v>
      </c>
    </row>
    <row r="1748" spans="1:31">
      <c r="A1748" s="59" t="str">
        <f t="shared" si="217"/>
        <v/>
      </c>
      <c r="B1748" s="59" t="str">
        <f t="shared" si="218"/>
        <v/>
      </c>
      <c r="V1748" s="59" t="str">
        <f t="shared" si="219"/>
        <v/>
      </c>
      <c r="W1748" s="59" t="str">
        <f t="shared" si="216"/>
        <v/>
      </c>
      <c r="X1748" s="59" t="str">
        <f t="shared" si="220"/>
        <v/>
      </c>
      <c r="AC1748" s="50">
        <f t="shared" si="221"/>
        <v>0</v>
      </c>
      <c r="AD1748" s="43">
        <f t="shared" si="222"/>
        <v>0</v>
      </c>
      <c r="AE1748" s="50">
        <f t="shared" si="223"/>
        <v>0</v>
      </c>
    </row>
    <row r="1749" spans="1:31">
      <c r="A1749" s="59" t="str">
        <f t="shared" si="217"/>
        <v/>
      </c>
      <c r="B1749" s="59" t="str">
        <f t="shared" si="218"/>
        <v/>
      </c>
      <c r="V1749" s="59" t="str">
        <f t="shared" si="219"/>
        <v/>
      </c>
      <c r="W1749" s="59" t="str">
        <f t="shared" si="216"/>
        <v/>
      </c>
      <c r="X1749" s="59" t="str">
        <f t="shared" si="220"/>
        <v/>
      </c>
      <c r="AC1749" s="50">
        <f t="shared" si="221"/>
        <v>0</v>
      </c>
      <c r="AD1749" s="43">
        <f t="shared" si="222"/>
        <v>0</v>
      </c>
      <c r="AE1749" s="50">
        <f t="shared" si="223"/>
        <v>0</v>
      </c>
    </row>
    <row r="1750" spans="1:31">
      <c r="A1750" s="59" t="str">
        <f t="shared" si="217"/>
        <v/>
      </c>
      <c r="B1750" s="59" t="str">
        <f t="shared" si="218"/>
        <v/>
      </c>
      <c r="V1750" s="59" t="str">
        <f t="shared" si="219"/>
        <v/>
      </c>
      <c r="W1750" s="59" t="str">
        <f t="shared" si="216"/>
        <v/>
      </c>
      <c r="X1750" s="59" t="str">
        <f t="shared" si="220"/>
        <v/>
      </c>
      <c r="AC1750" s="50">
        <f t="shared" si="221"/>
        <v>0</v>
      </c>
      <c r="AD1750" s="43">
        <f t="shared" si="222"/>
        <v>0</v>
      </c>
      <c r="AE1750" s="50">
        <f t="shared" si="223"/>
        <v>0</v>
      </c>
    </row>
    <row r="1751" spans="1:31">
      <c r="A1751" s="59" t="str">
        <f t="shared" si="217"/>
        <v/>
      </c>
      <c r="B1751" s="59" t="str">
        <f t="shared" si="218"/>
        <v/>
      </c>
      <c r="V1751" s="59" t="str">
        <f t="shared" si="219"/>
        <v/>
      </c>
      <c r="W1751" s="59" t="str">
        <f t="shared" si="216"/>
        <v/>
      </c>
      <c r="X1751" s="59" t="str">
        <f t="shared" si="220"/>
        <v/>
      </c>
      <c r="AC1751" s="50">
        <f t="shared" si="221"/>
        <v>0</v>
      </c>
      <c r="AD1751" s="43">
        <f t="shared" si="222"/>
        <v>0</v>
      </c>
      <c r="AE1751" s="50">
        <f t="shared" si="223"/>
        <v>0</v>
      </c>
    </row>
    <row r="1752" spans="1:31">
      <c r="A1752" s="59" t="str">
        <f t="shared" si="217"/>
        <v/>
      </c>
      <c r="B1752" s="59" t="str">
        <f t="shared" si="218"/>
        <v/>
      </c>
      <c r="V1752" s="59" t="str">
        <f t="shared" si="219"/>
        <v/>
      </c>
      <c r="W1752" s="59" t="str">
        <f t="shared" si="216"/>
        <v/>
      </c>
      <c r="X1752" s="59" t="str">
        <f t="shared" si="220"/>
        <v/>
      </c>
      <c r="AC1752" s="50">
        <f t="shared" si="221"/>
        <v>0</v>
      </c>
      <c r="AD1752" s="43">
        <f t="shared" si="222"/>
        <v>0</v>
      </c>
      <c r="AE1752" s="50">
        <f t="shared" si="223"/>
        <v>0</v>
      </c>
    </row>
    <row r="1753" spans="1:31">
      <c r="A1753" s="59" t="str">
        <f t="shared" si="217"/>
        <v/>
      </c>
      <c r="B1753" s="59" t="str">
        <f t="shared" si="218"/>
        <v/>
      </c>
      <c r="V1753" s="59" t="str">
        <f t="shared" si="219"/>
        <v/>
      </c>
      <c r="W1753" s="59" t="str">
        <f t="shared" si="216"/>
        <v/>
      </c>
      <c r="X1753" s="59" t="str">
        <f t="shared" si="220"/>
        <v/>
      </c>
      <c r="AC1753" s="50">
        <f t="shared" si="221"/>
        <v>0</v>
      </c>
      <c r="AD1753" s="43">
        <f t="shared" si="222"/>
        <v>0</v>
      </c>
      <c r="AE1753" s="50">
        <f t="shared" si="223"/>
        <v>0</v>
      </c>
    </row>
    <row r="1754" spans="1:31">
      <c r="A1754" s="59" t="str">
        <f t="shared" si="217"/>
        <v/>
      </c>
      <c r="B1754" s="59" t="str">
        <f t="shared" si="218"/>
        <v/>
      </c>
      <c r="V1754" s="59" t="str">
        <f t="shared" si="219"/>
        <v/>
      </c>
      <c r="W1754" s="59" t="str">
        <f t="shared" si="216"/>
        <v/>
      </c>
      <c r="X1754" s="59" t="str">
        <f t="shared" si="220"/>
        <v/>
      </c>
      <c r="AC1754" s="50">
        <f t="shared" si="221"/>
        <v>0</v>
      </c>
      <c r="AD1754" s="43">
        <f t="shared" si="222"/>
        <v>0</v>
      </c>
      <c r="AE1754" s="50">
        <f t="shared" si="223"/>
        <v>0</v>
      </c>
    </row>
    <row r="1755" spans="1:31">
      <c r="A1755" s="59" t="str">
        <f t="shared" si="217"/>
        <v/>
      </c>
      <c r="B1755" s="59" t="str">
        <f t="shared" si="218"/>
        <v/>
      </c>
      <c r="V1755" s="59" t="str">
        <f t="shared" si="219"/>
        <v/>
      </c>
      <c r="W1755" s="59" t="str">
        <f t="shared" si="216"/>
        <v/>
      </c>
      <c r="X1755" s="59" t="str">
        <f t="shared" si="220"/>
        <v/>
      </c>
      <c r="AC1755" s="50">
        <f t="shared" si="221"/>
        <v>0</v>
      </c>
      <c r="AD1755" s="43">
        <f t="shared" si="222"/>
        <v>0</v>
      </c>
      <c r="AE1755" s="50">
        <f t="shared" si="223"/>
        <v>0</v>
      </c>
    </row>
    <row r="1756" spans="1:31">
      <c r="A1756" s="59" t="str">
        <f t="shared" si="217"/>
        <v/>
      </c>
      <c r="B1756" s="59" t="str">
        <f t="shared" si="218"/>
        <v/>
      </c>
      <c r="V1756" s="59" t="str">
        <f t="shared" si="219"/>
        <v/>
      </c>
      <c r="W1756" s="59" t="str">
        <f t="shared" si="216"/>
        <v/>
      </c>
      <c r="X1756" s="59" t="str">
        <f t="shared" si="220"/>
        <v/>
      </c>
      <c r="AC1756" s="50">
        <f t="shared" si="221"/>
        <v>0</v>
      </c>
      <c r="AD1756" s="43">
        <f t="shared" si="222"/>
        <v>0</v>
      </c>
      <c r="AE1756" s="50">
        <f t="shared" si="223"/>
        <v>0</v>
      </c>
    </row>
    <row r="1757" spans="1:31">
      <c r="A1757" s="59" t="str">
        <f t="shared" si="217"/>
        <v/>
      </c>
      <c r="B1757" s="59" t="str">
        <f t="shared" si="218"/>
        <v/>
      </c>
      <c r="V1757" s="59" t="str">
        <f t="shared" si="219"/>
        <v/>
      </c>
      <c r="W1757" s="59" t="str">
        <f t="shared" si="216"/>
        <v/>
      </c>
      <c r="X1757" s="59" t="str">
        <f t="shared" si="220"/>
        <v/>
      </c>
      <c r="AC1757" s="50">
        <f t="shared" si="221"/>
        <v>0</v>
      </c>
      <c r="AD1757" s="43">
        <f t="shared" si="222"/>
        <v>0</v>
      </c>
      <c r="AE1757" s="50">
        <f t="shared" si="223"/>
        <v>0</v>
      </c>
    </row>
    <row r="1758" spans="1:31">
      <c r="A1758" s="59" t="str">
        <f t="shared" si="217"/>
        <v/>
      </c>
      <c r="B1758" s="59" t="str">
        <f t="shared" si="218"/>
        <v/>
      </c>
      <c r="V1758" s="59" t="str">
        <f t="shared" si="219"/>
        <v/>
      </c>
      <c r="W1758" s="59" t="str">
        <f t="shared" si="216"/>
        <v/>
      </c>
      <c r="X1758" s="59" t="str">
        <f t="shared" si="220"/>
        <v/>
      </c>
      <c r="AC1758" s="50">
        <f t="shared" si="221"/>
        <v>0</v>
      </c>
      <c r="AD1758" s="43">
        <f t="shared" si="222"/>
        <v>0</v>
      </c>
      <c r="AE1758" s="50">
        <f t="shared" si="223"/>
        <v>0</v>
      </c>
    </row>
    <row r="1759" spans="1:31">
      <c r="A1759" s="59" t="str">
        <f t="shared" si="217"/>
        <v/>
      </c>
      <c r="B1759" s="59" t="str">
        <f t="shared" si="218"/>
        <v/>
      </c>
      <c r="V1759" s="59" t="str">
        <f t="shared" si="219"/>
        <v/>
      </c>
      <c r="W1759" s="59" t="str">
        <f t="shared" si="216"/>
        <v/>
      </c>
      <c r="X1759" s="59" t="str">
        <f t="shared" si="220"/>
        <v/>
      </c>
      <c r="AC1759" s="50">
        <f t="shared" si="221"/>
        <v>0</v>
      </c>
      <c r="AD1759" s="43">
        <f t="shared" si="222"/>
        <v>0</v>
      </c>
      <c r="AE1759" s="50">
        <f t="shared" si="223"/>
        <v>0</v>
      </c>
    </row>
    <row r="1760" spans="1:31">
      <c r="A1760" s="59" t="str">
        <f t="shared" si="217"/>
        <v/>
      </c>
      <c r="B1760" s="59" t="str">
        <f t="shared" si="218"/>
        <v/>
      </c>
      <c r="V1760" s="59" t="str">
        <f t="shared" si="219"/>
        <v/>
      </c>
      <c r="W1760" s="59" t="str">
        <f t="shared" si="216"/>
        <v/>
      </c>
      <c r="X1760" s="59" t="str">
        <f t="shared" si="220"/>
        <v/>
      </c>
      <c r="AC1760" s="50">
        <f t="shared" si="221"/>
        <v>0</v>
      </c>
      <c r="AD1760" s="43">
        <f t="shared" si="222"/>
        <v>0</v>
      </c>
      <c r="AE1760" s="50">
        <f t="shared" si="223"/>
        <v>0</v>
      </c>
    </row>
    <row r="1761" spans="1:31">
      <c r="A1761" s="59" t="str">
        <f t="shared" si="217"/>
        <v/>
      </c>
      <c r="B1761" s="59" t="str">
        <f t="shared" si="218"/>
        <v/>
      </c>
      <c r="V1761" s="59" t="str">
        <f t="shared" si="219"/>
        <v/>
      </c>
      <c r="W1761" s="59" t="str">
        <f t="shared" si="216"/>
        <v/>
      </c>
      <c r="X1761" s="59" t="str">
        <f t="shared" si="220"/>
        <v/>
      </c>
      <c r="AC1761" s="50">
        <f t="shared" si="221"/>
        <v>0</v>
      </c>
      <c r="AD1761" s="43">
        <f t="shared" si="222"/>
        <v>0</v>
      </c>
      <c r="AE1761" s="50">
        <f t="shared" si="223"/>
        <v>0</v>
      </c>
    </row>
    <row r="1762" spans="1:31">
      <c r="A1762" s="59" t="str">
        <f t="shared" si="217"/>
        <v/>
      </c>
      <c r="B1762" s="59" t="str">
        <f t="shared" si="218"/>
        <v/>
      </c>
      <c r="V1762" s="59" t="str">
        <f t="shared" si="219"/>
        <v/>
      </c>
      <c r="W1762" s="59" t="str">
        <f t="shared" si="216"/>
        <v/>
      </c>
      <c r="X1762" s="59" t="str">
        <f t="shared" si="220"/>
        <v/>
      </c>
      <c r="AC1762" s="50">
        <f t="shared" si="221"/>
        <v>0</v>
      </c>
      <c r="AD1762" s="43">
        <f t="shared" si="222"/>
        <v>0</v>
      </c>
      <c r="AE1762" s="50">
        <f t="shared" si="223"/>
        <v>0</v>
      </c>
    </row>
    <row r="1763" spans="1:31">
      <c r="A1763" s="59" t="str">
        <f t="shared" si="217"/>
        <v/>
      </c>
      <c r="B1763" s="59" t="str">
        <f t="shared" si="218"/>
        <v/>
      </c>
      <c r="V1763" s="59" t="str">
        <f t="shared" si="219"/>
        <v/>
      </c>
      <c r="W1763" s="59" t="str">
        <f t="shared" si="216"/>
        <v/>
      </c>
      <c r="X1763" s="59" t="str">
        <f t="shared" si="220"/>
        <v/>
      </c>
      <c r="AC1763" s="50">
        <f t="shared" si="221"/>
        <v>0</v>
      </c>
      <c r="AD1763" s="43">
        <f t="shared" si="222"/>
        <v>0</v>
      </c>
      <c r="AE1763" s="50">
        <f t="shared" si="223"/>
        <v>0</v>
      </c>
    </row>
    <row r="1764" spans="1:31">
      <c r="A1764" s="59" t="str">
        <f t="shared" si="217"/>
        <v/>
      </c>
      <c r="B1764" s="59" t="str">
        <f t="shared" si="218"/>
        <v/>
      </c>
      <c r="V1764" s="59" t="str">
        <f t="shared" si="219"/>
        <v/>
      </c>
      <c r="W1764" s="59" t="str">
        <f t="shared" si="216"/>
        <v/>
      </c>
      <c r="X1764" s="59" t="str">
        <f t="shared" si="220"/>
        <v/>
      </c>
      <c r="AC1764" s="50">
        <f t="shared" si="221"/>
        <v>0</v>
      </c>
      <c r="AD1764" s="43">
        <f t="shared" si="222"/>
        <v>0</v>
      </c>
      <c r="AE1764" s="50">
        <f t="shared" si="223"/>
        <v>0</v>
      </c>
    </row>
    <row r="1765" spans="1:31">
      <c r="A1765" s="59" t="str">
        <f t="shared" si="217"/>
        <v/>
      </c>
      <c r="B1765" s="59" t="str">
        <f t="shared" si="218"/>
        <v/>
      </c>
      <c r="V1765" s="59" t="str">
        <f t="shared" si="219"/>
        <v/>
      </c>
      <c r="W1765" s="59" t="str">
        <f t="shared" si="216"/>
        <v/>
      </c>
      <c r="X1765" s="59" t="str">
        <f t="shared" si="220"/>
        <v/>
      </c>
      <c r="AC1765" s="50">
        <f t="shared" si="221"/>
        <v>0</v>
      </c>
      <c r="AD1765" s="43">
        <f t="shared" si="222"/>
        <v>0</v>
      </c>
      <c r="AE1765" s="50">
        <f t="shared" si="223"/>
        <v>0</v>
      </c>
    </row>
    <row r="1766" spans="1:31">
      <c r="A1766" s="59" t="str">
        <f t="shared" si="217"/>
        <v/>
      </c>
      <c r="B1766" s="59" t="str">
        <f t="shared" si="218"/>
        <v/>
      </c>
      <c r="V1766" s="59" t="str">
        <f t="shared" si="219"/>
        <v/>
      </c>
      <c r="W1766" s="59" t="str">
        <f t="shared" si="216"/>
        <v/>
      </c>
      <c r="X1766" s="59" t="str">
        <f t="shared" si="220"/>
        <v/>
      </c>
      <c r="AC1766" s="50">
        <f t="shared" si="221"/>
        <v>0</v>
      </c>
      <c r="AD1766" s="43">
        <f t="shared" si="222"/>
        <v>0</v>
      </c>
      <c r="AE1766" s="50">
        <f t="shared" si="223"/>
        <v>0</v>
      </c>
    </row>
    <row r="1767" spans="1:31">
      <c r="A1767" s="59" t="str">
        <f t="shared" si="217"/>
        <v/>
      </c>
      <c r="B1767" s="59" t="str">
        <f t="shared" si="218"/>
        <v/>
      </c>
      <c r="V1767" s="59" t="str">
        <f t="shared" si="219"/>
        <v/>
      </c>
      <c r="W1767" s="59" t="str">
        <f t="shared" si="216"/>
        <v/>
      </c>
      <c r="X1767" s="59" t="str">
        <f t="shared" si="220"/>
        <v/>
      </c>
      <c r="AC1767" s="50">
        <f t="shared" si="221"/>
        <v>0</v>
      </c>
      <c r="AD1767" s="43">
        <f t="shared" si="222"/>
        <v>0</v>
      </c>
      <c r="AE1767" s="50">
        <f t="shared" si="223"/>
        <v>0</v>
      </c>
    </row>
    <row r="1768" spans="1:31">
      <c r="A1768" s="59" t="str">
        <f t="shared" si="217"/>
        <v/>
      </c>
      <c r="B1768" s="59" t="str">
        <f t="shared" si="218"/>
        <v/>
      </c>
      <c r="V1768" s="59" t="str">
        <f t="shared" si="219"/>
        <v/>
      </c>
      <c r="W1768" s="59" t="str">
        <f t="shared" si="216"/>
        <v/>
      </c>
      <c r="X1768" s="59" t="str">
        <f t="shared" si="220"/>
        <v/>
      </c>
      <c r="AC1768" s="50">
        <f t="shared" si="221"/>
        <v>0</v>
      </c>
      <c r="AD1768" s="43">
        <f t="shared" si="222"/>
        <v>0</v>
      </c>
      <c r="AE1768" s="50">
        <f t="shared" si="223"/>
        <v>0</v>
      </c>
    </row>
    <row r="1769" spans="1:31">
      <c r="A1769" s="59" t="str">
        <f t="shared" si="217"/>
        <v/>
      </c>
      <c r="B1769" s="59" t="str">
        <f t="shared" si="218"/>
        <v/>
      </c>
      <c r="V1769" s="59" t="str">
        <f t="shared" si="219"/>
        <v/>
      </c>
      <c r="W1769" s="59" t="str">
        <f t="shared" si="216"/>
        <v/>
      </c>
      <c r="X1769" s="59" t="str">
        <f t="shared" si="220"/>
        <v/>
      </c>
      <c r="AC1769" s="50">
        <f t="shared" si="221"/>
        <v>0</v>
      </c>
      <c r="AD1769" s="43">
        <f t="shared" si="222"/>
        <v>0</v>
      </c>
      <c r="AE1769" s="50">
        <f t="shared" si="223"/>
        <v>0</v>
      </c>
    </row>
    <row r="1770" spans="1:31">
      <c r="A1770" s="59" t="str">
        <f t="shared" si="217"/>
        <v/>
      </c>
      <c r="B1770" s="59" t="str">
        <f t="shared" si="218"/>
        <v/>
      </c>
      <c r="V1770" s="59" t="str">
        <f t="shared" si="219"/>
        <v/>
      </c>
      <c r="W1770" s="59" t="str">
        <f t="shared" si="216"/>
        <v/>
      </c>
      <c r="X1770" s="59" t="str">
        <f t="shared" si="220"/>
        <v/>
      </c>
      <c r="AC1770" s="50">
        <f t="shared" si="221"/>
        <v>0</v>
      </c>
      <c r="AD1770" s="43">
        <f t="shared" si="222"/>
        <v>0</v>
      </c>
      <c r="AE1770" s="50">
        <f t="shared" si="223"/>
        <v>0</v>
      </c>
    </row>
    <row r="1771" spans="1:31">
      <c r="A1771" s="59" t="str">
        <f t="shared" si="217"/>
        <v/>
      </c>
      <c r="B1771" s="59" t="str">
        <f t="shared" si="218"/>
        <v/>
      </c>
      <c r="V1771" s="59" t="str">
        <f t="shared" si="219"/>
        <v/>
      </c>
      <c r="W1771" s="59" t="str">
        <f t="shared" si="216"/>
        <v/>
      </c>
      <c r="X1771" s="59" t="str">
        <f t="shared" si="220"/>
        <v/>
      </c>
      <c r="AC1771" s="50">
        <f t="shared" si="221"/>
        <v>0</v>
      </c>
      <c r="AD1771" s="43">
        <f t="shared" si="222"/>
        <v>0</v>
      </c>
      <c r="AE1771" s="50">
        <f t="shared" si="223"/>
        <v>0</v>
      </c>
    </row>
    <row r="1772" spans="1:31">
      <c r="A1772" s="59" t="str">
        <f t="shared" si="217"/>
        <v/>
      </c>
      <c r="B1772" s="59" t="str">
        <f t="shared" si="218"/>
        <v/>
      </c>
      <c r="V1772" s="59" t="str">
        <f t="shared" si="219"/>
        <v/>
      </c>
      <c r="W1772" s="59" t="str">
        <f t="shared" si="216"/>
        <v/>
      </c>
      <c r="X1772" s="59" t="str">
        <f t="shared" si="220"/>
        <v/>
      </c>
      <c r="AC1772" s="50">
        <f t="shared" si="221"/>
        <v>0</v>
      </c>
      <c r="AD1772" s="43">
        <f t="shared" si="222"/>
        <v>0</v>
      </c>
      <c r="AE1772" s="50">
        <f t="shared" si="223"/>
        <v>0</v>
      </c>
    </row>
    <row r="1773" spans="1:31">
      <c r="A1773" s="59" t="str">
        <f t="shared" si="217"/>
        <v/>
      </c>
      <c r="B1773" s="59" t="str">
        <f t="shared" si="218"/>
        <v/>
      </c>
      <c r="V1773" s="59" t="str">
        <f t="shared" si="219"/>
        <v/>
      </c>
      <c r="W1773" s="59" t="str">
        <f t="shared" si="216"/>
        <v/>
      </c>
      <c r="X1773" s="59" t="str">
        <f t="shared" si="220"/>
        <v/>
      </c>
      <c r="AC1773" s="50">
        <f t="shared" si="221"/>
        <v>0</v>
      </c>
      <c r="AD1773" s="43">
        <f t="shared" si="222"/>
        <v>0</v>
      </c>
      <c r="AE1773" s="50">
        <f t="shared" si="223"/>
        <v>0</v>
      </c>
    </row>
    <row r="1774" spans="1:31">
      <c r="A1774" s="59" t="str">
        <f t="shared" si="217"/>
        <v/>
      </c>
      <c r="B1774" s="59" t="str">
        <f t="shared" si="218"/>
        <v/>
      </c>
      <c r="V1774" s="59" t="str">
        <f t="shared" si="219"/>
        <v/>
      </c>
      <c r="W1774" s="59" t="str">
        <f t="shared" si="216"/>
        <v/>
      </c>
      <c r="X1774" s="59" t="str">
        <f t="shared" si="220"/>
        <v/>
      </c>
      <c r="AC1774" s="50">
        <f t="shared" si="221"/>
        <v>0</v>
      </c>
      <c r="AD1774" s="43">
        <f t="shared" si="222"/>
        <v>0</v>
      </c>
      <c r="AE1774" s="50">
        <f t="shared" si="223"/>
        <v>0</v>
      </c>
    </row>
    <row r="1775" spans="1:31">
      <c r="A1775" s="59" t="str">
        <f t="shared" si="217"/>
        <v/>
      </c>
      <c r="B1775" s="59" t="str">
        <f t="shared" si="218"/>
        <v/>
      </c>
      <c r="V1775" s="59" t="str">
        <f t="shared" si="219"/>
        <v/>
      </c>
      <c r="W1775" s="59" t="str">
        <f t="shared" si="216"/>
        <v/>
      </c>
      <c r="X1775" s="59" t="str">
        <f t="shared" si="220"/>
        <v/>
      </c>
      <c r="AC1775" s="50">
        <f t="shared" si="221"/>
        <v>0</v>
      </c>
      <c r="AD1775" s="43">
        <f t="shared" si="222"/>
        <v>0</v>
      </c>
      <c r="AE1775" s="50">
        <f t="shared" si="223"/>
        <v>0</v>
      </c>
    </row>
    <row r="1776" spans="1:31">
      <c r="A1776" s="59" t="str">
        <f t="shared" si="217"/>
        <v/>
      </c>
      <c r="B1776" s="59" t="str">
        <f t="shared" si="218"/>
        <v/>
      </c>
      <c r="V1776" s="59" t="str">
        <f t="shared" si="219"/>
        <v/>
      </c>
      <c r="W1776" s="59" t="str">
        <f t="shared" si="216"/>
        <v/>
      </c>
      <c r="X1776" s="59" t="str">
        <f t="shared" si="220"/>
        <v/>
      </c>
      <c r="AC1776" s="50">
        <f t="shared" si="221"/>
        <v>0</v>
      </c>
      <c r="AD1776" s="43">
        <f t="shared" si="222"/>
        <v>0</v>
      </c>
      <c r="AE1776" s="50">
        <f t="shared" si="223"/>
        <v>0</v>
      </c>
    </row>
    <row r="1777" spans="1:31">
      <c r="A1777" s="59" t="str">
        <f t="shared" si="217"/>
        <v/>
      </c>
      <c r="B1777" s="59" t="str">
        <f t="shared" si="218"/>
        <v/>
      </c>
      <c r="V1777" s="59" t="str">
        <f t="shared" si="219"/>
        <v/>
      </c>
      <c r="W1777" s="59" t="str">
        <f t="shared" si="216"/>
        <v/>
      </c>
      <c r="X1777" s="59" t="str">
        <f t="shared" si="220"/>
        <v/>
      </c>
      <c r="AC1777" s="50">
        <f t="shared" si="221"/>
        <v>0</v>
      </c>
      <c r="AD1777" s="43">
        <f t="shared" si="222"/>
        <v>0</v>
      </c>
      <c r="AE1777" s="50">
        <f t="shared" si="223"/>
        <v>0</v>
      </c>
    </row>
    <row r="1778" spans="1:31">
      <c r="A1778" s="59" t="str">
        <f t="shared" si="217"/>
        <v/>
      </c>
      <c r="B1778" s="59" t="str">
        <f t="shared" si="218"/>
        <v/>
      </c>
      <c r="V1778" s="59" t="str">
        <f t="shared" si="219"/>
        <v/>
      </c>
      <c r="W1778" s="59" t="str">
        <f t="shared" si="216"/>
        <v/>
      </c>
      <c r="X1778" s="59" t="str">
        <f t="shared" si="220"/>
        <v/>
      </c>
      <c r="AC1778" s="50">
        <f t="shared" si="221"/>
        <v>0</v>
      </c>
      <c r="AD1778" s="43">
        <f t="shared" si="222"/>
        <v>0</v>
      </c>
      <c r="AE1778" s="50">
        <f t="shared" si="223"/>
        <v>0</v>
      </c>
    </row>
    <row r="1779" spans="1:31">
      <c r="A1779" s="59" t="str">
        <f t="shared" si="217"/>
        <v/>
      </c>
      <c r="B1779" s="59" t="str">
        <f t="shared" si="218"/>
        <v/>
      </c>
      <c r="V1779" s="59" t="str">
        <f t="shared" si="219"/>
        <v/>
      </c>
      <c r="W1779" s="59" t="str">
        <f t="shared" si="216"/>
        <v/>
      </c>
      <c r="X1779" s="59" t="str">
        <f t="shared" si="220"/>
        <v/>
      </c>
      <c r="AC1779" s="50">
        <f t="shared" si="221"/>
        <v>0</v>
      </c>
      <c r="AD1779" s="43">
        <f t="shared" si="222"/>
        <v>0</v>
      </c>
      <c r="AE1779" s="50">
        <f t="shared" si="223"/>
        <v>0</v>
      </c>
    </row>
    <row r="1780" spans="1:31">
      <c r="A1780" s="59" t="str">
        <f t="shared" si="217"/>
        <v/>
      </c>
      <c r="B1780" s="59" t="str">
        <f t="shared" si="218"/>
        <v/>
      </c>
      <c r="V1780" s="59" t="str">
        <f t="shared" si="219"/>
        <v/>
      </c>
      <c r="W1780" s="59" t="str">
        <f t="shared" si="216"/>
        <v/>
      </c>
      <c r="X1780" s="59" t="str">
        <f t="shared" si="220"/>
        <v/>
      </c>
      <c r="AC1780" s="50">
        <f t="shared" si="221"/>
        <v>0</v>
      </c>
      <c r="AD1780" s="43">
        <f t="shared" si="222"/>
        <v>0</v>
      </c>
      <c r="AE1780" s="50">
        <f t="shared" si="223"/>
        <v>0</v>
      </c>
    </row>
    <row r="1781" spans="1:31">
      <c r="A1781" s="59" t="str">
        <f t="shared" si="217"/>
        <v/>
      </c>
      <c r="B1781" s="59" t="str">
        <f t="shared" si="218"/>
        <v/>
      </c>
      <c r="V1781" s="59" t="str">
        <f t="shared" si="219"/>
        <v/>
      </c>
      <c r="W1781" s="59" t="str">
        <f t="shared" si="216"/>
        <v/>
      </c>
      <c r="X1781" s="59" t="str">
        <f t="shared" si="220"/>
        <v/>
      </c>
      <c r="AC1781" s="50">
        <f t="shared" si="221"/>
        <v>0</v>
      </c>
      <c r="AD1781" s="43">
        <f t="shared" si="222"/>
        <v>0</v>
      </c>
      <c r="AE1781" s="50">
        <f t="shared" si="223"/>
        <v>0</v>
      </c>
    </row>
    <row r="1782" spans="1:31">
      <c r="A1782" s="59" t="str">
        <f t="shared" si="217"/>
        <v/>
      </c>
      <c r="B1782" s="59" t="str">
        <f t="shared" si="218"/>
        <v/>
      </c>
      <c r="V1782" s="59" t="str">
        <f t="shared" si="219"/>
        <v/>
      </c>
      <c r="W1782" s="59" t="str">
        <f t="shared" si="216"/>
        <v/>
      </c>
      <c r="X1782" s="59" t="str">
        <f t="shared" si="220"/>
        <v/>
      </c>
      <c r="AC1782" s="50">
        <f t="shared" si="221"/>
        <v>0</v>
      </c>
      <c r="AD1782" s="43">
        <f t="shared" si="222"/>
        <v>0</v>
      </c>
      <c r="AE1782" s="50">
        <f t="shared" si="223"/>
        <v>0</v>
      </c>
    </row>
    <row r="1783" spans="1:31">
      <c r="A1783" s="59" t="str">
        <f t="shared" si="217"/>
        <v/>
      </c>
      <c r="B1783" s="59" t="str">
        <f t="shared" si="218"/>
        <v/>
      </c>
      <c r="V1783" s="59" t="str">
        <f t="shared" si="219"/>
        <v/>
      </c>
      <c r="W1783" s="59" t="str">
        <f t="shared" si="216"/>
        <v/>
      </c>
      <c r="X1783" s="59" t="str">
        <f t="shared" si="220"/>
        <v/>
      </c>
      <c r="AC1783" s="50">
        <f t="shared" si="221"/>
        <v>0</v>
      </c>
      <c r="AD1783" s="43">
        <f t="shared" si="222"/>
        <v>0</v>
      </c>
      <c r="AE1783" s="50">
        <f t="shared" si="223"/>
        <v>0</v>
      </c>
    </row>
    <row r="1784" spans="1:31">
      <c r="A1784" s="59" t="str">
        <f t="shared" si="217"/>
        <v/>
      </c>
      <c r="B1784" s="59" t="str">
        <f t="shared" si="218"/>
        <v/>
      </c>
      <c r="V1784" s="59" t="str">
        <f t="shared" si="219"/>
        <v/>
      </c>
      <c r="W1784" s="59" t="str">
        <f t="shared" si="216"/>
        <v/>
      </c>
      <c r="X1784" s="59" t="str">
        <f t="shared" si="220"/>
        <v/>
      </c>
      <c r="AC1784" s="50">
        <f t="shared" si="221"/>
        <v>0</v>
      </c>
      <c r="AD1784" s="43">
        <f t="shared" si="222"/>
        <v>0</v>
      </c>
      <c r="AE1784" s="50">
        <f t="shared" si="223"/>
        <v>0</v>
      </c>
    </row>
    <row r="1785" spans="1:31">
      <c r="A1785" s="59" t="str">
        <f t="shared" si="217"/>
        <v/>
      </c>
      <c r="B1785" s="59" t="str">
        <f t="shared" si="218"/>
        <v/>
      </c>
      <c r="V1785" s="59" t="str">
        <f t="shared" si="219"/>
        <v/>
      </c>
      <c r="W1785" s="59" t="str">
        <f t="shared" si="216"/>
        <v/>
      </c>
      <c r="X1785" s="59" t="str">
        <f t="shared" si="220"/>
        <v/>
      </c>
      <c r="AC1785" s="50">
        <f t="shared" si="221"/>
        <v>0</v>
      </c>
      <c r="AD1785" s="43">
        <f t="shared" si="222"/>
        <v>0</v>
      </c>
      <c r="AE1785" s="50">
        <f t="shared" si="223"/>
        <v>0</v>
      </c>
    </row>
    <row r="1786" spans="1:31">
      <c r="A1786" s="59" t="str">
        <f t="shared" si="217"/>
        <v/>
      </c>
      <c r="B1786" s="59" t="str">
        <f t="shared" si="218"/>
        <v/>
      </c>
      <c r="V1786" s="59" t="str">
        <f t="shared" si="219"/>
        <v/>
      </c>
      <c r="W1786" s="59" t="str">
        <f t="shared" si="216"/>
        <v/>
      </c>
      <c r="X1786" s="59" t="str">
        <f t="shared" si="220"/>
        <v/>
      </c>
      <c r="AC1786" s="50">
        <f t="shared" si="221"/>
        <v>0</v>
      </c>
      <c r="AD1786" s="43">
        <f t="shared" si="222"/>
        <v>0</v>
      </c>
      <c r="AE1786" s="50">
        <f t="shared" si="223"/>
        <v>0</v>
      </c>
    </row>
    <row r="1787" spans="1:31">
      <c r="A1787" s="59" t="str">
        <f t="shared" si="217"/>
        <v/>
      </c>
      <c r="B1787" s="59" t="str">
        <f t="shared" si="218"/>
        <v/>
      </c>
      <c r="V1787" s="59" t="str">
        <f t="shared" si="219"/>
        <v/>
      </c>
      <c r="W1787" s="59" t="str">
        <f t="shared" si="216"/>
        <v/>
      </c>
      <c r="X1787" s="59" t="str">
        <f t="shared" si="220"/>
        <v/>
      </c>
      <c r="AC1787" s="50">
        <f t="shared" si="221"/>
        <v>0</v>
      </c>
      <c r="AD1787" s="43">
        <f t="shared" si="222"/>
        <v>0</v>
      </c>
      <c r="AE1787" s="50">
        <f t="shared" si="223"/>
        <v>0</v>
      </c>
    </row>
    <row r="1788" spans="1:31">
      <c r="A1788" s="59" t="str">
        <f t="shared" si="217"/>
        <v/>
      </c>
      <c r="B1788" s="59" t="str">
        <f t="shared" si="218"/>
        <v/>
      </c>
      <c r="V1788" s="59" t="str">
        <f t="shared" si="219"/>
        <v/>
      </c>
      <c r="W1788" s="59" t="str">
        <f t="shared" si="216"/>
        <v/>
      </c>
      <c r="X1788" s="59" t="str">
        <f t="shared" si="220"/>
        <v/>
      </c>
      <c r="AC1788" s="50">
        <f t="shared" si="221"/>
        <v>0</v>
      </c>
      <c r="AD1788" s="43">
        <f t="shared" si="222"/>
        <v>0</v>
      </c>
      <c r="AE1788" s="50">
        <f t="shared" si="223"/>
        <v>0</v>
      </c>
    </row>
    <row r="1789" spans="1:31">
      <c r="A1789" s="59" t="str">
        <f t="shared" si="217"/>
        <v/>
      </c>
      <c r="B1789" s="59" t="str">
        <f t="shared" si="218"/>
        <v/>
      </c>
      <c r="V1789" s="59" t="str">
        <f t="shared" si="219"/>
        <v/>
      </c>
      <c r="W1789" s="59" t="str">
        <f t="shared" si="216"/>
        <v/>
      </c>
      <c r="X1789" s="59" t="str">
        <f t="shared" si="220"/>
        <v/>
      </c>
      <c r="AC1789" s="50">
        <f t="shared" si="221"/>
        <v>0</v>
      </c>
      <c r="AD1789" s="43">
        <f t="shared" si="222"/>
        <v>0</v>
      </c>
      <c r="AE1789" s="50">
        <f t="shared" si="223"/>
        <v>0</v>
      </c>
    </row>
    <row r="1790" spans="1:31">
      <c r="A1790" s="59" t="str">
        <f t="shared" si="217"/>
        <v/>
      </c>
      <c r="B1790" s="59" t="str">
        <f t="shared" si="218"/>
        <v/>
      </c>
      <c r="V1790" s="59" t="str">
        <f t="shared" si="219"/>
        <v/>
      </c>
      <c r="W1790" s="59" t="str">
        <f t="shared" si="216"/>
        <v/>
      </c>
      <c r="X1790" s="59" t="str">
        <f t="shared" si="220"/>
        <v/>
      </c>
      <c r="AC1790" s="50">
        <f t="shared" si="221"/>
        <v>0</v>
      </c>
      <c r="AD1790" s="43">
        <f t="shared" si="222"/>
        <v>0</v>
      </c>
      <c r="AE1790" s="50">
        <f t="shared" si="223"/>
        <v>0</v>
      </c>
    </row>
    <row r="1791" spans="1:31">
      <c r="A1791" s="59" t="str">
        <f t="shared" si="217"/>
        <v/>
      </c>
      <c r="B1791" s="59" t="str">
        <f t="shared" si="218"/>
        <v/>
      </c>
      <c r="V1791" s="59" t="str">
        <f t="shared" si="219"/>
        <v/>
      </c>
      <c r="W1791" s="59" t="str">
        <f t="shared" si="216"/>
        <v/>
      </c>
      <c r="X1791" s="59" t="str">
        <f t="shared" si="220"/>
        <v/>
      </c>
      <c r="AC1791" s="50">
        <f t="shared" si="221"/>
        <v>0</v>
      </c>
      <c r="AD1791" s="43">
        <f t="shared" si="222"/>
        <v>0</v>
      </c>
      <c r="AE1791" s="50">
        <f t="shared" si="223"/>
        <v>0</v>
      </c>
    </row>
    <row r="1792" spans="1:31">
      <c r="A1792" s="59" t="str">
        <f t="shared" si="217"/>
        <v/>
      </c>
      <c r="B1792" s="59" t="str">
        <f t="shared" si="218"/>
        <v/>
      </c>
      <c r="V1792" s="59" t="str">
        <f t="shared" si="219"/>
        <v/>
      </c>
      <c r="W1792" s="59" t="str">
        <f t="shared" si="216"/>
        <v/>
      </c>
      <c r="X1792" s="59" t="str">
        <f t="shared" si="220"/>
        <v/>
      </c>
      <c r="AC1792" s="50">
        <f t="shared" si="221"/>
        <v>0</v>
      </c>
      <c r="AD1792" s="43">
        <f t="shared" si="222"/>
        <v>0</v>
      </c>
      <c r="AE1792" s="50">
        <f t="shared" si="223"/>
        <v>0</v>
      </c>
    </row>
    <row r="1793" spans="1:31">
      <c r="A1793" s="59" t="str">
        <f t="shared" si="217"/>
        <v/>
      </c>
      <c r="B1793" s="59" t="str">
        <f t="shared" si="218"/>
        <v/>
      </c>
      <c r="V1793" s="59" t="str">
        <f t="shared" si="219"/>
        <v/>
      </c>
      <c r="W1793" s="59" t="str">
        <f t="shared" si="216"/>
        <v/>
      </c>
      <c r="X1793" s="59" t="str">
        <f t="shared" si="220"/>
        <v/>
      </c>
      <c r="AC1793" s="50">
        <f t="shared" si="221"/>
        <v>0</v>
      </c>
      <c r="AD1793" s="43">
        <f t="shared" si="222"/>
        <v>0</v>
      </c>
      <c r="AE1793" s="50">
        <f t="shared" si="223"/>
        <v>0</v>
      </c>
    </row>
    <row r="1794" spans="1:31">
      <c r="A1794" s="59" t="str">
        <f t="shared" si="217"/>
        <v/>
      </c>
      <c r="B1794" s="59" t="str">
        <f t="shared" si="218"/>
        <v/>
      </c>
      <c r="V1794" s="59" t="str">
        <f t="shared" si="219"/>
        <v/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59" t="str">
        <f t="shared" si="220"/>
        <v/>
      </c>
      <c r="AC1794" s="50">
        <f t="shared" si="221"/>
        <v>0</v>
      </c>
      <c r="AD1794" s="43">
        <f t="shared" si="222"/>
        <v>0</v>
      </c>
      <c r="AE1794" s="50">
        <f t="shared" si="223"/>
        <v>0</v>
      </c>
    </row>
    <row r="1795" spans="1:31">
      <c r="A1795" s="59" t="str">
        <f t="shared" ref="A1795:A1858" si="225">IF(G1795&amp;Q1795&lt;&gt;"",W1795&amp;Q1795,"")</f>
        <v/>
      </c>
      <c r="B1795" s="59" t="str">
        <f t="shared" ref="B1795:B1858" si="226">IF(C1795&lt;&gt;"",LEFT(C1795,9),"")</f>
        <v/>
      </c>
      <c r="V1795" s="59" t="str">
        <f t="shared" ref="V1795:V1858" si="227">W1795&amp;H1795</f>
        <v/>
      </c>
      <c r="W1795" s="59" t="str">
        <f t="shared" si="224"/>
        <v/>
      </c>
      <c r="X1795" s="59" t="str">
        <f t="shared" ref="X1795:X1858" si="228">IF(A1795&lt;&gt;"",IFERROR(IF(FIND(" ",G1795)&gt;=1,MID(G1795,FIND(" ",G1795)+1,LEN(G1795)),""),""),"")</f>
        <v/>
      </c>
      <c r="AC1795" s="50">
        <f t="shared" ref="AC1795:AC1858" si="229">IFERROR(VALUE(MID($C1795,1,2)),0)</f>
        <v>0</v>
      </c>
      <c r="AD1795" s="43">
        <f t="shared" ref="AD1795:AD1858" si="230">IFERROR(VALUE(MID($C1795,4,3)),0)</f>
        <v>0</v>
      </c>
      <c r="AE1795" s="50">
        <f t="shared" ref="AE1795:AE1858" si="231">VALUE(RIGHT("00"&amp;AC1795,2)&amp;RIGHT("000"&amp;AD1795,3))</f>
        <v>0</v>
      </c>
    </row>
    <row r="1796" spans="1:31">
      <c r="A1796" s="59" t="str">
        <f t="shared" si="225"/>
        <v/>
      </c>
      <c r="B1796" s="59" t="str">
        <f t="shared" si="226"/>
        <v/>
      </c>
      <c r="V1796" s="59" t="str">
        <f t="shared" si="227"/>
        <v/>
      </c>
      <c r="W1796" s="59" t="str">
        <f t="shared" si="224"/>
        <v/>
      </c>
      <c r="X1796" s="59" t="str">
        <f t="shared" si="228"/>
        <v/>
      </c>
      <c r="AC1796" s="50">
        <f t="shared" si="229"/>
        <v>0</v>
      </c>
      <c r="AD1796" s="43">
        <f t="shared" si="230"/>
        <v>0</v>
      </c>
      <c r="AE1796" s="50">
        <f t="shared" si="231"/>
        <v>0</v>
      </c>
    </row>
    <row r="1797" spans="1:31">
      <c r="A1797" s="59" t="str">
        <f t="shared" si="225"/>
        <v/>
      </c>
      <c r="B1797" s="59" t="str">
        <f t="shared" si="226"/>
        <v/>
      </c>
      <c r="V1797" s="59" t="str">
        <f t="shared" si="227"/>
        <v/>
      </c>
      <c r="W1797" s="59" t="str">
        <f t="shared" si="224"/>
        <v/>
      </c>
      <c r="X1797" s="59" t="str">
        <f t="shared" si="228"/>
        <v/>
      </c>
      <c r="AC1797" s="50">
        <f t="shared" si="229"/>
        <v>0</v>
      </c>
      <c r="AD1797" s="43">
        <f t="shared" si="230"/>
        <v>0</v>
      </c>
      <c r="AE1797" s="50">
        <f t="shared" si="231"/>
        <v>0</v>
      </c>
    </row>
    <row r="1798" spans="1:31">
      <c r="A1798" s="59" t="str">
        <f t="shared" si="225"/>
        <v/>
      </c>
      <c r="B1798" s="59" t="str">
        <f t="shared" si="226"/>
        <v/>
      </c>
      <c r="V1798" s="59" t="str">
        <f t="shared" si="227"/>
        <v/>
      </c>
      <c r="W1798" s="59" t="str">
        <f t="shared" si="224"/>
        <v/>
      </c>
      <c r="X1798" s="59" t="str">
        <f t="shared" si="228"/>
        <v/>
      </c>
      <c r="AC1798" s="50">
        <f t="shared" si="229"/>
        <v>0</v>
      </c>
      <c r="AD1798" s="43">
        <f t="shared" si="230"/>
        <v>0</v>
      </c>
      <c r="AE1798" s="50">
        <f t="shared" si="231"/>
        <v>0</v>
      </c>
    </row>
    <row r="1799" spans="1:31">
      <c r="A1799" s="59" t="str">
        <f t="shared" si="225"/>
        <v/>
      </c>
      <c r="B1799" s="59" t="str">
        <f t="shared" si="226"/>
        <v/>
      </c>
      <c r="V1799" s="59" t="str">
        <f t="shared" si="227"/>
        <v/>
      </c>
      <c r="W1799" s="59" t="str">
        <f t="shared" si="224"/>
        <v/>
      </c>
      <c r="X1799" s="59" t="str">
        <f t="shared" si="228"/>
        <v/>
      </c>
      <c r="AC1799" s="50">
        <f t="shared" si="229"/>
        <v>0</v>
      </c>
      <c r="AD1799" s="43">
        <f t="shared" si="230"/>
        <v>0</v>
      </c>
      <c r="AE1799" s="50">
        <f t="shared" si="231"/>
        <v>0</v>
      </c>
    </row>
    <row r="1800" spans="1:31">
      <c r="A1800" s="59" t="str">
        <f t="shared" si="225"/>
        <v/>
      </c>
      <c r="B1800" s="59" t="str">
        <f t="shared" si="226"/>
        <v/>
      </c>
      <c r="V1800" s="59" t="str">
        <f t="shared" si="227"/>
        <v/>
      </c>
      <c r="W1800" s="59" t="str">
        <f t="shared" si="224"/>
        <v/>
      </c>
      <c r="X1800" s="59" t="str">
        <f t="shared" si="228"/>
        <v/>
      </c>
      <c r="AC1800" s="50">
        <f t="shared" si="229"/>
        <v>0</v>
      </c>
      <c r="AD1800" s="43">
        <f t="shared" si="230"/>
        <v>0</v>
      </c>
      <c r="AE1800" s="50">
        <f t="shared" si="231"/>
        <v>0</v>
      </c>
    </row>
    <row r="1801" spans="1:31">
      <c r="A1801" s="59" t="str">
        <f t="shared" si="225"/>
        <v/>
      </c>
      <c r="B1801" s="59" t="str">
        <f t="shared" si="226"/>
        <v/>
      </c>
      <c r="V1801" s="59" t="str">
        <f t="shared" si="227"/>
        <v/>
      </c>
      <c r="W1801" s="59" t="str">
        <f t="shared" si="224"/>
        <v/>
      </c>
      <c r="X1801" s="59" t="str">
        <f t="shared" si="228"/>
        <v/>
      </c>
      <c r="AC1801" s="50">
        <f t="shared" si="229"/>
        <v>0</v>
      </c>
      <c r="AD1801" s="43">
        <f t="shared" si="230"/>
        <v>0</v>
      </c>
      <c r="AE1801" s="50">
        <f t="shared" si="231"/>
        <v>0</v>
      </c>
    </row>
    <row r="1802" spans="1:31">
      <c r="A1802" s="59" t="str">
        <f t="shared" si="225"/>
        <v/>
      </c>
      <c r="B1802" s="59" t="str">
        <f t="shared" si="226"/>
        <v/>
      </c>
      <c r="V1802" s="59" t="str">
        <f t="shared" si="227"/>
        <v/>
      </c>
      <c r="W1802" s="59" t="str">
        <f t="shared" si="224"/>
        <v/>
      </c>
      <c r="X1802" s="59" t="str">
        <f t="shared" si="228"/>
        <v/>
      </c>
      <c r="AC1802" s="50">
        <f t="shared" si="229"/>
        <v>0</v>
      </c>
      <c r="AD1802" s="43">
        <f t="shared" si="230"/>
        <v>0</v>
      </c>
      <c r="AE1802" s="50">
        <f t="shared" si="231"/>
        <v>0</v>
      </c>
    </row>
    <row r="1803" spans="1:31">
      <c r="A1803" s="59" t="str">
        <f t="shared" si="225"/>
        <v/>
      </c>
      <c r="B1803" s="59" t="str">
        <f t="shared" si="226"/>
        <v/>
      </c>
      <c r="V1803" s="59" t="str">
        <f t="shared" si="227"/>
        <v/>
      </c>
      <c r="W1803" s="59" t="str">
        <f t="shared" si="224"/>
        <v/>
      </c>
      <c r="X1803" s="59" t="str">
        <f t="shared" si="228"/>
        <v/>
      </c>
      <c r="AC1803" s="50">
        <f t="shared" si="229"/>
        <v>0</v>
      </c>
      <c r="AD1803" s="43">
        <f t="shared" si="230"/>
        <v>0</v>
      </c>
      <c r="AE1803" s="50">
        <f t="shared" si="231"/>
        <v>0</v>
      </c>
    </row>
    <row r="1804" spans="1:31">
      <c r="A1804" s="59" t="str">
        <f t="shared" si="225"/>
        <v/>
      </c>
      <c r="B1804" s="59" t="str">
        <f t="shared" si="226"/>
        <v/>
      </c>
      <c r="V1804" s="59" t="str">
        <f t="shared" si="227"/>
        <v/>
      </c>
      <c r="W1804" s="59" t="str">
        <f t="shared" si="224"/>
        <v/>
      </c>
      <c r="X1804" s="59" t="str">
        <f t="shared" si="228"/>
        <v/>
      </c>
      <c r="AC1804" s="50">
        <f t="shared" si="229"/>
        <v>0</v>
      </c>
      <c r="AD1804" s="43">
        <f t="shared" si="230"/>
        <v>0</v>
      </c>
      <c r="AE1804" s="50">
        <f t="shared" si="231"/>
        <v>0</v>
      </c>
    </row>
    <row r="1805" spans="1:31">
      <c r="A1805" s="59" t="str">
        <f t="shared" si="225"/>
        <v/>
      </c>
      <c r="B1805" s="59" t="str">
        <f t="shared" si="226"/>
        <v/>
      </c>
      <c r="V1805" s="59" t="str">
        <f t="shared" si="227"/>
        <v/>
      </c>
      <c r="W1805" s="59" t="str">
        <f t="shared" si="224"/>
        <v/>
      </c>
      <c r="X1805" s="59" t="str">
        <f t="shared" si="228"/>
        <v/>
      </c>
      <c r="AC1805" s="50">
        <f t="shared" si="229"/>
        <v>0</v>
      </c>
      <c r="AD1805" s="43">
        <f t="shared" si="230"/>
        <v>0</v>
      </c>
      <c r="AE1805" s="50">
        <f t="shared" si="231"/>
        <v>0</v>
      </c>
    </row>
    <row r="1806" spans="1:31">
      <c r="A1806" s="59" t="str">
        <f t="shared" si="225"/>
        <v/>
      </c>
      <c r="B1806" s="59" t="str">
        <f t="shared" si="226"/>
        <v/>
      </c>
      <c r="V1806" s="59" t="str">
        <f t="shared" si="227"/>
        <v/>
      </c>
      <c r="W1806" s="59" t="str">
        <f t="shared" si="224"/>
        <v/>
      </c>
      <c r="X1806" s="59" t="str">
        <f t="shared" si="228"/>
        <v/>
      </c>
      <c r="AC1806" s="50">
        <f t="shared" si="229"/>
        <v>0</v>
      </c>
      <c r="AD1806" s="43">
        <f t="shared" si="230"/>
        <v>0</v>
      </c>
      <c r="AE1806" s="50">
        <f t="shared" si="231"/>
        <v>0</v>
      </c>
    </row>
    <row r="1807" spans="1:31">
      <c r="A1807" s="59" t="str">
        <f t="shared" si="225"/>
        <v/>
      </c>
      <c r="B1807" s="59" t="str">
        <f t="shared" si="226"/>
        <v/>
      </c>
      <c r="V1807" s="59" t="str">
        <f t="shared" si="227"/>
        <v/>
      </c>
      <c r="W1807" s="59" t="str">
        <f t="shared" si="224"/>
        <v/>
      </c>
      <c r="X1807" s="59" t="str">
        <f t="shared" si="228"/>
        <v/>
      </c>
      <c r="AC1807" s="50">
        <f t="shared" si="229"/>
        <v>0</v>
      </c>
      <c r="AD1807" s="43">
        <f t="shared" si="230"/>
        <v>0</v>
      </c>
      <c r="AE1807" s="50">
        <f t="shared" si="231"/>
        <v>0</v>
      </c>
    </row>
    <row r="1808" spans="1:31">
      <c r="A1808" s="59" t="str">
        <f t="shared" si="225"/>
        <v/>
      </c>
      <c r="B1808" s="59" t="str">
        <f t="shared" si="226"/>
        <v/>
      </c>
      <c r="V1808" s="59" t="str">
        <f t="shared" si="227"/>
        <v/>
      </c>
      <c r="W1808" s="59" t="str">
        <f t="shared" si="224"/>
        <v/>
      </c>
      <c r="X1808" s="59" t="str">
        <f t="shared" si="228"/>
        <v/>
      </c>
      <c r="AC1808" s="50">
        <f t="shared" si="229"/>
        <v>0</v>
      </c>
      <c r="AD1808" s="43">
        <f t="shared" si="230"/>
        <v>0</v>
      </c>
      <c r="AE1808" s="50">
        <f t="shared" si="231"/>
        <v>0</v>
      </c>
    </row>
    <row r="1809" spans="1:31">
      <c r="A1809" s="59" t="str">
        <f t="shared" si="225"/>
        <v/>
      </c>
      <c r="B1809" s="59" t="str">
        <f t="shared" si="226"/>
        <v/>
      </c>
      <c r="V1809" s="59" t="str">
        <f t="shared" si="227"/>
        <v/>
      </c>
      <c r="W1809" s="59" t="str">
        <f t="shared" si="224"/>
        <v/>
      </c>
      <c r="X1809" s="59" t="str">
        <f t="shared" si="228"/>
        <v/>
      </c>
      <c r="AC1809" s="50">
        <f t="shared" si="229"/>
        <v>0</v>
      </c>
      <c r="AD1809" s="43">
        <f t="shared" si="230"/>
        <v>0</v>
      </c>
      <c r="AE1809" s="50">
        <f t="shared" si="231"/>
        <v>0</v>
      </c>
    </row>
    <row r="1810" spans="1:31">
      <c r="A1810" s="59" t="str">
        <f t="shared" si="225"/>
        <v/>
      </c>
      <c r="B1810" s="59" t="str">
        <f t="shared" si="226"/>
        <v/>
      </c>
      <c r="V1810" s="59" t="str">
        <f t="shared" si="227"/>
        <v/>
      </c>
      <c r="W1810" s="59" t="str">
        <f t="shared" si="224"/>
        <v/>
      </c>
      <c r="X1810" s="59" t="str">
        <f t="shared" si="228"/>
        <v/>
      </c>
      <c r="AC1810" s="50">
        <f t="shared" si="229"/>
        <v>0</v>
      </c>
      <c r="AD1810" s="43">
        <f t="shared" si="230"/>
        <v>0</v>
      </c>
      <c r="AE1810" s="50">
        <f t="shared" si="231"/>
        <v>0</v>
      </c>
    </row>
    <row r="1811" spans="1:31">
      <c r="A1811" s="59" t="str">
        <f t="shared" si="225"/>
        <v/>
      </c>
      <c r="B1811" s="59" t="str">
        <f t="shared" si="226"/>
        <v/>
      </c>
      <c r="V1811" s="59" t="str">
        <f t="shared" si="227"/>
        <v/>
      </c>
      <c r="W1811" s="59" t="str">
        <f t="shared" si="224"/>
        <v/>
      </c>
      <c r="X1811" s="59" t="str">
        <f t="shared" si="228"/>
        <v/>
      </c>
      <c r="AC1811" s="50">
        <f t="shared" si="229"/>
        <v>0</v>
      </c>
      <c r="AD1811" s="43">
        <f t="shared" si="230"/>
        <v>0</v>
      </c>
      <c r="AE1811" s="50">
        <f t="shared" si="231"/>
        <v>0</v>
      </c>
    </row>
    <row r="1812" spans="1:31">
      <c r="A1812" s="59" t="str">
        <f t="shared" si="225"/>
        <v/>
      </c>
      <c r="B1812" s="59" t="str">
        <f t="shared" si="226"/>
        <v/>
      </c>
      <c r="V1812" s="59" t="str">
        <f t="shared" si="227"/>
        <v/>
      </c>
      <c r="W1812" s="59" t="str">
        <f t="shared" si="224"/>
        <v/>
      </c>
      <c r="X1812" s="59" t="str">
        <f t="shared" si="228"/>
        <v/>
      </c>
      <c r="AC1812" s="50">
        <f t="shared" si="229"/>
        <v>0</v>
      </c>
      <c r="AD1812" s="43">
        <f t="shared" si="230"/>
        <v>0</v>
      </c>
      <c r="AE1812" s="50">
        <f t="shared" si="231"/>
        <v>0</v>
      </c>
    </row>
    <row r="1813" spans="1:31">
      <c r="A1813" s="59" t="str">
        <f t="shared" si="225"/>
        <v/>
      </c>
      <c r="B1813" s="59" t="str">
        <f t="shared" si="226"/>
        <v/>
      </c>
      <c r="V1813" s="59" t="str">
        <f t="shared" si="227"/>
        <v/>
      </c>
      <c r="W1813" s="59" t="str">
        <f t="shared" si="224"/>
        <v/>
      </c>
      <c r="X1813" s="59" t="str">
        <f t="shared" si="228"/>
        <v/>
      </c>
      <c r="AC1813" s="50">
        <f t="shared" si="229"/>
        <v>0</v>
      </c>
      <c r="AD1813" s="43">
        <f t="shared" si="230"/>
        <v>0</v>
      </c>
      <c r="AE1813" s="50">
        <f t="shared" si="231"/>
        <v>0</v>
      </c>
    </row>
    <row r="1814" spans="1:31">
      <c r="A1814" s="59" t="str">
        <f t="shared" si="225"/>
        <v/>
      </c>
      <c r="B1814" s="59" t="str">
        <f t="shared" si="226"/>
        <v/>
      </c>
      <c r="V1814" s="59" t="str">
        <f t="shared" si="227"/>
        <v/>
      </c>
      <c r="W1814" s="59" t="str">
        <f t="shared" si="224"/>
        <v/>
      </c>
      <c r="X1814" s="59" t="str">
        <f t="shared" si="228"/>
        <v/>
      </c>
      <c r="AC1814" s="50">
        <f t="shared" si="229"/>
        <v>0</v>
      </c>
      <c r="AD1814" s="43">
        <f t="shared" si="230"/>
        <v>0</v>
      </c>
      <c r="AE1814" s="50">
        <f t="shared" si="231"/>
        <v>0</v>
      </c>
    </row>
    <row r="1815" spans="1:31">
      <c r="A1815" s="59" t="str">
        <f t="shared" si="225"/>
        <v/>
      </c>
      <c r="B1815" s="59" t="str">
        <f t="shared" si="226"/>
        <v/>
      </c>
      <c r="V1815" s="59" t="str">
        <f t="shared" si="227"/>
        <v/>
      </c>
      <c r="W1815" s="59" t="str">
        <f t="shared" si="224"/>
        <v/>
      </c>
      <c r="X1815" s="59" t="str">
        <f t="shared" si="228"/>
        <v/>
      </c>
      <c r="AC1815" s="50">
        <f t="shared" si="229"/>
        <v>0</v>
      </c>
      <c r="AD1815" s="43">
        <f t="shared" si="230"/>
        <v>0</v>
      </c>
      <c r="AE1815" s="50">
        <f t="shared" si="231"/>
        <v>0</v>
      </c>
    </row>
    <row r="1816" spans="1:31">
      <c r="A1816" s="59" t="str">
        <f t="shared" si="225"/>
        <v/>
      </c>
      <c r="B1816" s="59" t="str">
        <f t="shared" si="226"/>
        <v/>
      </c>
      <c r="V1816" s="59" t="str">
        <f t="shared" si="227"/>
        <v/>
      </c>
      <c r="W1816" s="59" t="str">
        <f t="shared" si="224"/>
        <v/>
      </c>
      <c r="X1816" s="59" t="str">
        <f t="shared" si="228"/>
        <v/>
      </c>
      <c r="AC1816" s="50">
        <f t="shared" si="229"/>
        <v>0</v>
      </c>
      <c r="AD1816" s="43">
        <f t="shared" si="230"/>
        <v>0</v>
      </c>
      <c r="AE1816" s="50">
        <f t="shared" si="231"/>
        <v>0</v>
      </c>
    </row>
    <row r="1817" spans="1:31">
      <c r="A1817" s="59" t="str">
        <f t="shared" si="225"/>
        <v/>
      </c>
      <c r="B1817" s="59" t="str">
        <f t="shared" si="226"/>
        <v/>
      </c>
      <c r="V1817" s="59" t="str">
        <f t="shared" si="227"/>
        <v/>
      </c>
      <c r="W1817" s="59" t="str">
        <f t="shared" si="224"/>
        <v/>
      </c>
      <c r="X1817" s="59" t="str">
        <f t="shared" si="228"/>
        <v/>
      </c>
      <c r="AC1817" s="50">
        <f t="shared" si="229"/>
        <v>0</v>
      </c>
      <c r="AD1817" s="43">
        <f t="shared" si="230"/>
        <v>0</v>
      </c>
      <c r="AE1817" s="50">
        <f t="shared" si="231"/>
        <v>0</v>
      </c>
    </row>
    <row r="1818" spans="1:31">
      <c r="A1818" s="59" t="str">
        <f t="shared" si="225"/>
        <v/>
      </c>
      <c r="B1818" s="59" t="str">
        <f t="shared" si="226"/>
        <v/>
      </c>
      <c r="V1818" s="59" t="str">
        <f t="shared" si="227"/>
        <v/>
      </c>
      <c r="W1818" s="59" t="str">
        <f t="shared" si="224"/>
        <v/>
      </c>
      <c r="X1818" s="59" t="str">
        <f t="shared" si="228"/>
        <v/>
      </c>
      <c r="AC1818" s="50">
        <f t="shared" si="229"/>
        <v>0</v>
      </c>
      <c r="AD1818" s="43">
        <f t="shared" si="230"/>
        <v>0</v>
      </c>
      <c r="AE1818" s="50">
        <f t="shared" si="231"/>
        <v>0</v>
      </c>
    </row>
    <row r="1819" spans="1:31">
      <c r="A1819" s="59" t="str">
        <f t="shared" si="225"/>
        <v/>
      </c>
      <c r="B1819" s="59" t="str">
        <f t="shared" si="226"/>
        <v/>
      </c>
      <c r="V1819" s="59" t="str">
        <f t="shared" si="227"/>
        <v/>
      </c>
      <c r="W1819" s="59" t="str">
        <f t="shared" si="224"/>
        <v/>
      </c>
      <c r="X1819" s="59" t="str">
        <f t="shared" si="228"/>
        <v/>
      </c>
      <c r="AC1819" s="50">
        <f t="shared" si="229"/>
        <v>0</v>
      </c>
      <c r="AD1819" s="43">
        <f t="shared" si="230"/>
        <v>0</v>
      </c>
      <c r="AE1819" s="50">
        <f t="shared" si="231"/>
        <v>0</v>
      </c>
    </row>
    <row r="1820" spans="1:31">
      <c r="A1820" s="59" t="str">
        <f t="shared" si="225"/>
        <v/>
      </c>
      <c r="B1820" s="59" t="str">
        <f t="shared" si="226"/>
        <v/>
      </c>
      <c r="V1820" s="59" t="str">
        <f t="shared" si="227"/>
        <v/>
      </c>
      <c r="W1820" s="59" t="str">
        <f t="shared" si="224"/>
        <v/>
      </c>
      <c r="X1820" s="59" t="str">
        <f t="shared" si="228"/>
        <v/>
      </c>
      <c r="AC1820" s="50">
        <f t="shared" si="229"/>
        <v>0</v>
      </c>
      <c r="AD1820" s="43">
        <f t="shared" si="230"/>
        <v>0</v>
      </c>
      <c r="AE1820" s="50">
        <f t="shared" si="231"/>
        <v>0</v>
      </c>
    </row>
    <row r="1821" spans="1:31">
      <c r="A1821" s="59" t="str">
        <f t="shared" si="225"/>
        <v/>
      </c>
      <c r="B1821" s="59" t="str">
        <f t="shared" si="226"/>
        <v/>
      </c>
      <c r="V1821" s="59" t="str">
        <f t="shared" si="227"/>
        <v/>
      </c>
      <c r="W1821" s="59" t="str">
        <f t="shared" si="224"/>
        <v/>
      </c>
      <c r="X1821" s="59" t="str">
        <f t="shared" si="228"/>
        <v/>
      </c>
      <c r="AC1821" s="50">
        <f t="shared" si="229"/>
        <v>0</v>
      </c>
      <c r="AD1821" s="43">
        <f t="shared" si="230"/>
        <v>0</v>
      </c>
      <c r="AE1821" s="50">
        <f t="shared" si="231"/>
        <v>0</v>
      </c>
    </row>
    <row r="1822" spans="1:31">
      <c r="A1822" s="59" t="str">
        <f t="shared" si="225"/>
        <v/>
      </c>
      <c r="B1822" s="59" t="str">
        <f t="shared" si="226"/>
        <v/>
      </c>
      <c r="V1822" s="59" t="str">
        <f t="shared" si="227"/>
        <v/>
      </c>
      <c r="W1822" s="59" t="str">
        <f t="shared" si="224"/>
        <v/>
      </c>
      <c r="X1822" s="59" t="str">
        <f t="shared" si="228"/>
        <v/>
      </c>
      <c r="AC1822" s="50">
        <f t="shared" si="229"/>
        <v>0</v>
      </c>
      <c r="AD1822" s="43">
        <f t="shared" si="230"/>
        <v>0</v>
      </c>
      <c r="AE1822" s="50">
        <f t="shared" si="231"/>
        <v>0</v>
      </c>
    </row>
    <row r="1823" spans="1:31">
      <c r="A1823" s="59" t="str">
        <f t="shared" si="225"/>
        <v/>
      </c>
      <c r="B1823" s="59" t="str">
        <f t="shared" si="226"/>
        <v/>
      </c>
      <c r="V1823" s="59" t="str">
        <f t="shared" si="227"/>
        <v/>
      </c>
      <c r="W1823" s="59" t="str">
        <f t="shared" si="224"/>
        <v/>
      </c>
      <c r="X1823" s="59" t="str">
        <f t="shared" si="228"/>
        <v/>
      </c>
      <c r="AC1823" s="50">
        <f t="shared" si="229"/>
        <v>0</v>
      </c>
      <c r="AD1823" s="43">
        <f t="shared" si="230"/>
        <v>0</v>
      </c>
      <c r="AE1823" s="50">
        <f t="shared" si="231"/>
        <v>0</v>
      </c>
    </row>
    <row r="1824" spans="1:31">
      <c r="A1824" s="59" t="str">
        <f t="shared" si="225"/>
        <v/>
      </c>
      <c r="B1824" s="59" t="str">
        <f t="shared" si="226"/>
        <v/>
      </c>
      <c r="V1824" s="59" t="str">
        <f t="shared" si="227"/>
        <v/>
      </c>
      <c r="W1824" s="59" t="str">
        <f t="shared" si="224"/>
        <v/>
      </c>
      <c r="X1824" s="59" t="str">
        <f t="shared" si="228"/>
        <v/>
      </c>
      <c r="AC1824" s="50">
        <f t="shared" si="229"/>
        <v>0</v>
      </c>
      <c r="AD1824" s="43">
        <f t="shared" si="230"/>
        <v>0</v>
      </c>
      <c r="AE1824" s="50">
        <f t="shared" si="231"/>
        <v>0</v>
      </c>
    </row>
    <row r="1825" spans="1:31">
      <c r="A1825" s="59" t="str">
        <f t="shared" si="225"/>
        <v/>
      </c>
      <c r="B1825" s="59" t="str">
        <f t="shared" si="226"/>
        <v/>
      </c>
      <c r="V1825" s="59" t="str">
        <f t="shared" si="227"/>
        <v/>
      </c>
      <c r="W1825" s="59" t="str">
        <f t="shared" si="224"/>
        <v/>
      </c>
      <c r="X1825" s="59" t="str">
        <f t="shared" si="228"/>
        <v/>
      </c>
      <c r="AC1825" s="50">
        <f t="shared" si="229"/>
        <v>0</v>
      </c>
      <c r="AD1825" s="43">
        <f t="shared" si="230"/>
        <v>0</v>
      </c>
      <c r="AE1825" s="50">
        <f t="shared" si="231"/>
        <v>0</v>
      </c>
    </row>
    <row r="1826" spans="1:31">
      <c r="A1826" s="59" t="str">
        <f t="shared" si="225"/>
        <v/>
      </c>
      <c r="B1826" s="59" t="str">
        <f t="shared" si="226"/>
        <v/>
      </c>
      <c r="V1826" s="59" t="str">
        <f t="shared" si="227"/>
        <v/>
      </c>
      <c r="W1826" s="59" t="str">
        <f t="shared" si="224"/>
        <v/>
      </c>
      <c r="X1826" s="59" t="str">
        <f t="shared" si="228"/>
        <v/>
      </c>
      <c r="AC1826" s="50">
        <f t="shared" si="229"/>
        <v>0</v>
      </c>
      <c r="AD1826" s="43">
        <f t="shared" si="230"/>
        <v>0</v>
      </c>
      <c r="AE1826" s="50">
        <f t="shared" si="231"/>
        <v>0</v>
      </c>
    </row>
    <row r="1827" spans="1:31">
      <c r="A1827" s="59" t="str">
        <f t="shared" si="225"/>
        <v/>
      </c>
      <c r="B1827" s="59" t="str">
        <f t="shared" si="226"/>
        <v/>
      </c>
      <c r="V1827" s="59" t="str">
        <f t="shared" si="227"/>
        <v/>
      </c>
      <c r="W1827" s="59" t="str">
        <f t="shared" si="224"/>
        <v/>
      </c>
      <c r="X1827" s="59" t="str">
        <f t="shared" si="228"/>
        <v/>
      </c>
      <c r="AC1827" s="50">
        <f t="shared" si="229"/>
        <v>0</v>
      </c>
      <c r="AD1827" s="43">
        <f t="shared" si="230"/>
        <v>0</v>
      </c>
      <c r="AE1827" s="50">
        <f t="shared" si="231"/>
        <v>0</v>
      </c>
    </row>
    <row r="1828" spans="1:31">
      <c r="A1828" s="59" t="str">
        <f t="shared" si="225"/>
        <v/>
      </c>
      <c r="B1828" s="59" t="str">
        <f t="shared" si="226"/>
        <v/>
      </c>
      <c r="V1828" s="59" t="str">
        <f t="shared" si="227"/>
        <v/>
      </c>
      <c r="W1828" s="59" t="str">
        <f t="shared" si="224"/>
        <v/>
      </c>
      <c r="X1828" s="59" t="str">
        <f t="shared" si="228"/>
        <v/>
      </c>
      <c r="AC1828" s="50">
        <f t="shared" si="229"/>
        <v>0</v>
      </c>
      <c r="AD1828" s="43">
        <f t="shared" si="230"/>
        <v>0</v>
      </c>
      <c r="AE1828" s="50">
        <f t="shared" si="231"/>
        <v>0</v>
      </c>
    </row>
    <row r="1829" spans="1:31">
      <c r="A1829" s="59" t="str">
        <f t="shared" si="225"/>
        <v/>
      </c>
      <c r="B1829" s="59" t="str">
        <f t="shared" si="226"/>
        <v/>
      </c>
      <c r="V1829" s="59" t="str">
        <f t="shared" si="227"/>
        <v/>
      </c>
      <c r="W1829" s="59" t="str">
        <f t="shared" si="224"/>
        <v/>
      </c>
      <c r="X1829" s="59" t="str">
        <f t="shared" si="228"/>
        <v/>
      </c>
      <c r="AC1829" s="50">
        <f t="shared" si="229"/>
        <v>0</v>
      </c>
      <c r="AD1829" s="43">
        <f t="shared" si="230"/>
        <v>0</v>
      </c>
      <c r="AE1829" s="50">
        <f t="shared" si="231"/>
        <v>0</v>
      </c>
    </row>
    <row r="1830" spans="1:31">
      <c r="A1830" s="59" t="str">
        <f t="shared" si="225"/>
        <v/>
      </c>
      <c r="B1830" s="59" t="str">
        <f t="shared" si="226"/>
        <v/>
      </c>
      <c r="V1830" s="59" t="str">
        <f t="shared" si="227"/>
        <v/>
      </c>
      <c r="W1830" s="59" t="str">
        <f t="shared" si="224"/>
        <v/>
      </c>
      <c r="X1830" s="59" t="str">
        <f t="shared" si="228"/>
        <v/>
      </c>
      <c r="AC1830" s="50">
        <f t="shared" si="229"/>
        <v>0</v>
      </c>
      <c r="AD1830" s="43">
        <f t="shared" si="230"/>
        <v>0</v>
      </c>
      <c r="AE1830" s="50">
        <f t="shared" si="231"/>
        <v>0</v>
      </c>
    </row>
    <row r="1831" spans="1:31">
      <c r="A1831" s="59" t="str">
        <f t="shared" si="225"/>
        <v/>
      </c>
      <c r="B1831" s="59" t="str">
        <f t="shared" si="226"/>
        <v/>
      </c>
      <c r="V1831" s="59" t="str">
        <f t="shared" si="227"/>
        <v/>
      </c>
      <c r="W1831" s="59" t="str">
        <f t="shared" si="224"/>
        <v/>
      </c>
      <c r="X1831" s="59" t="str">
        <f t="shared" si="228"/>
        <v/>
      </c>
      <c r="AC1831" s="50">
        <f t="shared" si="229"/>
        <v>0</v>
      </c>
      <c r="AD1831" s="43">
        <f t="shared" si="230"/>
        <v>0</v>
      </c>
      <c r="AE1831" s="50">
        <f t="shared" si="231"/>
        <v>0</v>
      </c>
    </row>
    <row r="1832" spans="1:31">
      <c r="A1832" s="59" t="str">
        <f t="shared" si="225"/>
        <v/>
      </c>
      <c r="B1832" s="59" t="str">
        <f t="shared" si="226"/>
        <v/>
      </c>
      <c r="V1832" s="59" t="str">
        <f t="shared" si="227"/>
        <v/>
      </c>
      <c r="W1832" s="59" t="str">
        <f t="shared" si="224"/>
        <v/>
      </c>
      <c r="X1832" s="59" t="str">
        <f t="shared" si="228"/>
        <v/>
      </c>
      <c r="AC1832" s="50">
        <f t="shared" si="229"/>
        <v>0</v>
      </c>
      <c r="AD1832" s="43">
        <f t="shared" si="230"/>
        <v>0</v>
      </c>
      <c r="AE1832" s="50">
        <f t="shared" si="231"/>
        <v>0</v>
      </c>
    </row>
    <row r="1833" spans="1:31">
      <c r="A1833" s="59" t="str">
        <f t="shared" si="225"/>
        <v/>
      </c>
      <c r="B1833" s="59" t="str">
        <f t="shared" si="226"/>
        <v/>
      </c>
      <c r="V1833" s="59" t="str">
        <f t="shared" si="227"/>
        <v/>
      </c>
      <c r="W1833" s="59" t="str">
        <f t="shared" si="224"/>
        <v/>
      </c>
      <c r="X1833" s="59" t="str">
        <f t="shared" si="228"/>
        <v/>
      </c>
      <c r="AC1833" s="50">
        <f t="shared" si="229"/>
        <v>0</v>
      </c>
      <c r="AD1833" s="43">
        <f t="shared" si="230"/>
        <v>0</v>
      </c>
      <c r="AE1833" s="50">
        <f t="shared" si="231"/>
        <v>0</v>
      </c>
    </row>
    <row r="1834" spans="1:31">
      <c r="A1834" s="59" t="str">
        <f t="shared" si="225"/>
        <v/>
      </c>
      <c r="B1834" s="59" t="str">
        <f t="shared" si="226"/>
        <v/>
      </c>
      <c r="V1834" s="59" t="str">
        <f t="shared" si="227"/>
        <v/>
      </c>
      <c r="W1834" s="59" t="str">
        <f t="shared" si="224"/>
        <v/>
      </c>
      <c r="X1834" s="59" t="str">
        <f t="shared" si="228"/>
        <v/>
      </c>
      <c r="AC1834" s="50">
        <f t="shared" si="229"/>
        <v>0</v>
      </c>
      <c r="AD1834" s="43">
        <f t="shared" si="230"/>
        <v>0</v>
      </c>
      <c r="AE1834" s="50">
        <f t="shared" si="231"/>
        <v>0</v>
      </c>
    </row>
    <row r="1835" spans="1:31">
      <c r="A1835" s="59" t="str">
        <f t="shared" si="225"/>
        <v/>
      </c>
      <c r="B1835" s="59" t="str">
        <f t="shared" si="226"/>
        <v/>
      </c>
      <c r="V1835" s="59" t="str">
        <f t="shared" si="227"/>
        <v/>
      </c>
      <c r="W1835" s="59" t="str">
        <f t="shared" si="224"/>
        <v/>
      </c>
      <c r="X1835" s="59" t="str">
        <f t="shared" si="228"/>
        <v/>
      </c>
      <c r="AC1835" s="50">
        <f t="shared" si="229"/>
        <v>0</v>
      </c>
      <c r="AD1835" s="43">
        <f t="shared" si="230"/>
        <v>0</v>
      </c>
      <c r="AE1835" s="50">
        <f t="shared" si="231"/>
        <v>0</v>
      </c>
    </row>
    <row r="1836" spans="1:31">
      <c r="A1836" s="59" t="str">
        <f t="shared" si="225"/>
        <v/>
      </c>
      <c r="B1836" s="59" t="str">
        <f t="shared" si="226"/>
        <v/>
      </c>
      <c r="V1836" s="59" t="str">
        <f t="shared" si="227"/>
        <v/>
      </c>
      <c r="W1836" s="59" t="str">
        <f t="shared" si="224"/>
        <v/>
      </c>
      <c r="X1836" s="59" t="str">
        <f t="shared" si="228"/>
        <v/>
      </c>
      <c r="AC1836" s="50">
        <f t="shared" si="229"/>
        <v>0</v>
      </c>
      <c r="AD1836" s="43">
        <f t="shared" si="230"/>
        <v>0</v>
      </c>
      <c r="AE1836" s="50">
        <f t="shared" si="231"/>
        <v>0</v>
      </c>
    </row>
    <row r="1837" spans="1:31">
      <c r="A1837" s="59" t="str">
        <f t="shared" si="225"/>
        <v/>
      </c>
      <c r="B1837" s="59" t="str">
        <f t="shared" si="226"/>
        <v/>
      </c>
      <c r="V1837" s="59" t="str">
        <f t="shared" si="227"/>
        <v/>
      </c>
      <c r="W1837" s="59" t="str">
        <f t="shared" si="224"/>
        <v/>
      </c>
      <c r="X1837" s="59" t="str">
        <f t="shared" si="228"/>
        <v/>
      </c>
      <c r="AC1837" s="50">
        <f t="shared" si="229"/>
        <v>0</v>
      </c>
      <c r="AD1837" s="43">
        <f t="shared" si="230"/>
        <v>0</v>
      </c>
      <c r="AE1837" s="50">
        <f t="shared" si="231"/>
        <v>0</v>
      </c>
    </row>
    <row r="1838" spans="1:31">
      <c r="A1838" s="59" t="str">
        <f t="shared" si="225"/>
        <v/>
      </c>
      <c r="B1838" s="59" t="str">
        <f t="shared" si="226"/>
        <v/>
      </c>
      <c r="V1838" s="59" t="str">
        <f t="shared" si="227"/>
        <v/>
      </c>
      <c r="W1838" s="59" t="str">
        <f t="shared" si="224"/>
        <v/>
      </c>
      <c r="X1838" s="59" t="str">
        <f t="shared" si="228"/>
        <v/>
      </c>
      <c r="AC1838" s="50">
        <f t="shared" si="229"/>
        <v>0</v>
      </c>
      <c r="AD1838" s="43">
        <f t="shared" si="230"/>
        <v>0</v>
      </c>
      <c r="AE1838" s="50">
        <f t="shared" si="231"/>
        <v>0</v>
      </c>
    </row>
    <row r="1839" spans="1:31">
      <c r="A1839" s="59" t="str">
        <f t="shared" si="225"/>
        <v/>
      </c>
      <c r="B1839" s="59" t="str">
        <f t="shared" si="226"/>
        <v/>
      </c>
      <c r="V1839" s="59" t="str">
        <f t="shared" si="227"/>
        <v/>
      </c>
      <c r="W1839" s="59" t="str">
        <f t="shared" si="224"/>
        <v/>
      </c>
      <c r="X1839" s="59" t="str">
        <f t="shared" si="228"/>
        <v/>
      </c>
      <c r="AC1839" s="50">
        <f t="shared" si="229"/>
        <v>0</v>
      </c>
      <c r="AD1839" s="43">
        <f t="shared" si="230"/>
        <v>0</v>
      </c>
      <c r="AE1839" s="50">
        <f t="shared" si="231"/>
        <v>0</v>
      </c>
    </row>
    <row r="1840" spans="1:31">
      <c r="A1840" s="59" t="str">
        <f t="shared" si="225"/>
        <v/>
      </c>
      <c r="B1840" s="59" t="str">
        <f t="shared" si="226"/>
        <v/>
      </c>
      <c r="V1840" s="59" t="str">
        <f t="shared" si="227"/>
        <v/>
      </c>
      <c r="W1840" s="59" t="str">
        <f t="shared" si="224"/>
        <v/>
      </c>
      <c r="X1840" s="59" t="str">
        <f t="shared" si="228"/>
        <v/>
      </c>
      <c r="AC1840" s="50">
        <f t="shared" si="229"/>
        <v>0</v>
      </c>
      <c r="AD1840" s="43">
        <f t="shared" si="230"/>
        <v>0</v>
      </c>
      <c r="AE1840" s="50">
        <f t="shared" si="231"/>
        <v>0</v>
      </c>
    </row>
    <row r="1841" spans="1:31">
      <c r="A1841" s="59" t="str">
        <f t="shared" si="225"/>
        <v/>
      </c>
      <c r="B1841" s="59" t="str">
        <f t="shared" si="226"/>
        <v/>
      </c>
      <c r="V1841" s="59" t="str">
        <f t="shared" si="227"/>
        <v/>
      </c>
      <c r="W1841" s="59" t="str">
        <f t="shared" si="224"/>
        <v/>
      </c>
      <c r="X1841" s="59" t="str">
        <f t="shared" si="228"/>
        <v/>
      </c>
      <c r="AC1841" s="50">
        <f t="shared" si="229"/>
        <v>0</v>
      </c>
      <c r="AD1841" s="43">
        <f t="shared" si="230"/>
        <v>0</v>
      </c>
      <c r="AE1841" s="50">
        <f t="shared" si="231"/>
        <v>0</v>
      </c>
    </row>
    <row r="1842" spans="1:31">
      <c r="A1842" s="59" t="str">
        <f t="shared" si="225"/>
        <v/>
      </c>
      <c r="B1842" s="59" t="str">
        <f t="shared" si="226"/>
        <v/>
      </c>
      <c r="V1842" s="59" t="str">
        <f t="shared" si="227"/>
        <v/>
      </c>
      <c r="W1842" s="59" t="str">
        <f t="shared" si="224"/>
        <v/>
      </c>
      <c r="X1842" s="59" t="str">
        <f t="shared" si="228"/>
        <v/>
      </c>
      <c r="AC1842" s="50">
        <f t="shared" si="229"/>
        <v>0</v>
      </c>
      <c r="AD1842" s="43">
        <f t="shared" si="230"/>
        <v>0</v>
      </c>
      <c r="AE1842" s="50">
        <f t="shared" si="231"/>
        <v>0</v>
      </c>
    </row>
    <row r="1843" spans="1:31">
      <c r="A1843" s="59" t="str">
        <f t="shared" si="225"/>
        <v/>
      </c>
      <c r="B1843" s="59" t="str">
        <f t="shared" si="226"/>
        <v/>
      </c>
      <c r="V1843" s="59" t="str">
        <f t="shared" si="227"/>
        <v/>
      </c>
      <c r="W1843" s="59" t="str">
        <f t="shared" si="224"/>
        <v/>
      </c>
      <c r="X1843" s="59" t="str">
        <f t="shared" si="228"/>
        <v/>
      </c>
      <c r="AC1843" s="50">
        <f t="shared" si="229"/>
        <v>0</v>
      </c>
      <c r="AD1843" s="43">
        <f t="shared" si="230"/>
        <v>0</v>
      </c>
      <c r="AE1843" s="50">
        <f t="shared" si="231"/>
        <v>0</v>
      </c>
    </row>
    <row r="1844" spans="1:31">
      <c r="A1844" s="59" t="str">
        <f t="shared" si="225"/>
        <v/>
      </c>
      <c r="B1844" s="59" t="str">
        <f t="shared" si="226"/>
        <v/>
      </c>
      <c r="V1844" s="59" t="str">
        <f t="shared" si="227"/>
        <v/>
      </c>
      <c r="W1844" s="59" t="str">
        <f t="shared" si="224"/>
        <v/>
      </c>
      <c r="X1844" s="59" t="str">
        <f t="shared" si="228"/>
        <v/>
      </c>
      <c r="AC1844" s="50">
        <f t="shared" si="229"/>
        <v>0</v>
      </c>
      <c r="AD1844" s="43">
        <f t="shared" si="230"/>
        <v>0</v>
      </c>
      <c r="AE1844" s="50">
        <f t="shared" si="231"/>
        <v>0</v>
      </c>
    </row>
    <row r="1845" spans="1:31">
      <c r="A1845" s="59" t="str">
        <f t="shared" si="225"/>
        <v/>
      </c>
      <c r="B1845" s="59" t="str">
        <f t="shared" si="226"/>
        <v/>
      </c>
      <c r="V1845" s="59" t="str">
        <f t="shared" si="227"/>
        <v/>
      </c>
      <c r="W1845" s="59" t="str">
        <f t="shared" si="224"/>
        <v/>
      </c>
      <c r="X1845" s="59" t="str">
        <f t="shared" si="228"/>
        <v/>
      </c>
      <c r="AC1845" s="50">
        <f t="shared" si="229"/>
        <v>0</v>
      </c>
      <c r="AD1845" s="43">
        <f t="shared" si="230"/>
        <v>0</v>
      </c>
      <c r="AE1845" s="50">
        <f t="shared" si="231"/>
        <v>0</v>
      </c>
    </row>
    <row r="1846" spans="1:31">
      <c r="A1846" s="59" t="str">
        <f t="shared" si="225"/>
        <v/>
      </c>
      <c r="B1846" s="59" t="str">
        <f t="shared" si="226"/>
        <v/>
      </c>
      <c r="V1846" s="59" t="str">
        <f t="shared" si="227"/>
        <v/>
      </c>
      <c r="W1846" s="59" t="str">
        <f t="shared" si="224"/>
        <v/>
      </c>
      <c r="X1846" s="59" t="str">
        <f t="shared" si="228"/>
        <v/>
      </c>
      <c r="AC1846" s="50">
        <f t="shared" si="229"/>
        <v>0</v>
      </c>
      <c r="AD1846" s="43">
        <f t="shared" si="230"/>
        <v>0</v>
      </c>
      <c r="AE1846" s="50">
        <f t="shared" si="231"/>
        <v>0</v>
      </c>
    </row>
    <row r="1847" spans="1:31">
      <c r="A1847" s="59" t="str">
        <f t="shared" si="225"/>
        <v/>
      </c>
      <c r="B1847" s="59" t="str">
        <f t="shared" si="226"/>
        <v/>
      </c>
      <c r="V1847" s="59" t="str">
        <f t="shared" si="227"/>
        <v/>
      </c>
      <c r="W1847" s="59" t="str">
        <f t="shared" si="224"/>
        <v/>
      </c>
      <c r="X1847" s="59" t="str">
        <f t="shared" si="228"/>
        <v/>
      </c>
      <c r="AC1847" s="50">
        <f t="shared" si="229"/>
        <v>0</v>
      </c>
      <c r="AD1847" s="43">
        <f t="shared" si="230"/>
        <v>0</v>
      </c>
      <c r="AE1847" s="50">
        <f t="shared" si="231"/>
        <v>0</v>
      </c>
    </row>
    <row r="1848" spans="1:31">
      <c r="A1848" s="59" t="str">
        <f t="shared" si="225"/>
        <v/>
      </c>
      <c r="B1848" s="59" t="str">
        <f t="shared" si="226"/>
        <v/>
      </c>
      <c r="V1848" s="59" t="str">
        <f t="shared" si="227"/>
        <v/>
      </c>
      <c r="W1848" s="59" t="str">
        <f t="shared" si="224"/>
        <v/>
      </c>
      <c r="X1848" s="59" t="str">
        <f t="shared" si="228"/>
        <v/>
      </c>
      <c r="AC1848" s="50">
        <f t="shared" si="229"/>
        <v>0</v>
      </c>
      <c r="AD1848" s="43">
        <f t="shared" si="230"/>
        <v>0</v>
      </c>
      <c r="AE1848" s="50">
        <f t="shared" si="231"/>
        <v>0</v>
      </c>
    </row>
    <row r="1849" spans="1:31">
      <c r="A1849" s="59" t="str">
        <f t="shared" si="225"/>
        <v/>
      </c>
      <c r="B1849" s="59" t="str">
        <f t="shared" si="226"/>
        <v/>
      </c>
      <c r="V1849" s="59" t="str">
        <f t="shared" si="227"/>
        <v/>
      </c>
      <c r="W1849" s="59" t="str">
        <f t="shared" si="224"/>
        <v/>
      </c>
      <c r="X1849" s="59" t="str">
        <f t="shared" si="228"/>
        <v/>
      </c>
      <c r="AC1849" s="50">
        <f t="shared" si="229"/>
        <v>0</v>
      </c>
      <c r="AD1849" s="43">
        <f t="shared" si="230"/>
        <v>0</v>
      </c>
      <c r="AE1849" s="50">
        <f t="shared" si="231"/>
        <v>0</v>
      </c>
    </row>
    <row r="1850" spans="1:31">
      <c r="A1850" s="59" t="str">
        <f t="shared" si="225"/>
        <v/>
      </c>
      <c r="B1850" s="59" t="str">
        <f t="shared" si="226"/>
        <v/>
      </c>
      <c r="V1850" s="59" t="str">
        <f t="shared" si="227"/>
        <v/>
      </c>
      <c r="W1850" s="59" t="str">
        <f t="shared" si="224"/>
        <v/>
      </c>
      <c r="X1850" s="59" t="str">
        <f t="shared" si="228"/>
        <v/>
      </c>
      <c r="AC1850" s="50">
        <f t="shared" si="229"/>
        <v>0</v>
      </c>
      <c r="AD1850" s="43">
        <f t="shared" si="230"/>
        <v>0</v>
      </c>
      <c r="AE1850" s="50">
        <f t="shared" si="231"/>
        <v>0</v>
      </c>
    </row>
    <row r="1851" spans="1:31">
      <c r="A1851" s="59" t="str">
        <f t="shared" si="225"/>
        <v/>
      </c>
      <c r="B1851" s="59" t="str">
        <f t="shared" si="226"/>
        <v/>
      </c>
      <c r="V1851" s="59" t="str">
        <f t="shared" si="227"/>
        <v/>
      </c>
      <c r="W1851" s="59" t="str">
        <f t="shared" si="224"/>
        <v/>
      </c>
      <c r="X1851" s="59" t="str">
        <f t="shared" si="228"/>
        <v/>
      </c>
      <c r="AC1851" s="50">
        <f t="shared" si="229"/>
        <v>0</v>
      </c>
      <c r="AD1851" s="43">
        <f t="shared" si="230"/>
        <v>0</v>
      </c>
      <c r="AE1851" s="50">
        <f t="shared" si="231"/>
        <v>0</v>
      </c>
    </row>
    <row r="1852" spans="1:31">
      <c r="A1852" s="59" t="str">
        <f t="shared" si="225"/>
        <v/>
      </c>
      <c r="B1852" s="59" t="str">
        <f t="shared" si="226"/>
        <v/>
      </c>
      <c r="V1852" s="59" t="str">
        <f t="shared" si="227"/>
        <v/>
      </c>
      <c r="W1852" s="59" t="str">
        <f t="shared" si="224"/>
        <v/>
      </c>
      <c r="X1852" s="59" t="str">
        <f t="shared" si="228"/>
        <v/>
      </c>
      <c r="AC1852" s="50">
        <f t="shared" si="229"/>
        <v>0</v>
      </c>
      <c r="AD1852" s="43">
        <f t="shared" si="230"/>
        <v>0</v>
      </c>
      <c r="AE1852" s="50">
        <f t="shared" si="231"/>
        <v>0</v>
      </c>
    </row>
    <row r="1853" spans="1:31">
      <c r="A1853" s="59" t="str">
        <f t="shared" si="225"/>
        <v/>
      </c>
      <c r="B1853" s="59" t="str">
        <f t="shared" si="226"/>
        <v/>
      </c>
      <c r="V1853" s="59" t="str">
        <f t="shared" si="227"/>
        <v/>
      </c>
      <c r="W1853" s="59" t="str">
        <f t="shared" si="224"/>
        <v/>
      </c>
      <c r="X1853" s="59" t="str">
        <f t="shared" si="228"/>
        <v/>
      </c>
      <c r="AC1853" s="50">
        <f t="shared" si="229"/>
        <v>0</v>
      </c>
      <c r="AD1853" s="43">
        <f t="shared" si="230"/>
        <v>0</v>
      </c>
      <c r="AE1853" s="50">
        <f t="shared" si="231"/>
        <v>0</v>
      </c>
    </row>
    <row r="1854" spans="1:31">
      <c r="A1854" s="59" t="str">
        <f t="shared" si="225"/>
        <v/>
      </c>
      <c r="B1854" s="59" t="str">
        <f t="shared" si="226"/>
        <v/>
      </c>
      <c r="V1854" s="59" t="str">
        <f t="shared" si="227"/>
        <v/>
      </c>
      <c r="W1854" s="59" t="str">
        <f t="shared" si="224"/>
        <v/>
      </c>
      <c r="X1854" s="59" t="str">
        <f t="shared" si="228"/>
        <v/>
      </c>
      <c r="AC1854" s="50">
        <f t="shared" si="229"/>
        <v>0</v>
      </c>
      <c r="AD1854" s="43">
        <f t="shared" si="230"/>
        <v>0</v>
      </c>
      <c r="AE1854" s="50">
        <f t="shared" si="231"/>
        <v>0</v>
      </c>
    </row>
    <row r="1855" spans="1:31">
      <c r="A1855" s="59" t="str">
        <f t="shared" si="225"/>
        <v/>
      </c>
      <c r="B1855" s="59" t="str">
        <f t="shared" si="226"/>
        <v/>
      </c>
      <c r="V1855" s="59" t="str">
        <f t="shared" si="227"/>
        <v/>
      </c>
      <c r="W1855" s="59" t="str">
        <f t="shared" si="224"/>
        <v/>
      </c>
      <c r="X1855" s="59" t="str">
        <f t="shared" si="228"/>
        <v/>
      </c>
      <c r="AC1855" s="50">
        <f t="shared" si="229"/>
        <v>0</v>
      </c>
      <c r="AD1855" s="43">
        <f t="shared" si="230"/>
        <v>0</v>
      </c>
      <c r="AE1855" s="50">
        <f t="shared" si="231"/>
        <v>0</v>
      </c>
    </row>
    <row r="1856" spans="1:31">
      <c r="A1856" s="59" t="str">
        <f t="shared" si="225"/>
        <v/>
      </c>
      <c r="B1856" s="59" t="str">
        <f t="shared" si="226"/>
        <v/>
      </c>
      <c r="V1856" s="59" t="str">
        <f t="shared" si="227"/>
        <v/>
      </c>
      <c r="W1856" s="59" t="str">
        <f t="shared" si="224"/>
        <v/>
      </c>
      <c r="X1856" s="59" t="str">
        <f t="shared" si="228"/>
        <v/>
      </c>
      <c r="AC1856" s="50">
        <f t="shared" si="229"/>
        <v>0</v>
      </c>
      <c r="AD1856" s="43">
        <f t="shared" si="230"/>
        <v>0</v>
      </c>
      <c r="AE1856" s="50">
        <f t="shared" si="231"/>
        <v>0</v>
      </c>
    </row>
    <row r="1857" spans="1:31">
      <c r="A1857" s="59" t="str">
        <f t="shared" si="225"/>
        <v/>
      </c>
      <c r="B1857" s="59" t="str">
        <f t="shared" si="226"/>
        <v/>
      </c>
      <c r="V1857" s="59" t="str">
        <f t="shared" si="227"/>
        <v/>
      </c>
      <c r="W1857" s="59" t="str">
        <f t="shared" si="224"/>
        <v/>
      </c>
      <c r="X1857" s="59" t="str">
        <f t="shared" si="228"/>
        <v/>
      </c>
      <c r="AC1857" s="50">
        <f t="shared" si="229"/>
        <v>0</v>
      </c>
      <c r="AD1857" s="43">
        <f t="shared" si="230"/>
        <v>0</v>
      </c>
      <c r="AE1857" s="50">
        <f t="shared" si="231"/>
        <v>0</v>
      </c>
    </row>
    <row r="1858" spans="1:31">
      <c r="A1858" s="59" t="str">
        <f t="shared" si="225"/>
        <v/>
      </c>
      <c r="B1858" s="59" t="str">
        <f t="shared" si="226"/>
        <v/>
      </c>
      <c r="V1858" s="59" t="str">
        <f t="shared" si="227"/>
        <v/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59" t="str">
        <f t="shared" si="228"/>
        <v/>
      </c>
      <c r="AC1858" s="50">
        <f t="shared" si="229"/>
        <v>0</v>
      </c>
      <c r="AD1858" s="43">
        <f t="shared" si="230"/>
        <v>0</v>
      </c>
      <c r="AE1858" s="50">
        <f t="shared" si="231"/>
        <v>0</v>
      </c>
    </row>
    <row r="1859" spans="1:31">
      <c r="A1859" s="59" t="str">
        <f t="shared" ref="A1859:A1922" si="233">IF(G1859&amp;Q1859&lt;&gt;"",W1859&amp;Q1859,"")</f>
        <v/>
      </c>
      <c r="B1859" s="59" t="str">
        <f t="shared" ref="B1859:B1922" si="234">IF(C1859&lt;&gt;"",LEFT(C1859,9),"")</f>
        <v/>
      </c>
      <c r="V1859" s="59" t="str">
        <f t="shared" ref="V1859:V1922" si="235">W1859&amp;H1859</f>
        <v/>
      </c>
      <c r="W1859" s="59" t="str">
        <f t="shared" si="232"/>
        <v/>
      </c>
      <c r="X1859" s="59" t="str">
        <f t="shared" ref="X1859:X1922" si="236">IF(A1859&lt;&gt;"",IFERROR(IF(FIND(" ",G1859)&gt;=1,MID(G1859,FIND(" ",G1859)+1,LEN(G1859)),""),""),"")</f>
        <v/>
      </c>
      <c r="AC1859" s="50">
        <f t="shared" ref="AC1859:AC1922" si="237">IFERROR(VALUE(MID($C1859,1,2)),0)</f>
        <v>0</v>
      </c>
      <c r="AD1859" s="43">
        <f t="shared" ref="AD1859:AD1922" si="238">IFERROR(VALUE(MID($C1859,4,3)),0)</f>
        <v>0</v>
      </c>
      <c r="AE1859" s="50">
        <f t="shared" ref="AE1859:AE1922" si="239">VALUE(RIGHT("00"&amp;AC1859,2)&amp;RIGHT("000"&amp;AD1859,3))</f>
        <v>0</v>
      </c>
    </row>
    <row r="1860" spans="1:31">
      <c r="A1860" s="59" t="str">
        <f t="shared" si="233"/>
        <v/>
      </c>
      <c r="B1860" s="59" t="str">
        <f t="shared" si="234"/>
        <v/>
      </c>
      <c r="V1860" s="59" t="str">
        <f t="shared" si="235"/>
        <v/>
      </c>
      <c r="W1860" s="59" t="str">
        <f t="shared" si="232"/>
        <v/>
      </c>
      <c r="X1860" s="59" t="str">
        <f t="shared" si="236"/>
        <v/>
      </c>
      <c r="AC1860" s="50">
        <f t="shared" si="237"/>
        <v>0</v>
      </c>
      <c r="AD1860" s="43">
        <f t="shared" si="238"/>
        <v>0</v>
      </c>
      <c r="AE1860" s="50">
        <f t="shared" si="239"/>
        <v>0</v>
      </c>
    </row>
    <row r="1861" spans="1:31">
      <c r="A1861" s="59" t="str">
        <f t="shared" si="233"/>
        <v/>
      </c>
      <c r="B1861" s="59" t="str">
        <f t="shared" si="234"/>
        <v/>
      </c>
      <c r="V1861" s="59" t="str">
        <f t="shared" si="235"/>
        <v/>
      </c>
      <c r="W1861" s="59" t="str">
        <f t="shared" si="232"/>
        <v/>
      </c>
      <c r="X1861" s="59" t="str">
        <f t="shared" si="236"/>
        <v/>
      </c>
      <c r="AC1861" s="50">
        <f t="shared" si="237"/>
        <v>0</v>
      </c>
      <c r="AD1861" s="43">
        <f t="shared" si="238"/>
        <v>0</v>
      </c>
      <c r="AE1861" s="50">
        <f t="shared" si="239"/>
        <v>0</v>
      </c>
    </row>
    <row r="1862" spans="1:31">
      <c r="A1862" s="59" t="str">
        <f t="shared" si="233"/>
        <v/>
      </c>
      <c r="B1862" s="59" t="str">
        <f t="shared" si="234"/>
        <v/>
      </c>
      <c r="V1862" s="59" t="str">
        <f t="shared" si="235"/>
        <v/>
      </c>
      <c r="W1862" s="59" t="str">
        <f t="shared" si="232"/>
        <v/>
      </c>
      <c r="X1862" s="59" t="str">
        <f t="shared" si="236"/>
        <v/>
      </c>
      <c r="AC1862" s="50">
        <f t="shared" si="237"/>
        <v>0</v>
      </c>
      <c r="AD1862" s="43">
        <f t="shared" si="238"/>
        <v>0</v>
      </c>
      <c r="AE1862" s="50">
        <f t="shared" si="239"/>
        <v>0</v>
      </c>
    </row>
    <row r="1863" spans="1:31">
      <c r="A1863" s="59" t="str">
        <f t="shared" si="233"/>
        <v/>
      </c>
      <c r="B1863" s="59" t="str">
        <f t="shared" si="234"/>
        <v/>
      </c>
      <c r="V1863" s="59" t="str">
        <f t="shared" si="235"/>
        <v/>
      </c>
      <c r="W1863" s="59" t="str">
        <f t="shared" si="232"/>
        <v/>
      </c>
      <c r="X1863" s="59" t="str">
        <f t="shared" si="236"/>
        <v/>
      </c>
      <c r="AC1863" s="50">
        <f t="shared" si="237"/>
        <v>0</v>
      </c>
      <c r="AD1863" s="43">
        <f t="shared" si="238"/>
        <v>0</v>
      </c>
      <c r="AE1863" s="50">
        <f t="shared" si="239"/>
        <v>0</v>
      </c>
    </row>
    <row r="1864" spans="1:31">
      <c r="A1864" s="59" t="str">
        <f t="shared" si="233"/>
        <v/>
      </c>
      <c r="B1864" s="59" t="str">
        <f t="shared" si="234"/>
        <v/>
      </c>
      <c r="V1864" s="59" t="str">
        <f t="shared" si="235"/>
        <v/>
      </c>
      <c r="W1864" s="59" t="str">
        <f t="shared" si="232"/>
        <v/>
      </c>
      <c r="X1864" s="59" t="str">
        <f t="shared" si="236"/>
        <v/>
      </c>
      <c r="AC1864" s="50">
        <f t="shared" si="237"/>
        <v>0</v>
      </c>
      <c r="AD1864" s="43">
        <f t="shared" si="238"/>
        <v>0</v>
      </c>
      <c r="AE1864" s="50">
        <f t="shared" si="239"/>
        <v>0</v>
      </c>
    </row>
    <row r="1865" spans="1:31">
      <c r="A1865" s="59" t="str">
        <f t="shared" si="233"/>
        <v/>
      </c>
      <c r="B1865" s="59" t="str">
        <f t="shared" si="234"/>
        <v/>
      </c>
      <c r="V1865" s="59" t="str">
        <f t="shared" si="235"/>
        <v/>
      </c>
      <c r="W1865" s="59" t="str">
        <f t="shared" si="232"/>
        <v/>
      </c>
      <c r="X1865" s="59" t="str">
        <f t="shared" si="236"/>
        <v/>
      </c>
      <c r="AC1865" s="50">
        <f t="shared" si="237"/>
        <v>0</v>
      </c>
      <c r="AD1865" s="43">
        <f t="shared" si="238"/>
        <v>0</v>
      </c>
      <c r="AE1865" s="50">
        <f t="shared" si="239"/>
        <v>0</v>
      </c>
    </row>
    <row r="1866" spans="1:31">
      <c r="A1866" s="59" t="str">
        <f t="shared" si="233"/>
        <v/>
      </c>
      <c r="B1866" s="59" t="str">
        <f t="shared" si="234"/>
        <v/>
      </c>
      <c r="V1866" s="59" t="str">
        <f t="shared" si="235"/>
        <v/>
      </c>
      <c r="W1866" s="59" t="str">
        <f t="shared" si="232"/>
        <v/>
      </c>
      <c r="X1866" s="59" t="str">
        <f t="shared" si="236"/>
        <v/>
      </c>
      <c r="AC1866" s="50">
        <f t="shared" si="237"/>
        <v>0</v>
      </c>
      <c r="AD1866" s="43">
        <f t="shared" si="238"/>
        <v>0</v>
      </c>
      <c r="AE1866" s="50">
        <f t="shared" si="239"/>
        <v>0</v>
      </c>
    </row>
    <row r="1867" spans="1:31">
      <c r="A1867" s="59" t="str">
        <f t="shared" si="233"/>
        <v/>
      </c>
      <c r="B1867" s="59" t="str">
        <f t="shared" si="234"/>
        <v/>
      </c>
      <c r="V1867" s="59" t="str">
        <f t="shared" si="235"/>
        <v/>
      </c>
      <c r="W1867" s="59" t="str">
        <f t="shared" si="232"/>
        <v/>
      </c>
      <c r="X1867" s="59" t="str">
        <f t="shared" si="236"/>
        <v/>
      </c>
      <c r="AC1867" s="50">
        <f t="shared" si="237"/>
        <v>0</v>
      </c>
      <c r="AD1867" s="43">
        <f t="shared" si="238"/>
        <v>0</v>
      </c>
      <c r="AE1867" s="50">
        <f t="shared" si="239"/>
        <v>0</v>
      </c>
    </row>
    <row r="1868" spans="1:31">
      <c r="A1868" s="59" t="str">
        <f t="shared" si="233"/>
        <v/>
      </c>
      <c r="B1868" s="59" t="str">
        <f t="shared" si="234"/>
        <v/>
      </c>
      <c r="V1868" s="59" t="str">
        <f t="shared" si="235"/>
        <v/>
      </c>
      <c r="W1868" s="59" t="str">
        <f t="shared" si="232"/>
        <v/>
      </c>
      <c r="X1868" s="59" t="str">
        <f t="shared" si="236"/>
        <v/>
      </c>
      <c r="AC1868" s="50">
        <f t="shared" si="237"/>
        <v>0</v>
      </c>
      <c r="AD1868" s="43">
        <f t="shared" si="238"/>
        <v>0</v>
      </c>
      <c r="AE1868" s="50">
        <f t="shared" si="239"/>
        <v>0</v>
      </c>
    </row>
    <row r="1869" spans="1:31">
      <c r="A1869" s="59" t="str">
        <f t="shared" si="233"/>
        <v/>
      </c>
      <c r="B1869" s="59" t="str">
        <f t="shared" si="234"/>
        <v/>
      </c>
      <c r="V1869" s="59" t="str">
        <f t="shared" si="235"/>
        <v/>
      </c>
      <c r="W1869" s="59" t="str">
        <f t="shared" si="232"/>
        <v/>
      </c>
      <c r="X1869" s="59" t="str">
        <f t="shared" si="236"/>
        <v/>
      </c>
      <c r="AC1869" s="50">
        <f t="shared" si="237"/>
        <v>0</v>
      </c>
      <c r="AD1869" s="43">
        <f t="shared" si="238"/>
        <v>0</v>
      </c>
      <c r="AE1869" s="50">
        <f t="shared" si="239"/>
        <v>0</v>
      </c>
    </row>
    <row r="1870" spans="1:31">
      <c r="A1870" s="59" t="str">
        <f t="shared" si="233"/>
        <v/>
      </c>
      <c r="B1870" s="59" t="str">
        <f t="shared" si="234"/>
        <v/>
      </c>
      <c r="V1870" s="59" t="str">
        <f t="shared" si="235"/>
        <v/>
      </c>
      <c r="W1870" s="59" t="str">
        <f t="shared" si="232"/>
        <v/>
      </c>
      <c r="X1870" s="59" t="str">
        <f t="shared" si="236"/>
        <v/>
      </c>
      <c r="AC1870" s="50">
        <f t="shared" si="237"/>
        <v>0</v>
      </c>
      <c r="AD1870" s="43">
        <f t="shared" si="238"/>
        <v>0</v>
      </c>
      <c r="AE1870" s="50">
        <f t="shared" si="239"/>
        <v>0</v>
      </c>
    </row>
    <row r="1871" spans="1:31">
      <c r="A1871" s="59" t="str">
        <f t="shared" si="233"/>
        <v/>
      </c>
      <c r="B1871" s="59" t="str">
        <f t="shared" si="234"/>
        <v/>
      </c>
      <c r="V1871" s="59" t="str">
        <f t="shared" si="235"/>
        <v/>
      </c>
      <c r="W1871" s="59" t="str">
        <f t="shared" si="232"/>
        <v/>
      </c>
      <c r="X1871" s="59" t="str">
        <f t="shared" si="236"/>
        <v/>
      </c>
      <c r="AC1871" s="50">
        <f t="shared" si="237"/>
        <v>0</v>
      </c>
      <c r="AD1871" s="43">
        <f t="shared" si="238"/>
        <v>0</v>
      </c>
      <c r="AE1871" s="50">
        <f t="shared" si="239"/>
        <v>0</v>
      </c>
    </row>
    <row r="1872" spans="1:31">
      <c r="A1872" s="59" t="str">
        <f t="shared" si="233"/>
        <v/>
      </c>
      <c r="B1872" s="59" t="str">
        <f t="shared" si="234"/>
        <v/>
      </c>
      <c r="V1872" s="59" t="str">
        <f t="shared" si="235"/>
        <v/>
      </c>
      <c r="W1872" s="59" t="str">
        <f t="shared" si="232"/>
        <v/>
      </c>
      <c r="X1872" s="59" t="str">
        <f t="shared" si="236"/>
        <v/>
      </c>
      <c r="AC1872" s="50">
        <f t="shared" si="237"/>
        <v>0</v>
      </c>
      <c r="AD1872" s="43">
        <f t="shared" si="238"/>
        <v>0</v>
      </c>
      <c r="AE1872" s="50">
        <f t="shared" si="239"/>
        <v>0</v>
      </c>
    </row>
    <row r="1873" spans="1:31">
      <c r="A1873" s="59" t="str">
        <f t="shared" si="233"/>
        <v/>
      </c>
      <c r="B1873" s="59" t="str">
        <f t="shared" si="234"/>
        <v/>
      </c>
      <c r="V1873" s="59" t="str">
        <f t="shared" si="235"/>
        <v/>
      </c>
      <c r="W1873" s="59" t="str">
        <f t="shared" si="232"/>
        <v/>
      </c>
      <c r="X1873" s="59" t="str">
        <f t="shared" si="236"/>
        <v/>
      </c>
      <c r="AC1873" s="50">
        <f t="shared" si="237"/>
        <v>0</v>
      </c>
      <c r="AD1873" s="43">
        <f t="shared" si="238"/>
        <v>0</v>
      </c>
      <c r="AE1873" s="50">
        <f t="shared" si="239"/>
        <v>0</v>
      </c>
    </row>
    <row r="1874" spans="1:31">
      <c r="A1874" s="59" t="str">
        <f t="shared" si="233"/>
        <v/>
      </c>
      <c r="B1874" s="59" t="str">
        <f t="shared" si="234"/>
        <v/>
      </c>
      <c r="V1874" s="59" t="str">
        <f t="shared" si="235"/>
        <v/>
      </c>
      <c r="W1874" s="59" t="str">
        <f t="shared" si="232"/>
        <v/>
      </c>
      <c r="X1874" s="59" t="str">
        <f t="shared" si="236"/>
        <v/>
      </c>
      <c r="AC1874" s="50">
        <f t="shared" si="237"/>
        <v>0</v>
      </c>
      <c r="AD1874" s="43">
        <f t="shared" si="238"/>
        <v>0</v>
      </c>
      <c r="AE1874" s="50">
        <f t="shared" si="239"/>
        <v>0</v>
      </c>
    </row>
    <row r="1875" spans="1:31">
      <c r="A1875" s="59" t="str">
        <f t="shared" si="233"/>
        <v/>
      </c>
      <c r="B1875" s="59" t="str">
        <f t="shared" si="234"/>
        <v/>
      </c>
      <c r="V1875" s="59" t="str">
        <f t="shared" si="235"/>
        <v/>
      </c>
      <c r="W1875" s="59" t="str">
        <f t="shared" si="232"/>
        <v/>
      </c>
      <c r="X1875" s="59" t="str">
        <f t="shared" si="236"/>
        <v/>
      </c>
      <c r="AC1875" s="50">
        <f t="shared" si="237"/>
        <v>0</v>
      </c>
      <c r="AD1875" s="43">
        <f t="shared" si="238"/>
        <v>0</v>
      </c>
      <c r="AE1875" s="50">
        <f t="shared" si="239"/>
        <v>0</v>
      </c>
    </row>
    <row r="1876" spans="1:31">
      <c r="A1876" s="59" t="str">
        <f t="shared" si="233"/>
        <v/>
      </c>
      <c r="B1876" s="59" t="str">
        <f t="shared" si="234"/>
        <v/>
      </c>
      <c r="V1876" s="59" t="str">
        <f t="shared" si="235"/>
        <v/>
      </c>
      <c r="W1876" s="59" t="str">
        <f t="shared" si="232"/>
        <v/>
      </c>
      <c r="X1876" s="59" t="str">
        <f t="shared" si="236"/>
        <v/>
      </c>
      <c r="AC1876" s="50">
        <f t="shared" si="237"/>
        <v>0</v>
      </c>
      <c r="AD1876" s="43">
        <f t="shared" si="238"/>
        <v>0</v>
      </c>
      <c r="AE1876" s="50">
        <f t="shared" si="239"/>
        <v>0</v>
      </c>
    </row>
    <row r="1877" spans="1:31">
      <c r="A1877" s="59" t="str">
        <f t="shared" si="233"/>
        <v/>
      </c>
      <c r="B1877" s="59" t="str">
        <f t="shared" si="234"/>
        <v/>
      </c>
      <c r="V1877" s="59" t="str">
        <f t="shared" si="235"/>
        <v/>
      </c>
      <c r="W1877" s="59" t="str">
        <f t="shared" si="232"/>
        <v/>
      </c>
      <c r="X1877" s="59" t="str">
        <f t="shared" si="236"/>
        <v/>
      </c>
      <c r="AC1877" s="50">
        <f t="shared" si="237"/>
        <v>0</v>
      </c>
      <c r="AD1877" s="43">
        <f t="shared" si="238"/>
        <v>0</v>
      </c>
      <c r="AE1877" s="50">
        <f t="shared" si="239"/>
        <v>0</v>
      </c>
    </row>
    <row r="1878" spans="1:31">
      <c r="A1878" s="59" t="str">
        <f t="shared" si="233"/>
        <v/>
      </c>
      <c r="B1878" s="59" t="str">
        <f t="shared" si="234"/>
        <v/>
      </c>
      <c r="V1878" s="59" t="str">
        <f t="shared" si="235"/>
        <v/>
      </c>
      <c r="W1878" s="59" t="str">
        <f t="shared" si="232"/>
        <v/>
      </c>
      <c r="X1878" s="59" t="str">
        <f t="shared" si="236"/>
        <v/>
      </c>
      <c r="AC1878" s="50">
        <f t="shared" si="237"/>
        <v>0</v>
      </c>
      <c r="AD1878" s="43">
        <f t="shared" si="238"/>
        <v>0</v>
      </c>
      <c r="AE1878" s="50">
        <f t="shared" si="239"/>
        <v>0</v>
      </c>
    </row>
    <row r="1879" spans="1:31">
      <c r="A1879" s="59" t="str">
        <f t="shared" si="233"/>
        <v/>
      </c>
      <c r="B1879" s="59" t="str">
        <f t="shared" si="234"/>
        <v/>
      </c>
      <c r="V1879" s="59" t="str">
        <f t="shared" si="235"/>
        <v/>
      </c>
      <c r="W1879" s="59" t="str">
        <f t="shared" si="232"/>
        <v/>
      </c>
      <c r="X1879" s="59" t="str">
        <f t="shared" si="236"/>
        <v/>
      </c>
      <c r="AC1879" s="50">
        <f t="shared" si="237"/>
        <v>0</v>
      </c>
      <c r="AD1879" s="43">
        <f t="shared" si="238"/>
        <v>0</v>
      </c>
      <c r="AE1879" s="50">
        <f t="shared" si="239"/>
        <v>0</v>
      </c>
    </row>
    <row r="1880" spans="1:31">
      <c r="A1880" s="59" t="str">
        <f t="shared" si="233"/>
        <v/>
      </c>
      <c r="B1880" s="59" t="str">
        <f t="shared" si="234"/>
        <v/>
      </c>
      <c r="V1880" s="59" t="str">
        <f t="shared" si="235"/>
        <v/>
      </c>
      <c r="W1880" s="59" t="str">
        <f t="shared" si="232"/>
        <v/>
      </c>
      <c r="X1880" s="59" t="str">
        <f t="shared" si="236"/>
        <v/>
      </c>
      <c r="AC1880" s="50">
        <f t="shared" si="237"/>
        <v>0</v>
      </c>
      <c r="AD1880" s="43">
        <f t="shared" si="238"/>
        <v>0</v>
      </c>
      <c r="AE1880" s="50">
        <f t="shared" si="239"/>
        <v>0</v>
      </c>
    </row>
    <row r="1881" spans="1:31">
      <c r="A1881" s="59" t="str">
        <f t="shared" si="233"/>
        <v/>
      </c>
      <c r="B1881" s="59" t="str">
        <f t="shared" si="234"/>
        <v/>
      </c>
      <c r="V1881" s="59" t="str">
        <f t="shared" si="235"/>
        <v/>
      </c>
      <c r="W1881" s="59" t="str">
        <f t="shared" si="232"/>
        <v/>
      </c>
      <c r="X1881" s="59" t="str">
        <f t="shared" si="236"/>
        <v/>
      </c>
      <c r="AC1881" s="50">
        <f t="shared" si="237"/>
        <v>0</v>
      </c>
      <c r="AD1881" s="43">
        <f t="shared" si="238"/>
        <v>0</v>
      </c>
      <c r="AE1881" s="50">
        <f t="shared" si="239"/>
        <v>0</v>
      </c>
    </row>
    <row r="1882" spans="1:31">
      <c r="A1882" s="59" t="str">
        <f t="shared" si="233"/>
        <v/>
      </c>
      <c r="B1882" s="59" t="str">
        <f t="shared" si="234"/>
        <v/>
      </c>
      <c r="V1882" s="59" t="str">
        <f t="shared" si="235"/>
        <v/>
      </c>
      <c r="W1882" s="59" t="str">
        <f t="shared" si="232"/>
        <v/>
      </c>
      <c r="X1882" s="59" t="str">
        <f t="shared" si="236"/>
        <v/>
      </c>
      <c r="AC1882" s="50">
        <f t="shared" si="237"/>
        <v>0</v>
      </c>
      <c r="AD1882" s="43">
        <f t="shared" si="238"/>
        <v>0</v>
      </c>
      <c r="AE1882" s="50">
        <f t="shared" si="239"/>
        <v>0</v>
      </c>
    </row>
    <row r="1883" spans="1:31">
      <c r="A1883" s="59" t="str">
        <f t="shared" si="233"/>
        <v/>
      </c>
      <c r="B1883" s="59" t="str">
        <f t="shared" si="234"/>
        <v/>
      </c>
      <c r="V1883" s="59" t="str">
        <f t="shared" si="235"/>
        <v/>
      </c>
      <c r="W1883" s="59" t="str">
        <f t="shared" si="232"/>
        <v/>
      </c>
      <c r="X1883" s="59" t="str">
        <f t="shared" si="236"/>
        <v/>
      </c>
      <c r="AC1883" s="50">
        <f t="shared" si="237"/>
        <v>0</v>
      </c>
      <c r="AD1883" s="43">
        <f t="shared" si="238"/>
        <v>0</v>
      </c>
      <c r="AE1883" s="50">
        <f t="shared" si="239"/>
        <v>0</v>
      </c>
    </row>
    <row r="1884" spans="1:31">
      <c r="A1884" s="59" t="str">
        <f t="shared" si="233"/>
        <v/>
      </c>
      <c r="B1884" s="59" t="str">
        <f t="shared" si="234"/>
        <v/>
      </c>
      <c r="V1884" s="59" t="str">
        <f t="shared" si="235"/>
        <v/>
      </c>
      <c r="W1884" s="59" t="str">
        <f t="shared" si="232"/>
        <v/>
      </c>
      <c r="X1884" s="59" t="str">
        <f t="shared" si="236"/>
        <v/>
      </c>
      <c r="AC1884" s="50">
        <f t="shared" si="237"/>
        <v>0</v>
      </c>
      <c r="AD1884" s="43">
        <f t="shared" si="238"/>
        <v>0</v>
      </c>
      <c r="AE1884" s="50">
        <f t="shared" si="239"/>
        <v>0</v>
      </c>
    </row>
    <row r="1885" spans="1:31">
      <c r="A1885" s="59" t="str">
        <f t="shared" si="233"/>
        <v/>
      </c>
      <c r="B1885" s="59" t="str">
        <f t="shared" si="234"/>
        <v/>
      </c>
      <c r="V1885" s="59" t="str">
        <f t="shared" si="235"/>
        <v/>
      </c>
      <c r="W1885" s="59" t="str">
        <f t="shared" si="232"/>
        <v/>
      </c>
      <c r="X1885" s="59" t="str">
        <f t="shared" si="236"/>
        <v/>
      </c>
      <c r="AC1885" s="50">
        <f t="shared" si="237"/>
        <v>0</v>
      </c>
      <c r="AD1885" s="43">
        <f t="shared" si="238"/>
        <v>0</v>
      </c>
      <c r="AE1885" s="50">
        <f t="shared" si="239"/>
        <v>0</v>
      </c>
    </row>
    <row r="1886" spans="1:31">
      <c r="A1886" s="59" t="str">
        <f t="shared" si="233"/>
        <v/>
      </c>
      <c r="B1886" s="59" t="str">
        <f t="shared" si="234"/>
        <v/>
      </c>
      <c r="V1886" s="59" t="str">
        <f t="shared" si="235"/>
        <v/>
      </c>
      <c r="W1886" s="59" t="str">
        <f t="shared" si="232"/>
        <v/>
      </c>
      <c r="X1886" s="59" t="str">
        <f t="shared" si="236"/>
        <v/>
      </c>
      <c r="AC1886" s="50">
        <f t="shared" si="237"/>
        <v>0</v>
      </c>
      <c r="AD1886" s="43">
        <f t="shared" si="238"/>
        <v>0</v>
      </c>
      <c r="AE1886" s="50">
        <f t="shared" si="239"/>
        <v>0</v>
      </c>
    </row>
    <row r="1887" spans="1:31">
      <c r="A1887" s="59" t="str">
        <f t="shared" si="233"/>
        <v/>
      </c>
      <c r="B1887" s="59" t="str">
        <f t="shared" si="234"/>
        <v/>
      </c>
      <c r="V1887" s="59" t="str">
        <f t="shared" si="235"/>
        <v/>
      </c>
      <c r="W1887" s="59" t="str">
        <f t="shared" si="232"/>
        <v/>
      </c>
      <c r="X1887" s="59" t="str">
        <f t="shared" si="236"/>
        <v/>
      </c>
      <c r="AC1887" s="50">
        <f t="shared" si="237"/>
        <v>0</v>
      </c>
      <c r="AD1887" s="43">
        <f t="shared" si="238"/>
        <v>0</v>
      </c>
      <c r="AE1887" s="50">
        <f t="shared" si="239"/>
        <v>0</v>
      </c>
    </row>
    <row r="1888" spans="1:31">
      <c r="A1888" s="59" t="str">
        <f t="shared" si="233"/>
        <v/>
      </c>
      <c r="B1888" s="59" t="str">
        <f t="shared" si="234"/>
        <v/>
      </c>
      <c r="V1888" s="59" t="str">
        <f t="shared" si="235"/>
        <v/>
      </c>
      <c r="W1888" s="59" t="str">
        <f t="shared" si="232"/>
        <v/>
      </c>
      <c r="X1888" s="59" t="str">
        <f t="shared" si="236"/>
        <v/>
      </c>
      <c r="AC1888" s="50">
        <f t="shared" si="237"/>
        <v>0</v>
      </c>
      <c r="AD1888" s="43">
        <f t="shared" si="238"/>
        <v>0</v>
      </c>
      <c r="AE1888" s="50">
        <f t="shared" si="239"/>
        <v>0</v>
      </c>
    </row>
    <row r="1889" spans="1:31">
      <c r="A1889" s="59" t="str">
        <f t="shared" si="233"/>
        <v/>
      </c>
      <c r="B1889" s="59" t="str">
        <f t="shared" si="234"/>
        <v/>
      </c>
      <c r="V1889" s="59" t="str">
        <f t="shared" si="235"/>
        <v/>
      </c>
      <c r="W1889" s="59" t="str">
        <f t="shared" si="232"/>
        <v/>
      </c>
      <c r="X1889" s="59" t="str">
        <f t="shared" si="236"/>
        <v/>
      </c>
      <c r="AC1889" s="50">
        <f t="shared" si="237"/>
        <v>0</v>
      </c>
      <c r="AD1889" s="43">
        <f t="shared" si="238"/>
        <v>0</v>
      </c>
      <c r="AE1889" s="50">
        <f t="shared" si="239"/>
        <v>0</v>
      </c>
    </row>
    <row r="1890" spans="1:31">
      <c r="A1890" s="59" t="str">
        <f t="shared" si="233"/>
        <v/>
      </c>
      <c r="B1890" s="59" t="str">
        <f t="shared" si="234"/>
        <v/>
      </c>
      <c r="V1890" s="59" t="str">
        <f t="shared" si="235"/>
        <v/>
      </c>
      <c r="W1890" s="59" t="str">
        <f t="shared" si="232"/>
        <v/>
      </c>
      <c r="X1890" s="59" t="str">
        <f t="shared" si="236"/>
        <v/>
      </c>
      <c r="AC1890" s="50">
        <f t="shared" si="237"/>
        <v>0</v>
      </c>
      <c r="AD1890" s="43">
        <f t="shared" si="238"/>
        <v>0</v>
      </c>
      <c r="AE1890" s="50">
        <f t="shared" si="239"/>
        <v>0</v>
      </c>
    </row>
    <row r="1891" spans="1:31">
      <c r="A1891" s="59" t="str">
        <f t="shared" si="233"/>
        <v/>
      </c>
      <c r="B1891" s="59" t="str">
        <f t="shared" si="234"/>
        <v/>
      </c>
      <c r="V1891" s="59" t="str">
        <f t="shared" si="235"/>
        <v/>
      </c>
      <c r="W1891" s="59" t="str">
        <f t="shared" si="232"/>
        <v/>
      </c>
      <c r="X1891" s="59" t="str">
        <f t="shared" si="236"/>
        <v/>
      </c>
      <c r="AC1891" s="50">
        <f t="shared" si="237"/>
        <v>0</v>
      </c>
      <c r="AD1891" s="43">
        <f t="shared" si="238"/>
        <v>0</v>
      </c>
      <c r="AE1891" s="50">
        <f t="shared" si="239"/>
        <v>0</v>
      </c>
    </row>
    <row r="1892" spans="1:31">
      <c r="A1892" s="59" t="str">
        <f t="shared" si="233"/>
        <v/>
      </c>
      <c r="B1892" s="59" t="str">
        <f t="shared" si="234"/>
        <v/>
      </c>
      <c r="V1892" s="59" t="str">
        <f t="shared" si="235"/>
        <v/>
      </c>
      <c r="W1892" s="59" t="str">
        <f t="shared" si="232"/>
        <v/>
      </c>
      <c r="X1892" s="59" t="str">
        <f t="shared" si="236"/>
        <v/>
      </c>
      <c r="AC1892" s="50">
        <f t="shared" si="237"/>
        <v>0</v>
      </c>
      <c r="AD1892" s="43">
        <f t="shared" si="238"/>
        <v>0</v>
      </c>
      <c r="AE1892" s="50">
        <f t="shared" si="239"/>
        <v>0</v>
      </c>
    </row>
    <row r="1893" spans="1:31">
      <c r="A1893" s="59" t="str">
        <f t="shared" si="233"/>
        <v/>
      </c>
      <c r="B1893" s="59" t="str">
        <f t="shared" si="234"/>
        <v/>
      </c>
      <c r="V1893" s="59" t="str">
        <f t="shared" si="235"/>
        <v/>
      </c>
      <c r="W1893" s="59" t="str">
        <f t="shared" si="232"/>
        <v/>
      </c>
      <c r="X1893" s="59" t="str">
        <f t="shared" si="236"/>
        <v/>
      </c>
      <c r="AC1893" s="50">
        <f t="shared" si="237"/>
        <v>0</v>
      </c>
      <c r="AD1893" s="43">
        <f t="shared" si="238"/>
        <v>0</v>
      </c>
      <c r="AE1893" s="50">
        <f t="shared" si="239"/>
        <v>0</v>
      </c>
    </row>
    <row r="1894" spans="1:31">
      <c r="A1894" s="59" t="str">
        <f t="shared" si="233"/>
        <v/>
      </c>
      <c r="B1894" s="59" t="str">
        <f t="shared" si="234"/>
        <v/>
      </c>
      <c r="V1894" s="59" t="str">
        <f t="shared" si="235"/>
        <v/>
      </c>
      <c r="W1894" s="59" t="str">
        <f t="shared" si="232"/>
        <v/>
      </c>
      <c r="X1894" s="59" t="str">
        <f t="shared" si="236"/>
        <v/>
      </c>
      <c r="AC1894" s="50">
        <f t="shared" si="237"/>
        <v>0</v>
      </c>
      <c r="AD1894" s="43">
        <f t="shared" si="238"/>
        <v>0</v>
      </c>
      <c r="AE1894" s="50">
        <f t="shared" si="239"/>
        <v>0</v>
      </c>
    </row>
    <row r="1895" spans="1:31">
      <c r="A1895" s="59" t="str">
        <f t="shared" si="233"/>
        <v/>
      </c>
      <c r="B1895" s="59" t="str">
        <f t="shared" si="234"/>
        <v/>
      </c>
      <c r="V1895" s="59" t="str">
        <f t="shared" si="235"/>
        <v/>
      </c>
      <c r="W1895" s="59" t="str">
        <f t="shared" si="232"/>
        <v/>
      </c>
      <c r="X1895" s="59" t="str">
        <f t="shared" si="236"/>
        <v/>
      </c>
      <c r="AC1895" s="50">
        <f t="shared" si="237"/>
        <v>0</v>
      </c>
      <c r="AD1895" s="43">
        <f t="shared" si="238"/>
        <v>0</v>
      </c>
      <c r="AE1895" s="50">
        <f t="shared" si="239"/>
        <v>0</v>
      </c>
    </row>
    <row r="1896" spans="1:31">
      <c r="A1896" s="59" t="str">
        <f t="shared" si="233"/>
        <v/>
      </c>
      <c r="B1896" s="59" t="str">
        <f t="shared" si="234"/>
        <v/>
      </c>
      <c r="V1896" s="59" t="str">
        <f t="shared" si="235"/>
        <v/>
      </c>
      <c r="W1896" s="59" t="str">
        <f t="shared" si="232"/>
        <v/>
      </c>
      <c r="X1896" s="59" t="str">
        <f t="shared" si="236"/>
        <v/>
      </c>
      <c r="AC1896" s="50">
        <f t="shared" si="237"/>
        <v>0</v>
      </c>
      <c r="AD1896" s="43">
        <f t="shared" si="238"/>
        <v>0</v>
      </c>
      <c r="AE1896" s="50">
        <f t="shared" si="239"/>
        <v>0</v>
      </c>
    </row>
    <row r="1897" spans="1:31">
      <c r="A1897" s="59" t="str">
        <f t="shared" si="233"/>
        <v/>
      </c>
      <c r="B1897" s="59" t="str">
        <f t="shared" si="234"/>
        <v/>
      </c>
      <c r="V1897" s="59" t="str">
        <f t="shared" si="235"/>
        <v/>
      </c>
      <c r="W1897" s="59" t="str">
        <f t="shared" si="232"/>
        <v/>
      </c>
      <c r="X1897" s="59" t="str">
        <f t="shared" si="236"/>
        <v/>
      </c>
      <c r="AC1897" s="50">
        <f t="shared" si="237"/>
        <v>0</v>
      </c>
      <c r="AD1897" s="43">
        <f t="shared" si="238"/>
        <v>0</v>
      </c>
      <c r="AE1897" s="50">
        <f t="shared" si="239"/>
        <v>0</v>
      </c>
    </row>
    <row r="1898" spans="1:31">
      <c r="A1898" s="59" t="str">
        <f t="shared" si="233"/>
        <v/>
      </c>
      <c r="B1898" s="59" t="str">
        <f t="shared" si="234"/>
        <v/>
      </c>
      <c r="V1898" s="59" t="str">
        <f t="shared" si="235"/>
        <v/>
      </c>
      <c r="W1898" s="59" t="str">
        <f t="shared" si="232"/>
        <v/>
      </c>
      <c r="X1898" s="59" t="str">
        <f t="shared" si="236"/>
        <v/>
      </c>
      <c r="AC1898" s="50">
        <f t="shared" si="237"/>
        <v>0</v>
      </c>
      <c r="AD1898" s="43">
        <f t="shared" si="238"/>
        <v>0</v>
      </c>
      <c r="AE1898" s="50">
        <f t="shared" si="239"/>
        <v>0</v>
      </c>
    </row>
    <row r="1899" spans="1:31">
      <c r="A1899" s="59" t="str">
        <f t="shared" si="233"/>
        <v/>
      </c>
      <c r="B1899" s="59" t="str">
        <f t="shared" si="234"/>
        <v/>
      </c>
      <c r="V1899" s="59" t="str">
        <f t="shared" si="235"/>
        <v/>
      </c>
      <c r="W1899" s="59" t="str">
        <f t="shared" si="232"/>
        <v/>
      </c>
      <c r="X1899" s="59" t="str">
        <f t="shared" si="236"/>
        <v/>
      </c>
      <c r="AC1899" s="50">
        <f t="shared" si="237"/>
        <v>0</v>
      </c>
      <c r="AD1899" s="43">
        <f t="shared" si="238"/>
        <v>0</v>
      </c>
      <c r="AE1899" s="50">
        <f t="shared" si="239"/>
        <v>0</v>
      </c>
    </row>
    <row r="1900" spans="1:31">
      <c r="A1900" s="59" t="str">
        <f t="shared" si="233"/>
        <v/>
      </c>
      <c r="B1900" s="59" t="str">
        <f t="shared" si="234"/>
        <v/>
      </c>
      <c r="V1900" s="59" t="str">
        <f t="shared" si="235"/>
        <v/>
      </c>
      <c r="W1900" s="59" t="str">
        <f t="shared" si="232"/>
        <v/>
      </c>
      <c r="X1900" s="59" t="str">
        <f t="shared" si="236"/>
        <v/>
      </c>
      <c r="AC1900" s="50">
        <f t="shared" si="237"/>
        <v>0</v>
      </c>
      <c r="AD1900" s="43">
        <f t="shared" si="238"/>
        <v>0</v>
      </c>
      <c r="AE1900" s="50">
        <f t="shared" si="239"/>
        <v>0</v>
      </c>
    </row>
    <row r="1901" spans="1:31">
      <c r="A1901" s="59" t="str">
        <f t="shared" si="233"/>
        <v/>
      </c>
      <c r="B1901" s="59" t="str">
        <f t="shared" si="234"/>
        <v/>
      </c>
      <c r="V1901" s="59" t="str">
        <f t="shared" si="235"/>
        <v/>
      </c>
      <c r="W1901" s="59" t="str">
        <f t="shared" si="232"/>
        <v/>
      </c>
      <c r="X1901" s="59" t="str">
        <f t="shared" si="236"/>
        <v/>
      </c>
      <c r="AC1901" s="50">
        <f t="shared" si="237"/>
        <v>0</v>
      </c>
      <c r="AD1901" s="43">
        <f t="shared" si="238"/>
        <v>0</v>
      </c>
      <c r="AE1901" s="50">
        <f t="shared" si="239"/>
        <v>0</v>
      </c>
    </row>
    <row r="1902" spans="1:31">
      <c r="A1902" s="59" t="str">
        <f t="shared" si="233"/>
        <v/>
      </c>
      <c r="B1902" s="59" t="str">
        <f t="shared" si="234"/>
        <v/>
      </c>
      <c r="V1902" s="59" t="str">
        <f t="shared" si="235"/>
        <v/>
      </c>
      <c r="W1902" s="59" t="str">
        <f t="shared" si="232"/>
        <v/>
      </c>
      <c r="X1902" s="59" t="str">
        <f t="shared" si="236"/>
        <v/>
      </c>
      <c r="AC1902" s="50">
        <f t="shared" si="237"/>
        <v>0</v>
      </c>
      <c r="AD1902" s="43">
        <f t="shared" si="238"/>
        <v>0</v>
      </c>
      <c r="AE1902" s="50">
        <f t="shared" si="239"/>
        <v>0</v>
      </c>
    </row>
    <row r="1903" spans="1:31">
      <c r="A1903" s="59" t="str">
        <f t="shared" si="233"/>
        <v/>
      </c>
      <c r="B1903" s="59" t="str">
        <f t="shared" si="234"/>
        <v/>
      </c>
      <c r="V1903" s="59" t="str">
        <f t="shared" si="235"/>
        <v/>
      </c>
      <c r="W1903" s="59" t="str">
        <f t="shared" si="232"/>
        <v/>
      </c>
      <c r="X1903" s="59" t="str">
        <f t="shared" si="236"/>
        <v/>
      </c>
      <c r="AC1903" s="50">
        <f t="shared" si="237"/>
        <v>0</v>
      </c>
      <c r="AD1903" s="43">
        <f t="shared" si="238"/>
        <v>0</v>
      </c>
      <c r="AE1903" s="50">
        <f t="shared" si="239"/>
        <v>0</v>
      </c>
    </row>
    <row r="1904" spans="1:31">
      <c r="A1904" s="59" t="str">
        <f t="shared" si="233"/>
        <v/>
      </c>
      <c r="B1904" s="59" t="str">
        <f t="shared" si="234"/>
        <v/>
      </c>
      <c r="V1904" s="59" t="str">
        <f t="shared" si="235"/>
        <v/>
      </c>
      <c r="W1904" s="59" t="str">
        <f t="shared" si="232"/>
        <v/>
      </c>
      <c r="X1904" s="59" t="str">
        <f t="shared" si="236"/>
        <v/>
      </c>
      <c r="AC1904" s="50">
        <f t="shared" si="237"/>
        <v>0</v>
      </c>
      <c r="AD1904" s="43">
        <f t="shared" si="238"/>
        <v>0</v>
      </c>
      <c r="AE1904" s="50">
        <f t="shared" si="239"/>
        <v>0</v>
      </c>
    </row>
    <row r="1905" spans="1:31">
      <c r="A1905" s="59" t="str">
        <f t="shared" si="233"/>
        <v/>
      </c>
      <c r="B1905" s="59" t="str">
        <f t="shared" si="234"/>
        <v/>
      </c>
      <c r="V1905" s="59" t="str">
        <f t="shared" si="235"/>
        <v/>
      </c>
      <c r="W1905" s="59" t="str">
        <f t="shared" si="232"/>
        <v/>
      </c>
      <c r="X1905" s="59" t="str">
        <f t="shared" si="236"/>
        <v/>
      </c>
      <c r="AC1905" s="50">
        <f t="shared" si="237"/>
        <v>0</v>
      </c>
      <c r="AD1905" s="43">
        <f t="shared" si="238"/>
        <v>0</v>
      </c>
      <c r="AE1905" s="50">
        <f t="shared" si="239"/>
        <v>0</v>
      </c>
    </row>
    <row r="1906" spans="1:31">
      <c r="A1906" s="59" t="str">
        <f t="shared" si="233"/>
        <v/>
      </c>
      <c r="B1906" s="59" t="str">
        <f t="shared" si="234"/>
        <v/>
      </c>
      <c r="V1906" s="59" t="str">
        <f t="shared" si="235"/>
        <v/>
      </c>
      <c r="W1906" s="59" t="str">
        <f t="shared" si="232"/>
        <v/>
      </c>
      <c r="X1906" s="59" t="str">
        <f t="shared" si="236"/>
        <v/>
      </c>
      <c r="AC1906" s="50">
        <f t="shared" si="237"/>
        <v>0</v>
      </c>
      <c r="AD1906" s="43">
        <f t="shared" si="238"/>
        <v>0</v>
      </c>
      <c r="AE1906" s="50">
        <f t="shared" si="239"/>
        <v>0</v>
      </c>
    </row>
    <row r="1907" spans="1:31">
      <c r="A1907" s="59" t="str">
        <f t="shared" si="233"/>
        <v/>
      </c>
      <c r="B1907" s="59" t="str">
        <f t="shared" si="234"/>
        <v/>
      </c>
      <c r="V1907" s="59" t="str">
        <f t="shared" si="235"/>
        <v/>
      </c>
      <c r="W1907" s="59" t="str">
        <f t="shared" si="232"/>
        <v/>
      </c>
      <c r="X1907" s="59" t="str">
        <f t="shared" si="236"/>
        <v/>
      </c>
      <c r="AC1907" s="50">
        <f t="shared" si="237"/>
        <v>0</v>
      </c>
      <c r="AD1907" s="43">
        <f t="shared" si="238"/>
        <v>0</v>
      </c>
      <c r="AE1907" s="50">
        <f t="shared" si="239"/>
        <v>0</v>
      </c>
    </row>
    <row r="1908" spans="1:31">
      <c r="A1908" s="59" t="str">
        <f t="shared" si="233"/>
        <v/>
      </c>
      <c r="B1908" s="59" t="str">
        <f t="shared" si="234"/>
        <v/>
      </c>
      <c r="V1908" s="59" t="str">
        <f t="shared" si="235"/>
        <v/>
      </c>
      <c r="W1908" s="59" t="str">
        <f t="shared" si="232"/>
        <v/>
      </c>
      <c r="X1908" s="59" t="str">
        <f t="shared" si="236"/>
        <v/>
      </c>
      <c r="AC1908" s="50">
        <f t="shared" si="237"/>
        <v>0</v>
      </c>
      <c r="AD1908" s="43">
        <f t="shared" si="238"/>
        <v>0</v>
      </c>
      <c r="AE1908" s="50">
        <f t="shared" si="239"/>
        <v>0</v>
      </c>
    </row>
    <row r="1909" spans="1:31">
      <c r="A1909" s="59" t="str">
        <f t="shared" si="233"/>
        <v/>
      </c>
      <c r="B1909" s="59" t="str">
        <f t="shared" si="234"/>
        <v/>
      </c>
      <c r="V1909" s="59" t="str">
        <f t="shared" si="235"/>
        <v/>
      </c>
      <c r="W1909" s="59" t="str">
        <f t="shared" si="232"/>
        <v/>
      </c>
      <c r="X1909" s="59" t="str">
        <f t="shared" si="236"/>
        <v/>
      </c>
      <c r="AC1909" s="50">
        <f t="shared" si="237"/>
        <v>0</v>
      </c>
      <c r="AD1909" s="43">
        <f t="shared" si="238"/>
        <v>0</v>
      </c>
      <c r="AE1909" s="50">
        <f t="shared" si="239"/>
        <v>0</v>
      </c>
    </row>
    <row r="1910" spans="1:31">
      <c r="A1910" s="59" t="str">
        <f t="shared" si="233"/>
        <v/>
      </c>
      <c r="B1910" s="59" t="str">
        <f t="shared" si="234"/>
        <v/>
      </c>
      <c r="V1910" s="59" t="str">
        <f t="shared" si="235"/>
        <v/>
      </c>
      <c r="W1910" s="59" t="str">
        <f t="shared" si="232"/>
        <v/>
      </c>
      <c r="X1910" s="59" t="str">
        <f t="shared" si="236"/>
        <v/>
      </c>
      <c r="AC1910" s="50">
        <f t="shared" si="237"/>
        <v>0</v>
      </c>
      <c r="AD1910" s="43">
        <f t="shared" si="238"/>
        <v>0</v>
      </c>
      <c r="AE1910" s="50">
        <f t="shared" si="239"/>
        <v>0</v>
      </c>
    </row>
    <row r="1911" spans="1:31">
      <c r="A1911" s="59" t="str">
        <f t="shared" si="233"/>
        <v/>
      </c>
      <c r="B1911" s="59" t="str">
        <f t="shared" si="234"/>
        <v/>
      </c>
      <c r="V1911" s="59" t="str">
        <f t="shared" si="235"/>
        <v/>
      </c>
      <c r="W1911" s="59" t="str">
        <f t="shared" si="232"/>
        <v/>
      </c>
      <c r="X1911" s="59" t="str">
        <f t="shared" si="236"/>
        <v/>
      </c>
      <c r="AC1911" s="50">
        <f t="shared" si="237"/>
        <v>0</v>
      </c>
      <c r="AD1911" s="43">
        <f t="shared" si="238"/>
        <v>0</v>
      </c>
      <c r="AE1911" s="50">
        <f t="shared" si="239"/>
        <v>0</v>
      </c>
    </row>
    <row r="1912" spans="1:31">
      <c r="A1912" s="59" t="str">
        <f t="shared" si="233"/>
        <v/>
      </c>
      <c r="B1912" s="59" t="str">
        <f t="shared" si="234"/>
        <v/>
      </c>
      <c r="V1912" s="59" t="str">
        <f t="shared" si="235"/>
        <v/>
      </c>
      <c r="W1912" s="59" t="str">
        <f t="shared" si="232"/>
        <v/>
      </c>
      <c r="X1912" s="59" t="str">
        <f t="shared" si="236"/>
        <v/>
      </c>
      <c r="AC1912" s="50">
        <f t="shared" si="237"/>
        <v>0</v>
      </c>
      <c r="AD1912" s="43">
        <f t="shared" si="238"/>
        <v>0</v>
      </c>
      <c r="AE1912" s="50">
        <f t="shared" si="239"/>
        <v>0</v>
      </c>
    </row>
    <row r="1913" spans="1:31">
      <c r="A1913" s="59" t="str">
        <f t="shared" si="233"/>
        <v/>
      </c>
      <c r="B1913" s="59" t="str">
        <f t="shared" si="234"/>
        <v/>
      </c>
      <c r="V1913" s="59" t="str">
        <f t="shared" si="235"/>
        <v/>
      </c>
      <c r="W1913" s="59" t="str">
        <f t="shared" si="232"/>
        <v/>
      </c>
      <c r="X1913" s="59" t="str">
        <f t="shared" si="236"/>
        <v/>
      </c>
      <c r="AC1913" s="50">
        <f t="shared" si="237"/>
        <v>0</v>
      </c>
      <c r="AD1913" s="43">
        <f t="shared" si="238"/>
        <v>0</v>
      </c>
      <c r="AE1913" s="50">
        <f t="shared" si="239"/>
        <v>0</v>
      </c>
    </row>
    <row r="1914" spans="1:31">
      <c r="A1914" s="59" t="str">
        <f t="shared" si="233"/>
        <v/>
      </c>
      <c r="B1914" s="59" t="str">
        <f t="shared" si="234"/>
        <v/>
      </c>
      <c r="V1914" s="59" t="str">
        <f t="shared" si="235"/>
        <v/>
      </c>
      <c r="W1914" s="59" t="str">
        <f t="shared" si="232"/>
        <v/>
      </c>
      <c r="X1914" s="59" t="str">
        <f t="shared" si="236"/>
        <v/>
      </c>
      <c r="AC1914" s="50">
        <f t="shared" si="237"/>
        <v>0</v>
      </c>
      <c r="AD1914" s="43">
        <f t="shared" si="238"/>
        <v>0</v>
      </c>
      <c r="AE1914" s="50">
        <f t="shared" si="239"/>
        <v>0</v>
      </c>
    </row>
    <row r="1915" spans="1:31">
      <c r="A1915" s="59" t="str">
        <f t="shared" si="233"/>
        <v/>
      </c>
      <c r="B1915" s="59" t="str">
        <f t="shared" si="234"/>
        <v/>
      </c>
      <c r="V1915" s="59" t="str">
        <f t="shared" si="235"/>
        <v/>
      </c>
      <c r="W1915" s="59" t="str">
        <f t="shared" si="232"/>
        <v/>
      </c>
      <c r="X1915" s="59" t="str">
        <f t="shared" si="236"/>
        <v/>
      </c>
      <c r="AC1915" s="50">
        <f t="shared" si="237"/>
        <v>0</v>
      </c>
      <c r="AD1915" s="43">
        <f t="shared" si="238"/>
        <v>0</v>
      </c>
      <c r="AE1915" s="50">
        <f t="shared" si="239"/>
        <v>0</v>
      </c>
    </row>
    <row r="1916" spans="1:31">
      <c r="A1916" s="59" t="str">
        <f t="shared" si="233"/>
        <v/>
      </c>
      <c r="B1916" s="59" t="str">
        <f t="shared" si="234"/>
        <v/>
      </c>
      <c r="V1916" s="59" t="str">
        <f t="shared" si="235"/>
        <v/>
      </c>
      <c r="W1916" s="59" t="str">
        <f t="shared" si="232"/>
        <v/>
      </c>
      <c r="X1916" s="59" t="str">
        <f t="shared" si="236"/>
        <v/>
      </c>
      <c r="AC1916" s="50">
        <f t="shared" si="237"/>
        <v>0</v>
      </c>
      <c r="AD1916" s="43">
        <f t="shared" si="238"/>
        <v>0</v>
      </c>
      <c r="AE1916" s="50">
        <f t="shared" si="239"/>
        <v>0</v>
      </c>
    </row>
    <row r="1917" spans="1:31">
      <c r="A1917" s="59" t="str">
        <f t="shared" si="233"/>
        <v/>
      </c>
      <c r="B1917" s="59" t="str">
        <f t="shared" si="234"/>
        <v/>
      </c>
      <c r="V1917" s="59" t="str">
        <f t="shared" si="235"/>
        <v/>
      </c>
      <c r="W1917" s="59" t="str">
        <f t="shared" si="232"/>
        <v/>
      </c>
      <c r="X1917" s="59" t="str">
        <f t="shared" si="236"/>
        <v/>
      </c>
      <c r="AC1917" s="50">
        <f t="shared" si="237"/>
        <v>0</v>
      </c>
      <c r="AD1917" s="43">
        <f t="shared" si="238"/>
        <v>0</v>
      </c>
      <c r="AE1917" s="50">
        <f t="shared" si="239"/>
        <v>0</v>
      </c>
    </row>
    <row r="1918" spans="1:31">
      <c r="A1918" s="59" t="str">
        <f t="shared" si="233"/>
        <v/>
      </c>
      <c r="B1918" s="59" t="str">
        <f t="shared" si="234"/>
        <v/>
      </c>
      <c r="V1918" s="59" t="str">
        <f t="shared" si="235"/>
        <v/>
      </c>
      <c r="W1918" s="59" t="str">
        <f t="shared" si="232"/>
        <v/>
      </c>
      <c r="X1918" s="59" t="str">
        <f t="shared" si="236"/>
        <v/>
      </c>
      <c r="AC1918" s="50">
        <f t="shared" si="237"/>
        <v>0</v>
      </c>
      <c r="AD1918" s="43">
        <f t="shared" si="238"/>
        <v>0</v>
      </c>
      <c r="AE1918" s="50">
        <f t="shared" si="239"/>
        <v>0</v>
      </c>
    </row>
    <row r="1919" spans="1:31">
      <c r="A1919" s="59" t="str">
        <f t="shared" si="233"/>
        <v/>
      </c>
      <c r="B1919" s="59" t="str">
        <f t="shared" si="234"/>
        <v/>
      </c>
      <c r="V1919" s="59" t="str">
        <f t="shared" si="235"/>
        <v/>
      </c>
      <c r="W1919" s="59" t="str">
        <f t="shared" si="232"/>
        <v/>
      </c>
      <c r="X1919" s="59" t="str">
        <f t="shared" si="236"/>
        <v/>
      </c>
      <c r="AC1919" s="50">
        <f t="shared" si="237"/>
        <v>0</v>
      </c>
      <c r="AD1919" s="43">
        <f t="shared" si="238"/>
        <v>0</v>
      </c>
      <c r="AE1919" s="50">
        <f t="shared" si="239"/>
        <v>0</v>
      </c>
    </row>
    <row r="1920" spans="1:31">
      <c r="A1920" s="59" t="str">
        <f t="shared" si="233"/>
        <v/>
      </c>
      <c r="B1920" s="59" t="str">
        <f t="shared" si="234"/>
        <v/>
      </c>
      <c r="V1920" s="59" t="str">
        <f t="shared" si="235"/>
        <v/>
      </c>
      <c r="W1920" s="59" t="str">
        <f t="shared" si="232"/>
        <v/>
      </c>
      <c r="X1920" s="59" t="str">
        <f t="shared" si="236"/>
        <v/>
      </c>
      <c r="AC1920" s="50">
        <f t="shared" si="237"/>
        <v>0</v>
      </c>
      <c r="AD1920" s="43">
        <f t="shared" si="238"/>
        <v>0</v>
      </c>
      <c r="AE1920" s="50">
        <f t="shared" si="239"/>
        <v>0</v>
      </c>
    </row>
    <row r="1921" spans="1:31">
      <c r="A1921" s="59" t="str">
        <f t="shared" si="233"/>
        <v/>
      </c>
      <c r="B1921" s="59" t="str">
        <f t="shared" si="234"/>
        <v/>
      </c>
      <c r="V1921" s="59" t="str">
        <f t="shared" si="235"/>
        <v/>
      </c>
      <c r="W1921" s="59" t="str">
        <f t="shared" si="232"/>
        <v/>
      </c>
      <c r="X1921" s="59" t="str">
        <f t="shared" si="236"/>
        <v/>
      </c>
      <c r="AC1921" s="50">
        <f t="shared" si="237"/>
        <v>0</v>
      </c>
      <c r="AD1921" s="43">
        <f t="shared" si="238"/>
        <v>0</v>
      </c>
      <c r="AE1921" s="50">
        <f t="shared" si="239"/>
        <v>0</v>
      </c>
    </row>
    <row r="1922" spans="1:31">
      <c r="A1922" s="59" t="str">
        <f t="shared" si="233"/>
        <v/>
      </c>
      <c r="B1922" s="59" t="str">
        <f t="shared" si="234"/>
        <v/>
      </c>
      <c r="V1922" s="59" t="str">
        <f t="shared" si="235"/>
        <v/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59" t="str">
        <f t="shared" si="236"/>
        <v/>
      </c>
      <c r="AC1922" s="50">
        <f t="shared" si="237"/>
        <v>0</v>
      </c>
      <c r="AD1922" s="43">
        <f t="shared" si="238"/>
        <v>0</v>
      </c>
      <c r="AE1922" s="50">
        <f t="shared" si="239"/>
        <v>0</v>
      </c>
    </row>
    <row r="1923" spans="1:31">
      <c r="A1923" s="59" t="str">
        <f t="shared" ref="A1923:A1986" si="241">IF(G1923&amp;Q1923&lt;&gt;"",W1923&amp;Q1923,"")</f>
        <v/>
      </c>
      <c r="B1923" s="59" t="str">
        <f t="shared" ref="B1923:B1986" si="242">IF(C1923&lt;&gt;"",LEFT(C1923,9),"")</f>
        <v/>
      </c>
      <c r="V1923" s="59" t="str">
        <f t="shared" ref="V1923:V1986" si="243">W1923&amp;H1923</f>
        <v/>
      </c>
      <c r="W1923" s="59" t="str">
        <f t="shared" si="240"/>
        <v/>
      </c>
      <c r="X1923" s="59" t="str">
        <f t="shared" ref="X1923:X1986" si="244">IF(A1923&lt;&gt;"",IFERROR(IF(FIND(" ",G1923)&gt;=1,MID(G1923,FIND(" ",G1923)+1,LEN(G1923)),""),""),"")</f>
        <v/>
      </c>
      <c r="AC1923" s="50">
        <f t="shared" ref="AC1923:AC1986" si="245">IFERROR(VALUE(MID($C1923,1,2)),0)</f>
        <v>0</v>
      </c>
      <c r="AD1923" s="43">
        <f t="shared" ref="AD1923:AD1986" si="246">IFERROR(VALUE(MID($C1923,4,3)),0)</f>
        <v>0</v>
      </c>
      <c r="AE1923" s="50">
        <f t="shared" ref="AE1923:AE1986" si="247">VALUE(RIGHT("00"&amp;AC1923,2)&amp;RIGHT("000"&amp;AD1923,3))</f>
        <v>0</v>
      </c>
    </row>
    <row r="1924" spans="1:31">
      <c r="A1924" s="59" t="str">
        <f t="shared" si="241"/>
        <v/>
      </c>
      <c r="B1924" s="59" t="str">
        <f t="shared" si="242"/>
        <v/>
      </c>
      <c r="V1924" s="59" t="str">
        <f t="shared" si="243"/>
        <v/>
      </c>
      <c r="W1924" s="59" t="str">
        <f t="shared" si="240"/>
        <v/>
      </c>
      <c r="X1924" s="59" t="str">
        <f t="shared" si="244"/>
        <v/>
      </c>
      <c r="AC1924" s="50">
        <f t="shared" si="245"/>
        <v>0</v>
      </c>
      <c r="AD1924" s="43">
        <f t="shared" si="246"/>
        <v>0</v>
      </c>
      <c r="AE1924" s="50">
        <f t="shared" si="247"/>
        <v>0</v>
      </c>
    </row>
    <row r="1925" spans="1:31">
      <c r="A1925" s="59" t="str">
        <f t="shared" si="241"/>
        <v/>
      </c>
      <c r="B1925" s="59" t="str">
        <f t="shared" si="242"/>
        <v/>
      </c>
      <c r="V1925" s="59" t="str">
        <f t="shared" si="243"/>
        <v/>
      </c>
      <c r="W1925" s="59" t="str">
        <f t="shared" si="240"/>
        <v/>
      </c>
      <c r="X1925" s="59" t="str">
        <f t="shared" si="244"/>
        <v/>
      </c>
      <c r="AC1925" s="50">
        <f t="shared" si="245"/>
        <v>0</v>
      </c>
      <c r="AD1925" s="43">
        <f t="shared" si="246"/>
        <v>0</v>
      </c>
      <c r="AE1925" s="50">
        <f t="shared" si="247"/>
        <v>0</v>
      </c>
    </row>
    <row r="1926" spans="1:31">
      <c r="A1926" s="59" t="str">
        <f t="shared" si="241"/>
        <v/>
      </c>
      <c r="B1926" s="59" t="str">
        <f t="shared" si="242"/>
        <v/>
      </c>
      <c r="V1926" s="59" t="str">
        <f t="shared" si="243"/>
        <v/>
      </c>
      <c r="W1926" s="59" t="str">
        <f t="shared" si="240"/>
        <v/>
      </c>
      <c r="X1926" s="59" t="str">
        <f t="shared" si="244"/>
        <v/>
      </c>
      <c r="AC1926" s="50">
        <f t="shared" si="245"/>
        <v>0</v>
      </c>
      <c r="AD1926" s="43">
        <f t="shared" si="246"/>
        <v>0</v>
      </c>
      <c r="AE1926" s="50">
        <f t="shared" si="247"/>
        <v>0</v>
      </c>
    </row>
    <row r="1927" spans="1:31">
      <c r="A1927" s="59" t="str">
        <f t="shared" si="241"/>
        <v/>
      </c>
      <c r="B1927" s="59" t="str">
        <f t="shared" si="242"/>
        <v/>
      </c>
      <c r="V1927" s="59" t="str">
        <f t="shared" si="243"/>
        <v/>
      </c>
      <c r="W1927" s="59" t="str">
        <f t="shared" si="240"/>
        <v/>
      </c>
      <c r="X1927" s="59" t="str">
        <f t="shared" si="244"/>
        <v/>
      </c>
      <c r="AC1927" s="50">
        <f t="shared" si="245"/>
        <v>0</v>
      </c>
      <c r="AD1927" s="43">
        <f t="shared" si="246"/>
        <v>0</v>
      </c>
      <c r="AE1927" s="50">
        <f t="shared" si="247"/>
        <v>0</v>
      </c>
    </row>
    <row r="1928" spans="1:31">
      <c r="A1928" s="59" t="str">
        <f t="shared" si="241"/>
        <v/>
      </c>
      <c r="B1928" s="59" t="str">
        <f t="shared" si="242"/>
        <v/>
      </c>
      <c r="V1928" s="59" t="str">
        <f t="shared" si="243"/>
        <v/>
      </c>
      <c r="W1928" s="59" t="str">
        <f t="shared" si="240"/>
        <v/>
      </c>
      <c r="X1928" s="59" t="str">
        <f t="shared" si="244"/>
        <v/>
      </c>
      <c r="AC1928" s="50">
        <f t="shared" si="245"/>
        <v>0</v>
      </c>
      <c r="AD1928" s="43">
        <f t="shared" si="246"/>
        <v>0</v>
      </c>
      <c r="AE1928" s="50">
        <f t="shared" si="247"/>
        <v>0</v>
      </c>
    </row>
    <row r="1929" spans="1:31">
      <c r="A1929" s="59" t="str">
        <f t="shared" si="241"/>
        <v/>
      </c>
      <c r="B1929" s="59" t="str">
        <f t="shared" si="242"/>
        <v/>
      </c>
      <c r="V1929" s="59" t="str">
        <f t="shared" si="243"/>
        <v/>
      </c>
      <c r="W1929" s="59" t="str">
        <f t="shared" si="240"/>
        <v/>
      </c>
      <c r="X1929" s="59" t="str">
        <f t="shared" si="244"/>
        <v/>
      </c>
      <c r="AC1929" s="50">
        <f t="shared" si="245"/>
        <v>0</v>
      </c>
      <c r="AD1929" s="43">
        <f t="shared" si="246"/>
        <v>0</v>
      </c>
      <c r="AE1929" s="50">
        <f t="shared" si="247"/>
        <v>0</v>
      </c>
    </row>
    <row r="1930" spans="1:31">
      <c r="A1930" s="59" t="str">
        <f t="shared" si="241"/>
        <v/>
      </c>
      <c r="B1930" s="59" t="str">
        <f t="shared" si="242"/>
        <v/>
      </c>
      <c r="V1930" s="59" t="str">
        <f t="shared" si="243"/>
        <v/>
      </c>
      <c r="W1930" s="59" t="str">
        <f t="shared" si="240"/>
        <v/>
      </c>
      <c r="X1930" s="59" t="str">
        <f t="shared" si="244"/>
        <v/>
      </c>
      <c r="AC1930" s="50">
        <f t="shared" si="245"/>
        <v>0</v>
      </c>
      <c r="AD1930" s="43">
        <f t="shared" si="246"/>
        <v>0</v>
      </c>
      <c r="AE1930" s="50">
        <f t="shared" si="247"/>
        <v>0</v>
      </c>
    </row>
    <row r="1931" spans="1:31">
      <c r="A1931" s="59" t="str">
        <f t="shared" si="241"/>
        <v/>
      </c>
      <c r="B1931" s="59" t="str">
        <f t="shared" si="242"/>
        <v/>
      </c>
      <c r="V1931" s="59" t="str">
        <f t="shared" si="243"/>
        <v/>
      </c>
      <c r="W1931" s="59" t="str">
        <f t="shared" si="240"/>
        <v/>
      </c>
      <c r="X1931" s="59" t="str">
        <f t="shared" si="244"/>
        <v/>
      </c>
      <c r="AC1931" s="50">
        <f t="shared" si="245"/>
        <v>0</v>
      </c>
      <c r="AD1931" s="43">
        <f t="shared" si="246"/>
        <v>0</v>
      </c>
      <c r="AE1931" s="50">
        <f t="shared" si="247"/>
        <v>0</v>
      </c>
    </row>
    <row r="1932" spans="1:31">
      <c r="A1932" s="59" t="str">
        <f t="shared" si="241"/>
        <v/>
      </c>
      <c r="B1932" s="59" t="str">
        <f t="shared" si="242"/>
        <v/>
      </c>
      <c r="V1932" s="59" t="str">
        <f t="shared" si="243"/>
        <v/>
      </c>
      <c r="W1932" s="59" t="str">
        <f t="shared" si="240"/>
        <v/>
      </c>
      <c r="X1932" s="59" t="str">
        <f t="shared" si="244"/>
        <v/>
      </c>
      <c r="AC1932" s="50">
        <f t="shared" si="245"/>
        <v>0</v>
      </c>
      <c r="AD1932" s="43">
        <f t="shared" si="246"/>
        <v>0</v>
      </c>
      <c r="AE1932" s="50">
        <f t="shared" si="247"/>
        <v>0</v>
      </c>
    </row>
    <row r="1933" spans="1:31">
      <c r="A1933" s="59" t="str">
        <f t="shared" si="241"/>
        <v/>
      </c>
      <c r="B1933" s="59" t="str">
        <f t="shared" si="242"/>
        <v/>
      </c>
      <c r="V1933" s="59" t="str">
        <f t="shared" si="243"/>
        <v/>
      </c>
      <c r="W1933" s="59" t="str">
        <f t="shared" si="240"/>
        <v/>
      </c>
      <c r="X1933" s="59" t="str">
        <f t="shared" si="244"/>
        <v/>
      </c>
      <c r="AC1933" s="50">
        <f t="shared" si="245"/>
        <v>0</v>
      </c>
      <c r="AD1933" s="43">
        <f t="shared" si="246"/>
        <v>0</v>
      </c>
      <c r="AE1933" s="50">
        <f t="shared" si="247"/>
        <v>0</v>
      </c>
    </row>
    <row r="1934" spans="1:31">
      <c r="A1934" s="59" t="str">
        <f t="shared" si="241"/>
        <v/>
      </c>
      <c r="B1934" s="59" t="str">
        <f t="shared" si="242"/>
        <v/>
      </c>
      <c r="V1934" s="59" t="str">
        <f t="shared" si="243"/>
        <v/>
      </c>
      <c r="W1934" s="59" t="str">
        <f t="shared" si="240"/>
        <v/>
      </c>
      <c r="X1934" s="59" t="str">
        <f t="shared" si="244"/>
        <v/>
      </c>
      <c r="AC1934" s="50">
        <f t="shared" si="245"/>
        <v>0</v>
      </c>
      <c r="AD1934" s="43">
        <f t="shared" si="246"/>
        <v>0</v>
      </c>
      <c r="AE1934" s="50">
        <f t="shared" si="247"/>
        <v>0</v>
      </c>
    </row>
    <row r="1935" spans="1:31">
      <c r="A1935" s="59" t="str">
        <f t="shared" si="241"/>
        <v/>
      </c>
      <c r="B1935" s="59" t="str">
        <f t="shared" si="242"/>
        <v/>
      </c>
      <c r="V1935" s="59" t="str">
        <f t="shared" si="243"/>
        <v/>
      </c>
      <c r="W1935" s="59" t="str">
        <f t="shared" si="240"/>
        <v/>
      </c>
      <c r="X1935" s="59" t="str">
        <f t="shared" si="244"/>
        <v/>
      </c>
      <c r="AC1935" s="50">
        <f t="shared" si="245"/>
        <v>0</v>
      </c>
      <c r="AD1935" s="43">
        <f t="shared" si="246"/>
        <v>0</v>
      </c>
      <c r="AE1935" s="50">
        <f t="shared" si="247"/>
        <v>0</v>
      </c>
    </row>
    <row r="1936" spans="1:31">
      <c r="A1936" s="59" t="str">
        <f t="shared" si="241"/>
        <v/>
      </c>
      <c r="B1936" s="59" t="str">
        <f t="shared" si="242"/>
        <v/>
      </c>
      <c r="V1936" s="59" t="str">
        <f t="shared" si="243"/>
        <v/>
      </c>
      <c r="W1936" s="59" t="str">
        <f t="shared" si="240"/>
        <v/>
      </c>
      <c r="X1936" s="59" t="str">
        <f t="shared" si="244"/>
        <v/>
      </c>
      <c r="AC1936" s="50">
        <f t="shared" si="245"/>
        <v>0</v>
      </c>
      <c r="AD1936" s="43">
        <f t="shared" si="246"/>
        <v>0</v>
      </c>
      <c r="AE1936" s="50">
        <f t="shared" si="247"/>
        <v>0</v>
      </c>
    </row>
    <row r="1937" spans="1:31">
      <c r="A1937" s="59" t="str">
        <f t="shared" si="241"/>
        <v/>
      </c>
      <c r="B1937" s="59" t="str">
        <f t="shared" si="242"/>
        <v/>
      </c>
      <c r="V1937" s="59" t="str">
        <f t="shared" si="243"/>
        <v/>
      </c>
      <c r="W1937" s="59" t="str">
        <f t="shared" si="240"/>
        <v/>
      </c>
      <c r="X1937" s="59" t="str">
        <f t="shared" si="244"/>
        <v/>
      </c>
      <c r="AC1937" s="50">
        <f t="shared" si="245"/>
        <v>0</v>
      </c>
      <c r="AD1937" s="43">
        <f t="shared" si="246"/>
        <v>0</v>
      </c>
      <c r="AE1937" s="50">
        <f t="shared" si="247"/>
        <v>0</v>
      </c>
    </row>
    <row r="1938" spans="1:31">
      <c r="A1938" s="59" t="str">
        <f t="shared" si="241"/>
        <v/>
      </c>
      <c r="B1938" s="59" t="str">
        <f t="shared" si="242"/>
        <v/>
      </c>
      <c r="V1938" s="59" t="str">
        <f t="shared" si="243"/>
        <v/>
      </c>
      <c r="W1938" s="59" t="str">
        <f t="shared" si="240"/>
        <v/>
      </c>
      <c r="X1938" s="59" t="str">
        <f t="shared" si="244"/>
        <v/>
      </c>
      <c r="AC1938" s="50">
        <f t="shared" si="245"/>
        <v>0</v>
      </c>
      <c r="AD1938" s="43">
        <f t="shared" si="246"/>
        <v>0</v>
      </c>
      <c r="AE1938" s="50">
        <f t="shared" si="247"/>
        <v>0</v>
      </c>
    </row>
    <row r="1939" spans="1:31">
      <c r="A1939" s="59" t="str">
        <f t="shared" si="241"/>
        <v/>
      </c>
      <c r="B1939" s="59" t="str">
        <f t="shared" si="242"/>
        <v/>
      </c>
      <c r="V1939" s="59" t="str">
        <f t="shared" si="243"/>
        <v/>
      </c>
      <c r="W1939" s="59" t="str">
        <f t="shared" si="240"/>
        <v/>
      </c>
      <c r="X1939" s="59" t="str">
        <f t="shared" si="244"/>
        <v/>
      </c>
      <c r="AC1939" s="50">
        <f t="shared" si="245"/>
        <v>0</v>
      </c>
      <c r="AD1939" s="43">
        <f t="shared" si="246"/>
        <v>0</v>
      </c>
      <c r="AE1939" s="50">
        <f t="shared" si="247"/>
        <v>0</v>
      </c>
    </row>
    <row r="1940" spans="1:31">
      <c r="A1940" s="59" t="str">
        <f t="shared" si="241"/>
        <v/>
      </c>
      <c r="B1940" s="59" t="str">
        <f t="shared" si="242"/>
        <v/>
      </c>
      <c r="V1940" s="59" t="str">
        <f t="shared" si="243"/>
        <v/>
      </c>
      <c r="W1940" s="59" t="str">
        <f t="shared" si="240"/>
        <v/>
      </c>
      <c r="X1940" s="59" t="str">
        <f t="shared" si="244"/>
        <v/>
      </c>
      <c r="AC1940" s="50">
        <f t="shared" si="245"/>
        <v>0</v>
      </c>
      <c r="AD1940" s="43">
        <f t="shared" si="246"/>
        <v>0</v>
      </c>
      <c r="AE1940" s="50">
        <f t="shared" si="247"/>
        <v>0</v>
      </c>
    </row>
    <row r="1941" spans="1:31">
      <c r="A1941" s="59" t="str">
        <f t="shared" si="241"/>
        <v/>
      </c>
      <c r="B1941" s="59" t="str">
        <f t="shared" si="242"/>
        <v/>
      </c>
      <c r="V1941" s="59" t="str">
        <f t="shared" si="243"/>
        <v/>
      </c>
      <c r="W1941" s="59" t="str">
        <f t="shared" si="240"/>
        <v/>
      </c>
      <c r="X1941" s="59" t="str">
        <f t="shared" si="244"/>
        <v/>
      </c>
      <c r="AC1941" s="50">
        <f t="shared" si="245"/>
        <v>0</v>
      </c>
      <c r="AD1941" s="43">
        <f t="shared" si="246"/>
        <v>0</v>
      </c>
      <c r="AE1941" s="50">
        <f t="shared" si="247"/>
        <v>0</v>
      </c>
    </row>
    <row r="1942" spans="1:31">
      <c r="A1942" s="59" t="str">
        <f t="shared" si="241"/>
        <v/>
      </c>
      <c r="B1942" s="59" t="str">
        <f t="shared" si="242"/>
        <v/>
      </c>
      <c r="V1942" s="59" t="str">
        <f t="shared" si="243"/>
        <v/>
      </c>
      <c r="W1942" s="59" t="str">
        <f t="shared" si="240"/>
        <v/>
      </c>
      <c r="X1942" s="59" t="str">
        <f t="shared" si="244"/>
        <v/>
      </c>
      <c r="AC1942" s="50">
        <f t="shared" si="245"/>
        <v>0</v>
      </c>
      <c r="AD1942" s="43">
        <f t="shared" si="246"/>
        <v>0</v>
      </c>
      <c r="AE1942" s="50">
        <f t="shared" si="247"/>
        <v>0</v>
      </c>
    </row>
    <row r="1943" spans="1:31">
      <c r="A1943" s="59" t="str">
        <f t="shared" si="241"/>
        <v/>
      </c>
      <c r="B1943" s="59" t="str">
        <f t="shared" si="242"/>
        <v/>
      </c>
      <c r="V1943" s="59" t="str">
        <f t="shared" si="243"/>
        <v/>
      </c>
      <c r="W1943" s="59" t="str">
        <f t="shared" si="240"/>
        <v/>
      </c>
      <c r="X1943" s="59" t="str">
        <f t="shared" si="244"/>
        <v/>
      </c>
      <c r="AC1943" s="50">
        <f t="shared" si="245"/>
        <v>0</v>
      </c>
      <c r="AD1943" s="43">
        <f t="shared" si="246"/>
        <v>0</v>
      </c>
      <c r="AE1943" s="50">
        <f t="shared" si="247"/>
        <v>0</v>
      </c>
    </row>
    <row r="1944" spans="1:31">
      <c r="A1944" s="59" t="str">
        <f t="shared" si="241"/>
        <v/>
      </c>
      <c r="B1944" s="59" t="str">
        <f t="shared" si="242"/>
        <v/>
      </c>
      <c r="V1944" s="59" t="str">
        <f t="shared" si="243"/>
        <v/>
      </c>
      <c r="W1944" s="59" t="str">
        <f t="shared" si="240"/>
        <v/>
      </c>
      <c r="X1944" s="59" t="str">
        <f t="shared" si="244"/>
        <v/>
      </c>
      <c r="AC1944" s="50">
        <f t="shared" si="245"/>
        <v>0</v>
      </c>
      <c r="AD1944" s="43">
        <f t="shared" si="246"/>
        <v>0</v>
      </c>
      <c r="AE1944" s="50">
        <f t="shared" si="247"/>
        <v>0</v>
      </c>
    </row>
    <row r="1945" spans="1:31">
      <c r="A1945" s="59" t="str">
        <f t="shared" si="241"/>
        <v/>
      </c>
      <c r="B1945" s="59" t="str">
        <f t="shared" si="242"/>
        <v/>
      </c>
      <c r="V1945" s="59" t="str">
        <f t="shared" si="243"/>
        <v/>
      </c>
      <c r="W1945" s="59" t="str">
        <f t="shared" si="240"/>
        <v/>
      </c>
      <c r="X1945" s="59" t="str">
        <f t="shared" si="244"/>
        <v/>
      </c>
      <c r="AC1945" s="50">
        <f t="shared" si="245"/>
        <v>0</v>
      </c>
      <c r="AD1945" s="43">
        <f t="shared" si="246"/>
        <v>0</v>
      </c>
      <c r="AE1945" s="50">
        <f t="shared" si="247"/>
        <v>0</v>
      </c>
    </row>
    <row r="1946" spans="1:31">
      <c r="A1946" s="59" t="str">
        <f t="shared" si="241"/>
        <v/>
      </c>
      <c r="B1946" s="59" t="str">
        <f t="shared" si="242"/>
        <v/>
      </c>
      <c r="V1946" s="59" t="str">
        <f t="shared" si="243"/>
        <v/>
      </c>
      <c r="W1946" s="59" t="str">
        <f t="shared" si="240"/>
        <v/>
      </c>
      <c r="X1946" s="59" t="str">
        <f t="shared" si="244"/>
        <v/>
      </c>
      <c r="AC1946" s="50">
        <f t="shared" si="245"/>
        <v>0</v>
      </c>
      <c r="AD1946" s="43">
        <f t="shared" si="246"/>
        <v>0</v>
      </c>
      <c r="AE1946" s="50">
        <f t="shared" si="247"/>
        <v>0</v>
      </c>
    </row>
    <row r="1947" spans="1:31">
      <c r="A1947" s="59" t="str">
        <f t="shared" si="241"/>
        <v/>
      </c>
      <c r="B1947" s="59" t="str">
        <f t="shared" si="242"/>
        <v/>
      </c>
      <c r="V1947" s="59" t="str">
        <f t="shared" si="243"/>
        <v/>
      </c>
      <c r="W1947" s="59" t="str">
        <f t="shared" si="240"/>
        <v/>
      </c>
      <c r="X1947" s="59" t="str">
        <f t="shared" si="244"/>
        <v/>
      </c>
      <c r="AC1947" s="50">
        <f t="shared" si="245"/>
        <v>0</v>
      </c>
      <c r="AD1947" s="43">
        <f t="shared" si="246"/>
        <v>0</v>
      </c>
      <c r="AE1947" s="50">
        <f t="shared" si="247"/>
        <v>0</v>
      </c>
    </row>
    <row r="1948" spans="1:31">
      <c r="A1948" s="59" t="str">
        <f t="shared" si="241"/>
        <v/>
      </c>
      <c r="B1948" s="59" t="str">
        <f t="shared" si="242"/>
        <v/>
      </c>
      <c r="V1948" s="59" t="str">
        <f t="shared" si="243"/>
        <v/>
      </c>
      <c r="W1948" s="59" t="str">
        <f t="shared" si="240"/>
        <v/>
      </c>
      <c r="X1948" s="59" t="str">
        <f t="shared" si="244"/>
        <v/>
      </c>
      <c r="AC1948" s="50">
        <f t="shared" si="245"/>
        <v>0</v>
      </c>
      <c r="AD1948" s="43">
        <f t="shared" si="246"/>
        <v>0</v>
      </c>
      <c r="AE1948" s="50">
        <f t="shared" si="247"/>
        <v>0</v>
      </c>
    </row>
    <row r="1949" spans="1:31">
      <c r="A1949" s="59" t="str">
        <f t="shared" si="241"/>
        <v/>
      </c>
      <c r="B1949" s="59" t="str">
        <f t="shared" si="242"/>
        <v/>
      </c>
      <c r="V1949" s="59" t="str">
        <f t="shared" si="243"/>
        <v/>
      </c>
      <c r="W1949" s="59" t="str">
        <f t="shared" si="240"/>
        <v/>
      </c>
      <c r="X1949" s="59" t="str">
        <f t="shared" si="244"/>
        <v/>
      </c>
      <c r="AC1949" s="50">
        <f t="shared" si="245"/>
        <v>0</v>
      </c>
      <c r="AD1949" s="43">
        <f t="shared" si="246"/>
        <v>0</v>
      </c>
      <c r="AE1949" s="50">
        <f t="shared" si="247"/>
        <v>0</v>
      </c>
    </row>
    <row r="1950" spans="1:31">
      <c r="A1950" s="59" t="str">
        <f t="shared" si="241"/>
        <v/>
      </c>
      <c r="B1950" s="59" t="str">
        <f t="shared" si="242"/>
        <v/>
      </c>
      <c r="V1950" s="59" t="str">
        <f t="shared" si="243"/>
        <v/>
      </c>
      <c r="W1950" s="59" t="str">
        <f t="shared" si="240"/>
        <v/>
      </c>
      <c r="X1950" s="59" t="str">
        <f t="shared" si="244"/>
        <v/>
      </c>
      <c r="AC1950" s="50">
        <f t="shared" si="245"/>
        <v>0</v>
      </c>
      <c r="AD1950" s="43">
        <f t="shared" si="246"/>
        <v>0</v>
      </c>
      <c r="AE1950" s="50">
        <f t="shared" si="247"/>
        <v>0</v>
      </c>
    </row>
    <row r="1951" spans="1:31">
      <c r="A1951" s="59" t="str">
        <f t="shared" si="241"/>
        <v/>
      </c>
      <c r="B1951" s="59" t="str">
        <f t="shared" si="242"/>
        <v/>
      </c>
      <c r="V1951" s="59" t="str">
        <f t="shared" si="243"/>
        <v/>
      </c>
      <c r="W1951" s="59" t="str">
        <f t="shared" si="240"/>
        <v/>
      </c>
      <c r="X1951" s="59" t="str">
        <f t="shared" si="244"/>
        <v/>
      </c>
      <c r="AC1951" s="50">
        <f t="shared" si="245"/>
        <v>0</v>
      </c>
      <c r="AD1951" s="43">
        <f t="shared" si="246"/>
        <v>0</v>
      </c>
      <c r="AE1951" s="50">
        <f t="shared" si="247"/>
        <v>0</v>
      </c>
    </row>
    <row r="1952" spans="1:31">
      <c r="A1952" s="59" t="str">
        <f t="shared" si="241"/>
        <v/>
      </c>
      <c r="B1952" s="59" t="str">
        <f t="shared" si="242"/>
        <v/>
      </c>
      <c r="V1952" s="59" t="str">
        <f t="shared" si="243"/>
        <v/>
      </c>
      <c r="W1952" s="59" t="str">
        <f t="shared" si="240"/>
        <v/>
      </c>
      <c r="X1952" s="59" t="str">
        <f t="shared" si="244"/>
        <v/>
      </c>
      <c r="AC1952" s="50">
        <f t="shared" si="245"/>
        <v>0</v>
      </c>
      <c r="AD1952" s="43">
        <f t="shared" si="246"/>
        <v>0</v>
      </c>
      <c r="AE1952" s="50">
        <f t="shared" si="247"/>
        <v>0</v>
      </c>
    </row>
    <row r="1953" spans="1:31">
      <c r="A1953" s="59" t="str">
        <f t="shared" si="241"/>
        <v/>
      </c>
      <c r="B1953" s="59" t="str">
        <f t="shared" si="242"/>
        <v/>
      </c>
      <c r="V1953" s="59" t="str">
        <f t="shared" si="243"/>
        <v/>
      </c>
      <c r="W1953" s="59" t="str">
        <f t="shared" si="240"/>
        <v/>
      </c>
      <c r="X1953" s="59" t="str">
        <f t="shared" si="244"/>
        <v/>
      </c>
      <c r="AC1953" s="50">
        <f t="shared" si="245"/>
        <v>0</v>
      </c>
      <c r="AD1953" s="43">
        <f t="shared" si="246"/>
        <v>0</v>
      </c>
      <c r="AE1953" s="50">
        <f t="shared" si="247"/>
        <v>0</v>
      </c>
    </row>
    <row r="1954" spans="1:31">
      <c r="A1954" s="59" t="str">
        <f t="shared" si="241"/>
        <v/>
      </c>
      <c r="B1954" s="59" t="str">
        <f t="shared" si="242"/>
        <v/>
      </c>
      <c r="V1954" s="59" t="str">
        <f t="shared" si="243"/>
        <v/>
      </c>
      <c r="W1954" s="59" t="str">
        <f t="shared" si="240"/>
        <v/>
      </c>
      <c r="X1954" s="59" t="str">
        <f t="shared" si="244"/>
        <v/>
      </c>
      <c r="AC1954" s="50">
        <f t="shared" si="245"/>
        <v>0</v>
      </c>
      <c r="AD1954" s="43">
        <f t="shared" si="246"/>
        <v>0</v>
      </c>
      <c r="AE1954" s="50">
        <f t="shared" si="247"/>
        <v>0</v>
      </c>
    </row>
    <row r="1955" spans="1:31">
      <c r="A1955" s="59" t="str">
        <f t="shared" si="241"/>
        <v/>
      </c>
      <c r="B1955" s="59" t="str">
        <f t="shared" si="242"/>
        <v/>
      </c>
      <c r="V1955" s="59" t="str">
        <f t="shared" si="243"/>
        <v/>
      </c>
      <c r="W1955" s="59" t="str">
        <f t="shared" si="240"/>
        <v/>
      </c>
      <c r="X1955" s="59" t="str">
        <f t="shared" si="244"/>
        <v/>
      </c>
      <c r="AC1955" s="50">
        <f t="shared" si="245"/>
        <v>0</v>
      </c>
      <c r="AD1955" s="43">
        <f t="shared" si="246"/>
        <v>0</v>
      </c>
      <c r="AE1955" s="50">
        <f t="shared" si="247"/>
        <v>0</v>
      </c>
    </row>
    <row r="1956" spans="1:31">
      <c r="A1956" s="59" t="str">
        <f t="shared" si="241"/>
        <v/>
      </c>
      <c r="B1956" s="59" t="str">
        <f t="shared" si="242"/>
        <v/>
      </c>
      <c r="V1956" s="59" t="str">
        <f t="shared" si="243"/>
        <v/>
      </c>
      <c r="W1956" s="59" t="str">
        <f t="shared" si="240"/>
        <v/>
      </c>
      <c r="X1956" s="59" t="str">
        <f t="shared" si="244"/>
        <v/>
      </c>
      <c r="AC1956" s="50">
        <f t="shared" si="245"/>
        <v>0</v>
      </c>
      <c r="AD1956" s="43">
        <f t="shared" si="246"/>
        <v>0</v>
      </c>
      <c r="AE1956" s="50">
        <f t="shared" si="247"/>
        <v>0</v>
      </c>
    </row>
    <row r="1957" spans="1:31">
      <c r="A1957" s="59" t="str">
        <f t="shared" si="241"/>
        <v/>
      </c>
      <c r="B1957" s="59" t="str">
        <f t="shared" si="242"/>
        <v/>
      </c>
      <c r="V1957" s="59" t="str">
        <f t="shared" si="243"/>
        <v/>
      </c>
      <c r="W1957" s="59" t="str">
        <f t="shared" si="240"/>
        <v/>
      </c>
      <c r="X1957" s="59" t="str">
        <f t="shared" si="244"/>
        <v/>
      </c>
      <c r="AC1957" s="50">
        <f t="shared" si="245"/>
        <v>0</v>
      </c>
      <c r="AD1957" s="43">
        <f t="shared" si="246"/>
        <v>0</v>
      </c>
      <c r="AE1957" s="50">
        <f t="shared" si="247"/>
        <v>0</v>
      </c>
    </row>
    <row r="1958" spans="1:31">
      <c r="A1958" s="59" t="str">
        <f t="shared" si="241"/>
        <v/>
      </c>
      <c r="B1958" s="59" t="str">
        <f t="shared" si="242"/>
        <v/>
      </c>
      <c r="V1958" s="59" t="str">
        <f t="shared" si="243"/>
        <v/>
      </c>
      <c r="W1958" s="59" t="str">
        <f t="shared" si="240"/>
        <v/>
      </c>
      <c r="X1958" s="59" t="str">
        <f t="shared" si="244"/>
        <v/>
      </c>
      <c r="AC1958" s="50">
        <f t="shared" si="245"/>
        <v>0</v>
      </c>
      <c r="AD1958" s="43">
        <f t="shared" si="246"/>
        <v>0</v>
      </c>
      <c r="AE1958" s="50">
        <f t="shared" si="247"/>
        <v>0</v>
      </c>
    </row>
    <row r="1959" spans="1:31">
      <c r="A1959" s="59" t="str">
        <f t="shared" si="241"/>
        <v/>
      </c>
      <c r="B1959" s="59" t="str">
        <f t="shared" si="242"/>
        <v/>
      </c>
      <c r="V1959" s="59" t="str">
        <f t="shared" si="243"/>
        <v/>
      </c>
      <c r="W1959" s="59" t="str">
        <f t="shared" si="240"/>
        <v/>
      </c>
      <c r="X1959" s="59" t="str">
        <f t="shared" si="244"/>
        <v/>
      </c>
      <c r="AC1959" s="50">
        <f t="shared" si="245"/>
        <v>0</v>
      </c>
      <c r="AD1959" s="43">
        <f t="shared" si="246"/>
        <v>0</v>
      </c>
      <c r="AE1959" s="50">
        <f t="shared" si="247"/>
        <v>0</v>
      </c>
    </row>
    <row r="1960" spans="1:31">
      <c r="A1960" s="59" t="str">
        <f t="shared" si="241"/>
        <v/>
      </c>
      <c r="B1960" s="59" t="str">
        <f t="shared" si="242"/>
        <v/>
      </c>
      <c r="V1960" s="59" t="str">
        <f t="shared" si="243"/>
        <v/>
      </c>
      <c r="W1960" s="59" t="str">
        <f t="shared" si="240"/>
        <v/>
      </c>
      <c r="X1960" s="59" t="str">
        <f t="shared" si="244"/>
        <v/>
      </c>
      <c r="AC1960" s="50">
        <f t="shared" si="245"/>
        <v>0</v>
      </c>
      <c r="AD1960" s="43">
        <f t="shared" si="246"/>
        <v>0</v>
      </c>
      <c r="AE1960" s="50">
        <f t="shared" si="247"/>
        <v>0</v>
      </c>
    </row>
    <row r="1961" spans="1:31">
      <c r="A1961" s="59" t="str">
        <f t="shared" si="241"/>
        <v/>
      </c>
      <c r="B1961" s="59" t="str">
        <f t="shared" si="242"/>
        <v/>
      </c>
      <c r="V1961" s="59" t="str">
        <f t="shared" si="243"/>
        <v/>
      </c>
      <c r="W1961" s="59" t="str">
        <f t="shared" si="240"/>
        <v/>
      </c>
      <c r="X1961" s="59" t="str">
        <f t="shared" si="244"/>
        <v/>
      </c>
      <c r="AC1961" s="50">
        <f t="shared" si="245"/>
        <v>0</v>
      </c>
      <c r="AD1961" s="43">
        <f t="shared" si="246"/>
        <v>0</v>
      </c>
      <c r="AE1961" s="50">
        <f t="shared" si="247"/>
        <v>0</v>
      </c>
    </row>
    <row r="1962" spans="1:31">
      <c r="A1962" s="59" t="str">
        <f t="shared" si="241"/>
        <v/>
      </c>
      <c r="B1962" s="59" t="str">
        <f t="shared" si="242"/>
        <v/>
      </c>
      <c r="V1962" s="59" t="str">
        <f t="shared" si="243"/>
        <v/>
      </c>
      <c r="W1962" s="59" t="str">
        <f t="shared" si="240"/>
        <v/>
      </c>
      <c r="X1962" s="59" t="str">
        <f t="shared" si="244"/>
        <v/>
      </c>
      <c r="AC1962" s="50">
        <f t="shared" si="245"/>
        <v>0</v>
      </c>
      <c r="AD1962" s="43">
        <f t="shared" si="246"/>
        <v>0</v>
      </c>
      <c r="AE1962" s="50">
        <f t="shared" si="247"/>
        <v>0</v>
      </c>
    </row>
    <row r="1963" spans="1:31">
      <c r="A1963" s="59" t="str">
        <f t="shared" si="241"/>
        <v/>
      </c>
      <c r="B1963" s="59" t="str">
        <f t="shared" si="242"/>
        <v/>
      </c>
      <c r="V1963" s="59" t="str">
        <f t="shared" si="243"/>
        <v/>
      </c>
      <c r="W1963" s="59" t="str">
        <f t="shared" si="240"/>
        <v/>
      </c>
      <c r="X1963" s="59" t="str">
        <f t="shared" si="244"/>
        <v/>
      </c>
      <c r="AC1963" s="50">
        <f t="shared" si="245"/>
        <v>0</v>
      </c>
      <c r="AD1963" s="43">
        <f t="shared" si="246"/>
        <v>0</v>
      </c>
      <c r="AE1963" s="50">
        <f t="shared" si="247"/>
        <v>0</v>
      </c>
    </row>
    <row r="1964" spans="1:31">
      <c r="A1964" s="59" t="str">
        <f t="shared" si="241"/>
        <v/>
      </c>
      <c r="B1964" s="59" t="str">
        <f t="shared" si="242"/>
        <v/>
      </c>
      <c r="V1964" s="59" t="str">
        <f t="shared" si="243"/>
        <v/>
      </c>
      <c r="W1964" s="59" t="str">
        <f t="shared" si="240"/>
        <v/>
      </c>
      <c r="X1964" s="59" t="str">
        <f t="shared" si="244"/>
        <v/>
      </c>
      <c r="AC1964" s="50">
        <f t="shared" si="245"/>
        <v>0</v>
      </c>
      <c r="AD1964" s="43">
        <f t="shared" si="246"/>
        <v>0</v>
      </c>
      <c r="AE1964" s="50">
        <f t="shared" si="247"/>
        <v>0</v>
      </c>
    </row>
    <row r="1965" spans="1:31">
      <c r="A1965" s="59" t="str">
        <f t="shared" si="241"/>
        <v/>
      </c>
      <c r="B1965" s="59" t="str">
        <f t="shared" si="242"/>
        <v/>
      </c>
      <c r="V1965" s="59" t="str">
        <f t="shared" si="243"/>
        <v/>
      </c>
      <c r="W1965" s="59" t="str">
        <f t="shared" si="240"/>
        <v/>
      </c>
      <c r="X1965" s="59" t="str">
        <f t="shared" si="244"/>
        <v/>
      </c>
      <c r="AC1965" s="50">
        <f t="shared" si="245"/>
        <v>0</v>
      </c>
      <c r="AD1965" s="43">
        <f t="shared" si="246"/>
        <v>0</v>
      </c>
      <c r="AE1965" s="50">
        <f t="shared" si="247"/>
        <v>0</v>
      </c>
    </row>
    <row r="1966" spans="1:31">
      <c r="A1966" s="59" t="str">
        <f t="shared" si="241"/>
        <v/>
      </c>
      <c r="B1966" s="59" t="str">
        <f t="shared" si="242"/>
        <v/>
      </c>
      <c r="V1966" s="59" t="str">
        <f t="shared" si="243"/>
        <v/>
      </c>
      <c r="W1966" s="59" t="str">
        <f t="shared" si="240"/>
        <v/>
      </c>
      <c r="X1966" s="59" t="str">
        <f t="shared" si="244"/>
        <v/>
      </c>
      <c r="AC1966" s="50">
        <f t="shared" si="245"/>
        <v>0</v>
      </c>
      <c r="AD1966" s="43">
        <f t="shared" si="246"/>
        <v>0</v>
      </c>
      <c r="AE1966" s="50">
        <f t="shared" si="247"/>
        <v>0</v>
      </c>
    </row>
    <row r="1967" spans="1:31">
      <c r="A1967" s="59" t="str">
        <f t="shared" si="241"/>
        <v/>
      </c>
      <c r="B1967" s="59" t="str">
        <f t="shared" si="242"/>
        <v/>
      </c>
      <c r="V1967" s="59" t="str">
        <f t="shared" si="243"/>
        <v/>
      </c>
      <c r="W1967" s="59" t="str">
        <f t="shared" si="240"/>
        <v/>
      </c>
      <c r="X1967" s="59" t="str">
        <f t="shared" si="244"/>
        <v/>
      </c>
      <c r="AC1967" s="50">
        <f t="shared" si="245"/>
        <v>0</v>
      </c>
      <c r="AD1967" s="43">
        <f t="shared" si="246"/>
        <v>0</v>
      </c>
      <c r="AE1967" s="50">
        <f t="shared" si="247"/>
        <v>0</v>
      </c>
    </row>
    <row r="1968" spans="1:31">
      <c r="A1968" s="59" t="str">
        <f t="shared" si="241"/>
        <v/>
      </c>
      <c r="B1968" s="59" t="str">
        <f t="shared" si="242"/>
        <v/>
      </c>
      <c r="V1968" s="59" t="str">
        <f t="shared" si="243"/>
        <v/>
      </c>
      <c r="W1968" s="59" t="str">
        <f t="shared" si="240"/>
        <v/>
      </c>
      <c r="X1968" s="59" t="str">
        <f t="shared" si="244"/>
        <v/>
      </c>
      <c r="AC1968" s="50">
        <f t="shared" si="245"/>
        <v>0</v>
      </c>
      <c r="AD1968" s="43">
        <f t="shared" si="246"/>
        <v>0</v>
      </c>
      <c r="AE1968" s="50">
        <f t="shared" si="247"/>
        <v>0</v>
      </c>
    </row>
    <row r="1969" spans="1:31">
      <c r="A1969" s="59" t="str">
        <f t="shared" si="241"/>
        <v/>
      </c>
      <c r="B1969" s="59" t="str">
        <f t="shared" si="242"/>
        <v/>
      </c>
      <c r="V1969" s="59" t="str">
        <f t="shared" si="243"/>
        <v/>
      </c>
      <c r="W1969" s="59" t="str">
        <f t="shared" si="240"/>
        <v/>
      </c>
      <c r="X1969" s="59" t="str">
        <f t="shared" si="244"/>
        <v/>
      </c>
      <c r="AC1969" s="50">
        <f t="shared" si="245"/>
        <v>0</v>
      </c>
      <c r="AD1969" s="43">
        <f t="shared" si="246"/>
        <v>0</v>
      </c>
      <c r="AE1969" s="50">
        <f t="shared" si="247"/>
        <v>0</v>
      </c>
    </row>
    <row r="1970" spans="1:31">
      <c r="A1970" s="59" t="str">
        <f t="shared" si="241"/>
        <v/>
      </c>
      <c r="B1970" s="59" t="str">
        <f t="shared" si="242"/>
        <v/>
      </c>
      <c r="V1970" s="59" t="str">
        <f t="shared" si="243"/>
        <v/>
      </c>
      <c r="W1970" s="59" t="str">
        <f t="shared" si="240"/>
        <v/>
      </c>
      <c r="X1970" s="59" t="str">
        <f t="shared" si="244"/>
        <v/>
      </c>
      <c r="AC1970" s="50">
        <f t="shared" si="245"/>
        <v>0</v>
      </c>
      <c r="AD1970" s="43">
        <f t="shared" si="246"/>
        <v>0</v>
      </c>
      <c r="AE1970" s="50">
        <f t="shared" si="247"/>
        <v>0</v>
      </c>
    </row>
    <row r="1971" spans="1:31">
      <c r="A1971" s="59" t="str">
        <f t="shared" si="241"/>
        <v/>
      </c>
      <c r="B1971" s="59" t="str">
        <f t="shared" si="242"/>
        <v/>
      </c>
      <c r="V1971" s="59" t="str">
        <f t="shared" si="243"/>
        <v/>
      </c>
      <c r="W1971" s="59" t="str">
        <f t="shared" si="240"/>
        <v/>
      </c>
      <c r="X1971" s="59" t="str">
        <f t="shared" si="244"/>
        <v/>
      </c>
      <c r="AC1971" s="50">
        <f t="shared" si="245"/>
        <v>0</v>
      </c>
      <c r="AD1971" s="43">
        <f t="shared" si="246"/>
        <v>0</v>
      </c>
      <c r="AE1971" s="50">
        <f t="shared" si="247"/>
        <v>0</v>
      </c>
    </row>
    <row r="1972" spans="1:31">
      <c r="A1972" s="59" t="str">
        <f t="shared" si="241"/>
        <v/>
      </c>
      <c r="B1972" s="59" t="str">
        <f t="shared" si="242"/>
        <v/>
      </c>
      <c r="V1972" s="59" t="str">
        <f t="shared" si="243"/>
        <v/>
      </c>
      <c r="W1972" s="59" t="str">
        <f t="shared" si="240"/>
        <v/>
      </c>
      <c r="X1972" s="59" t="str">
        <f t="shared" si="244"/>
        <v/>
      </c>
      <c r="AC1972" s="50">
        <f t="shared" si="245"/>
        <v>0</v>
      </c>
      <c r="AD1972" s="43">
        <f t="shared" si="246"/>
        <v>0</v>
      </c>
      <c r="AE1972" s="50">
        <f t="shared" si="247"/>
        <v>0</v>
      </c>
    </row>
    <row r="1973" spans="1:31">
      <c r="A1973" s="59" t="str">
        <f t="shared" si="241"/>
        <v/>
      </c>
      <c r="B1973" s="59" t="str">
        <f t="shared" si="242"/>
        <v/>
      </c>
      <c r="V1973" s="59" t="str">
        <f t="shared" si="243"/>
        <v/>
      </c>
      <c r="W1973" s="59" t="str">
        <f t="shared" si="240"/>
        <v/>
      </c>
      <c r="X1973" s="59" t="str">
        <f t="shared" si="244"/>
        <v/>
      </c>
      <c r="AC1973" s="50">
        <f t="shared" si="245"/>
        <v>0</v>
      </c>
      <c r="AD1973" s="43">
        <f t="shared" si="246"/>
        <v>0</v>
      </c>
      <c r="AE1973" s="50">
        <f t="shared" si="247"/>
        <v>0</v>
      </c>
    </row>
    <row r="1974" spans="1:31">
      <c r="A1974" s="59" t="str">
        <f t="shared" si="241"/>
        <v/>
      </c>
      <c r="B1974" s="59" t="str">
        <f t="shared" si="242"/>
        <v/>
      </c>
      <c r="V1974" s="59" t="str">
        <f t="shared" si="243"/>
        <v/>
      </c>
      <c r="W1974" s="59" t="str">
        <f t="shared" si="240"/>
        <v/>
      </c>
      <c r="X1974" s="59" t="str">
        <f t="shared" si="244"/>
        <v/>
      </c>
      <c r="AC1974" s="50">
        <f t="shared" si="245"/>
        <v>0</v>
      </c>
      <c r="AD1974" s="43">
        <f t="shared" si="246"/>
        <v>0</v>
      </c>
      <c r="AE1974" s="50">
        <f t="shared" si="247"/>
        <v>0</v>
      </c>
    </row>
    <row r="1975" spans="1:31">
      <c r="A1975" s="59" t="str">
        <f t="shared" si="241"/>
        <v/>
      </c>
      <c r="B1975" s="59" t="str">
        <f t="shared" si="242"/>
        <v/>
      </c>
      <c r="V1975" s="59" t="str">
        <f t="shared" si="243"/>
        <v/>
      </c>
      <c r="W1975" s="59" t="str">
        <f t="shared" si="240"/>
        <v/>
      </c>
      <c r="X1975" s="59" t="str">
        <f t="shared" si="244"/>
        <v/>
      </c>
      <c r="AC1975" s="50">
        <f t="shared" si="245"/>
        <v>0</v>
      </c>
      <c r="AD1975" s="43">
        <f t="shared" si="246"/>
        <v>0</v>
      </c>
      <c r="AE1975" s="50">
        <f t="shared" si="247"/>
        <v>0</v>
      </c>
    </row>
    <row r="1976" spans="1:31">
      <c r="A1976" s="59" t="str">
        <f t="shared" si="241"/>
        <v/>
      </c>
      <c r="B1976" s="59" t="str">
        <f t="shared" si="242"/>
        <v/>
      </c>
      <c r="V1976" s="59" t="str">
        <f t="shared" si="243"/>
        <v/>
      </c>
      <c r="W1976" s="59" t="str">
        <f t="shared" si="240"/>
        <v/>
      </c>
      <c r="X1976" s="59" t="str">
        <f t="shared" si="244"/>
        <v/>
      </c>
      <c r="AC1976" s="50">
        <f t="shared" si="245"/>
        <v>0</v>
      </c>
      <c r="AD1976" s="43">
        <f t="shared" si="246"/>
        <v>0</v>
      </c>
      <c r="AE1976" s="50">
        <f t="shared" si="247"/>
        <v>0</v>
      </c>
    </row>
    <row r="1977" spans="1:31">
      <c r="A1977" s="59" t="str">
        <f t="shared" si="241"/>
        <v/>
      </c>
      <c r="B1977" s="59" t="str">
        <f t="shared" si="242"/>
        <v/>
      </c>
      <c r="V1977" s="59" t="str">
        <f t="shared" si="243"/>
        <v/>
      </c>
      <c r="W1977" s="59" t="str">
        <f t="shared" si="240"/>
        <v/>
      </c>
      <c r="X1977" s="59" t="str">
        <f t="shared" si="244"/>
        <v/>
      </c>
      <c r="AC1977" s="50">
        <f t="shared" si="245"/>
        <v>0</v>
      </c>
      <c r="AD1977" s="43">
        <f t="shared" si="246"/>
        <v>0</v>
      </c>
      <c r="AE1977" s="50">
        <f t="shared" si="247"/>
        <v>0</v>
      </c>
    </row>
    <row r="1978" spans="1:31">
      <c r="A1978" s="59" t="str">
        <f t="shared" si="241"/>
        <v/>
      </c>
      <c r="B1978" s="59" t="str">
        <f t="shared" si="242"/>
        <v/>
      </c>
      <c r="V1978" s="59" t="str">
        <f t="shared" si="243"/>
        <v/>
      </c>
      <c r="W1978" s="59" t="str">
        <f t="shared" si="240"/>
        <v/>
      </c>
      <c r="X1978" s="59" t="str">
        <f t="shared" si="244"/>
        <v/>
      </c>
      <c r="AC1978" s="50">
        <f t="shared" si="245"/>
        <v>0</v>
      </c>
      <c r="AD1978" s="43">
        <f t="shared" si="246"/>
        <v>0</v>
      </c>
      <c r="AE1978" s="50">
        <f t="shared" si="247"/>
        <v>0</v>
      </c>
    </row>
    <row r="1979" spans="1:31">
      <c r="A1979" s="59" t="str">
        <f t="shared" si="241"/>
        <v/>
      </c>
      <c r="B1979" s="59" t="str">
        <f t="shared" si="242"/>
        <v/>
      </c>
      <c r="V1979" s="59" t="str">
        <f t="shared" si="243"/>
        <v/>
      </c>
      <c r="W1979" s="59" t="str">
        <f t="shared" si="240"/>
        <v/>
      </c>
      <c r="X1979" s="59" t="str">
        <f t="shared" si="244"/>
        <v/>
      </c>
      <c r="AC1979" s="50">
        <f t="shared" si="245"/>
        <v>0</v>
      </c>
      <c r="AD1979" s="43">
        <f t="shared" si="246"/>
        <v>0</v>
      </c>
      <c r="AE1979" s="50">
        <f t="shared" si="247"/>
        <v>0</v>
      </c>
    </row>
    <row r="1980" spans="1:31">
      <c r="A1980" s="59" t="str">
        <f t="shared" si="241"/>
        <v/>
      </c>
      <c r="B1980" s="59" t="str">
        <f t="shared" si="242"/>
        <v/>
      </c>
      <c r="V1980" s="59" t="str">
        <f t="shared" si="243"/>
        <v/>
      </c>
      <c r="W1980" s="59" t="str">
        <f t="shared" si="240"/>
        <v/>
      </c>
      <c r="X1980" s="59" t="str">
        <f t="shared" si="244"/>
        <v/>
      </c>
      <c r="AC1980" s="50">
        <f t="shared" si="245"/>
        <v>0</v>
      </c>
      <c r="AD1980" s="43">
        <f t="shared" si="246"/>
        <v>0</v>
      </c>
      <c r="AE1980" s="50">
        <f t="shared" si="247"/>
        <v>0</v>
      </c>
    </row>
    <row r="1981" spans="1:31">
      <c r="A1981" s="59" t="str">
        <f t="shared" si="241"/>
        <v/>
      </c>
      <c r="B1981" s="59" t="str">
        <f t="shared" si="242"/>
        <v/>
      </c>
      <c r="V1981" s="59" t="str">
        <f t="shared" si="243"/>
        <v/>
      </c>
      <c r="W1981" s="59" t="str">
        <f t="shared" si="240"/>
        <v/>
      </c>
      <c r="X1981" s="59" t="str">
        <f t="shared" si="244"/>
        <v/>
      </c>
      <c r="AC1981" s="50">
        <f t="shared" si="245"/>
        <v>0</v>
      </c>
      <c r="AD1981" s="43">
        <f t="shared" si="246"/>
        <v>0</v>
      </c>
      <c r="AE1981" s="50">
        <f t="shared" si="247"/>
        <v>0</v>
      </c>
    </row>
    <row r="1982" spans="1:31">
      <c r="A1982" s="59" t="str">
        <f t="shared" si="241"/>
        <v/>
      </c>
      <c r="B1982" s="59" t="str">
        <f t="shared" si="242"/>
        <v/>
      </c>
      <c r="V1982" s="59" t="str">
        <f t="shared" si="243"/>
        <v/>
      </c>
      <c r="W1982" s="59" t="str">
        <f t="shared" si="240"/>
        <v/>
      </c>
      <c r="X1982" s="59" t="str">
        <f t="shared" si="244"/>
        <v/>
      </c>
      <c r="AC1982" s="50">
        <f t="shared" si="245"/>
        <v>0</v>
      </c>
      <c r="AD1982" s="43">
        <f t="shared" si="246"/>
        <v>0</v>
      </c>
      <c r="AE1982" s="50">
        <f t="shared" si="247"/>
        <v>0</v>
      </c>
    </row>
    <row r="1983" spans="1:31">
      <c r="A1983" s="59" t="str">
        <f t="shared" si="241"/>
        <v/>
      </c>
      <c r="B1983" s="59" t="str">
        <f t="shared" si="242"/>
        <v/>
      </c>
      <c r="V1983" s="59" t="str">
        <f t="shared" si="243"/>
        <v/>
      </c>
      <c r="W1983" s="59" t="str">
        <f t="shared" si="240"/>
        <v/>
      </c>
      <c r="X1983" s="59" t="str">
        <f t="shared" si="244"/>
        <v/>
      </c>
      <c r="AC1983" s="50">
        <f t="shared" si="245"/>
        <v>0</v>
      </c>
      <c r="AD1983" s="43">
        <f t="shared" si="246"/>
        <v>0</v>
      </c>
      <c r="AE1983" s="50">
        <f t="shared" si="247"/>
        <v>0</v>
      </c>
    </row>
    <row r="1984" spans="1:31">
      <c r="A1984" s="59" t="str">
        <f t="shared" si="241"/>
        <v/>
      </c>
      <c r="B1984" s="59" t="str">
        <f t="shared" si="242"/>
        <v/>
      </c>
      <c r="V1984" s="59" t="str">
        <f t="shared" si="243"/>
        <v/>
      </c>
      <c r="W1984" s="59" t="str">
        <f t="shared" si="240"/>
        <v/>
      </c>
      <c r="X1984" s="59" t="str">
        <f t="shared" si="244"/>
        <v/>
      </c>
      <c r="AC1984" s="50">
        <f t="shared" si="245"/>
        <v>0</v>
      </c>
      <c r="AD1984" s="43">
        <f t="shared" si="246"/>
        <v>0</v>
      </c>
      <c r="AE1984" s="50">
        <f t="shared" si="247"/>
        <v>0</v>
      </c>
    </row>
    <row r="1985" spans="1:31">
      <c r="A1985" s="59" t="str">
        <f t="shared" si="241"/>
        <v/>
      </c>
      <c r="B1985" s="59" t="str">
        <f t="shared" si="242"/>
        <v/>
      </c>
      <c r="V1985" s="59" t="str">
        <f t="shared" si="243"/>
        <v/>
      </c>
      <c r="W1985" s="59" t="str">
        <f t="shared" si="240"/>
        <v/>
      </c>
      <c r="X1985" s="59" t="str">
        <f t="shared" si="244"/>
        <v/>
      </c>
      <c r="AC1985" s="50">
        <f t="shared" si="245"/>
        <v>0</v>
      </c>
      <c r="AD1985" s="43">
        <f t="shared" si="246"/>
        <v>0</v>
      </c>
      <c r="AE1985" s="50">
        <f t="shared" si="247"/>
        <v>0</v>
      </c>
    </row>
    <row r="1986" spans="1:31">
      <c r="A1986" s="59" t="str">
        <f t="shared" si="241"/>
        <v/>
      </c>
      <c r="B1986" s="59" t="str">
        <f t="shared" si="242"/>
        <v/>
      </c>
      <c r="V1986" s="59" t="str">
        <f t="shared" si="243"/>
        <v/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59" t="str">
        <f t="shared" si="244"/>
        <v/>
      </c>
      <c r="AC1986" s="50">
        <f t="shared" si="245"/>
        <v>0</v>
      </c>
      <c r="AD1986" s="43">
        <f t="shared" si="246"/>
        <v>0</v>
      </c>
      <c r="AE1986" s="50">
        <f t="shared" si="247"/>
        <v>0</v>
      </c>
    </row>
    <row r="1987" spans="1:31">
      <c r="A1987" s="59" t="str">
        <f t="shared" ref="A1987:A2050" si="249">IF(G1987&amp;Q1987&lt;&gt;"",W1987&amp;Q1987,"")</f>
        <v/>
      </c>
      <c r="B1987" s="59" t="str">
        <f t="shared" ref="B1987:B2050" si="250">IF(C1987&lt;&gt;"",LEFT(C1987,9),"")</f>
        <v/>
      </c>
      <c r="V1987" s="59" t="str">
        <f t="shared" ref="V1987:V2050" si="251">W1987&amp;H1987</f>
        <v/>
      </c>
      <c r="W1987" s="59" t="str">
        <f t="shared" si="248"/>
        <v/>
      </c>
      <c r="X1987" s="59" t="str">
        <f t="shared" ref="X1987:X2050" si="252">IF(A1987&lt;&gt;"",IFERROR(IF(FIND(" ",G1987)&gt;=1,MID(G1987,FIND(" ",G1987)+1,LEN(G1987)),""),""),"")</f>
        <v/>
      </c>
      <c r="AC1987" s="50">
        <f t="shared" ref="AC1987:AC2050" si="253">IFERROR(VALUE(MID($C1987,1,2)),0)</f>
        <v>0</v>
      </c>
      <c r="AD1987" s="43">
        <f t="shared" ref="AD1987:AD2050" si="254">IFERROR(VALUE(MID($C1987,4,3)),0)</f>
        <v>0</v>
      </c>
      <c r="AE1987" s="50">
        <f t="shared" ref="AE1987:AE2050" si="255">VALUE(RIGHT("00"&amp;AC1987,2)&amp;RIGHT("000"&amp;AD1987,3))</f>
        <v>0</v>
      </c>
    </row>
    <row r="1988" spans="1:31">
      <c r="A1988" s="59" t="str">
        <f t="shared" si="249"/>
        <v/>
      </c>
      <c r="B1988" s="59" t="str">
        <f t="shared" si="250"/>
        <v/>
      </c>
      <c r="V1988" s="59" t="str">
        <f t="shared" si="251"/>
        <v/>
      </c>
      <c r="W1988" s="59" t="str">
        <f t="shared" si="248"/>
        <v/>
      </c>
      <c r="X1988" s="59" t="str">
        <f t="shared" si="252"/>
        <v/>
      </c>
      <c r="AC1988" s="50">
        <f t="shared" si="253"/>
        <v>0</v>
      </c>
      <c r="AD1988" s="43">
        <f t="shared" si="254"/>
        <v>0</v>
      </c>
      <c r="AE1988" s="50">
        <f t="shared" si="255"/>
        <v>0</v>
      </c>
    </row>
    <row r="1989" spans="1:31">
      <c r="A1989" s="59" t="str">
        <f t="shared" si="249"/>
        <v/>
      </c>
      <c r="B1989" s="59" t="str">
        <f t="shared" si="250"/>
        <v/>
      </c>
      <c r="V1989" s="59" t="str">
        <f t="shared" si="251"/>
        <v/>
      </c>
      <c r="W1989" s="59" t="str">
        <f t="shared" si="248"/>
        <v/>
      </c>
      <c r="X1989" s="59" t="str">
        <f t="shared" si="252"/>
        <v/>
      </c>
      <c r="AC1989" s="50">
        <f t="shared" si="253"/>
        <v>0</v>
      </c>
      <c r="AD1989" s="43">
        <f t="shared" si="254"/>
        <v>0</v>
      </c>
      <c r="AE1989" s="50">
        <f t="shared" si="255"/>
        <v>0</v>
      </c>
    </row>
    <row r="1990" spans="1:31">
      <c r="A1990" s="59" t="str">
        <f t="shared" si="249"/>
        <v/>
      </c>
      <c r="B1990" s="59" t="str">
        <f t="shared" si="250"/>
        <v/>
      </c>
      <c r="V1990" s="59" t="str">
        <f t="shared" si="251"/>
        <v/>
      </c>
      <c r="W1990" s="59" t="str">
        <f t="shared" si="248"/>
        <v/>
      </c>
      <c r="X1990" s="59" t="str">
        <f t="shared" si="252"/>
        <v/>
      </c>
      <c r="AC1990" s="50">
        <f t="shared" si="253"/>
        <v>0</v>
      </c>
      <c r="AD1990" s="43">
        <f t="shared" si="254"/>
        <v>0</v>
      </c>
      <c r="AE1990" s="50">
        <f t="shared" si="255"/>
        <v>0</v>
      </c>
    </row>
    <row r="1991" spans="1:31">
      <c r="A1991" s="59" t="str">
        <f t="shared" si="249"/>
        <v/>
      </c>
      <c r="B1991" s="59" t="str">
        <f t="shared" si="250"/>
        <v/>
      </c>
      <c r="V1991" s="59" t="str">
        <f t="shared" si="251"/>
        <v/>
      </c>
      <c r="W1991" s="59" t="str">
        <f t="shared" si="248"/>
        <v/>
      </c>
      <c r="X1991" s="59" t="str">
        <f t="shared" si="252"/>
        <v/>
      </c>
      <c r="AC1991" s="50">
        <f t="shared" si="253"/>
        <v>0</v>
      </c>
      <c r="AD1991" s="43">
        <f t="shared" si="254"/>
        <v>0</v>
      </c>
      <c r="AE1991" s="50">
        <f t="shared" si="255"/>
        <v>0</v>
      </c>
    </row>
    <row r="1992" spans="1:31">
      <c r="A1992" s="59" t="str">
        <f t="shared" si="249"/>
        <v/>
      </c>
      <c r="B1992" s="59" t="str">
        <f t="shared" si="250"/>
        <v/>
      </c>
      <c r="V1992" s="59" t="str">
        <f t="shared" si="251"/>
        <v/>
      </c>
      <c r="W1992" s="59" t="str">
        <f t="shared" si="248"/>
        <v/>
      </c>
      <c r="X1992" s="59" t="str">
        <f t="shared" si="252"/>
        <v/>
      </c>
      <c r="AC1992" s="50">
        <f t="shared" si="253"/>
        <v>0</v>
      </c>
      <c r="AD1992" s="43">
        <f t="shared" si="254"/>
        <v>0</v>
      </c>
      <c r="AE1992" s="50">
        <f t="shared" si="255"/>
        <v>0</v>
      </c>
    </row>
    <row r="1993" spans="1:31">
      <c r="A1993" s="59" t="str">
        <f t="shared" si="249"/>
        <v/>
      </c>
      <c r="B1993" s="59" t="str">
        <f t="shared" si="250"/>
        <v/>
      </c>
      <c r="V1993" s="59" t="str">
        <f t="shared" si="251"/>
        <v/>
      </c>
      <c r="W1993" s="59" t="str">
        <f t="shared" si="248"/>
        <v/>
      </c>
      <c r="X1993" s="59" t="str">
        <f t="shared" si="252"/>
        <v/>
      </c>
      <c r="AC1993" s="50">
        <f t="shared" si="253"/>
        <v>0</v>
      </c>
      <c r="AD1993" s="43">
        <f t="shared" si="254"/>
        <v>0</v>
      </c>
      <c r="AE1993" s="50">
        <f t="shared" si="255"/>
        <v>0</v>
      </c>
    </row>
    <row r="1994" spans="1:31">
      <c r="A1994" s="59" t="str">
        <f t="shared" si="249"/>
        <v/>
      </c>
      <c r="B1994" s="59" t="str">
        <f t="shared" si="250"/>
        <v/>
      </c>
      <c r="V1994" s="59" t="str">
        <f t="shared" si="251"/>
        <v/>
      </c>
      <c r="W1994" s="59" t="str">
        <f t="shared" si="248"/>
        <v/>
      </c>
      <c r="X1994" s="59" t="str">
        <f t="shared" si="252"/>
        <v/>
      </c>
      <c r="AC1994" s="50">
        <f t="shared" si="253"/>
        <v>0</v>
      </c>
      <c r="AD1994" s="43">
        <f t="shared" si="254"/>
        <v>0</v>
      </c>
      <c r="AE1994" s="50">
        <f t="shared" si="255"/>
        <v>0</v>
      </c>
    </row>
    <row r="1995" spans="1:31">
      <c r="A1995" s="59" t="str">
        <f t="shared" si="249"/>
        <v/>
      </c>
      <c r="B1995" s="59" t="str">
        <f t="shared" si="250"/>
        <v/>
      </c>
      <c r="V1995" s="59" t="str">
        <f t="shared" si="251"/>
        <v/>
      </c>
      <c r="W1995" s="59" t="str">
        <f t="shared" si="248"/>
        <v/>
      </c>
      <c r="X1995" s="59" t="str">
        <f t="shared" si="252"/>
        <v/>
      </c>
      <c r="AC1995" s="50">
        <f t="shared" si="253"/>
        <v>0</v>
      </c>
      <c r="AD1995" s="43">
        <f t="shared" si="254"/>
        <v>0</v>
      </c>
      <c r="AE1995" s="50">
        <f t="shared" si="255"/>
        <v>0</v>
      </c>
    </row>
    <row r="1996" spans="1:31">
      <c r="A1996" s="59" t="str">
        <f t="shared" si="249"/>
        <v/>
      </c>
      <c r="B1996" s="59" t="str">
        <f t="shared" si="250"/>
        <v/>
      </c>
      <c r="V1996" s="59" t="str">
        <f t="shared" si="251"/>
        <v/>
      </c>
      <c r="W1996" s="59" t="str">
        <f t="shared" si="248"/>
        <v/>
      </c>
      <c r="X1996" s="59" t="str">
        <f t="shared" si="252"/>
        <v/>
      </c>
      <c r="AC1996" s="50">
        <f t="shared" si="253"/>
        <v>0</v>
      </c>
      <c r="AD1996" s="43">
        <f t="shared" si="254"/>
        <v>0</v>
      </c>
      <c r="AE1996" s="50">
        <f t="shared" si="255"/>
        <v>0</v>
      </c>
    </row>
    <row r="1997" spans="1:31">
      <c r="A1997" s="59" t="str">
        <f t="shared" si="249"/>
        <v/>
      </c>
      <c r="B1997" s="59" t="str">
        <f t="shared" si="250"/>
        <v/>
      </c>
      <c r="V1997" s="59" t="str">
        <f t="shared" si="251"/>
        <v/>
      </c>
      <c r="W1997" s="59" t="str">
        <f t="shared" si="248"/>
        <v/>
      </c>
      <c r="X1997" s="59" t="str">
        <f t="shared" si="252"/>
        <v/>
      </c>
      <c r="AC1997" s="50">
        <f t="shared" si="253"/>
        <v>0</v>
      </c>
      <c r="AD1997" s="43">
        <f t="shared" si="254"/>
        <v>0</v>
      </c>
      <c r="AE1997" s="50">
        <f t="shared" si="255"/>
        <v>0</v>
      </c>
    </row>
    <row r="1998" spans="1:31">
      <c r="A1998" s="59" t="str">
        <f t="shared" si="249"/>
        <v/>
      </c>
      <c r="B1998" s="59" t="str">
        <f t="shared" si="250"/>
        <v/>
      </c>
      <c r="V1998" s="59" t="str">
        <f t="shared" si="251"/>
        <v/>
      </c>
      <c r="W1998" s="59" t="str">
        <f t="shared" si="248"/>
        <v/>
      </c>
      <c r="X1998" s="59" t="str">
        <f t="shared" si="252"/>
        <v/>
      </c>
      <c r="AC1998" s="50">
        <f t="shared" si="253"/>
        <v>0</v>
      </c>
      <c r="AD1998" s="43">
        <f t="shared" si="254"/>
        <v>0</v>
      </c>
      <c r="AE1998" s="50">
        <f t="shared" si="255"/>
        <v>0</v>
      </c>
    </row>
    <row r="1999" spans="1:31">
      <c r="A1999" s="59" t="str">
        <f t="shared" si="249"/>
        <v/>
      </c>
      <c r="B1999" s="59" t="str">
        <f t="shared" si="250"/>
        <v/>
      </c>
      <c r="V1999" s="59" t="str">
        <f t="shared" si="251"/>
        <v/>
      </c>
      <c r="W1999" s="59" t="str">
        <f t="shared" si="248"/>
        <v/>
      </c>
      <c r="X1999" s="59" t="str">
        <f t="shared" si="252"/>
        <v/>
      </c>
      <c r="AC1999" s="50">
        <f t="shared" si="253"/>
        <v>0</v>
      </c>
      <c r="AD1999" s="43">
        <f t="shared" si="254"/>
        <v>0</v>
      </c>
      <c r="AE1999" s="50">
        <f t="shared" si="255"/>
        <v>0</v>
      </c>
    </row>
    <row r="2000" spans="1:31">
      <c r="A2000" s="59" t="str">
        <f t="shared" si="249"/>
        <v/>
      </c>
      <c r="B2000" s="59" t="str">
        <f t="shared" si="250"/>
        <v/>
      </c>
      <c r="V2000" s="59" t="str">
        <f t="shared" si="251"/>
        <v/>
      </c>
      <c r="W2000" s="59" t="str">
        <f t="shared" si="248"/>
        <v/>
      </c>
      <c r="X2000" s="59" t="str">
        <f t="shared" si="252"/>
        <v/>
      </c>
      <c r="AC2000" s="50">
        <f t="shared" si="253"/>
        <v>0</v>
      </c>
      <c r="AD2000" s="43">
        <f t="shared" si="254"/>
        <v>0</v>
      </c>
      <c r="AE2000" s="50">
        <f t="shared" si="255"/>
        <v>0</v>
      </c>
    </row>
    <row r="2001" spans="1:31">
      <c r="A2001" s="59" t="str">
        <f t="shared" si="249"/>
        <v/>
      </c>
      <c r="B2001" s="59" t="str">
        <f t="shared" si="250"/>
        <v/>
      </c>
      <c r="V2001" s="59" t="str">
        <f t="shared" si="251"/>
        <v/>
      </c>
      <c r="W2001" s="59" t="str">
        <f t="shared" si="248"/>
        <v/>
      </c>
      <c r="X2001" s="59" t="str">
        <f t="shared" si="252"/>
        <v/>
      </c>
      <c r="AC2001" s="50">
        <f t="shared" si="253"/>
        <v>0</v>
      </c>
      <c r="AD2001" s="43">
        <f t="shared" si="254"/>
        <v>0</v>
      </c>
      <c r="AE2001" s="50">
        <f t="shared" si="255"/>
        <v>0</v>
      </c>
    </row>
    <row r="2002" spans="1:31">
      <c r="A2002" s="59" t="str">
        <f t="shared" si="249"/>
        <v/>
      </c>
      <c r="B2002" s="59" t="str">
        <f t="shared" si="250"/>
        <v/>
      </c>
      <c r="V2002" s="59" t="str">
        <f t="shared" si="251"/>
        <v/>
      </c>
      <c r="W2002" s="59" t="str">
        <f t="shared" si="248"/>
        <v/>
      </c>
      <c r="X2002" s="59" t="str">
        <f t="shared" si="252"/>
        <v/>
      </c>
      <c r="AC2002" s="50">
        <f t="shared" si="253"/>
        <v>0</v>
      </c>
      <c r="AD2002" s="43">
        <f t="shared" si="254"/>
        <v>0</v>
      </c>
      <c r="AE2002" s="50">
        <f t="shared" si="255"/>
        <v>0</v>
      </c>
    </row>
    <row r="2003" spans="1:31">
      <c r="A2003" s="59" t="str">
        <f t="shared" si="249"/>
        <v/>
      </c>
      <c r="B2003" s="59" t="str">
        <f t="shared" si="250"/>
        <v/>
      </c>
      <c r="V2003" s="59" t="str">
        <f t="shared" si="251"/>
        <v/>
      </c>
      <c r="W2003" s="59" t="str">
        <f t="shared" si="248"/>
        <v/>
      </c>
      <c r="X2003" s="59" t="str">
        <f t="shared" si="252"/>
        <v/>
      </c>
      <c r="AC2003" s="50">
        <f t="shared" si="253"/>
        <v>0</v>
      </c>
      <c r="AD2003" s="43">
        <f t="shared" si="254"/>
        <v>0</v>
      </c>
      <c r="AE2003" s="50">
        <f t="shared" si="255"/>
        <v>0</v>
      </c>
    </row>
    <row r="2004" spans="1:31">
      <c r="A2004" s="59" t="str">
        <f t="shared" si="249"/>
        <v/>
      </c>
      <c r="B2004" s="59" t="str">
        <f t="shared" si="250"/>
        <v/>
      </c>
      <c r="V2004" s="59" t="str">
        <f t="shared" si="251"/>
        <v/>
      </c>
      <c r="W2004" s="59" t="str">
        <f t="shared" si="248"/>
        <v/>
      </c>
      <c r="X2004" s="59" t="str">
        <f t="shared" si="252"/>
        <v/>
      </c>
      <c r="AC2004" s="50">
        <f t="shared" si="253"/>
        <v>0</v>
      </c>
      <c r="AD2004" s="43">
        <f t="shared" si="254"/>
        <v>0</v>
      </c>
      <c r="AE2004" s="50">
        <f t="shared" si="255"/>
        <v>0</v>
      </c>
    </row>
    <row r="2005" spans="1:31">
      <c r="A2005" s="59" t="str">
        <f t="shared" si="249"/>
        <v/>
      </c>
      <c r="B2005" s="59" t="str">
        <f t="shared" si="250"/>
        <v/>
      </c>
      <c r="V2005" s="59" t="str">
        <f t="shared" si="251"/>
        <v/>
      </c>
      <c r="W2005" s="59" t="str">
        <f t="shared" si="248"/>
        <v/>
      </c>
      <c r="X2005" s="59" t="str">
        <f t="shared" si="252"/>
        <v/>
      </c>
      <c r="AC2005" s="50">
        <f t="shared" si="253"/>
        <v>0</v>
      </c>
      <c r="AD2005" s="43">
        <f t="shared" si="254"/>
        <v>0</v>
      </c>
      <c r="AE2005" s="50">
        <f t="shared" si="255"/>
        <v>0</v>
      </c>
    </row>
    <row r="2006" spans="1:31">
      <c r="A2006" s="59" t="str">
        <f t="shared" si="249"/>
        <v/>
      </c>
      <c r="B2006" s="59" t="str">
        <f t="shared" si="250"/>
        <v/>
      </c>
      <c r="V2006" s="59" t="str">
        <f t="shared" si="251"/>
        <v/>
      </c>
      <c r="W2006" s="59" t="str">
        <f t="shared" si="248"/>
        <v/>
      </c>
      <c r="X2006" s="59" t="str">
        <f t="shared" si="252"/>
        <v/>
      </c>
      <c r="AC2006" s="50">
        <f t="shared" si="253"/>
        <v>0</v>
      </c>
      <c r="AD2006" s="43">
        <f t="shared" si="254"/>
        <v>0</v>
      </c>
      <c r="AE2006" s="50">
        <f t="shared" si="255"/>
        <v>0</v>
      </c>
    </row>
    <row r="2007" spans="1:31">
      <c r="A2007" s="59" t="str">
        <f t="shared" si="249"/>
        <v/>
      </c>
      <c r="B2007" s="59" t="str">
        <f t="shared" si="250"/>
        <v/>
      </c>
      <c r="V2007" s="59" t="str">
        <f t="shared" si="251"/>
        <v/>
      </c>
      <c r="W2007" s="59" t="str">
        <f t="shared" si="248"/>
        <v/>
      </c>
      <c r="X2007" s="59" t="str">
        <f t="shared" si="252"/>
        <v/>
      </c>
      <c r="AC2007" s="50">
        <f t="shared" si="253"/>
        <v>0</v>
      </c>
      <c r="AD2007" s="43">
        <f t="shared" si="254"/>
        <v>0</v>
      </c>
      <c r="AE2007" s="50">
        <f t="shared" si="255"/>
        <v>0</v>
      </c>
    </row>
    <row r="2008" spans="1:31">
      <c r="A2008" s="59" t="str">
        <f t="shared" si="249"/>
        <v/>
      </c>
      <c r="B2008" s="59" t="str">
        <f t="shared" si="250"/>
        <v/>
      </c>
      <c r="V2008" s="59" t="str">
        <f t="shared" si="251"/>
        <v/>
      </c>
      <c r="W2008" s="59" t="str">
        <f t="shared" si="248"/>
        <v/>
      </c>
      <c r="X2008" s="59" t="str">
        <f t="shared" si="252"/>
        <v/>
      </c>
      <c r="AC2008" s="50">
        <f t="shared" si="253"/>
        <v>0</v>
      </c>
      <c r="AD2008" s="43">
        <f t="shared" si="254"/>
        <v>0</v>
      </c>
      <c r="AE2008" s="50">
        <f t="shared" si="255"/>
        <v>0</v>
      </c>
    </row>
    <row r="2009" spans="1:31">
      <c r="A2009" s="59" t="str">
        <f t="shared" si="249"/>
        <v/>
      </c>
      <c r="B2009" s="59" t="str">
        <f t="shared" si="250"/>
        <v/>
      </c>
      <c r="V2009" s="59" t="str">
        <f t="shared" si="251"/>
        <v/>
      </c>
      <c r="W2009" s="59" t="str">
        <f t="shared" si="248"/>
        <v/>
      </c>
      <c r="X2009" s="59" t="str">
        <f t="shared" si="252"/>
        <v/>
      </c>
      <c r="AC2009" s="50">
        <f t="shared" si="253"/>
        <v>0</v>
      </c>
      <c r="AD2009" s="43">
        <f t="shared" si="254"/>
        <v>0</v>
      </c>
      <c r="AE2009" s="50">
        <f t="shared" si="255"/>
        <v>0</v>
      </c>
    </row>
    <row r="2010" spans="1:31">
      <c r="A2010" s="59" t="str">
        <f t="shared" si="249"/>
        <v/>
      </c>
      <c r="B2010" s="59" t="str">
        <f t="shared" si="250"/>
        <v/>
      </c>
      <c r="V2010" s="59" t="str">
        <f t="shared" si="251"/>
        <v/>
      </c>
      <c r="W2010" s="59" t="str">
        <f t="shared" si="248"/>
        <v/>
      </c>
      <c r="X2010" s="59" t="str">
        <f t="shared" si="252"/>
        <v/>
      </c>
      <c r="AC2010" s="50">
        <f t="shared" si="253"/>
        <v>0</v>
      </c>
      <c r="AD2010" s="43">
        <f t="shared" si="254"/>
        <v>0</v>
      </c>
      <c r="AE2010" s="50">
        <f t="shared" si="255"/>
        <v>0</v>
      </c>
    </row>
    <row r="2011" spans="1:31">
      <c r="A2011" s="59" t="str">
        <f t="shared" si="249"/>
        <v/>
      </c>
      <c r="B2011" s="59" t="str">
        <f t="shared" si="250"/>
        <v/>
      </c>
      <c r="V2011" s="59" t="str">
        <f t="shared" si="251"/>
        <v/>
      </c>
      <c r="W2011" s="59" t="str">
        <f t="shared" si="248"/>
        <v/>
      </c>
      <c r="X2011" s="59" t="str">
        <f t="shared" si="252"/>
        <v/>
      </c>
      <c r="AC2011" s="50">
        <f t="shared" si="253"/>
        <v>0</v>
      </c>
      <c r="AD2011" s="43">
        <f t="shared" si="254"/>
        <v>0</v>
      </c>
      <c r="AE2011" s="50">
        <f t="shared" si="255"/>
        <v>0</v>
      </c>
    </row>
    <row r="2012" spans="1:31">
      <c r="A2012" s="59" t="str">
        <f t="shared" si="249"/>
        <v/>
      </c>
      <c r="B2012" s="59" t="str">
        <f t="shared" si="250"/>
        <v/>
      </c>
      <c r="V2012" s="59" t="str">
        <f t="shared" si="251"/>
        <v/>
      </c>
      <c r="W2012" s="59" t="str">
        <f t="shared" si="248"/>
        <v/>
      </c>
      <c r="X2012" s="59" t="str">
        <f t="shared" si="252"/>
        <v/>
      </c>
      <c r="AC2012" s="50">
        <f t="shared" si="253"/>
        <v>0</v>
      </c>
      <c r="AD2012" s="43">
        <f t="shared" si="254"/>
        <v>0</v>
      </c>
      <c r="AE2012" s="50">
        <f t="shared" si="255"/>
        <v>0</v>
      </c>
    </row>
    <row r="2013" spans="1:31">
      <c r="A2013" s="59" t="str">
        <f t="shared" si="249"/>
        <v/>
      </c>
      <c r="B2013" s="59" t="str">
        <f t="shared" si="250"/>
        <v/>
      </c>
      <c r="V2013" s="59" t="str">
        <f t="shared" si="251"/>
        <v/>
      </c>
      <c r="W2013" s="59" t="str">
        <f t="shared" si="248"/>
        <v/>
      </c>
      <c r="X2013" s="59" t="str">
        <f t="shared" si="252"/>
        <v/>
      </c>
      <c r="AC2013" s="50">
        <f t="shared" si="253"/>
        <v>0</v>
      </c>
      <c r="AD2013" s="43">
        <f t="shared" si="254"/>
        <v>0</v>
      </c>
      <c r="AE2013" s="50">
        <f t="shared" si="255"/>
        <v>0</v>
      </c>
    </row>
    <row r="2014" spans="1:31">
      <c r="A2014" s="59" t="str">
        <f t="shared" si="249"/>
        <v/>
      </c>
      <c r="B2014" s="59" t="str">
        <f t="shared" si="250"/>
        <v/>
      </c>
      <c r="V2014" s="59" t="str">
        <f t="shared" si="251"/>
        <v/>
      </c>
      <c r="W2014" s="59" t="str">
        <f t="shared" si="248"/>
        <v/>
      </c>
      <c r="X2014" s="59" t="str">
        <f t="shared" si="252"/>
        <v/>
      </c>
      <c r="AC2014" s="50">
        <f t="shared" si="253"/>
        <v>0</v>
      </c>
      <c r="AD2014" s="43">
        <f t="shared" si="254"/>
        <v>0</v>
      </c>
      <c r="AE2014" s="50">
        <f t="shared" si="255"/>
        <v>0</v>
      </c>
    </row>
    <row r="2015" spans="1:31">
      <c r="A2015" s="59" t="str">
        <f t="shared" si="249"/>
        <v/>
      </c>
      <c r="B2015" s="59" t="str">
        <f t="shared" si="250"/>
        <v/>
      </c>
      <c r="V2015" s="59" t="str">
        <f t="shared" si="251"/>
        <v/>
      </c>
      <c r="W2015" s="59" t="str">
        <f t="shared" si="248"/>
        <v/>
      </c>
      <c r="X2015" s="59" t="str">
        <f t="shared" si="252"/>
        <v/>
      </c>
      <c r="AC2015" s="50">
        <f t="shared" si="253"/>
        <v>0</v>
      </c>
      <c r="AD2015" s="43">
        <f t="shared" si="254"/>
        <v>0</v>
      </c>
      <c r="AE2015" s="50">
        <f t="shared" si="255"/>
        <v>0</v>
      </c>
    </row>
    <row r="2016" spans="1:31">
      <c r="A2016" s="59" t="str">
        <f t="shared" si="249"/>
        <v/>
      </c>
      <c r="B2016" s="59" t="str">
        <f t="shared" si="250"/>
        <v/>
      </c>
      <c r="V2016" s="59" t="str">
        <f t="shared" si="251"/>
        <v/>
      </c>
      <c r="W2016" s="59" t="str">
        <f t="shared" si="248"/>
        <v/>
      </c>
      <c r="X2016" s="59" t="str">
        <f t="shared" si="252"/>
        <v/>
      </c>
      <c r="AC2016" s="50">
        <f t="shared" si="253"/>
        <v>0</v>
      </c>
      <c r="AD2016" s="43">
        <f t="shared" si="254"/>
        <v>0</v>
      </c>
      <c r="AE2016" s="50">
        <f t="shared" si="255"/>
        <v>0</v>
      </c>
    </row>
    <row r="2017" spans="1:31">
      <c r="A2017" s="59" t="str">
        <f t="shared" si="249"/>
        <v/>
      </c>
      <c r="B2017" s="59" t="str">
        <f t="shared" si="250"/>
        <v/>
      </c>
      <c r="V2017" s="59" t="str">
        <f t="shared" si="251"/>
        <v/>
      </c>
      <c r="W2017" s="59" t="str">
        <f t="shared" si="248"/>
        <v/>
      </c>
      <c r="X2017" s="59" t="str">
        <f t="shared" si="252"/>
        <v/>
      </c>
      <c r="AC2017" s="50">
        <f t="shared" si="253"/>
        <v>0</v>
      </c>
      <c r="AD2017" s="43">
        <f t="shared" si="254"/>
        <v>0</v>
      </c>
      <c r="AE2017" s="50">
        <f t="shared" si="255"/>
        <v>0</v>
      </c>
    </row>
    <row r="2018" spans="1:31">
      <c r="A2018" s="59" t="str">
        <f t="shared" si="249"/>
        <v/>
      </c>
      <c r="B2018" s="59" t="str">
        <f t="shared" si="250"/>
        <v/>
      </c>
      <c r="V2018" s="59" t="str">
        <f t="shared" si="251"/>
        <v/>
      </c>
      <c r="W2018" s="59" t="str">
        <f t="shared" si="248"/>
        <v/>
      </c>
      <c r="X2018" s="59" t="str">
        <f t="shared" si="252"/>
        <v/>
      </c>
      <c r="AC2018" s="50">
        <f t="shared" si="253"/>
        <v>0</v>
      </c>
      <c r="AD2018" s="43">
        <f t="shared" si="254"/>
        <v>0</v>
      </c>
      <c r="AE2018" s="50">
        <f t="shared" si="255"/>
        <v>0</v>
      </c>
    </row>
    <row r="2019" spans="1:31">
      <c r="A2019" s="59" t="str">
        <f t="shared" si="249"/>
        <v/>
      </c>
      <c r="B2019" s="59" t="str">
        <f t="shared" si="250"/>
        <v/>
      </c>
      <c r="V2019" s="59" t="str">
        <f t="shared" si="251"/>
        <v/>
      </c>
      <c r="W2019" s="59" t="str">
        <f t="shared" si="248"/>
        <v/>
      </c>
      <c r="X2019" s="59" t="str">
        <f t="shared" si="252"/>
        <v/>
      </c>
      <c r="AC2019" s="50">
        <f t="shared" si="253"/>
        <v>0</v>
      </c>
      <c r="AD2019" s="43">
        <f t="shared" si="254"/>
        <v>0</v>
      </c>
      <c r="AE2019" s="50">
        <f t="shared" si="255"/>
        <v>0</v>
      </c>
    </row>
    <row r="2020" spans="1:31">
      <c r="A2020" s="59" t="str">
        <f t="shared" si="249"/>
        <v/>
      </c>
      <c r="B2020" s="59" t="str">
        <f t="shared" si="250"/>
        <v/>
      </c>
      <c r="V2020" s="59" t="str">
        <f t="shared" si="251"/>
        <v/>
      </c>
      <c r="W2020" s="59" t="str">
        <f t="shared" si="248"/>
        <v/>
      </c>
      <c r="X2020" s="59" t="str">
        <f t="shared" si="252"/>
        <v/>
      </c>
      <c r="AC2020" s="50">
        <f t="shared" si="253"/>
        <v>0</v>
      </c>
      <c r="AD2020" s="43">
        <f t="shared" si="254"/>
        <v>0</v>
      </c>
      <c r="AE2020" s="50">
        <f t="shared" si="255"/>
        <v>0</v>
      </c>
    </row>
    <row r="2021" spans="1:31">
      <c r="A2021" s="59" t="str">
        <f t="shared" si="249"/>
        <v/>
      </c>
      <c r="B2021" s="59" t="str">
        <f t="shared" si="250"/>
        <v/>
      </c>
      <c r="V2021" s="59" t="str">
        <f t="shared" si="251"/>
        <v/>
      </c>
      <c r="W2021" s="59" t="str">
        <f t="shared" si="248"/>
        <v/>
      </c>
      <c r="X2021" s="59" t="str">
        <f t="shared" si="252"/>
        <v/>
      </c>
      <c r="AC2021" s="50">
        <f t="shared" si="253"/>
        <v>0</v>
      </c>
      <c r="AD2021" s="43">
        <f t="shared" si="254"/>
        <v>0</v>
      </c>
      <c r="AE2021" s="50">
        <f t="shared" si="255"/>
        <v>0</v>
      </c>
    </row>
    <row r="2022" spans="1:31">
      <c r="A2022" s="59" t="str">
        <f t="shared" si="249"/>
        <v/>
      </c>
      <c r="B2022" s="59" t="str">
        <f t="shared" si="250"/>
        <v/>
      </c>
      <c r="V2022" s="59" t="str">
        <f t="shared" si="251"/>
        <v/>
      </c>
      <c r="W2022" s="59" t="str">
        <f t="shared" si="248"/>
        <v/>
      </c>
      <c r="X2022" s="59" t="str">
        <f t="shared" si="252"/>
        <v/>
      </c>
      <c r="AC2022" s="50">
        <f t="shared" si="253"/>
        <v>0</v>
      </c>
      <c r="AD2022" s="43">
        <f t="shared" si="254"/>
        <v>0</v>
      </c>
      <c r="AE2022" s="50">
        <f t="shared" si="255"/>
        <v>0</v>
      </c>
    </row>
    <row r="2023" spans="1:31">
      <c r="A2023" s="59" t="str">
        <f t="shared" si="249"/>
        <v/>
      </c>
      <c r="B2023" s="59" t="str">
        <f t="shared" si="250"/>
        <v/>
      </c>
      <c r="V2023" s="59" t="str">
        <f t="shared" si="251"/>
        <v/>
      </c>
      <c r="W2023" s="59" t="str">
        <f t="shared" si="248"/>
        <v/>
      </c>
      <c r="X2023" s="59" t="str">
        <f t="shared" si="252"/>
        <v/>
      </c>
      <c r="AC2023" s="50">
        <f t="shared" si="253"/>
        <v>0</v>
      </c>
      <c r="AD2023" s="43">
        <f t="shared" si="254"/>
        <v>0</v>
      </c>
      <c r="AE2023" s="50">
        <f t="shared" si="255"/>
        <v>0</v>
      </c>
    </row>
    <row r="2024" spans="1:31">
      <c r="A2024" s="59" t="str">
        <f t="shared" si="249"/>
        <v/>
      </c>
      <c r="B2024" s="59" t="str">
        <f t="shared" si="250"/>
        <v/>
      </c>
      <c r="V2024" s="59" t="str">
        <f t="shared" si="251"/>
        <v/>
      </c>
      <c r="W2024" s="59" t="str">
        <f t="shared" si="248"/>
        <v/>
      </c>
      <c r="X2024" s="59" t="str">
        <f t="shared" si="252"/>
        <v/>
      </c>
      <c r="AC2024" s="50">
        <f t="shared" si="253"/>
        <v>0</v>
      </c>
      <c r="AD2024" s="43">
        <f t="shared" si="254"/>
        <v>0</v>
      </c>
      <c r="AE2024" s="50">
        <f t="shared" si="255"/>
        <v>0</v>
      </c>
    </row>
    <row r="2025" spans="1:31">
      <c r="A2025" s="59" t="str">
        <f t="shared" si="249"/>
        <v/>
      </c>
      <c r="B2025" s="59" t="str">
        <f t="shared" si="250"/>
        <v/>
      </c>
      <c r="V2025" s="59" t="str">
        <f t="shared" si="251"/>
        <v/>
      </c>
      <c r="W2025" s="59" t="str">
        <f t="shared" si="248"/>
        <v/>
      </c>
      <c r="X2025" s="59" t="str">
        <f t="shared" si="252"/>
        <v/>
      </c>
      <c r="AC2025" s="50">
        <f t="shared" si="253"/>
        <v>0</v>
      </c>
      <c r="AD2025" s="43">
        <f t="shared" si="254"/>
        <v>0</v>
      </c>
      <c r="AE2025" s="50">
        <f t="shared" si="255"/>
        <v>0</v>
      </c>
    </row>
    <row r="2026" spans="1:31">
      <c r="A2026" s="59" t="str">
        <f t="shared" si="249"/>
        <v/>
      </c>
      <c r="B2026" s="59" t="str">
        <f t="shared" si="250"/>
        <v/>
      </c>
      <c r="V2026" s="59" t="str">
        <f t="shared" si="251"/>
        <v/>
      </c>
      <c r="W2026" s="59" t="str">
        <f t="shared" si="248"/>
        <v/>
      </c>
      <c r="X2026" s="59" t="str">
        <f t="shared" si="252"/>
        <v/>
      </c>
      <c r="AC2026" s="50">
        <f t="shared" si="253"/>
        <v>0</v>
      </c>
      <c r="AD2026" s="43">
        <f t="shared" si="254"/>
        <v>0</v>
      </c>
      <c r="AE2026" s="50">
        <f t="shared" si="255"/>
        <v>0</v>
      </c>
    </row>
    <row r="2027" spans="1:31">
      <c r="A2027" s="59" t="str">
        <f t="shared" si="249"/>
        <v/>
      </c>
      <c r="B2027" s="59" t="str">
        <f t="shared" si="250"/>
        <v/>
      </c>
      <c r="V2027" s="59" t="str">
        <f t="shared" si="251"/>
        <v/>
      </c>
      <c r="W2027" s="59" t="str">
        <f t="shared" si="248"/>
        <v/>
      </c>
      <c r="X2027" s="59" t="str">
        <f t="shared" si="252"/>
        <v/>
      </c>
      <c r="AC2027" s="50">
        <f t="shared" si="253"/>
        <v>0</v>
      </c>
      <c r="AD2027" s="43">
        <f t="shared" si="254"/>
        <v>0</v>
      </c>
      <c r="AE2027" s="50">
        <f t="shared" si="255"/>
        <v>0</v>
      </c>
    </row>
    <row r="2028" spans="1:31">
      <c r="A2028" s="59" t="str">
        <f t="shared" si="249"/>
        <v/>
      </c>
      <c r="B2028" s="59" t="str">
        <f t="shared" si="250"/>
        <v/>
      </c>
      <c r="V2028" s="59" t="str">
        <f t="shared" si="251"/>
        <v/>
      </c>
      <c r="W2028" s="59" t="str">
        <f t="shared" si="248"/>
        <v/>
      </c>
      <c r="X2028" s="59" t="str">
        <f t="shared" si="252"/>
        <v/>
      </c>
      <c r="AC2028" s="50">
        <f t="shared" si="253"/>
        <v>0</v>
      </c>
      <c r="AD2028" s="43">
        <f t="shared" si="254"/>
        <v>0</v>
      </c>
      <c r="AE2028" s="50">
        <f t="shared" si="255"/>
        <v>0</v>
      </c>
    </row>
    <row r="2029" spans="1:31">
      <c r="A2029" s="59" t="str">
        <f t="shared" si="249"/>
        <v/>
      </c>
      <c r="B2029" s="59" t="str">
        <f t="shared" si="250"/>
        <v/>
      </c>
      <c r="V2029" s="59" t="str">
        <f t="shared" si="251"/>
        <v/>
      </c>
      <c r="W2029" s="59" t="str">
        <f t="shared" si="248"/>
        <v/>
      </c>
      <c r="X2029" s="59" t="str">
        <f t="shared" si="252"/>
        <v/>
      </c>
      <c r="AC2029" s="50">
        <f t="shared" si="253"/>
        <v>0</v>
      </c>
      <c r="AD2029" s="43">
        <f t="shared" si="254"/>
        <v>0</v>
      </c>
      <c r="AE2029" s="50">
        <f t="shared" si="255"/>
        <v>0</v>
      </c>
    </row>
    <row r="2030" spans="1:31">
      <c r="A2030" s="59" t="str">
        <f t="shared" si="249"/>
        <v/>
      </c>
      <c r="B2030" s="59" t="str">
        <f t="shared" si="250"/>
        <v/>
      </c>
      <c r="V2030" s="59" t="str">
        <f t="shared" si="251"/>
        <v/>
      </c>
      <c r="W2030" s="59" t="str">
        <f t="shared" si="248"/>
        <v/>
      </c>
      <c r="X2030" s="59" t="str">
        <f t="shared" si="252"/>
        <v/>
      </c>
      <c r="AC2030" s="50">
        <f t="shared" si="253"/>
        <v>0</v>
      </c>
      <c r="AD2030" s="43">
        <f t="shared" si="254"/>
        <v>0</v>
      </c>
      <c r="AE2030" s="50">
        <f t="shared" si="255"/>
        <v>0</v>
      </c>
    </row>
    <row r="2031" spans="1:31">
      <c r="A2031" s="59" t="str">
        <f t="shared" si="249"/>
        <v/>
      </c>
      <c r="B2031" s="59" t="str">
        <f t="shared" si="250"/>
        <v/>
      </c>
      <c r="V2031" s="59" t="str">
        <f t="shared" si="251"/>
        <v/>
      </c>
      <c r="W2031" s="59" t="str">
        <f t="shared" si="248"/>
        <v/>
      </c>
      <c r="X2031" s="59" t="str">
        <f t="shared" si="252"/>
        <v/>
      </c>
      <c r="AC2031" s="50">
        <f t="shared" si="253"/>
        <v>0</v>
      </c>
      <c r="AD2031" s="43">
        <f t="shared" si="254"/>
        <v>0</v>
      </c>
      <c r="AE2031" s="50">
        <f t="shared" si="255"/>
        <v>0</v>
      </c>
    </row>
    <row r="2032" spans="1:31">
      <c r="A2032" s="59" t="str">
        <f t="shared" si="249"/>
        <v/>
      </c>
      <c r="B2032" s="59" t="str">
        <f t="shared" si="250"/>
        <v/>
      </c>
      <c r="V2032" s="59" t="str">
        <f t="shared" si="251"/>
        <v/>
      </c>
      <c r="W2032" s="59" t="str">
        <f t="shared" si="248"/>
        <v/>
      </c>
      <c r="X2032" s="59" t="str">
        <f t="shared" si="252"/>
        <v/>
      </c>
      <c r="AC2032" s="50">
        <f t="shared" si="253"/>
        <v>0</v>
      </c>
      <c r="AD2032" s="43">
        <f t="shared" si="254"/>
        <v>0</v>
      </c>
      <c r="AE2032" s="50">
        <f t="shared" si="255"/>
        <v>0</v>
      </c>
    </row>
    <row r="2033" spans="1:31">
      <c r="A2033" s="59" t="str">
        <f t="shared" si="249"/>
        <v/>
      </c>
      <c r="B2033" s="59" t="str">
        <f t="shared" si="250"/>
        <v/>
      </c>
      <c r="V2033" s="59" t="str">
        <f t="shared" si="251"/>
        <v/>
      </c>
      <c r="W2033" s="59" t="str">
        <f t="shared" si="248"/>
        <v/>
      </c>
      <c r="X2033" s="59" t="str">
        <f t="shared" si="252"/>
        <v/>
      </c>
      <c r="AC2033" s="50">
        <f t="shared" si="253"/>
        <v>0</v>
      </c>
      <c r="AD2033" s="43">
        <f t="shared" si="254"/>
        <v>0</v>
      </c>
      <c r="AE2033" s="50">
        <f t="shared" si="255"/>
        <v>0</v>
      </c>
    </row>
    <row r="2034" spans="1:31">
      <c r="A2034" s="59" t="str">
        <f t="shared" si="249"/>
        <v/>
      </c>
      <c r="B2034" s="59" t="str">
        <f t="shared" si="250"/>
        <v/>
      </c>
      <c r="V2034" s="59" t="str">
        <f t="shared" si="251"/>
        <v/>
      </c>
      <c r="W2034" s="59" t="str">
        <f t="shared" si="248"/>
        <v/>
      </c>
      <c r="X2034" s="59" t="str">
        <f t="shared" si="252"/>
        <v/>
      </c>
      <c r="AC2034" s="50">
        <f t="shared" si="253"/>
        <v>0</v>
      </c>
      <c r="AD2034" s="43">
        <f t="shared" si="254"/>
        <v>0</v>
      </c>
      <c r="AE2034" s="50">
        <f t="shared" si="255"/>
        <v>0</v>
      </c>
    </row>
    <row r="2035" spans="1:31">
      <c r="A2035" s="59" t="str">
        <f t="shared" si="249"/>
        <v/>
      </c>
      <c r="B2035" s="59" t="str">
        <f t="shared" si="250"/>
        <v/>
      </c>
      <c r="V2035" s="59" t="str">
        <f t="shared" si="251"/>
        <v/>
      </c>
      <c r="W2035" s="59" t="str">
        <f t="shared" si="248"/>
        <v/>
      </c>
      <c r="X2035" s="59" t="str">
        <f t="shared" si="252"/>
        <v/>
      </c>
      <c r="AC2035" s="50">
        <f t="shared" si="253"/>
        <v>0</v>
      </c>
      <c r="AD2035" s="43">
        <f t="shared" si="254"/>
        <v>0</v>
      </c>
      <c r="AE2035" s="50">
        <f t="shared" si="255"/>
        <v>0</v>
      </c>
    </row>
    <row r="2036" spans="1:31">
      <c r="A2036" s="59" t="str">
        <f t="shared" si="249"/>
        <v/>
      </c>
      <c r="B2036" s="59" t="str">
        <f t="shared" si="250"/>
        <v/>
      </c>
      <c r="V2036" s="59" t="str">
        <f t="shared" si="251"/>
        <v/>
      </c>
      <c r="W2036" s="59" t="str">
        <f t="shared" si="248"/>
        <v/>
      </c>
      <c r="X2036" s="59" t="str">
        <f t="shared" si="252"/>
        <v/>
      </c>
      <c r="AC2036" s="50">
        <f t="shared" si="253"/>
        <v>0</v>
      </c>
      <c r="AD2036" s="43">
        <f t="shared" si="254"/>
        <v>0</v>
      </c>
      <c r="AE2036" s="50">
        <f t="shared" si="255"/>
        <v>0</v>
      </c>
    </row>
    <row r="2037" spans="1:31">
      <c r="A2037" s="59" t="str">
        <f t="shared" si="249"/>
        <v/>
      </c>
      <c r="B2037" s="59" t="str">
        <f t="shared" si="250"/>
        <v/>
      </c>
      <c r="V2037" s="59" t="str">
        <f t="shared" si="251"/>
        <v/>
      </c>
      <c r="W2037" s="59" t="str">
        <f t="shared" si="248"/>
        <v/>
      </c>
      <c r="X2037" s="59" t="str">
        <f t="shared" si="252"/>
        <v/>
      </c>
      <c r="AC2037" s="50">
        <f t="shared" si="253"/>
        <v>0</v>
      </c>
      <c r="AD2037" s="43">
        <f t="shared" si="254"/>
        <v>0</v>
      </c>
      <c r="AE2037" s="50">
        <f t="shared" si="255"/>
        <v>0</v>
      </c>
    </row>
    <row r="2038" spans="1:31">
      <c r="A2038" s="59" t="str">
        <f t="shared" si="249"/>
        <v/>
      </c>
      <c r="B2038" s="59" t="str">
        <f t="shared" si="250"/>
        <v/>
      </c>
      <c r="V2038" s="59" t="str">
        <f t="shared" si="251"/>
        <v/>
      </c>
      <c r="W2038" s="59" t="str">
        <f t="shared" si="248"/>
        <v/>
      </c>
      <c r="X2038" s="59" t="str">
        <f t="shared" si="252"/>
        <v/>
      </c>
      <c r="AC2038" s="50">
        <f t="shared" si="253"/>
        <v>0</v>
      </c>
      <c r="AD2038" s="43">
        <f t="shared" si="254"/>
        <v>0</v>
      </c>
      <c r="AE2038" s="50">
        <f t="shared" si="255"/>
        <v>0</v>
      </c>
    </row>
    <row r="2039" spans="1:31">
      <c r="A2039" s="59" t="str">
        <f t="shared" si="249"/>
        <v/>
      </c>
      <c r="B2039" s="59" t="str">
        <f t="shared" si="250"/>
        <v/>
      </c>
      <c r="V2039" s="59" t="str">
        <f t="shared" si="251"/>
        <v/>
      </c>
      <c r="W2039" s="59" t="str">
        <f t="shared" si="248"/>
        <v/>
      </c>
      <c r="X2039" s="59" t="str">
        <f t="shared" si="252"/>
        <v/>
      </c>
      <c r="AC2039" s="50">
        <f t="shared" si="253"/>
        <v>0</v>
      </c>
      <c r="AD2039" s="43">
        <f t="shared" si="254"/>
        <v>0</v>
      </c>
      <c r="AE2039" s="50">
        <f t="shared" si="255"/>
        <v>0</v>
      </c>
    </row>
    <row r="2040" spans="1:31">
      <c r="A2040" s="59" t="str">
        <f t="shared" si="249"/>
        <v/>
      </c>
      <c r="B2040" s="59" t="str">
        <f t="shared" si="250"/>
        <v/>
      </c>
      <c r="V2040" s="59" t="str">
        <f t="shared" si="251"/>
        <v/>
      </c>
      <c r="W2040" s="59" t="str">
        <f t="shared" si="248"/>
        <v/>
      </c>
      <c r="X2040" s="59" t="str">
        <f t="shared" si="252"/>
        <v/>
      </c>
      <c r="AC2040" s="50">
        <f t="shared" si="253"/>
        <v>0</v>
      </c>
      <c r="AD2040" s="43">
        <f t="shared" si="254"/>
        <v>0</v>
      </c>
      <c r="AE2040" s="50">
        <f t="shared" si="255"/>
        <v>0</v>
      </c>
    </row>
    <row r="2041" spans="1:31">
      <c r="A2041" s="59" t="str">
        <f t="shared" si="249"/>
        <v/>
      </c>
      <c r="B2041" s="59" t="str">
        <f t="shared" si="250"/>
        <v/>
      </c>
      <c r="V2041" s="59" t="str">
        <f t="shared" si="251"/>
        <v/>
      </c>
      <c r="W2041" s="59" t="str">
        <f t="shared" si="248"/>
        <v/>
      </c>
      <c r="X2041" s="59" t="str">
        <f t="shared" si="252"/>
        <v/>
      </c>
      <c r="AC2041" s="50">
        <f t="shared" si="253"/>
        <v>0</v>
      </c>
      <c r="AD2041" s="43">
        <f t="shared" si="254"/>
        <v>0</v>
      </c>
      <c r="AE2041" s="50">
        <f t="shared" si="255"/>
        <v>0</v>
      </c>
    </row>
    <row r="2042" spans="1:31">
      <c r="A2042" s="59" t="str">
        <f t="shared" si="249"/>
        <v/>
      </c>
      <c r="B2042" s="59" t="str">
        <f t="shared" si="250"/>
        <v/>
      </c>
      <c r="V2042" s="59" t="str">
        <f t="shared" si="251"/>
        <v/>
      </c>
      <c r="W2042" s="59" t="str">
        <f t="shared" si="248"/>
        <v/>
      </c>
      <c r="X2042" s="59" t="str">
        <f t="shared" si="252"/>
        <v/>
      </c>
      <c r="AC2042" s="50">
        <f t="shared" si="253"/>
        <v>0</v>
      </c>
      <c r="AD2042" s="43">
        <f t="shared" si="254"/>
        <v>0</v>
      </c>
      <c r="AE2042" s="50">
        <f t="shared" si="255"/>
        <v>0</v>
      </c>
    </row>
    <row r="2043" spans="1:31">
      <c r="A2043" s="59" t="str">
        <f t="shared" si="249"/>
        <v/>
      </c>
      <c r="B2043" s="59" t="str">
        <f t="shared" si="250"/>
        <v/>
      </c>
      <c r="V2043" s="59" t="str">
        <f t="shared" si="251"/>
        <v/>
      </c>
      <c r="W2043" s="59" t="str">
        <f t="shared" si="248"/>
        <v/>
      </c>
      <c r="X2043" s="59" t="str">
        <f t="shared" si="252"/>
        <v/>
      </c>
      <c r="AC2043" s="50">
        <f t="shared" si="253"/>
        <v>0</v>
      </c>
      <c r="AD2043" s="43">
        <f t="shared" si="254"/>
        <v>0</v>
      </c>
      <c r="AE2043" s="50">
        <f t="shared" si="255"/>
        <v>0</v>
      </c>
    </row>
    <row r="2044" spans="1:31">
      <c r="A2044" s="59" t="str">
        <f t="shared" si="249"/>
        <v/>
      </c>
      <c r="B2044" s="59" t="str">
        <f t="shared" si="250"/>
        <v/>
      </c>
      <c r="V2044" s="59" t="str">
        <f t="shared" si="251"/>
        <v/>
      </c>
      <c r="W2044" s="59" t="str">
        <f t="shared" si="248"/>
        <v/>
      </c>
      <c r="X2044" s="59" t="str">
        <f t="shared" si="252"/>
        <v/>
      </c>
      <c r="AC2044" s="50">
        <f t="shared" si="253"/>
        <v>0</v>
      </c>
      <c r="AD2044" s="43">
        <f t="shared" si="254"/>
        <v>0</v>
      </c>
      <c r="AE2044" s="50">
        <f t="shared" si="255"/>
        <v>0</v>
      </c>
    </row>
    <row r="2045" spans="1:31">
      <c r="A2045" s="59" t="str">
        <f t="shared" si="249"/>
        <v/>
      </c>
      <c r="B2045" s="59" t="str">
        <f t="shared" si="250"/>
        <v/>
      </c>
      <c r="V2045" s="59" t="str">
        <f t="shared" si="251"/>
        <v/>
      </c>
      <c r="W2045" s="59" t="str">
        <f t="shared" si="248"/>
        <v/>
      </c>
      <c r="X2045" s="59" t="str">
        <f t="shared" si="252"/>
        <v/>
      </c>
      <c r="AC2045" s="50">
        <f t="shared" si="253"/>
        <v>0</v>
      </c>
      <c r="AD2045" s="43">
        <f t="shared" si="254"/>
        <v>0</v>
      </c>
      <c r="AE2045" s="50">
        <f t="shared" si="255"/>
        <v>0</v>
      </c>
    </row>
    <row r="2046" spans="1:31">
      <c r="A2046" s="59" t="str">
        <f t="shared" si="249"/>
        <v/>
      </c>
      <c r="B2046" s="59" t="str">
        <f t="shared" si="250"/>
        <v/>
      </c>
      <c r="V2046" s="59" t="str">
        <f t="shared" si="251"/>
        <v/>
      </c>
      <c r="W2046" s="59" t="str">
        <f t="shared" si="248"/>
        <v/>
      </c>
      <c r="X2046" s="59" t="str">
        <f t="shared" si="252"/>
        <v/>
      </c>
      <c r="AC2046" s="50">
        <f t="shared" si="253"/>
        <v>0</v>
      </c>
      <c r="AD2046" s="43">
        <f t="shared" si="254"/>
        <v>0</v>
      </c>
      <c r="AE2046" s="50">
        <f t="shared" si="255"/>
        <v>0</v>
      </c>
    </row>
    <row r="2047" spans="1:31">
      <c r="A2047" s="59" t="str">
        <f t="shared" si="249"/>
        <v/>
      </c>
      <c r="B2047" s="59" t="str">
        <f t="shared" si="250"/>
        <v/>
      </c>
      <c r="V2047" s="59" t="str">
        <f t="shared" si="251"/>
        <v/>
      </c>
      <c r="W2047" s="59" t="str">
        <f t="shared" si="248"/>
        <v/>
      </c>
      <c r="X2047" s="59" t="str">
        <f t="shared" si="252"/>
        <v/>
      </c>
      <c r="AC2047" s="50">
        <f t="shared" si="253"/>
        <v>0</v>
      </c>
      <c r="AD2047" s="43">
        <f t="shared" si="254"/>
        <v>0</v>
      </c>
      <c r="AE2047" s="50">
        <f t="shared" si="255"/>
        <v>0</v>
      </c>
    </row>
    <row r="2048" spans="1:31">
      <c r="A2048" s="59" t="str">
        <f t="shared" si="249"/>
        <v/>
      </c>
      <c r="B2048" s="59" t="str">
        <f t="shared" si="250"/>
        <v/>
      </c>
      <c r="V2048" s="59" t="str">
        <f t="shared" si="251"/>
        <v/>
      </c>
      <c r="W2048" s="59" t="str">
        <f t="shared" si="248"/>
        <v/>
      </c>
      <c r="X2048" s="59" t="str">
        <f t="shared" si="252"/>
        <v/>
      </c>
      <c r="AC2048" s="50">
        <f t="shared" si="253"/>
        <v>0</v>
      </c>
      <c r="AD2048" s="43">
        <f t="shared" si="254"/>
        <v>0</v>
      </c>
      <c r="AE2048" s="50">
        <f t="shared" si="255"/>
        <v>0</v>
      </c>
    </row>
    <row r="2049" spans="1:31">
      <c r="A2049" s="59" t="str">
        <f t="shared" si="249"/>
        <v/>
      </c>
      <c r="B2049" s="59" t="str">
        <f t="shared" si="250"/>
        <v/>
      </c>
      <c r="V2049" s="59" t="str">
        <f t="shared" si="251"/>
        <v/>
      </c>
      <c r="W2049" s="59" t="str">
        <f t="shared" si="248"/>
        <v/>
      </c>
      <c r="X2049" s="59" t="str">
        <f t="shared" si="252"/>
        <v/>
      </c>
      <c r="AC2049" s="50">
        <f t="shared" si="253"/>
        <v>0</v>
      </c>
      <c r="AD2049" s="43">
        <f t="shared" si="254"/>
        <v>0</v>
      </c>
      <c r="AE2049" s="50">
        <f t="shared" si="255"/>
        <v>0</v>
      </c>
    </row>
    <row r="2050" spans="1:31">
      <c r="A2050" s="59" t="str">
        <f t="shared" si="249"/>
        <v/>
      </c>
      <c r="B2050" s="59" t="str">
        <f t="shared" si="250"/>
        <v/>
      </c>
      <c r="V2050" s="59" t="str">
        <f t="shared" si="251"/>
        <v/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59" t="str">
        <f t="shared" si="252"/>
        <v/>
      </c>
      <c r="AC2050" s="50">
        <f t="shared" si="253"/>
        <v>0</v>
      </c>
      <c r="AD2050" s="43">
        <f t="shared" si="254"/>
        <v>0</v>
      </c>
      <c r="AE2050" s="50">
        <f t="shared" si="255"/>
        <v>0</v>
      </c>
    </row>
    <row r="2051" spans="1:31">
      <c r="A2051" s="59" t="str">
        <f t="shared" ref="A2051:A2114" si="257">IF(G2051&amp;Q2051&lt;&gt;"",W2051&amp;Q2051,"")</f>
        <v/>
      </c>
      <c r="B2051" s="59" t="str">
        <f t="shared" ref="B2051:B2114" si="258">IF(C2051&lt;&gt;"",LEFT(C2051,9),"")</f>
        <v/>
      </c>
      <c r="V2051" s="59" t="str">
        <f t="shared" ref="V2051:V2114" si="259">W2051&amp;H2051</f>
        <v/>
      </c>
      <c r="W2051" s="59" t="str">
        <f t="shared" si="256"/>
        <v/>
      </c>
      <c r="X2051" s="59" t="str">
        <f t="shared" ref="X2051:X2114" si="260">IF(A2051&lt;&gt;"",IFERROR(IF(FIND(" ",G2051)&gt;=1,MID(G2051,FIND(" ",G2051)+1,LEN(G2051)),""),""),"")</f>
        <v/>
      </c>
      <c r="AC2051" s="50">
        <f t="shared" ref="AC2051:AC2114" si="261">IFERROR(VALUE(MID($C2051,1,2)),0)</f>
        <v>0</v>
      </c>
      <c r="AD2051" s="43">
        <f t="shared" ref="AD2051:AD2114" si="262">IFERROR(VALUE(MID($C2051,4,3)),0)</f>
        <v>0</v>
      </c>
      <c r="AE2051" s="50">
        <f t="shared" ref="AE2051:AE2114" si="263">VALUE(RIGHT("00"&amp;AC2051,2)&amp;RIGHT("000"&amp;AD2051,3))</f>
        <v>0</v>
      </c>
    </row>
    <row r="2052" spans="1:31">
      <c r="A2052" s="59" t="str">
        <f t="shared" si="257"/>
        <v/>
      </c>
      <c r="B2052" s="59" t="str">
        <f t="shared" si="258"/>
        <v/>
      </c>
      <c r="V2052" s="59" t="str">
        <f t="shared" si="259"/>
        <v/>
      </c>
      <c r="W2052" s="59" t="str">
        <f t="shared" si="256"/>
        <v/>
      </c>
      <c r="X2052" s="59" t="str">
        <f t="shared" si="260"/>
        <v/>
      </c>
      <c r="AC2052" s="50">
        <f t="shared" si="261"/>
        <v>0</v>
      </c>
      <c r="AD2052" s="43">
        <f t="shared" si="262"/>
        <v>0</v>
      </c>
      <c r="AE2052" s="50">
        <f t="shared" si="263"/>
        <v>0</v>
      </c>
    </row>
    <row r="2053" spans="1:31">
      <c r="A2053" s="59" t="str">
        <f t="shared" si="257"/>
        <v/>
      </c>
      <c r="B2053" s="59" t="str">
        <f t="shared" si="258"/>
        <v/>
      </c>
      <c r="V2053" s="59" t="str">
        <f t="shared" si="259"/>
        <v/>
      </c>
      <c r="W2053" s="59" t="str">
        <f t="shared" si="256"/>
        <v/>
      </c>
      <c r="X2053" s="59" t="str">
        <f t="shared" si="260"/>
        <v/>
      </c>
      <c r="AC2053" s="50">
        <f t="shared" si="261"/>
        <v>0</v>
      </c>
      <c r="AD2053" s="43">
        <f t="shared" si="262"/>
        <v>0</v>
      </c>
      <c r="AE2053" s="50">
        <f t="shared" si="263"/>
        <v>0</v>
      </c>
    </row>
    <row r="2054" spans="1:31">
      <c r="A2054" s="59" t="str">
        <f t="shared" si="257"/>
        <v/>
      </c>
      <c r="B2054" s="59" t="str">
        <f t="shared" si="258"/>
        <v/>
      </c>
      <c r="V2054" s="59" t="str">
        <f t="shared" si="259"/>
        <v/>
      </c>
      <c r="W2054" s="59" t="str">
        <f t="shared" si="256"/>
        <v/>
      </c>
      <c r="X2054" s="59" t="str">
        <f t="shared" si="260"/>
        <v/>
      </c>
      <c r="AC2054" s="50">
        <f t="shared" si="261"/>
        <v>0</v>
      </c>
      <c r="AD2054" s="43">
        <f t="shared" si="262"/>
        <v>0</v>
      </c>
      <c r="AE2054" s="50">
        <f t="shared" si="263"/>
        <v>0</v>
      </c>
    </row>
    <row r="2055" spans="1:31">
      <c r="A2055" s="59" t="str">
        <f t="shared" si="257"/>
        <v/>
      </c>
      <c r="B2055" s="59" t="str">
        <f t="shared" si="258"/>
        <v/>
      </c>
      <c r="V2055" s="59" t="str">
        <f t="shared" si="259"/>
        <v/>
      </c>
      <c r="W2055" s="59" t="str">
        <f t="shared" si="256"/>
        <v/>
      </c>
      <c r="X2055" s="59" t="str">
        <f t="shared" si="260"/>
        <v/>
      </c>
      <c r="AC2055" s="50">
        <f t="shared" si="261"/>
        <v>0</v>
      </c>
      <c r="AD2055" s="43">
        <f t="shared" si="262"/>
        <v>0</v>
      </c>
      <c r="AE2055" s="50">
        <f t="shared" si="263"/>
        <v>0</v>
      </c>
    </row>
    <row r="2056" spans="1:31">
      <c r="A2056" s="59" t="str">
        <f t="shared" si="257"/>
        <v/>
      </c>
      <c r="B2056" s="59" t="str">
        <f t="shared" si="258"/>
        <v/>
      </c>
      <c r="V2056" s="59" t="str">
        <f t="shared" si="259"/>
        <v/>
      </c>
      <c r="W2056" s="59" t="str">
        <f t="shared" si="256"/>
        <v/>
      </c>
      <c r="X2056" s="59" t="str">
        <f t="shared" si="260"/>
        <v/>
      </c>
      <c r="AC2056" s="50">
        <f t="shared" si="261"/>
        <v>0</v>
      </c>
      <c r="AD2056" s="43">
        <f t="shared" si="262"/>
        <v>0</v>
      </c>
      <c r="AE2056" s="50">
        <f t="shared" si="263"/>
        <v>0</v>
      </c>
    </row>
    <row r="2057" spans="1:31">
      <c r="A2057" s="59" t="str">
        <f t="shared" si="257"/>
        <v/>
      </c>
      <c r="B2057" s="59" t="str">
        <f t="shared" si="258"/>
        <v/>
      </c>
      <c r="V2057" s="59" t="str">
        <f t="shared" si="259"/>
        <v/>
      </c>
      <c r="W2057" s="59" t="str">
        <f t="shared" si="256"/>
        <v/>
      </c>
      <c r="X2057" s="59" t="str">
        <f t="shared" si="260"/>
        <v/>
      </c>
      <c r="AC2057" s="50">
        <f t="shared" si="261"/>
        <v>0</v>
      </c>
      <c r="AD2057" s="43">
        <f t="shared" si="262"/>
        <v>0</v>
      </c>
      <c r="AE2057" s="50">
        <f t="shared" si="263"/>
        <v>0</v>
      </c>
    </row>
    <row r="2058" spans="1:31">
      <c r="A2058" s="59" t="str">
        <f t="shared" si="257"/>
        <v/>
      </c>
      <c r="B2058" s="59" t="str">
        <f t="shared" si="258"/>
        <v/>
      </c>
      <c r="V2058" s="59" t="str">
        <f t="shared" si="259"/>
        <v/>
      </c>
      <c r="W2058" s="59" t="str">
        <f t="shared" si="256"/>
        <v/>
      </c>
      <c r="X2058" s="59" t="str">
        <f t="shared" si="260"/>
        <v/>
      </c>
      <c r="AC2058" s="50">
        <f t="shared" si="261"/>
        <v>0</v>
      </c>
      <c r="AD2058" s="43">
        <f t="shared" si="262"/>
        <v>0</v>
      </c>
      <c r="AE2058" s="50">
        <f t="shared" si="263"/>
        <v>0</v>
      </c>
    </row>
    <row r="2059" spans="1:31">
      <c r="A2059" s="59" t="str">
        <f t="shared" si="257"/>
        <v/>
      </c>
      <c r="B2059" s="59" t="str">
        <f t="shared" si="258"/>
        <v/>
      </c>
      <c r="V2059" s="59" t="str">
        <f t="shared" si="259"/>
        <v/>
      </c>
      <c r="W2059" s="59" t="str">
        <f t="shared" si="256"/>
        <v/>
      </c>
      <c r="X2059" s="59" t="str">
        <f t="shared" si="260"/>
        <v/>
      </c>
      <c r="AC2059" s="50">
        <f t="shared" si="261"/>
        <v>0</v>
      </c>
      <c r="AD2059" s="43">
        <f t="shared" si="262"/>
        <v>0</v>
      </c>
      <c r="AE2059" s="50">
        <f t="shared" si="263"/>
        <v>0</v>
      </c>
    </row>
    <row r="2060" spans="1:31">
      <c r="A2060" s="59" t="str">
        <f t="shared" si="257"/>
        <v/>
      </c>
      <c r="B2060" s="59" t="str">
        <f t="shared" si="258"/>
        <v/>
      </c>
      <c r="V2060" s="59" t="str">
        <f t="shared" si="259"/>
        <v/>
      </c>
      <c r="W2060" s="59" t="str">
        <f t="shared" si="256"/>
        <v/>
      </c>
      <c r="X2060" s="59" t="str">
        <f t="shared" si="260"/>
        <v/>
      </c>
      <c r="AC2060" s="50">
        <f t="shared" si="261"/>
        <v>0</v>
      </c>
      <c r="AD2060" s="43">
        <f t="shared" si="262"/>
        <v>0</v>
      </c>
      <c r="AE2060" s="50">
        <f t="shared" si="263"/>
        <v>0</v>
      </c>
    </row>
    <row r="2061" spans="1:31">
      <c r="A2061" s="59" t="str">
        <f t="shared" si="257"/>
        <v/>
      </c>
      <c r="B2061" s="59" t="str">
        <f t="shared" si="258"/>
        <v/>
      </c>
      <c r="V2061" s="59" t="str">
        <f t="shared" si="259"/>
        <v/>
      </c>
      <c r="W2061" s="59" t="str">
        <f t="shared" si="256"/>
        <v/>
      </c>
      <c r="X2061" s="59" t="str">
        <f t="shared" si="260"/>
        <v/>
      </c>
      <c r="AC2061" s="50">
        <f t="shared" si="261"/>
        <v>0</v>
      </c>
      <c r="AD2061" s="43">
        <f t="shared" si="262"/>
        <v>0</v>
      </c>
      <c r="AE2061" s="50">
        <f t="shared" si="263"/>
        <v>0</v>
      </c>
    </row>
    <row r="2062" spans="1:31">
      <c r="A2062" s="59" t="str">
        <f t="shared" si="257"/>
        <v/>
      </c>
      <c r="B2062" s="59" t="str">
        <f t="shared" si="258"/>
        <v/>
      </c>
      <c r="V2062" s="59" t="str">
        <f t="shared" si="259"/>
        <v/>
      </c>
      <c r="W2062" s="59" t="str">
        <f t="shared" si="256"/>
        <v/>
      </c>
      <c r="X2062" s="59" t="str">
        <f t="shared" si="260"/>
        <v/>
      </c>
      <c r="AC2062" s="50">
        <f t="shared" si="261"/>
        <v>0</v>
      </c>
      <c r="AD2062" s="43">
        <f t="shared" si="262"/>
        <v>0</v>
      </c>
      <c r="AE2062" s="50">
        <f t="shared" si="263"/>
        <v>0</v>
      </c>
    </row>
    <row r="2063" spans="1:31">
      <c r="A2063" s="59" t="str">
        <f t="shared" si="257"/>
        <v/>
      </c>
      <c r="B2063" s="59" t="str">
        <f t="shared" si="258"/>
        <v/>
      </c>
      <c r="V2063" s="59" t="str">
        <f t="shared" si="259"/>
        <v/>
      </c>
      <c r="W2063" s="59" t="str">
        <f t="shared" si="256"/>
        <v/>
      </c>
      <c r="X2063" s="59" t="str">
        <f t="shared" si="260"/>
        <v/>
      </c>
      <c r="AC2063" s="50">
        <f t="shared" si="261"/>
        <v>0</v>
      </c>
      <c r="AD2063" s="43">
        <f t="shared" si="262"/>
        <v>0</v>
      </c>
      <c r="AE2063" s="50">
        <f t="shared" si="263"/>
        <v>0</v>
      </c>
    </row>
    <row r="2064" spans="1:31">
      <c r="A2064" s="59" t="str">
        <f t="shared" si="257"/>
        <v/>
      </c>
      <c r="B2064" s="59" t="str">
        <f t="shared" si="258"/>
        <v/>
      </c>
      <c r="V2064" s="59" t="str">
        <f t="shared" si="259"/>
        <v/>
      </c>
      <c r="W2064" s="59" t="str">
        <f t="shared" si="256"/>
        <v/>
      </c>
      <c r="X2064" s="59" t="str">
        <f t="shared" si="260"/>
        <v/>
      </c>
      <c r="AC2064" s="50">
        <f t="shared" si="261"/>
        <v>0</v>
      </c>
      <c r="AD2064" s="43">
        <f t="shared" si="262"/>
        <v>0</v>
      </c>
      <c r="AE2064" s="50">
        <f t="shared" si="263"/>
        <v>0</v>
      </c>
    </row>
    <row r="2065" spans="1:31">
      <c r="A2065" s="59" t="str">
        <f t="shared" si="257"/>
        <v/>
      </c>
      <c r="B2065" s="59" t="str">
        <f t="shared" si="258"/>
        <v/>
      </c>
      <c r="V2065" s="59" t="str">
        <f t="shared" si="259"/>
        <v/>
      </c>
      <c r="W2065" s="59" t="str">
        <f t="shared" si="256"/>
        <v/>
      </c>
      <c r="X2065" s="59" t="str">
        <f t="shared" si="260"/>
        <v/>
      </c>
      <c r="AC2065" s="50">
        <f t="shared" si="261"/>
        <v>0</v>
      </c>
      <c r="AD2065" s="43">
        <f t="shared" si="262"/>
        <v>0</v>
      </c>
      <c r="AE2065" s="50">
        <f t="shared" si="263"/>
        <v>0</v>
      </c>
    </row>
    <row r="2066" spans="1:31">
      <c r="A2066" s="59" t="str">
        <f t="shared" si="257"/>
        <v/>
      </c>
      <c r="B2066" s="59" t="str">
        <f t="shared" si="258"/>
        <v/>
      </c>
      <c r="V2066" s="59" t="str">
        <f t="shared" si="259"/>
        <v/>
      </c>
      <c r="W2066" s="59" t="str">
        <f t="shared" si="256"/>
        <v/>
      </c>
      <c r="X2066" s="59" t="str">
        <f t="shared" si="260"/>
        <v/>
      </c>
      <c r="AC2066" s="50">
        <f t="shared" si="261"/>
        <v>0</v>
      </c>
      <c r="AD2066" s="43">
        <f t="shared" si="262"/>
        <v>0</v>
      </c>
      <c r="AE2066" s="50">
        <f t="shared" si="263"/>
        <v>0</v>
      </c>
    </row>
    <row r="2067" spans="1:31">
      <c r="A2067" s="59" t="str">
        <f t="shared" si="257"/>
        <v/>
      </c>
      <c r="B2067" s="59" t="str">
        <f t="shared" si="258"/>
        <v/>
      </c>
      <c r="V2067" s="59" t="str">
        <f t="shared" si="259"/>
        <v/>
      </c>
      <c r="W2067" s="59" t="str">
        <f t="shared" si="256"/>
        <v/>
      </c>
      <c r="X2067" s="59" t="str">
        <f t="shared" si="260"/>
        <v/>
      </c>
      <c r="AC2067" s="50">
        <f t="shared" si="261"/>
        <v>0</v>
      </c>
      <c r="AD2067" s="43">
        <f t="shared" si="262"/>
        <v>0</v>
      </c>
      <c r="AE2067" s="50">
        <f t="shared" si="263"/>
        <v>0</v>
      </c>
    </row>
    <row r="2068" spans="1:31">
      <c r="A2068" s="59" t="str">
        <f t="shared" si="257"/>
        <v/>
      </c>
      <c r="B2068" s="59" t="str">
        <f t="shared" si="258"/>
        <v/>
      </c>
      <c r="V2068" s="59" t="str">
        <f t="shared" si="259"/>
        <v/>
      </c>
      <c r="W2068" s="59" t="str">
        <f t="shared" si="256"/>
        <v/>
      </c>
      <c r="X2068" s="59" t="str">
        <f t="shared" si="260"/>
        <v/>
      </c>
      <c r="AC2068" s="50">
        <f t="shared" si="261"/>
        <v>0</v>
      </c>
      <c r="AD2068" s="43">
        <f t="shared" si="262"/>
        <v>0</v>
      </c>
      <c r="AE2068" s="50">
        <f t="shared" si="263"/>
        <v>0</v>
      </c>
    </row>
    <row r="2069" spans="1:31">
      <c r="A2069" s="59" t="str">
        <f t="shared" si="257"/>
        <v/>
      </c>
      <c r="B2069" s="59" t="str">
        <f t="shared" si="258"/>
        <v/>
      </c>
      <c r="V2069" s="59" t="str">
        <f t="shared" si="259"/>
        <v/>
      </c>
      <c r="W2069" s="59" t="str">
        <f t="shared" si="256"/>
        <v/>
      </c>
      <c r="X2069" s="59" t="str">
        <f t="shared" si="260"/>
        <v/>
      </c>
      <c r="AC2069" s="50">
        <f t="shared" si="261"/>
        <v>0</v>
      </c>
      <c r="AD2069" s="43">
        <f t="shared" si="262"/>
        <v>0</v>
      </c>
      <c r="AE2069" s="50">
        <f t="shared" si="263"/>
        <v>0</v>
      </c>
    </row>
    <row r="2070" spans="1:31">
      <c r="A2070" s="59" t="str">
        <f t="shared" si="257"/>
        <v/>
      </c>
      <c r="B2070" s="59" t="str">
        <f t="shared" si="258"/>
        <v/>
      </c>
      <c r="V2070" s="59" t="str">
        <f t="shared" si="259"/>
        <v/>
      </c>
      <c r="W2070" s="59" t="str">
        <f t="shared" si="256"/>
        <v/>
      </c>
      <c r="X2070" s="59" t="str">
        <f t="shared" si="260"/>
        <v/>
      </c>
      <c r="AC2070" s="50">
        <f t="shared" si="261"/>
        <v>0</v>
      </c>
      <c r="AD2070" s="43">
        <f t="shared" si="262"/>
        <v>0</v>
      </c>
      <c r="AE2070" s="50">
        <f t="shared" si="263"/>
        <v>0</v>
      </c>
    </row>
    <row r="2071" spans="1:31">
      <c r="A2071" s="59" t="str">
        <f t="shared" si="257"/>
        <v/>
      </c>
      <c r="B2071" s="59" t="str">
        <f t="shared" si="258"/>
        <v/>
      </c>
      <c r="V2071" s="59" t="str">
        <f t="shared" si="259"/>
        <v/>
      </c>
      <c r="W2071" s="59" t="str">
        <f t="shared" si="256"/>
        <v/>
      </c>
      <c r="X2071" s="59" t="str">
        <f t="shared" si="260"/>
        <v/>
      </c>
      <c r="AC2071" s="50">
        <f t="shared" si="261"/>
        <v>0</v>
      </c>
      <c r="AD2071" s="43">
        <f t="shared" si="262"/>
        <v>0</v>
      </c>
      <c r="AE2071" s="50">
        <f t="shared" si="263"/>
        <v>0</v>
      </c>
    </row>
    <row r="2072" spans="1:31">
      <c r="A2072" s="59" t="str">
        <f t="shared" si="257"/>
        <v/>
      </c>
      <c r="B2072" s="59" t="str">
        <f t="shared" si="258"/>
        <v/>
      </c>
      <c r="V2072" s="59" t="str">
        <f t="shared" si="259"/>
        <v/>
      </c>
      <c r="W2072" s="59" t="str">
        <f t="shared" si="256"/>
        <v/>
      </c>
      <c r="X2072" s="59" t="str">
        <f t="shared" si="260"/>
        <v/>
      </c>
      <c r="AC2072" s="50">
        <f t="shared" si="261"/>
        <v>0</v>
      </c>
      <c r="AD2072" s="43">
        <f t="shared" si="262"/>
        <v>0</v>
      </c>
      <c r="AE2072" s="50">
        <f t="shared" si="263"/>
        <v>0</v>
      </c>
    </row>
    <row r="2073" spans="1:31">
      <c r="A2073" s="59" t="str">
        <f t="shared" si="257"/>
        <v/>
      </c>
      <c r="B2073" s="59" t="str">
        <f t="shared" si="258"/>
        <v/>
      </c>
      <c r="V2073" s="59" t="str">
        <f t="shared" si="259"/>
        <v/>
      </c>
      <c r="W2073" s="59" t="str">
        <f t="shared" si="256"/>
        <v/>
      </c>
      <c r="X2073" s="59" t="str">
        <f t="shared" si="260"/>
        <v/>
      </c>
      <c r="AC2073" s="50">
        <f t="shared" si="261"/>
        <v>0</v>
      </c>
      <c r="AD2073" s="43">
        <f t="shared" si="262"/>
        <v>0</v>
      </c>
      <c r="AE2073" s="50">
        <f t="shared" si="263"/>
        <v>0</v>
      </c>
    </row>
    <row r="2074" spans="1:31">
      <c r="A2074" s="59" t="str">
        <f t="shared" si="257"/>
        <v/>
      </c>
      <c r="B2074" s="59" t="str">
        <f t="shared" si="258"/>
        <v/>
      </c>
      <c r="V2074" s="59" t="str">
        <f t="shared" si="259"/>
        <v/>
      </c>
      <c r="W2074" s="59" t="str">
        <f t="shared" si="256"/>
        <v/>
      </c>
      <c r="X2074" s="59" t="str">
        <f t="shared" si="260"/>
        <v/>
      </c>
      <c r="AC2074" s="50">
        <f t="shared" si="261"/>
        <v>0</v>
      </c>
      <c r="AD2074" s="43">
        <f t="shared" si="262"/>
        <v>0</v>
      </c>
      <c r="AE2074" s="50">
        <f t="shared" si="263"/>
        <v>0</v>
      </c>
    </row>
    <row r="2075" spans="1:31">
      <c r="A2075" s="59" t="str">
        <f t="shared" si="257"/>
        <v/>
      </c>
      <c r="B2075" s="59" t="str">
        <f t="shared" si="258"/>
        <v/>
      </c>
      <c r="V2075" s="59" t="str">
        <f t="shared" si="259"/>
        <v/>
      </c>
      <c r="W2075" s="59" t="str">
        <f t="shared" si="256"/>
        <v/>
      </c>
      <c r="X2075" s="59" t="str">
        <f t="shared" si="260"/>
        <v/>
      </c>
      <c r="AC2075" s="50">
        <f t="shared" si="261"/>
        <v>0</v>
      </c>
      <c r="AD2075" s="43">
        <f t="shared" si="262"/>
        <v>0</v>
      </c>
      <c r="AE2075" s="50">
        <f t="shared" si="263"/>
        <v>0</v>
      </c>
    </row>
    <row r="2076" spans="1:31">
      <c r="A2076" s="59" t="str">
        <f t="shared" si="257"/>
        <v/>
      </c>
      <c r="B2076" s="59" t="str">
        <f t="shared" si="258"/>
        <v/>
      </c>
      <c r="V2076" s="59" t="str">
        <f t="shared" si="259"/>
        <v/>
      </c>
      <c r="W2076" s="59" t="str">
        <f t="shared" si="256"/>
        <v/>
      </c>
      <c r="X2076" s="59" t="str">
        <f t="shared" si="260"/>
        <v/>
      </c>
      <c r="AC2076" s="50">
        <f t="shared" si="261"/>
        <v>0</v>
      </c>
      <c r="AD2076" s="43">
        <f t="shared" si="262"/>
        <v>0</v>
      </c>
      <c r="AE2076" s="50">
        <f t="shared" si="263"/>
        <v>0</v>
      </c>
    </row>
    <row r="2077" spans="1:31">
      <c r="A2077" s="59" t="str">
        <f t="shared" si="257"/>
        <v/>
      </c>
      <c r="B2077" s="59" t="str">
        <f t="shared" si="258"/>
        <v/>
      </c>
      <c r="V2077" s="59" t="str">
        <f t="shared" si="259"/>
        <v/>
      </c>
      <c r="W2077" s="59" t="str">
        <f t="shared" si="256"/>
        <v/>
      </c>
      <c r="X2077" s="59" t="str">
        <f t="shared" si="260"/>
        <v/>
      </c>
      <c r="AC2077" s="50">
        <f t="shared" si="261"/>
        <v>0</v>
      </c>
      <c r="AD2077" s="43">
        <f t="shared" si="262"/>
        <v>0</v>
      </c>
      <c r="AE2077" s="50">
        <f t="shared" si="263"/>
        <v>0</v>
      </c>
    </row>
    <row r="2078" spans="1:31">
      <c r="A2078" s="59" t="str">
        <f t="shared" si="257"/>
        <v/>
      </c>
      <c r="B2078" s="59" t="str">
        <f t="shared" si="258"/>
        <v/>
      </c>
      <c r="V2078" s="59" t="str">
        <f t="shared" si="259"/>
        <v/>
      </c>
      <c r="W2078" s="59" t="str">
        <f t="shared" si="256"/>
        <v/>
      </c>
      <c r="X2078" s="59" t="str">
        <f t="shared" si="260"/>
        <v/>
      </c>
      <c r="AC2078" s="50">
        <f t="shared" si="261"/>
        <v>0</v>
      </c>
      <c r="AD2078" s="43">
        <f t="shared" si="262"/>
        <v>0</v>
      </c>
      <c r="AE2078" s="50">
        <f t="shared" si="263"/>
        <v>0</v>
      </c>
    </row>
    <row r="2079" spans="1:31">
      <c r="A2079" s="59" t="str">
        <f t="shared" si="257"/>
        <v/>
      </c>
      <c r="B2079" s="59" t="str">
        <f t="shared" si="258"/>
        <v/>
      </c>
      <c r="V2079" s="59" t="str">
        <f t="shared" si="259"/>
        <v/>
      </c>
      <c r="W2079" s="59" t="str">
        <f t="shared" si="256"/>
        <v/>
      </c>
      <c r="X2079" s="59" t="str">
        <f t="shared" si="260"/>
        <v/>
      </c>
      <c r="AC2079" s="50">
        <f t="shared" si="261"/>
        <v>0</v>
      </c>
      <c r="AD2079" s="43">
        <f t="shared" si="262"/>
        <v>0</v>
      </c>
      <c r="AE2079" s="50">
        <f t="shared" si="263"/>
        <v>0</v>
      </c>
    </row>
    <row r="2080" spans="1:31">
      <c r="A2080" s="59" t="str">
        <f t="shared" si="257"/>
        <v/>
      </c>
      <c r="B2080" s="59" t="str">
        <f t="shared" si="258"/>
        <v/>
      </c>
      <c r="V2080" s="59" t="str">
        <f t="shared" si="259"/>
        <v/>
      </c>
      <c r="W2080" s="59" t="str">
        <f t="shared" si="256"/>
        <v/>
      </c>
      <c r="X2080" s="59" t="str">
        <f t="shared" si="260"/>
        <v/>
      </c>
      <c r="AC2080" s="50">
        <f t="shared" si="261"/>
        <v>0</v>
      </c>
      <c r="AD2080" s="43">
        <f t="shared" si="262"/>
        <v>0</v>
      </c>
      <c r="AE2080" s="50">
        <f t="shared" si="263"/>
        <v>0</v>
      </c>
    </row>
    <row r="2081" spans="1:31">
      <c r="A2081" s="59" t="str">
        <f t="shared" si="257"/>
        <v/>
      </c>
      <c r="B2081" s="59" t="str">
        <f t="shared" si="258"/>
        <v/>
      </c>
      <c r="V2081" s="59" t="str">
        <f t="shared" si="259"/>
        <v/>
      </c>
      <c r="W2081" s="59" t="str">
        <f t="shared" si="256"/>
        <v/>
      </c>
      <c r="X2081" s="59" t="str">
        <f t="shared" si="260"/>
        <v/>
      </c>
      <c r="AC2081" s="50">
        <f t="shared" si="261"/>
        <v>0</v>
      </c>
      <c r="AD2081" s="43">
        <f t="shared" si="262"/>
        <v>0</v>
      </c>
      <c r="AE2081" s="50">
        <f t="shared" si="263"/>
        <v>0</v>
      </c>
    </row>
    <row r="2082" spans="1:31">
      <c r="A2082" s="59" t="str">
        <f t="shared" si="257"/>
        <v/>
      </c>
      <c r="B2082" s="59" t="str">
        <f t="shared" si="258"/>
        <v/>
      </c>
      <c r="V2082" s="59" t="str">
        <f t="shared" si="259"/>
        <v/>
      </c>
      <c r="W2082" s="59" t="str">
        <f t="shared" si="256"/>
        <v/>
      </c>
      <c r="X2082" s="59" t="str">
        <f t="shared" si="260"/>
        <v/>
      </c>
      <c r="AC2082" s="50">
        <f t="shared" si="261"/>
        <v>0</v>
      </c>
      <c r="AD2082" s="43">
        <f t="shared" si="262"/>
        <v>0</v>
      </c>
      <c r="AE2082" s="50">
        <f t="shared" si="263"/>
        <v>0</v>
      </c>
    </row>
    <row r="2083" spans="1:31">
      <c r="A2083" s="59" t="str">
        <f t="shared" si="257"/>
        <v/>
      </c>
      <c r="B2083" s="59" t="str">
        <f t="shared" si="258"/>
        <v/>
      </c>
      <c r="V2083" s="59" t="str">
        <f t="shared" si="259"/>
        <v/>
      </c>
      <c r="W2083" s="59" t="str">
        <f t="shared" si="256"/>
        <v/>
      </c>
      <c r="X2083" s="59" t="str">
        <f t="shared" si="260"/>
        <v/>
      </c>
      <c r="AC2083" s="50">
        <f t="shared" si="261"/>
        <v>0</v>
      </c>
      <c r="AD2083" s="43">
        <f t="shared" si="262"/>
        <v>0</v>
      </c>
      <c r="AE2083" s="50">
        <f t="shared" si="263"/>
        <v>0</v>
      </c>
    </row>
    <row r="2084" spans="1:31">
      <c r="A2084" s="59" t="str">
        <f t="shared" si="257"/>
        <v/>
      </c>
      <c r="B2084" s="59" t="str">
        <f t="shared" si="258"/>
        <v/>
      </c>
      <c r="V2084" s="59" t="str">
        <f t="shared" si="259"/>
        <v/>
      </c>
      <c r="W2084" s="59" t="str">
        <f t="shared" si="256"/>
        <v/>
      </c>
      <c r="X2084" s="59" t="str">
        <f t="shared" si="260"/>
        <v/>
      </c>
      <c r="AC2084" s="50">
        <f t="shared" si="261"/>
        <v>0</v>
      </c>
      <c r="AD2084" s="43">
        <f t="shared" si="262"/>
        <v>0</v>
      </c>
      <c r="AE2084" s="50">
        <f t="shared" si="263"/>
        <v>0</v>
      </c>
    </row>
    <row r="2085" spans="1:31">
      <c r="A2085" s="59" t="str">
        <f t="shared" si="257"/>
        <v/>
      </c>
      <c r="B2085" s="59" t="str">
        <f t="shared" si="258"/>
        <v/>
      </c>
      <c r="V2085" s="59" t="str">
        <f t="shared" si="259"/>
        <v/>
      </c>
      <c r="W2085" s="59" t="str">
        <f t="shared" si="256"/>
        <v/>
      </c>
      <c r="X2085" s="59" t="str">
        <f t="shared" si="260"/>
        <v/>
      </c>
      <c r="AC2085" s="50">
        <f t="shared" si="261"/>
        <v>0</v>
      </c>
      <c r="AD2085" s="43">
        <f t="shared" si="262"/>
        <v>0</v>
      </c>
      <c r="AE2085" s="50">
        <f t="shared" si="263"/>
        <v>0</v>
      </c>
    </row>
    <row r="2086" spans="1:31">
      <c r="A2086" s="59" t="str">
        <f t="shared" si="257"/>
        <v/>
      </c>
      <c r="B2086" s="59" t="str">
        <f t="shared" si="258"/>
        <v/>
      </c>
      <c r="V2086" s="59" t="str">
        <f t="shared" si="259"/>
        <v/>
      </c>
      <c r="W2086" s="59" t="str">
        <f t="shared" si="256"/>
        <v/>
      </c>
      <c r="X2086" s="59" t="str">
        <f t="shared" si="260"/>
        <v/>
      </c>
      <c r="AC2086" s="50">
        <f t="shared" si="261"/>
        <v>0</v>
      </c>
      <c r="AD2086" s="43">
        <f t="shared" si="262"/>
        <v>0</v>
      </c>
      <c r="AE2086" s="50">
        <f t="shared" si="263"/>
        <v>0</v>
      </c>
    </row>
    <row r="2087" spans="1:31">
      <c r="A2087" s="59" t="str">
        <f t="shared" si="257"/>
        <v/>
      </c>
      <c r="B2087" s="59" t="str">
        <f t="shared" si="258"/>
        <v/>
      </c>
      <c r="V2087" s="59" t="str">
        <f t="shared" si="259"/>
        <v/>
      </c>
      <c r="W2087" s="59" t="str">
        <f t="shared" si="256"/>
        <v/>
      </c>
      <c r="X2087" s="59" t="str">
        <f t="shared" si="260"/>
        <v/>
      </c>
      <c r="AC2087" s="50">
        <f t="shared" si="261"/>
        <v>0</v>
      </c>
      <c r="AD2087" s="43">
        <f t="shared" si="262"/>
        <v>0</v>
      </c>
      <c r="AE2087" s="50">
        <f t="shared" si="263"/>
        <v>0</v>
      </c>
    </row>
    <row r="2088" spans="1:31">
      <c r="A2088" s="59" t="str">
        <f t="shared" si="257"/>
        <v/>
      </c>
      <c r="B2088" s="59" t="str">
        <f t="shared" si="258"/>
        <v/>
      </c>
      <c r="V2088" s="59" t="str">
        <f t="shared" si="259"/>
        <v/>
      </c>
      <c r="W2088" s="59" t="str">
        <f t="shared" si="256"/>
        <v/>
      </c>
      <c r="X2088" s="59" t="str">
        <f t="shared" si="260"/>
        <v/>
      </c>
      <c r="AC2088" s="50">
        <f t="shared" si="261"/>
        <v>0</v>
      </c>
      <c r="AD2088" s="43">
        <f t="shared" si="262"/>
        <v>0</v>
      </c>
      <c r="AE2088" s="50">
        <f t="shared" si="263"/>
        <v>0</v>
      </c>
    </row>
    <row r="2089" spans="1:31">
      <c r="A2089" s="59" t="str">
        <f t="shared" si="257"/>
        <v/>
      </c>
      <c r="B2089" s="59" t="str">
        <f t="shared" si="258"/>
        <v/>
      </c>
      <c r="V2089" s="59" t="str">
        <f t="shared" si="259"/>
        <v/>
      </c>
      <c r="W2089" s="59" t="str">
        <f t="shared" si="256"/>
        <v/>
      </c>
      <c r="X2089" s="59" t="str">
        <f t="shared" si="260"/>
        <v/>
      </c>
      <c r="AC2089" s="50">
        <f t="shared" si="261"/>
        <v>0</v>
      </c>
      <c r="AD2089" s="43">
        <f t="shared" si="262"/>
        <v>0</v>
      </c>
      <c r="AE2089" s="50">
        <f t="shared" si="263"/>
        <v>0</v>
      </c>
    </row>
    <row r="2090" spans="1:31">
      <c r="A2090" s="59" t="str">
        <f t="shared" si="257"/>
        <v/>
      </c>
      <c r="B2090" s="59" t="str">
        <f t="shared" si="258"/>
        <v/>
      </c>
      <c r="V2090" s="59" t="str">
        <f t="shared" si="259"/>
        <v/>
      </c>
      <c r="W2090" s="59" t="str">
        <f t="shared" si="256"/>
        <v/>
      </c>
      <c r="X2090" s="59" t="str">
        <f t="shared" si="260"/>
        <v/>
      </c>
      <c r="AC2090" s="50">
        <f t="shared" si="261"/>
        <v>0</v>
      </c>
      <c r="AD2090" s="43">
        <f t="shared" si="262"/>
        <v>0</v>
      </c>
      <c r="AE2090" s="50">
        <f t="shared" si="263"/>
        <v>0</v>
      </c>
    </row>
    <row r="2091" spans="1:31">
      <c r="A2091" s="59" t="str">
        <f t="shared" si="257"/>
        <v/>
      </c>
      <c r="B2091" s="59" t="str">
        <f t="shared" si="258"/>
        <v/>
      </c>
      <c r="V2091" s="59" t="str">
        <f t="shared" si="259"/>
        <v/>
      </c>
      <c r="W2091" s="59" t="str">
        <f t="shared" si="256"/>
        <v/>
      </c>
      <c r="X2091" s="59" t="str">
        <f t="shared" si="260"/>
        <v/>
      </c>
      <c r="AC2091" s="50">
        <f t="shared" si="261"/>
        <v>0</v>
      </c>
      <c r="AD2091" s="43">
        <f t="shared" si="262"/>
        <v>0</v>
      </c>
      <c r="AE2091" s="50">
        <f t="shared" si="263"/>
        <v>0</v>
      </c>
    </row>
    <row r="2092" spans="1:31">
      <c r="A2092" s="59" t="str">
        <f t="shared" si="257"/>
        <v/>
      </c>
      <c r="B2092" s="59" t="str">
        <f t="shared" si="258"/>
        <v/>
      </c>
      <c r="V2092" s="59" t="str">
        <f t="shared" si="259"/>
        <v/>
      </c>
      <c r="W2092" s="59" t="str">
        <f t="shared" si="256"/>
        <v/>
      </c>
      <c r="X2092" s="59" t="str">
        <f t="shared" si="260"/>
        <v/>
      </c>
      <c r="AC2092" s="50">
        <f t="shared" si="261"/>
        <v>0</v>
      </c>
      <c r="AD2092" s="43">
        <f t="shared" si="262"/>
        <v>0</v>
      </c>
      <c r="AE2092" s="50">
        <f t="shared" si="263"/>
        <v>0</v>
      </c>
    </row>
    <row r="2093" spans="1:31">
      <c r="A2093" s="59" t="str">
        <f t="shared" si="257"/>
        <v/>
      </c>
      <c r="B2093" s="59" t="str">
        <f t="shared" si="258"/>
        <v/>
      </c>
      <c r="V2093" s="59" t="str">
        <f t="shared" si="259"/>
        <v/>
      </c>
      <c r="W2093" s="59" t="str">
        <f t="shared" si="256"/>
        <v/>
      </c>
      <c r="X2093" s="59" t="str">
        <f t="shared" si="260"/>
        <v/>
      </c>
      <c r="AC2093" s="50">
        <f t="shared" si="261"/>
        <v>0</v>
      </c>
      <c r="AD2093" s="43">
        <f t="shared" si="262"/>
        <v>0</v>
      </c>
      <c r="AE2093" s="50">
        <f t="shared" si="263"/>
        <v>0</v>
      </c>
    </row>
    <row r="2094" spans="1:31">
      <c r="A2094" s="59" t="str">
        <f t="shared" si="257"/>
        <v/>
      </c>
      <c r="B2094" s="59" t="str">
        <f t="shared" si="258"/>
        <v/>
      </c>
      <c r="V2094" s="59" t="str">
        <f t="shared" si="259"/>
        <v/>
      </c>
      <c r="W2094" s="59" t="str">
        <f t="shared" si="256"/>
        <v/>
      </c>
      <c r="X2094" s="59" t="str">
        <f t="shared" si="260"/>
        <v/>
      </c>
      <c r="AC2094" s="50">
        <f t="shared" si="261"/>
        <v>0</v>
      </c>
      <c r="AD2094" s="43">
        <f t="shared" si="262"/>
        <v>0</v>
      </c>
      <c r="AE2094" s="50">
        <f t="shared" si="263"/>
        <v>0</v>
      </c>
    </row>
    <row r="2095" spans="1:31">
      <c r="A2095" s="59" t="str">
        <f t="shared" si="257"/>
        <v/>
      </c>
      <c r="B2095" s="59" t="str">
        <f t="shared" si="258"/>
        <v/>
      </c>
      <c r="V2095" s="59" t="str">
        <f t="shared" si="259"/>
        <v/>
      </c>
      <c r="W2095" s="59" t="str">
        <f t="shared" si="256"/>
        <v/>
      </c>
      <c r="X2095" s="59" t="str">
        <f t="shared" si="260"/>
        <v/>
      </c>
      <c r="AC2095" s="50">
        <f t="shared" si="261"/>
        <v>0</v>
      </c>
      <c r="AD2095" s="43">
        <f t="shared" si="262"/>
        <v>0</v>
      </c>
      <c r="AE2095" s="50">
        <f t="shared" si="263"/>
        <v>0</v>
      </c>
    </row>
    <row r="2096" spans="1:31">
      <c r="A2096" s="59" t="str">
        <f t="shared" si="257"/>
        <v/>
      </c>
      <c r="B2096" s="59" t="str">
        <f t="shared" si="258"/>
        <v/>
      </c>
      <c r="V2096" s="59" t="str">
        <f t="shared" si="259"/>
        <v/>
      </c>
      <c r="W2096" s="59" t="str">
        <f t="shared" si="256"/>
        <v/>
      </c>
      <c r="X2096" s="59" t="str">
        <f t="shared" si="260"/>
        <v/>
      </c>
      <c r="AC2096" s="50">
        <f t="shared" si="261"/>
        <v>0</v>
      </c>
      <c r="AD2096" s="43">
        <f t="shared" si="262"/>
        <v>0</v>
      </c>
      <c r="AE2096" s="50">
        <f t="shared" si="263"/>
        <v>0</v>
      </c>
    </row>
    <row r="2097" spans="1:31">
      <c r="A2097" s="59" t="str">
        <f t="shared" si="257"/>
        <v/>
      </c>
      <c r="B2097" s="59" t="str">
        <f t="shared" si="258"/>
        <v/>
      </c>
      <c r="V2097" s="59" t="str">
        <f t="shared" si="259"/>
        <v/>
      </c>
      <c r="W2097" s="59" t="str">
        <f t="shared" si="256"/>
        <v/>
      </c>
      <c r="X2097" s="59" t="str">
        <f t="shared" si="260"/>
        <v/>
      </c>
      <c r="AC2097" s="50">
        <f t="shared" si="261"/>
        <v>0</v>
      </c>
      <c r="AD2097" s="43">
        <f t="shared" si="262"/>
        <v>0</v>
      </c>
      <c r="AE2097" s="50">
        <f t="shared" si="263"/>
        <v>0</v>
      </c>
    </row>
    <row r="2098" spans="1:31">
      <c r="A2098" s="59" t="str">
        <f t="shared" si="257"/>
        <v/>
      </c>
      <c r="B2098" s="59" t="str">
        <f t="shared" si="258"/>
        <v/>
      </c>
      <c r="V2098" s="59" t="str">
        <f t="shared" si="259"/>
        <v/>
      </c>
      <c r="W2098" s="59" t="str">
        <f t="shared" si="256"/>
        <v/>
      </c>
      <c r="X2098" s="59" t="str">
        <f t="shared" si="260"/>
        <v/>
      </c>
      <c r="AC2098" s="50">
        <f t="shared" si="261"/>
        <v>0</v>
      </c>
      <c r="AD2098" s="43">
        <f t="shared" si="262"/>
        <v>0</v>
      </c>
      <c r="AE2098" s="50">
        <f t="shared" si="263"/>
        <v>0</v>
      </c>
    </row>
    <row r="2099" spans="1:31">
      <c r="A2099" s="59" t="str">
        <f t="shared" si="257"/>
        <v/>
      </c>
      <c r="B2099" s="59" t="str">
        <f t="shared" si="258"/>
        <v/>
      </c>
      <c r="V2099" s="59" t="str">
        <f t="shared" si="259"/>
        <v/>
      </c>
      <c r="W2099" s="59" t="str">
        <f t="shared" si="256"/>
        <v/>
      </c>
      <c r="X2099" s="59" t="str">
        <f t="shared" si="260"/>
        <v/>
      </c>
      <c r="AC2099" s="50">
        <f t="shared" si="261"/>
        <v>0</v>
      </c>
      <c r="AD2099" s="43">
        <f t="shared" si="262"/>
        <v>0</v>
      </c>
      <c r="AE2099" s="50">
        <f t="shared" si="263"/>
        <v>0</v>
      </c>
    </row>
    <row r="2100" spans="1:31">
      <c r="A2100" s="59" t="str">
        <f t="shared" si="257"/>
        <v/>
      </c>
      <c r="B2100" s="59" t="str">
        <f t="shared" si="258"/>
        <v/>
      </c>
      <c r="V2100" s="59" t="str">
        <f t="shared" si="259"/>
        <v/>
      </c>
      <c r="W2100" s="59" t="str">
        <f t="shared" si="256"/>
        <v/>
      </c>
      <c r="X2100" s="59" t="str">
        <f t="shared" si="260"/>
        <v/>
      </c>
      <c r="AC2100" s="50">
        <f t="shared" si="261"/>
        <v>0</v>
      </c>
      <c r="AD2100" s="43">
        <f t="shared" si="262"/>
        <v>0</v>
      </c>
      <c r="AE2100" s="50">
        <f t="shared" si="263"/>
        <v>0</v>
      </c>
    </row>
    <row r="2101" spans="1:31">
      <c r="A2101" s="59" t="str">
        <f t="shared" si="257"/>
        <v/>
      </c>
      <c r="B2101" s="59" t="str">
        <f t="shared" si="258"/>
        <v/>
      </c>
      <c r="V2101" s="59" t="str">
        <f t="shared" si="259"/>
        <v/>
      </c>
      <c r="W2101" s="59" t="str">
        <f t="shared" si="256"/>
        <v/>
      </c>
      <c r="X2101" s="59" t="str">
        <f t="shared" si="260"/>
        <v/>
      </c>
      <c r="AC2101" s="50">
        <f t="shared" si="261"/>
        <v>0</v>
      </c>
      <c r="AD2101" s="43">
        <f t="shared" si="262"/>
        <v>0</v>
      </c>
      <c r="AE2101" s="50">
        <f t="shared" si="263"/>
        <v>0</v>
      </c>
    </row>
    <row r="2102" spans="1:31">
      <c r="A2102" s="59" t="str">
        <f t="shared" si="257"/>
        <v/>
      </c>
      <c r="B2102" s="59" t="str">
        <f t="shared" si="258"/>
        <v/>
      </c>
      <c r="V2102" s="59" t="str">
        <f t="shared" si="259"/>
        <v/>
      </c>
      <c r="W2102" s="59" t="str">
        <f t="shared" si="256"/>
        <v/>
      </c>
      <c r="X2102" s="59" t="str">
        <f t="shared" si="260"/>
        <v/>
      </c>
      <c r="AC2102" s="50">
        <f t="shared" si="261"/>
        <v>0</v>
      </c>
      <c r="AD2102" s="43">
        <f t="shared" si="262"/>
        <v>0</v>
      </c>
      <c r="AE2102" s="50">
        <f t="shared" si="263"/>
        <v>0</v>
      </c>
    </row>
    <row r="2103" spans="1:31">
      <c r="A2103" s="59" t="str">
        <f t="shared" si="257"/>
        <v/>
      </c>
      <c r="B2103" s="59" t="str">
        <f t="shared" si="258"/>
        <v/>
      </c>
      <c r="V2103" s="59" t="str">
        <f t="shared" si="259"/>
        <v/>
      </c>
      <c r="W2103" s="59" t="str">
        <f t="shared" si="256"/>
        <v/>
      </c>
      <c r="X2103" s="59" t="str">
        <f t="shared" si="260"/>
        <v/>
      </c>
      <c r="AC2103" s="50">
        <f t="shared" si="261"/>
        <v>0</v>
      </c>
      <c r="AD2103" s="43">
        <f t="shared" si="262"/>
        <v>0</v>
      </c>
      <c r="AE2103" s="50">
        <f t="shared" si="263"/>
        <v>0</v>
      </c>
    </row>
    <row r="2104" spans="1:31">
      <c r="A2104" s="59" t="str">
        <f t="shared" si="257"/>
        <v/>
      </c>
      <c r="B2104" s="59" t="str">
        <f t="shared" si="258"/>
        <v/>
      </c>
      <c r="V2104" s="59" t="str">
        <f t="shared" si="259"/>
        <v/>
      </c>
      <c r="W2104" s="59" t="str">
        <f t="shared" si="256"/>
        <v/>
      </c>
      <c r="X2104" s="59" t="str">
        <f t="shared" si="260"/>
        <v/>
      </c>
      <c r="AC2104" s="50">
        <f t="shared" si="261"/>
        <v>0</v>
      </c>
      <c r="AD2104" s="43">
        <f t="shared" si="262"/>
        <v>0</v>
      </c>
      <c r="AE2104" s="50">
        <f t="shared" si="263"/>
        <v>0</v>
      </c>
    </row>
    <row r="2105" spans="1:31">
      <c r="A2105" s="59" t="str">
        <f t="shared" si="257"/>
        <v/>
      </c>
      <c r="B2105" s="59" t="str">
        <f t="shared" si="258"/>
        <v/>
      </c>
      <c r="V2105" s="59" t="str">
        <f t="shared" si="259"/>
        <v/>
      </c>
      <c r="W2105" s="59" t="str">
        <f t="shared" si="256"/>
        <v/>
      </c>
      <c r="X2105" s="59" t="str">
        <f t="shared" si="260"/>
        <v/>
      </c>
      <c r="AC2105" s="50">
        <f t="shared" si="261"/>
        <v>0</v>
      </c>
      <c r="AD2105" s="43">
        <f t="shared" si="262"/>
        <v>0</v>
      </c>
      <c r="AE2105" s="50">
        <f t="shared" si="263"/>
        <v>0</v>
      </c>
    </row>
    <row r="2106" spans="1:31">
      <c r="A2106" s="59" t="str">
        <f t="shared" si="257"/>
        <v/>
      </c>
      <c r="B2106" s="59" t="str">
        <f t="shared" si="258"/>
        <v/>
      </c>
      <c r="V2106" s="59" t="str">
        <f t="shared" si="259"/>
        <v/>
      </c>
      <c r="W2106" s="59" t="str">
        <f t="shared" si="256"/>
        <v/>
      </c>
      <c r="X2106" s="59" t="str">
        <f t="shared" si="260"/>
        <v/>
      </c>
      <c r="AC2106" s="50">
        <f t="shared" si="261"/>
        <v>0</v>
      </c>
      <c r="AD2106" s="43">
        <f t="shared" si="262"/>
        <v>0</v>
      </c>
      <c r="AE2106" s="50">
        <f t="shared" si="263"/>
        <v>0</v>
      </c>
    </row>
    <row r="2107" spans="1:31">
      <c r="A2107" s="59" t="str">
        <f t="shared" si="257"/>
        <v/>
      </c>
      <c r="B2107" s="59" t="str">
        <f t="shared" si="258"/>
        <v/>
      </c>
      <c r="V2107" s="59" t="str">
        <f t="shared" si="259"/>
        <v/>
      </c>
      <c r="W2107" s="59" t="str">
        <f t="shared" si="256"/>
        <v/>
      </c>
      <c r="X2107" s="59" t="str">
        <f t="shared" si="260"/>
        <v/>
      </c>
      <c r="AC2107" s="50">
        <f t="shared" si="261"/>
        <v>0</v>
      </c>
      <c r="AD2107" s="43">
        <f t="shared" si="262"/>
        <v>0</v>
      </c>
      <c r="AE2107" s="50">
        <f t="shared" si="263"/>
        <v>0</v>
      </c>
    </row>
    <row r="2108" spans="1:31">
      <c r="A2108" s="59" t="str">
        <f t="shared" si="257"/>
        <v/>
      </c>
      <c r="B2108" s="59" t="str">
        <f t="shared" si="258"/>
        <v/>
      </c>
      <c r="V2108" s="59" t="str">
        <f t="shared" si="259"/>
        <v/>
      </c>
      <c r="W2108" s="59" t="str">
        <f t="shared" si="256"/>
        <v/>
      </c>
      <c r="X2108" s="59" t="str">
        <f t="shared" si="260"/>
        <v/>
      </c>
      <c r="AC2108" s="50">
        <f t="shared" si="261"/>
        <v>0</v>
      </c>
      <c r="AD2108" s="43">
        <f t="shared" si="262"/>
        <v>0</v>
      </c>
      <c r="AE2108" s="50">
        <f t="shared" si="263"/>
        <v>0</v>
      </c>
    </row>
    <row r="2109" spans="1:31">
      <c r="A2109" s="59" t="str">
        <f t="shared" si="257"/>
        <v/>
      </c>
      <c r="B2109" s="59" t="str">
        <f t="shared" si="258"/>
        <v/>
      </c>
      <c r="V2109" s="59" t="str">
        <f t="shared" si="259"/>
        <v/>
      </c>
      <c r="W2109" s="59" t="str">
        <f t="shared" si="256"/>
        <v/>
      </c>
      <c r="X2109" s="59" t="str">
        <f t="shared" si="260"/>
        <v/>
      </c>
      <c r="AC2109" s="50">
        <f t="shared" si="261"/>
        <v>0</v>
      </c>
      <c r="AD2109" s="43">
        <f t="shared" si="262"/>
        <v>0</v>
      </c>
      <c r="AE2109" s="50">
        <f t="shared" si="263"/>
        <v>0</v>
      </c>
    </row>
    <row r="2110" spans="1:31">
      <c r="A2110" s="59" t="str">
        <f t="shared" si="257"/>
        <v/>
      </c>
      <c r="B2110" s="59" t="str">
        <f t="shared" si="258"/>
        <v/>
      </c>
      <c r="V2110" s="59" t="str">
        <f t="shared" si="259"/>
        <v/>
      </c>
      <c r="W2110" s="59" t="str">
        <f t="shared" si="256"/>
        <v/>
      </c>
      <c r="X2110" s="59" t="str">
        <f t="shared" si="260"/>
        <v/>
      </c>
      <c r="AC2110" s="50">
        <f t="shared" si="261"/>
        <v>0</v>
      </c>
      <c r="AD2110" s="43">
        <f t="shared" si="262"/>
        <v>0</v>
      </c>
      <c r="AE2110" s="50">
        <f t="shared" si="263"/>
        <v>0</v>
      </c>
    </row>
    <row r="2111" spans="1:31">
      <c r="A2111" s="59" t="str">
        <f t="shared" si="257"/>
        <v/>
      </c>
      <c r="B2111" s="59" t="str">
        <f t="shared" si="258"/>
        <v/>
      </c>
      <c r="V2111" s="59" t="str">
        <f t="shared" si="259"/>
        <v/>
      </c>
      <c r="W2111" s="59" t="str">
        <f t="shared" si="256"/>
        <v/>
      </c>
      <c r="X2111" s="59" t="str">
        <f t="shared" si="260"/>
        <v/>
      </c>
      <c r="AC2111" s="50">
        <f t="shared" si="261"/>
        <v>0</v>
      </c>
      <c r="AD2111" s="43">
        <f t="shared" si="262"/>
        <v>0</v>
      </c>
      <c r="AE2111" s="50">
        <f t="shared" si="263"/>
        <v>0</v>
      </c>
    </row>
    <row r="2112" spans="1:31">
      <c r="A2112" s="59" t="str">
        <f t="shared" si="257"/>
        <v/>
      </c>
      <c r="B2112" s="59" t="str">
        <f t="shared" si="258"/>
        <v/>
      </c>
      <c r="V2112" s="59" t="str">
        <f t="shared" si="259"/>
        <v/>
      </c>
      <c r="W2112" s="59" t="str">
        <f t="shared" si="256"/>
        <v/>
      </c>
      <c r="X2112" s="59" t="str">
        <f t="shared" si="260"/>
        <v/>
      </c>
      <c r="AC2112" s="50">
        <f t="shared" si="261"/>
        <v>0</v>
      </c>
      <c r="AD2112" s="43">
        <f t="shared" si="262"/>
        <v>0</v>
      </c>
      <c r="AE2112" s="50">
        <f t="shared" si="263"/>
        <v>0</v>
      </c>
    </row>
    <row r="2113" spans="1:31">
      <c r="A2113" s="59" t="str">
        <f t="shared" si="257"/>
        <v/>
      </c>
      <c r="B2113" s="59" t="str">
        <f t="shared" si="258"/>
        <v/>
      </c>
      <c r="V2113" s="59" t="str">
        <f t="shared" si="259"/>
        <v/>
      </c>
      <c r="W2113" s="59" t="str">
        <f t="shared" si="256"/>
        <v/>
      </c>
      <c r="X2113" s="59" t="str">
        <f t="shared" si="260"/>
        <v/>
      </c>
      <c r="AC2113" s="50">
        <f t="shared" si="261"/>
        <v>0</v>
      </c>
      <c r="AD2113" s="43">
        <f t="shared" si="262"/>
        <v>0</v>
      </c>
      <c r="AE2113" s="50">
        <f t="shared" si="263"/>
        <v>0</v>
      </c>
    </row>
    <row r="2114" spans="1:31">
      <c r="A2114" s="59" t="str">
        <f t="shared" si="257"/>
        <v/>
      </c>
      <c r="B2114" s="59" t="str">
        <f t="shared" si="258"/>
        <v/>
      </c>
      <c r="V2114" s="59" t="str">
        <f t="shared" si="259"/>
        <v/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59" t="str">
        <f t="shared" si="260"/>
        <v/>
      </c>
      <c r="AC2114" s="50">
        <f t="shared" si="261"/>
        <v>0</v>
      </c>
      <c r="AD2114" s="43">
        <f t="shared" si="262"/>
        <v>0</v>
      </c>
      <c r="AE2114" s="50">
        <f t="shared" si="263"/>
        <v>0</v>
      </c>
    </row>
    <row r="2115" spans="1:31">
      <c r="A2115" s="59" t="str">
        <f t="shared" ref="A2115:A2178" si="265">IF(G2115&amp;Q2115&lt;&gt;"",W2115&amp;Q2115,"")</f>
        <v/>
      </c>
      <c r="B2115" s="59" t="str">
        <f t="shared" ref="B2115:B2178" si="266">IF(C2115&lt;&gt;"",LEFT(C2115,9),"")</f>
        <v/>
      </c>
      <c r="V2115" s="59" t="str">
        <f t="shared" ref="V2115:V2178" si="267">W2115&amp;H2115</f>
        <v/>
      </c>
      <c r="W2115" s="59" t="str">
        <f t="shared" si="264"/>
        <v/>
      </c>
      <c r="X2115" s="59" t="str">
        <f t="shared" ref="X2115:X2178" si="268">IF(A2115&lt;&gt;"",IFERROR(IF(FIND(" ",G2115)&gt;=1,MID(G2115,FIND(" ",G2115)+1,LEN(G2115)),""),""),"")</f>
        <v/>
      </c>
      <c r="AC2115" s="50">
        <f t="shared" ref="AC2115:AC2178" si="269">IFERROR(VALUE(MID($C2115,1,2)),0)</f>
        <v>0</v>
      </c>
      <c r="AD2115" s="43">
        <f t="shared" ref="AD2115:AD2178" si="270">IFERROR(VALUE(MID($C2115,4,3)),0)</f>
        <v>0</v>
      </c>
      <c r="AE2115" s="50">
        <f t="shared" ref="AE2115:AE2178" si="271">VALUE(RIGHT("00"&amp;AC2115,2)&amp;RIGHT("000"&amp;AD2115,3))</f>
        <v>0</v>
      </c>
    </row>
    <row r="2116" spans="1:31">
      <c r="A2116" s="59" t="str">
        <f t="shared" si="265"/>
        <v/>
      </c>
      <c r="B2116" s="59" t="str">
        <f t="shared" si="266"/>
        <v/>
      </c>
      <c r="V2116" s="59" t="str">
        <f t="shared" si="267"/>
        <v/>
      </c>
      <c r="W2116" s="59" t="str">
        <f t="shared" si="264"/>
        <v/>
      </c>
      <c r="X2116" s="59" t="str">
        <f t="shared" si="268"/>
        <v/>
      </c>
      <c r="AC2116" s="50">
        <f t="shared" si="269"/>
        <v>0</v>
      </c>
      <c r="AD2116" s="43">
        <f t="shared" si="270"/>
        <v>0</v>
      </c>
      <c r="AE2116" s="50">
        <f t="shared" si="271"/>
        <v>0</v>
      </c>
    </row>
    <row r="2117" spans="1:31">
      <c r="A2117" s="59" t="str">
        <f t="shared" si="265"/>
        <v/>
      </c>
      <c r="B2117" s="59" t="str">
        <f t="shared" si="266"/>
        <v/>
      </c>
      <c r="V2117" s="59" t="str">
        <f t="shared" si="267"/>
        <v/>
      </c>
      <c r="W2117" s="59" t="str">
        <f t="shared" si="264"/>
        <v/>
      </c>
      <c r="X2117" s="59" t="str">
        <f t="shared" si="268"/>
        <v/>
      </c>
      <c r="AC2117" s="50">
        <f t="shared" si="269"/>
        <v>0</v>
      </c>
      <c r="AD2117" s="43">
        <f t="shared" si="270"/>
        <v>0</v>
      </c>
      <c r="AE2117" s="50">
        <f t="shared" si="271"/>
        <v>0</v>
      </c>
    </row>
    <row r="2118" spans="1:31">
      <c r="A2118" s="59" t="str">
        <f t="shared" si="265"/>
        <v/>
      </c>
      <c r="B2118" s="59" t="str">
        <f t="shared" si="266"/>
        <v/>
      </c>
      <c r="V2118" s="59" t="str">
        <f t="shared" si="267"/>
        <v/>
      </c>
      <c r="W2118" s="59" t="str">
        <f t="shared" si="264"/>
        <v/>
      </c>
      <c r="X2118" s="59" t="str">
        <f t="shared" si="268"/>
        <v/>
      </c>
      <c r="AC2118" s="50">
        <f t="shared" si="269"/>
        <v>0</v>
      </c>
      <c r="AD2118" s="43">
        <f t="shared" si="270"/>
        <v>0</v>
      </c>
      <c r="AE2118" s="50">
        <f t="shared" si="271"/>
        <v>0</v>
      </c>
    </row>
    <row r="2119" spans="1:31">
      <c r="A2119" s="59" t="str">
        <f t="shared" si="265"/>
        <v/>
      </c>
      <c r="B2119" s="59" t="str">
        <f t="shared" si="266"/>
        <v/>
      </c>
      <c r="V2119" s="59" t="str">
        <f t="shared" si="267"/>
        <v/>
      </c>
      <c r="W2119" s="59" t="str">
        <f t="shared" si="264"/>
        <v/>
      </c>
      <c r="X2119" s="59" t="str">
        <f t="shared" si="268"/>
        <v/>
      </c>
      <c r="AC2119" s="50">
        <f t="shared" si="269"/>
        <v>0</v>
      </c>
      <c r="AD2119" s="43">
        <f t="shared" si="270"/>
        <v>0</v>
      </c>
      <c r="AE2119" s="50">
        <f t="shared" si="271"/>
        <v>0</v>
      </c>
    </row>
    <row r="2120" spans="1:31">
      <c r="A2120" s="59" t="str">
        <f t="shared" si="265"/>
        <v/>
      </c>
      <c r="B2120" s="59" t="str">
        <f t="shared" si="266"/>
        <v/>
      </c>
      <c r="V2120" s="59" t="str">
        <f t="shared" si="267"/>
        <v/>
      </c>
      <c r="W2120" s="59" t="str">
        <f t="shared" si="264"/>
        <v/>
      </c>
      <c r="X2120" s="59" t="str">
        <f t="shared" si="268"/>
        <v/>
      </c>
      <c r="AC2120" s="50">
        <f t="shared" si="269"/>
        <v>0</v>
      </c>
      <c r="AD2120" s="43">
        <f t="shared" si="270"/>
        <v>0</v>
      </c>
      <c r="AE2120" s="50">
        <f t="shared" si="271"/>
        <v>0</v>
      </c>
    </row>
    <row r="2121" spans="1:31">
      <c r="A2121" s="59" t="str">
        <f t="shared" si="265"/>
        <v/>
      </c>
      <c r="B2121" s="59" t="str">
        <f t="shared" si="266"/>
        <v/>
      </c>
      <c r="V2121" s="59" t="str">
        <f t="shared" si="267"/>
        <v/>
      </c>
      <c r="W2121" s="59" t="str">
        <f t="shared" si="264"/>
        <v/>
      </c>
      <c r="X2121" s="59" t="str">
        <f t="shared" si="268"/>
        <v/>
      </c>
      <c r="AC2121" s="50">
        <f t="shared" si="269"/>
        <v>0</v>
      </c>
      <c r="AD2121" s="43">
        <f t="shared" si="270"/>
        <v>0</v>
      </c>
      <c r="AE2121" s="50">
        <f t="shared" si="271"/>
        <v>0</v>
      </c>
    </row>
    <row r="2122" spans="1:31">
      <c r="A2122" s="59" t="str">
        <f t="shared" si="265"/>
        <v/>
      </c>
      <c r="B2122" s="59" t="str">
        <f t="shared" si="266"/>
        <v/>
      </c>
      <c r="V2122" s="59" t="str">
        <f t="shared" si="267"/>
        <v/>
      </c>
      <c r="W2122" s="59" t="str">
        <f t="shared" si="264"/>
        <v/>
      </c>
      <c r="X2122" s="59" t="str">
        <f t="shared" si="268"/>
        <v/>
      </c>
      <c r="AC2122" s="50">
        <f t="shared" si="269"/>
        <v>0</v>
      </c>
      <c r="AD2122" s="43">
        <f t="shared" si="270"/>
        <v>0</v>
      </c>
      <c r="AE2122" s="50">
        <f t="shared" si="271"/>
        <v>0</v>
      </c>
    </row>
    <row r="2123" spans="1:31">
      <c r="A2123" s="59" t="str">
        <f t="shared" si="265"/>
        <v/>
      </c>
      <c r="B2123" s="59" t="str">
        <f t="shared" si="266"/>
        <v/>
      </c>
      <c r="V2123" s="59" t="str">
        <f t="shared" si="267"/>
        <v/>
      </c>
      <c r="W2123" s="59" t="str">
        <f t="shared" si="264"/>
        <v/>
      </c>
      <c r="X2123" s="59" t="str">
        <f t="shared" si="268"/>
        <v/>
      </c>
      <c r="AC2123" s="50">
        <f t="shared" si="269"/>
        <v>0</v>
      </c>
      <c r="AD2123" s="43">
        <f t="shared" si="270"/>
        <v>0</v>
      </c>
      <c r="AE2123" s="50">
        <f t="shared" si="271"/>
        <v>0</v>
      </c>
    </row>
    <row r="2124" spans="1:31">
      <c r="A2124" s="59" t="str">
        <f t="shared" si="265"/>
        <v/>
      </c>
      <c r="B2124" s="59" t="str">
        <f t="shared" si="266"/>
        <v/>
      </c>
      <c r="V2124" s="59" t="str">
        <f t="shared" si="267"/>
        <v/>
      </c>
      <c r="W2124" s="59" t="str">
        <f t="shared" si="264"/>
        <v/>
      </c>
      <c r="X2124" s="59" t="str">
        <f t="shared" si="268"/>
        <v/>
      </c>
      <c r="AC2124" s="50">
        <f t="shared" si="269"/>
        <v>0</v>
      </c>
      <c r="AD2124" s="43">
        <f t="shared" si="270"/>
        <v>0</v>
      </c>
      <c r="AE2124" s="50">
        <f t="shared" si="271"/>
        <v>0</v>
      </c>
    </row>
    <row r="2125" spans="1:31">
      <c r="A2125" s="59" t="str">
        <f t="shared" si="265"/>
        <v/>
      </c>
      <c r="B2125" s="59" t="str">
        <f t="shared" si="266"/>
        <v/>
      </c>
      <c r="V2125" s="59" t="str">
        <f t="shared" si="267"/>
        <v/>
      </c>
      <c r="W2125" s="59" t="str">
        <f t="shared" si="264"/>
        <v/>
      </c>
      <c r="X2125" s="59" t="str">
        <f t="shared" si="268"/>
        <v/>
      </c>
      <c r="AC2125" s="50">
        <f t="shared" si="269"/>
        <v>0</v>
      </c>
      <c r="AD2125" s="43">
        <f t="shared" si="270"/>
        <v>0</v>
      </c>
      <c r="AE2125" s="50">
        <f t="shared" si="271"/>
        <v>0</v>
      </c>
    </row>
    <row r="2126" spans="1:31">
      <c r="A2126" s="59" t="str">
        <f t="shared" si="265"/>
        <v/>
      </c>
      <c r="B2126" s="59" t="str">
        <f t="shared" si="266"/>
        <v/>
      </c>
      <c r="V2126" s="59" t="str">
        <f t="shared" si="267"/>
        <v/>
      </c>
      <c r="W2126" s="59" t="str">
        <f t="shared" si="264"/>
        <v/>
      </c>
      <c r="X2126" s="59" t="str">
        <f t="shared" si="268"/>
        <v/>
      </c>
      <c r="AC2126" s="50">
        <f t="shared" si="269"/>
        <v>0</v>
      </c>
      <c r="AD2126" s="43">
        <f t="shared" si="270"/>
        <v>0</v>
      </c>
      <c r="AE2126" s="50">
        <f t="shared" si="271"/>
        <v>0</v>
      </c>
    </row>
    <row r="2127" spans="1:31">
      <c r="A2127" s="59" t="str">
        <f t="shared" si="265"/>
        <v/>
      </c>
      <c r="B2127" s="59" t="str">
        <f t="shared" si="266"/>
        <v/>
      </c>
      <c r="V2127" s="59" t="str">
        <f t="shared" si="267"/>
        <v/>
      </c>
      <c r="W2127" s="59" t="str">
        <f t="shared" si="264"/>
        <v/>
      </c>
      <c r="X2127" s="59" t="str">
        <f t="shared" si="268"/>
        <v/>
      </c>
      <c r="AC2127" s="50">
        <f t="shared" si="269"/>
        <v>0</v>
      </c>
      <c r="AD2127" s="43">
        <f t="shared" si="270"/>
        <v>0</v>
      </c>
      <c r="AE2127" s="50">
        <f t="shared" si="271"/>
        <v>0</v>
      </c>
    </row>
    <row r="2128" spans="1:31">
      <c r="A2128" s="59" t="str">
        <f t="shared" si="265"/>
        <v/>
      </c>
      <c r="B2128" s="59" t="str">
        <f t="shared" si="266"/>
        <v/>
      </c>
      <c r="V2128" s="59" t="str">
        <f t="shared" si="267"/>
        <v/>
      </c>
      <c r="W2128" s="59" t="str">
        <f t="shared" si="264"/>
        <v/>
      </c>
      <c r="X2128" s="59" t="str">
        <f t="shared" si="268"/>
        <v/>
      </c>
      <c r="AC2128" s="50">
        <f t="shared" si="269"/>
        <v>0</v>
      </c>
      <c r="AD2128" s="43">
        <f t="shared" si="270"/>
        <v>0</v>
      </c>
      <c r="AE2128" s="50">
        <f t="shared" si="271"/>
        <v>0</v>
      </c>
    </row>
    <row r="2129" spans="1:31">
      <c r="A2129" s="59" t="str">
        <f t="shared" si="265"/>
        <v/>
      </c>
      <c r="B2129" s="59" t="str">
        <f t="shared" si="266"/>
        <v/>
      </c>
      <c r="V2129" s="59" t="str">
        <f t="shared" si="267"/>
        <v/>
      </c>
      <c r="W2129" s="59" t="str">
        <f t="shared" si="264"/>
        <v/>
      </c>
      <c r="X2129" s="59" t="str">
        <f t="shared" si="268"/>
        <v/>
      </c>
      <c r="AC2129" s="50">
        <f t="shared" si="269"/>
        <v>0</v>
      </c>
      <c r="AD2129" s="43">
        <f t="shared" si="270"/>
        <v>0</v>
      </c>
      <c r="AE2129" s="50">
        <f t="shared" si="271"/>
        <v>0</v>
      </c>
    </row>
    <row r="2130" spans="1:31">
      <c r="A2130" s="59" t="str">
        <f t="shared" si="265"/>
        <v/>
      </c>
      <c r="B2130" s="59" t="str">
        <f t="shared" si="266"/>
        <v/>
      </c>
      <c r="V2130" s="59" t="str">
        <f t="shared" si="267"/>
        <v/>
      </c>
      <c r="W2130" s="59" t="str">
        <f t="shared" si="264"/>
        <v/>
      </c>
      <c r="X2130" s="59" t="str">
        <f t="shared" si="268"/>
        <v/>
      </c>
      <c r="AC2130" s="50">
        <f t="shared" si="269"/>
        <v>0</v>
      </c>
      <c r="AD2130" s="43">
        <f t="shared" si="270"/>
        <v>0</v>
      </c>
      <c r="AE2130" s="50">
        <f t="shared" si="271"/>
        <v>0</v>
      </c>
    </row>
    <row r="2131" spans="1:31">
      <c r="A2131" s="59" t="str">
        <f t="shared" si="265"/>
        <v/>
      </c>
      <c r="B2131" s="59" t="str">
        <f t="shared" si="266"/>
        <v/>
      </c>
      <c r="V2131" s="59" t="str">
        <f t="shared" si="267"/>
        <v/>
      </c>
      <c r="W2131" s="59" t="str">
        <f t="shared" si="264"/>
        <v/>
      </c>
      <c r="X2131" s="59" t="str">
        <f t="shared" si="268"/>
        <v/>
      </c>
      <c r="AC2131" s="50">
        <f t="shared" si="269"/>
        <v>0</v>
      </c>
      <c r="AD2131" s="43">
        <f t="shared" si="270"/>
        <v>0</v>
      </c>
      <c r="AE2131" s="50">
        <f t="shared" si="271"/>
        <v>0</v>
      </c>
    </row>
    <row r="2132" spans="1:31">
      <c r="A2132" s="59" t="str">
        <f t="shared" si="265"/>
        <v/>
      </c>
      <c r="B2132" s="59" t="str">
        <f t="shared" si="266"/>
        <v/>
      </c>
      <c r="V2132" s="59" t="str">
        <f t="shared" si="267"/>
        <v/>
      </c>
      <c r="W2132" s="59" t="str">
        <f t="shared" si="264"/>
        <v/>
      </c>
      <c r="X2132" s="59" t="str">
        <f t="shared" si="268"/>
        <v/>
      </c>
      <c r="AC2132" s="50">
        <f t="shared" si="269"/>
        <v>0</v>
      </c>
      <c r="AD2132" s="43">
        <f t="shared" si="270"/>
        <v>0</v>
      </c>
      <c r="AE2132" s="50">
        <f t="shared" si="271"/>
        <v>0</v>
      </c>
    </row>
    <row r="2133" spans="1:31">
      <c r="A2133" s="59" t="str">
        <f t="shared" si="265"/>
        <v/>
      </c>
      <c r="B2133" s="59" t="str">
        <f t="shared" si="266"/>
        <v/>
      </c>
      <c r="V2133" s="59" t="str">
        <f t="shared" si="267"/>
        <v/>
      </c>
      <c r="W2133" s="59" t="str">
        <f t="shared" si="264"/>
        <v/>
      </c>
      <c r="X2133" s="59" t="str">
        <f t="shared" si="268"/>
        <v/>
      </c>
      <c r="AC2133" s="50">
        <f t="shared" si="269"/>
        <v>0</v>
      </c>
      <c r="AD2133" s="43">
        <f t="shared" si="270"/>
        <v>0</v>
      </c>
      <c r="AE2133" s="50">
        <f t="shared" si="271"/>
        <v>0</v>
      </c>
    </row>
    <row r="2134" spans="1:31">
      <c r="A2134" s="59" t="str">
        <f t="shared" si="265"/>
        <v/>
      </c>
      <c r="B2134" s="59" t="str">
        <f t="shared" si="266"/>
        <v/>
      </c>
      <c r="V2134" s="59" t="str">
        <f t="shared" si="267"/>
        <v/>
      </c>
      <c r="W2134" s="59" t="str">
        <f t="shared" si="264"/>
        <v/>
      </c>
      <c r="X2134" s="59" t="str">
        <f t="shared" si="268"/>
        <v/>
      </c>
      <c r="AC2134" s="50">
        <f t="shared" si="269"/>
        <v>0</v>
      </c>
      <c r="AD2134" s="43">
        <f t="shared" si="270"/>
        <v>0</v>
      </c>
      <c r="AE2134" s="50">
        <f t="shared" si="271"/>
        <v>0</v>
      </c>
    </row>
    <row r="2135" spans="1:31">
      <c r="A2135" s="59" t="str">
        <f t="shared" si="265"/>
        <v/>
      </c>
      <c r="B2135" s="59" t="str">
        <f t="shared" si="266"/>
        <v/>
      </c>
      <c r="V2135" s="59" t="str">
        <f t="shared" si="267"/>
        <v/>
      </c>
      <c r="W2135" s="59" t="str">
        <f t="shared" si="264"/>
        <v/>
      </c>
      <c r="X2135" s="59" t="str">
        <f t="shared" si="268"/>
        <v/>
      </c>
      <c r="AC2135" s="50">
        <f t="shared" si="269"/>
        <v>0</v>
      </c>
      <c r="AD2135" s="43">
        <f t="shared" si="270"/>
        <v>0</v>
      </c>
      <c r="AE2135" s="50">
        <f t="shared" si="271"/>
        <v>0</v>
      </c>
    </row>
    <row r="2136" spans="1:31">
      <c r="A2136" s="59" t="str">
        <f t="shared" si="265"/>
        <v/>
      </c>
      <c r="B2136" s="59" t="str">
        <f t="shared" si="266"/>
        <v/>
      </c>
      <c r="V2136" s="59" t="str">
        <f t="shared" si="267"/>
        <v/>
      </c>
      <c r="W2136" s="59" t="str">
        <f t="shared" si="264"/>
        <v/>
      </c>
      <c r="X2136" s="59" t="str">
        <f t="shared" si="268"/>
        <v/>
      </c>
      <c r="AC2136" s="50">
        <f t="shared" si="269"/>
        <v>0</v>
      </c>
      <c r="AD2136" s="43">
        <f t="shared" si="270"/>
        <v>0</v>
      </c>
      <c r="AE2136" s="50">
        <f t="shared" si="271"/>
        <v>0</v>
      </c>
    </row>
    <row r="2137" spans="1:31">
      <c r="A2137" s="59" t="str">
        <f t="shared" si="265"/>
        <v/>
      </c>
      <c r="B2137" s="59" t="str">
        <f t="shared" si="266"/>
        <v/>
      </c>
      <c r="V2137" s="59" t="str">
        <f t="shared" si="267"/>
        <v/>
      </c>
      <c r="W2137" s="59" t="str">
        <f t="shared" si="264"/>
        <v/>
      </c>
      <c r="X2137" s="59" t="str">
        <f t="shared" si="268"/>
        <v/>
      </c>
      <c r="AC2137" s="50">
        <f t="shared" si="269"/>
        <v>0</v>
      </c>
      <c r="AD2137" s="43">
        <f t="shared" si="270"/>
        <v>0</v>
      </c>
      <c r="AE2137" s="50">
        <f t="shared" si="271"/>
        <v>0</v>
      </c>
    </row>
    <row r="2138" spans="1:31">
      <c r="A2138" s="59" t="str">
        <f t="shared" si="265"/>
        <v/>
      </c>
      <c r="B2138" s="59" t="str">
        <f t="shared" si="266"/>
        <v/>
      </c>
      <c r="V2138" s="59" t="str">
        <f t="shared" si="267"/>
        <v/>
      </c>
      <c r="W2138" s="59" t="str">
        <f t="shared" si="264"/>
        <v/>
      </c>
      <c r="X2138" s="59" t="str">
        <f t="shared" si="268"/>
        <v/>
      </c>
      <c r="AC2138" s="50">
        <f t="shared" si="269"/>
        <v>0</v>
      </c>
      <c r="AD2138" s="43">
        <f t="shared" si="270"/>
        <v>0</v>
      </c>
      <c r="AE2138" s="50">
        <f t="shared" si="271"/>
        <v>0</v>
      </c>
    </row>
    <row r="2139" spans="1:31">
      <c r="A2139" s="59" t="str">
        <f t="shared" si="265"/>
        <v/>
      </c>
      <c r="B2139" s="59" t="str">
        <f t="shared" si="266"/>
        <v/>
      </c>
      <c r="V2139" s="59" t="str">
        <f t="shared" si="267"/>
        <v/>
      </c>
      <c r="W2139" s="59" t="str">
        <f t="shared" si="264"/>
        <v/>
      </c>
      <c r="X2139" s="59" t="str">
        <f t="shared" si="268"/>
        <v/>
      </c>
      <c r="AC2139" s="50">
        <f t="shared" si="269"/>
        <v>0</v>
      </c>
      <c r="AD2139" s="43">
        <f t="shared" si="270"/>
        <v>0</v>
      </c>
      <c r="AE2139" s="50">
        <f t="shared" si="271"/>
        <v>0</v>
      </c>
    </row>
    <row r="2140" spans="1:31">
      <c r="A2140" s="59" t="str">
        <f t="shared" si="265"/>
        <v/>
      </c>
      <c r="B2140" s="59" t="str">
        <f t="shared" si="266"/>
        <v/>
      </c>
      <c r="V2140" s="59" t="str">
        <f t="shared" si="267"/>
        <v/>
      </c>
      <c r="W2140" s="59" t="str">
        <f t="shared" si="264"/>
        <v/>
      </c>
      <c r="X2140" s="59" t="str">
        <f t="shared" si="268"/>
        <v/>
      </c>
      <c r="AC2140" s="50">
        <f t="shared" si="269"/>
        <v>0</v>
      </c>
      <c r="AD2140" s="43">
        <f t="shared" si="270"/>
        <v>0</v>
      </c>
      <c r="AE2140" s="50">
        <f t="shared" si="271"/>
        <v>0</v>
      </c>
    </row>
    <row r="2141" spans="1:31">
      <c r="A2141" s="59" t="str">
        <f t="shared" si="265"/>
        <v/>
      </c>
      <c r="B2141" s="59" t="str">
        <f t="shared" si="266"/>
        <v/>
      </c>
      <c r="V2141" s="59" t="str">
        <f t="shared" si="267"/>
        <v/>
      </c>
      <c r="W2141" s="59" t="str">
        <f t="shared" si="264"/>
        <v/>
      </c>
      <c r="X2141" s="59" t="str">
        <f t="shared" si="268"/>
        <v/>
      </c>
      <c r="AC2141" s="50">
        <f t="shared" si="269"/>
        <v>0</v>
      </c>
      <c r="AD2141" s="43">
        <f t="shared" si="270"/>
        <v>0</v>
      </c>
      <c r="AE2141" s="50">
        <f t="shared" si="271"/>
        <v>0</v>
      </c>
    </row>
    <row r="2142" spans="1:31">
      <c r="A2142" s="59" t="str">
        <f t="shared" si="265"/>
        <v/>
      </c>
      <c r="B2142" s="59" t="str">
        <f t="shared" si="266"/>
        <v/>
      </c>
      <c r="V2142" s="59" t="str">
        <f t="shared" si="267"/>
        <v/>
      </c>
      <c r="W2142" s="59" t="str">
        <f t="shared" si="264"/>
        <v/>
      </c>
      <c r="X2142" s="59" t="str">
        <f t="shared" si="268"/>
        <v/>
      </c>
      <c r="AC2142" s="50">
        <f t="shared" si="269"/>
        <v>0</v>
      </c>
      <c r="AD2142" s="43">
        <f t="shared" si="270"/>
        <v>0</v>
      </c>
      <c r="AE2142" s="50">
        <f t="shared" si="271"/>
        <v>0</v>
      </c>
    </row>
    <row r="2143" spans="1:31">
      <c r="A2143" s="59" t="str">
        <f t="shared" si="265"/>
        <v/>
      </c>
      <c r="B2143" s="59" t="str">
        <f t="shared" si="266"/>
        <v/>
      </c>
      <c r="V2143" s="59" t="str">
        <f t="shared" si="267"/>
        <v/>
      </c>
      <c r="W2143" s="59" t="str">
        <f t="shared" si="264"/>
        <v/>
      </c>
      <c r="X2143" s="59" t="str">
        <f t="shared" si="268"/>
        <v/>
      </c>
      <c r="AC2143" s="50">
        <f t="shared" si="269"/>
        <v>0</v>
      </c>
      <c r="AD2143" s="43">
        <f t="shared" si="270"/>
        <v>0</v>
      </c>
      <c r="AE2143" s="50">
        <f t="shared" si="271"/>
        <v>0</v>
      </c>
    </row>
    <row r="2144" spans="1:31">
      <c r="A2144" s="59" t="str">
        <f t="shared" si="265"/>
        <v/>
      </c>
      <c r="B2144" s="59" t="str">
        <f t="shared" si="266"/>
        <v/>
      </c>
      <c r="V2144" s="59" t="str">
        <f t="shared" si="267"/>
        <v/>
      </c>
      <c r="W2144" s="59" t="str">
        <f t="shared" si="264"/>
        <v/>
      </c>
      <c r="X2144" s="59" t="str">
        <f t="shared" si="268"/>
        <v/>
      </c>
      <c r="AC2144" s="50">
        <f t="shared" si="269"/>
        <v>0</v>
      </c>
      <c r="AD2144" s="43">
        <f t="shared" si="270"/>
        <v>0</v>
      </c>
      <c r="AE2144" s="50">
        <f t="shared" si="271"/>
        <v>0</v>
      </c>
    </row>
    <row r="2145" spans="1:31">
      <c r="A2145" s="59" t="str">
        <f t="shared" si="265"/>
        <v/>
      </c>
      <c r="B2145" s="59" t="str">
        <f t="shared" si="266"/>
        <v/>
      </c>
      <c r="V2145" s="59" t="str">
        <f t="shared" si="267"/>
        <v/>
      </c>
      <c r="W2145" s="59" t="str">
        <f t="shared" si="264"/>
        <v/>
      </c>
      <c r="X2145" s="59" t="str">
        <f t="shared" si="268"/>
        <v/>
      </c>
      <c r="AC2145" s="50">
        <f t="shared" si="269"/>
        <v>0</v>
      </c>
      <c r="AD2145" s="43">
        <f t="shared" si="270"/>
        <v>0</v>
      </c>
      <c r="AE2145" s="50">
        <f t="shared" si="271"/>
        <v>0</v>
      </c>
    </row>
    <row r="2146" spans="1:31">
      <c r="A2146" s="59" t="str">
        <f t="shared" si="265"/>
        <v/>
      </c>
      <c r="B2146" s="59" t="str">
        <f t="shared" si="266"/>
        <v/>
      </c>
      <c r="V2146" s="59" t="str">
        <f t="shared" si="267"/>
        <v/>
      </c>
      <c r="W2146" s="59" t="str">
        <f t="shared" si="264"/>
        <v/>
      </c>
      <c r="X2146" s="59" t="str">
        <f t="shared" si="268"/>
        <v/>
      </c>
      <c r="AC2146" s="50">
        <f t="shared" si="269"/>
        <v>0</v>
      </c>
      <c r="AD2146" s="43">
        <f t="shared" si="270"/>
        <v>0</v>
      </c>
      <c r="AE2146" s="50">
        <f t="shared" si="271"/>
        <v>0</v>
      </c>
    </row>
    <row r="2147" spans="1:31">
      <c r="A2147" s="59" t="str">
        <f t="shared" si="265"/>
        <v/>
      </c>
      <c r="B2147" s="59" t="str">
        <f t="shared" si="266"/>
        <v/>
      </c>
      <c r="V2147" s="59" t="str">
        <f t="shared" si="267"/>
        <v/>
      </c>
      <c r="W2147" s="59" t="str">
        <f t="shared" si="264"/>
        <v/>
      </c>
      <c r="X2147" s="59" t="str">
        <f t="shared" si="268"/>
        <v/>
      </c>
      <c r="AC2147" s="50">
        <f t="shared" si="269"/>
        <v>0</v>
      </c>
      <c r="AD2147" s="43">
        <f t="shared" si="270"/>
        <v>0</v>
      </c>
      <c r="AE2147" s="50">
        <f t="shared" si="271"/>
        <v>0</v>
      </c>
    </row>
    <row r="2148" spans="1:31">
      <c r="A2148" s="59" t="str">
        <f t="shared" si="265"/>
        <v/>
      </c>
      <c r="B2148" s="59" t="str">
        <f t="shared" si="266"/>
        <v/>
      </c>
      <c r="V2148" s="59" t="str">
        <f t="shared" si="267"/>
        <v/>
      </c>
      <c r="W2148" s="59" t="str">
        <f t="shared" si="264"/>
        <v/>
      </c>
      <c r="X2148" s="59" t="str">
        <f t="shared" si="268"/>
        <v/>
      </c>
      <c r="AC2148" s="50">
        <f t="shared" si="269"/>
        <v>0</v>
      </c>
      <c r="AD2148" s="43">
        <f t="shared" si="270"/>
        <v>0</v>
      </c>
      <c r="AE2148" s="50">
        <f t="shared" si="271"/>
        <v>0</v>
      </c>
    </row>
    <row r="2149" spans="1:31">
      <c r="A2149" s="59" t="str">
        <f t="shared" si="265"/>
        <v/>
      </c>
      <c r="B2149" s="59" t="str">
        <f t="shared" si="266"/>
        <v/>
      </c>
      <c r="V2149" s="59" t="str">
        <f t="shared" si="267"/>
        <v/>
      </c>
      <c r="W2149" s="59" t="str">
        <f t="shared" si="264"/>
        <v/>
      </c>
      <c r="X2149" s="59" t="str">
        <f t="shared" si="268"/>
        <v/>
      </c>
      <c r="AC2149" s="50">
        <f t="shared" si="269"/>
        <v>0</v>
      </c>
      <c r="AD2149" s="43">
        <f t="shared" si="270"/>
        <v>0</v>
      </c>
      <c r="AE2149" s="50">
        <f t="shared" si="271"/>
        <v>0</v>
      </c>
    </row>
    <row r="2150" spans="1:31">
      <c r="A2150" s="59" t="str">
        <f t="shared" si="265"/>
        <v/>
      </c>
      <c r="B2150" s="59" t="str">
        <f t="shared" si="266"/>
        <v/>
      </c>
      <c r="V2150" s="59" t="str">
        <f t="shared" si="267"/>
        <v/>
      </c>
      <c r="W2150" s="59" t="str">
        <f t="shared" si="264"/>
        <v/>
      </c>
      <c r="X2150" s="59" t="str">
        <f t="shared" si="268"/>
        <v/>
      </c>
      <c r="AC2150" s="50">
        <f t="shared" si="269"/>
        <v>0</v>
      </c>
      <c r="AD2150" s="43">
        <f t="shared" si="270"/>
        <v>0</v>
      </c>
      <c r="AE2150" s="50">
        <f t="shared" si="271"/>
        <v>0</v>
      </c>
    </row>
    <row r="2151" spans="1:31">
      <c r="A2151" s="59" t="str">
        <f t="shared" si="265"/>
        <v/>
      </c>
      <c r="B2151" s="59" t="str">
        <f t="shared" si="266"/>
        <v/>
      </c>
      <c r="V2151" s="59" t="str">
        <f t="shared" si="267"/>
        <v/>
      </c>
      <c r="W2151" s="59" t="str">
        <f t="shared" si="264"/>
        <v/>
      </c>
      <c r="X2151" s="59" t="str">
        <f t="shared" si="268"/>
        <v/>
      </c>
      <c r="AC2151" s="50">
        <f t="shared" si="269"/>
        <v>0</v>
      </c>
      <c r="AD2151" s="43">
        <f t="shared" si="270"/>
        <v>0</v>
      </c>
      <c r="AE2151" s="50">
        <f t="shared" si="271"/>
        <v>0</v>
      </c>
    </row>
    <row r="2152" spans="1:31">
      <c r="A2152" s="59" t="str">
        <f t="shared" si="265"/>
        <v/>
      </c>
      <c r="B2152" s="59" t="str">
        <f t="shared" si="266"/>
        <v/>
      </c>
      <c r="V2152" s="59" t="str">
        <f t="shared" si="267"/>
        <v/>
      </c>
      <c r="W2152" s="59" t="str">
        <f t="shared" si="264"/>
        <v/>
      </c>
      <c r="X2152" s="59" t="str">
        <f t="shared" si="268"/>
        <v/>
      </c>
      <c r="AC2152" s="50">
        <f t="shared" si="269"/>
        <v>0</v>
      </c>
      <c r="AD2152" s="43">
        <f t="shared" si="270"/>
        <v>0</v>
      </c>
      <c r="AE2152" s="50">
        <f t="shared" si="271"/>
        <v>0</v>
      </c>
    </row>
    <row r="2153" spans="1:31">
      <c r="A2153" s="59" t="str">
        <f t="shared" si="265"/>
        <v/>
      </c>
      <c r="B2153" s="59" t="str">
        <f t="shared" si="266"/>
        <v/>
      </c>
      <c r="V2153" s="59" t="str">
        <f t="shared" si="267"/>
        <v/>
      </c>
      <c r="W2153" s="59" t="str">
        <f t="shared" si="264"/>
        <v/>
      </c>
      <c r="X2153" s="59" t="str">
        <f t="shared" si="268"/>
        <v/>
      </c>
      <c r="AC2153" s="50">
        <f t="shared" si="269"/>
        <v>0</v>
      </c>
      <c r="AD2153" s="43">
        <f t="shared" si="270"/>
        <v>0</v>
      </c>
      <c r="AE2153" s="50">
        <f t="shared" si="271"/>
        <v>0</v>
      </c>
    </row>
    <row r="2154" spans="1:31">
      <c r="A2154" s="59" t="str">
        <f t="shared" si="265"/>
        <v/>
      </c>
      <c r="B2154" s="59" t="str">
        <f t="shared" si="266"/>
        <v/>
      </c>
      <c r="V2154" s="59" t="str">
        <f t="shared" si="267"/>
        <v/>
      </c>
      <c r="W2154" s="59" t="str">
        <f t="shared" si="264"/>
        <v/>
      </c>
      <c r="X2154" s="59" t="str">
        <f t="shared" si="268"/>
        <v/>
      </c>
      <c r="AC2154" s="50">
        <f t="shared" si="269"/>
        <v>0</v>
      </c>
      <c r="AD2154" s="43">
        <f t="shared" si="270"/>
        <v>0</v>
      </c>
      <c r="AE2154" s="50">
        <f t="shared" si="271"/>
        <v>0</v>
      </c>
    </row>
    <row r="2155" spans="1:31">
      <c r="A2155" s="59" t="str">
        <f t="shared" si="265"/>
        <v/>
      </c>
      <c r="B2155" s="59" t="str">
        <f t="shared" si="266"/>
        <v/>
      </c>
      <c r="V2155" s="59" t="str">
        <f t="shared" si="267"/>
        <v/>
      </c>
      <c r="W2155" s="59" t="str">
        <f t="shared" si="264"/>
        <v/>
      </c>
      <c r="X2155" s="59" t="str">
        <f t="shared" si="268"/>
        <v/>
      </c>
      <c r="AC2155" s="50">
        <f t="shared" si="269"/>
        <v>0</v>
      </c>
      <c r="AD2155" s="43">
        <f t="shared" si="270"/>
        <v>0</v>
      </c>
      <c r="AE2155" s="50">
        <f t="shared" si="271"/>
        <v>0</v>
      </c>
    </row>
    <row r="2156" spans="1:31">
      <c r="A2156" s="59" t="str">
        <f t="shared" si="265"/>
        <v/>
      </c>
      <c r="B2156" s="59" t="str">
        <f t="shared" si="266"/>
        <v/>
      </c>
      <c r="V2156" s="59" t="str">
        <f t="shared" si="267"/>
        <v/>
      </c>
      <c r="W2156" s="59" t="str">
        <f t="shared" si="264"/>
        <v/>
      </c>
      <c r="X2156" s="59" t="str">
        <f t="shared" si="268"/>
        <v/>
      </c>
      <c r="AC2156" s="50">
        <f t="shared" si="269"/>
        <v>0</v>
      </c>
      <c r="AD2156" s="43">
        <f t="shared" si="270"/>
        <v>0</v>
      </c>
      <c r="AE2156" s="50">
        <f t="shared" si="271"/>
        <v>0</v>
      </c>
    </row>
    <row r="2157" spans="1:31">
      <c r="A2157" s="59" t="str">
        <f t="shared" si="265"/>
        <v/>
      </c>
      <c r="B2157" s="59" t="str">
        <f t="shared" si="266"/>
        <v/>
      </c>
      <c r="V2157" s="59" t="str">
        <f t="shared" si="267"/>
        <v/>
      </c>
      <c r="W2157" s="59" t="str">
        <f t="shared" si="264"/>
        <v/>
      </c>
      <c r="X2157" s="59" t="str">
        <f t="shared" si="268"/>
        <v/>
      </c>
      <c r="AC2157" s="50">
        <f t="shared" si="269"/>
        <v>0</v>
      </c>
      <c r="AD2157" s="43">
        <f t="shared" si="270"/>
        <v>0</v>
      </c>
      <c r="AE2157" s="50">
        <f t="shared" si="271"/>
        <v>0</v>
      </c>
    </row>
    <row r="2158" spans="1:31">
      <c r="A2158" s="59" t="str">
        <f t="shared" si="265"/>
        <v/>
      </c>
      <c r="B2158" s="59" t="str">
        <f t="shared" si="266"/>
        <v/>
      </c>
      <c r="V2158" s="59" t="str">
        <f t="shared" si="267"/>
        <v/>
      </c>
      <c r="W2158" s="59" t="str">
        <f t="shared" si="264"/>
        <v/>
      </c>
      <c r="X2158" s="59" t="str">
        <f t="shared" si="268"/>
        <v/>
      </c>
      <c r="AC2158" s="50">
        <f t="shared" si="269"/>
        <v>0</v>
      </c>
      <c r="AD2158" s="43">
        <f t="shared" si="270"/>
        <v>0</v>
      </c>
      <c r="AE2158" s="50">
        <f t="shared" si="271"/>
        <v>0</v>
      </c>
    </row>
    <row r="2159" spans="1:31">
      <c r="A2159" s="59" t="str">
        <f t="shared" si="265"/>
        <v/>
      </c>
      <c r="B2159" s="59" t="str">
        <f t="shared" si="266"/>
        <v/>
      </c>
      <c r="V2159" s="59" t="str">
        <f t="shared" si="267"/>
        <v/>
      </c>
      <c r="W2159" s="59" t="str">
        <f t="shared" si="264"/>
        <v/>
      </c>
      <c r="X2159" s="59" t="str">
        <f t="shared" si="268"/>
        <v/>
      </c>
      <c r="AC2159" s="50">
        <f t="shared" si="269"/>
        <v>0</v>
      </c>
      <c r="AD2159" s="43">
        <f t="shared" si="270"/>
        <v>0</v>
      </c>
      <c r="AE2159" s="50">
        <f t="shared" si="271"/>
        <v>0</v>
      </c>
    </row>
    <row r="2160" spans="1:31">
      <c r="A2160" s="59" t="str">
        <f t="shared" si="265"/>
        <v/>
      </c>
      <c r="B2160" s="59" t="str">
        <f t="shared" si="266"/>
        <v/>
      </c>
      <c r="V2160" s="59" t="str">
        <f t="shared" si="267"/>
        <v/>
      </c>
      <c r="W2160" s="59" t="str">
        <f t="shared" si="264"/>
        <v/>
      </c>
      <c r="X2160" s="59" t="str">
        <f t="shared" si="268"/>
        <v/>
      </c>
      <c r="AC2160" s="50">
        <f t="shared" si="269"/>
        <v>0</v>
      </c>
      <c r="AD2160" s="43">
        <f t="shared" si="270"/>
        <v>0</v>
      </c>
      <c r="AE2160" s="50">
        <f t="shared" si="271"/>
        <v>0</v>
      </c>
    </row>
    <row r="2161" spans="1:31">
      <c r="A2161" s="59" t="str">
        <f t="shared" si="265"/>
        <v/>
      </c>
      <c r="B2161" s="59" t="str">
        <f t="shared" si="266"/>
        <v/>
      </c>
      <c r="V2161" s="59" t="str">
        <f t="shared" si="267"/>
        <v/>
      </c>
      <c r="W2161" s="59" t="str">
        <f t="shared" si="264"/>
        <v/>
      </c>
      <c r="X2161" s="59" t="str">
        <f t="shared" si="268"/>
        <v/>
      </c>
      <c r="AC2161" s="50">
        <f t="shared" si="269"/>
        <v>0</v>
      </c>
      <c r="AD2161" s="43">
        <f t="shared" si="270"/>
        <v>0</v>
      </c>
      <c r="AE2161" s="50">
        <f t="shared" si="271"/>
        <v>0</v>
      </c>
    </row>
    <row r="2162" spans="1:31">
      <c r="A2162" s="59" t="str">
        <f t="shared" si="265"/>
        <v/>
      </c>
      <c r="B2162" s="59" t="str">
        <f t="shared" si="266"/>
        <v/>
      </c>
      <c r="V2162" s="59" t="str">
        <f t="shared" si="267"/>
        <v/>
      </c>
      <c r="W2162" s="59" t="str">
        <f t="shared" si="264"/>
        <v/>
      </c>
      <c r="X2162" s="59" t="str">
        <f t="shared" si="268"/>
        <v/>
      </c>
      <c r="AC2162" s="50">
        <f t="shared" si="269"/>
        <v>0</v>
      </c>
      <c r="AD2162" s="43">
        <f t="shared" si="270"/>
        <v>0</v>
      </c>
      <c r="AE2162" s="50">
        <f t="shared" si="271"/>
        <v>0</v>
      </c>
    </row>
    <row r="2163" spans="1:31">
      <c r="A2163" s="59" t="str">
        <f t="shared" si="265"/>
        <v/>
      </c>
      <c r="B2163" s="59" t="str">
        <f t="shared" si="266"/>
        <v/>
      </c>
      <c r="V2163" s="59" t="str">
        <f t="shared" si="267"/>
        <v/>
      </c>
      <c r="W2163" s="59" t="str">
        <f t="shared" si="264"/>
        <v/>
      </c>
      <c r="X2163" s="59" t="str">
        <f t="shared" si="268"/>
        <v/>
      </c>
      <c r="AC2163" s="50">
        <f t="shared" si="269"/>
        <v>0</v>
      </c>
      <c r="AD2163" s="43">
        <f t="shared" si="270"/>
        <v>0</v>
      </c>
      <c r="AE2163" s="50">
        <f t="shared" si="271"/>
        <v>0</v>
      </c>
    </row>
    <row r="2164" spans="1:31">
      <c r="A2164" s="59" t="str">
        <f t="shared" si="265"/>
        <v/>
      </c>
      <c r="B2164" s="59" t="str">
        <f t="shared" si="266"/>
        <v/>
      </c>
      <c r="V2164" s="59" t="str">
        <f t="shared" si="267"/>
        <v/>
      </c>
      <c r="W2164" s="59" t="str">
        <f t="shared" si="264"/>
        <v/>
      </c>
      <c r="X2164" s="59" t="str">
        <f t="shared" si="268"/>
        <v/>
      </c>
      <c r="AC2164" s="50">
        <f t="shared" si="269"/>
        <v>0</v>
      </c>
      <c r="AD2164" s="43">
        <f t="shared" si="270"/>
        <v>0</v>
      </c>
      <c r="AE2164" s="50">
        <f t="shared" si="271"/>
        <v>0</v>
      </c>
    </row>
    <row r="2165" spans="1:31">
      <c r="A2165" s="59" t="str">
        <f t="shared" si="265"/>
        <v/>
      </c>
      <c r="B2165" s="59" t="str">
        <f t="shared" si="266"/>
        <v/>
      </c>
      <c r="V2165" s="59" t="str">
        <f t="shared" si="267"/>
        <v/>
      </c>
      <c r="W2165" s="59" t="str">
        <f t="shared" si="264"/>
        <v/>
      </c>
      <c r="X2165" s="59" t="str">
        <f t="shared" si="268"/>
        <v/>
      </c>
      <c r="AC2165" s="50">
        <f t="shared" si="269"/>
        <v>0</v>
      </c>
      <c r="AD2165" s="43">
        <f t="shared" si="270"/>
        <v>0</v>
      </c>
      <c r="AE2165" s="50">
        <f t="shared" si="271"/>
        <v>0</v>
      </c>
    </row>
    <row r="2166" spans="1:31">
      <c r="A2166" s="59" t="str">
        <f t="shared" si="265"/>
        <v/>
      </c>
      <c r="B2166" s="59" t="str">
        <f t="shared" si="266"/>
        <v/>
      </c>
      <c r="V2166" s="59" t="str">
        <f t="shared" si="267"/>
        <v/>
      </c>
      <c r="W2166" s="59" t="str">
        <f t="shared" si="264"/>
        <v/>
      </c>
      <c r="X2166" s="59" t="str">
        <f t="shared" si="268"/>
        <v/>
      </c>
      <c r="AC2166" s="50">
        <f t="shared" si="269"/>
        <v>0</v>
      </c>
      <c r="AD2166" s="43">
        <f t="shared" si="270"/>
        <v>0</v>
      </c>
      <c r="AE2166" s="50">
        <f t="shared" si="271"/>
        <v>0</v>
      </c>
    </row>
    <row r="2167" spans="1:31">
      <c r="A2167" s="59" t="str">
        <f t="shared" si="265"/>
        <v/>
      </c>
      <c r="B2167" s="59" t="str">
        <f t="shared" si="266"/>
        <v/>
      </c>
      <c r="V2167" s="59" t="str">
        <f t="shared" si="267"/>
        <v/>
      </c>
      <c r="W2167" s="59" t="str">
        <f t="shared" si="264"/>
        <v/>
      </c>
      <c r="X2167" s="59" t="str">
        <f t="shared" si="268"/>
        <v/>
      </c>
      <c r="AC2167" s="50">
        <f t="shared" si="269"/>
        <v>0</v>
      </c>
      <c r="AD2167" s="43">
        <f t="shared" si="270"/>
        <v>0</v>
      </c>
      <c r="AE2167" s="50">
        <f t="shared" si="271"/>
        <v>0</v>
      </c>
    </row>
    <row r="2168" spans="1:31">
      <c r="A2168" s="59" t="str">
        <f t="shared" si="265"/>
        <v/>
      </c>
      <c r="B2168" s="59" t="str">
        <f t="shared" si="266"/>
        <v/>
      </c>
      <c r="V2168" s="59" t="str">
        <f t="shared" si="267"/>
        <v/>
      </c>
      <c r="W2168" s="59" t="str">
        <f t="shared" si="264"/>
        <v/>
      </c>
      <c r="X2168" s="59" t="str">
        <f t="shared" si="268"/>
        <v/>
      </c>
      <c r="AC2168" s="50">
        <f t="shared" si="269"/>
        <v>0</v>
      </c>
      <c r="AD2168" s="43">
        <f t="shared" si="270"/>
        <v>0</v>
      </c>
      <c r="AE2168" s="50">
        <f t="shared" si="271"/>
        <v>0</v>
      </c>
    </row>
    <row r="2169" spans="1:31">
      <c r="A2169" s="59" t="str">
        <f t="shared" si="265"/>
        <v/>
      </c>
      <c r="B2169" s="59" t="str">
        <f t="shared" si="266"/>
        <v/>
      </c>
      <c r="V2169" s="59" t="str">
        <f t="shared" si="267"/>
        <v/>
      </c>
      <c r="W2169" s="59" t="str">
        <f t="shared" si="264"/>
        <v/>
      </c>
      <c r="X2169" s="59" t="str">
        <f t="shared" si="268"/>
        <v/>
      </c>
      <c r="AC2169" s="50">
        <f t="shared" si="269"/>
        <v>0</v>
      </c>
      <c r="AD2169" s="43">
        <f t="shared" si="270"/>
        <v>0</v>
      </c>
      <c r="AE2169" s="50">
        <f t="shared" si="271"/>
        <v>0</v>
      </c>
    </row>
    <row r="2170" spans="1:31">
      <c r="A2170" s="59" t="str">
        <f t="shared" si="265"/>
        <v/>
      </c>
      <c r="B2170" s="59" t="str">
        <f t="shared" si="266"/>
        <v/>
      </c>
      <c r="V2170" s="59" t="str">
        <f t="shared" si="267"/>
        <v/>
      </c>
      <c r="W2170" s="59" t="str">
        <f t="shared" si="264"/>
        <v/>
      </c>
      <c r="X2170" s="59" t="str">
        <f t="shared" si="268"/>
        <v/>
      </c>
      <c r="AC2170" s="50">
        <f t="shared" si="269"/>
        <v>0</v>
      </c>
      <c r="AD2170" s="43">
        <f t="shared" si="270"/>
        <v>0</v>
      </c>
      <c r="AE2170" s="50">
        <f t="shared" si="271"/>
        <v>0</v>
      </c>
    </row>
    <row r="2171" spans="1:31">
      <c r="A2171" s="59" t="str">
        <f t="shared" si="265"/>
        <v/>
      </c>
      <c r="B2171" s="59" t="str">
        <f t="shared" si="266"/>
        <v/>
      </c>
      <c r="V2171" s="59" t="str">
        <f t="shared" si="267"/>
        <v/>
      </c>
      <c r="W2171" s="59" t="str">
        <f t="shared" si="264"/>
        <v/>
      </c>
      <c r="X2171" s="59" t="str">
        <f t="shared" si="268"/>
        <v/>
      </c>
      <c r="AC2171" s="50">
        <f t="shared" si="269"/>
        <v>0</v>
      </c>
      <c r="AD2171" s="43">
        <f t="shared" si="270"/>
        <v>0</v>
      </c>
      <c r="AE2171" s="50">
        <f t="shared" si="271"/>
        <v>0</v>
      </c>
    </row>
    <row r="2172" spans="1:31">
      <c r="A2172" s="59" t="str">
        <f t="shared" si="265"/>
        <v/>
      </c>
      <c r="B2172" s="59" t="str">
        <f t="shared" si="266"/>
        <v/>
      </c>
      <c r="V2172" s="59" t="str">
        <f t="shared" si="267"/>
        <v/>
      </c>
      <c r="W2172" s="59" t="str">
        <f t="shared" si="264"/>
        <v/>
      </c>
      <c r="X2172" s="59" t="str">
        <f t="shared" si="268"/>
        <v/>
      </c>
      <c r="AC2172" s="50">
        <f t="shared" si="269"/>
        <v>0</v>
      </c>
      <c r="AD2172" s="43">
        <f t="shared" si="270"/>
        <v>0</v>
      </c>
      <c r="AE2172" s="50">
        <f t="shared" si="271"/>
        <v>0</v>
      </c>
    </row>
    <row r="2173" spans="1:31">
      <c r="A2173" s="59" t="str">
        <f t="shared" si="265"/>
        <v/>
      </c>
      <c r="B2173" s="59" t="str">
        <f t="shared" si="266"/>
        <v/>
      </c>
      <c r="V2173" s="59" t="str">
        <f t="shared" si="267"/>
        <v/>
      </c>
      <c r="W2173" s="59" t="str">
        <f t="shared" si="264"/>
        <v/>
      </c>
      <c r="X2173" s="59" t="str">
        <f t="shared" si="268"/>
        <v/>
      </c>
      <c r="AC2173" s="50">
        <f t="shared" si="269"/>
        <v>0</v>
      </c>
      <c r="AD2173" s="43">
        <f t="shared" si="270"/>
        <v>0</v>
      </c>
      <c r="AE2173" s="50">
        <f t="shared" si="271"/>
        <v>0</v>
      </c>
    </row>
    <row r="2174" spans="1:31">
      <c r="A2174" s="59" t="str">
        <f t="shared" si="265"/>
        <v/>
      </c>
      <c r="B2174" s="59" t="str">
        <f t="shared" si="266"/>
        <v/>
      </c>
      <c r="V2174" s="59" t="str">
        <f t="shared" si="267"/>
        <v/>
      </c>
      <c r="W2174" s="59" t="str">
        <f t="shared" si="264"/>
        <v/>
      </c>
      <c r="X2174" s="59" t="str">
        <f t="shared" si="268"/>
        <v/>
      </c>
      <c r="AC2174" s="50">
        <f t="shared" si="269"/>
        <v>0</v>
      </c>
      <c r="AD2174" s="43">
        <f t="shared" si="270"/>
        <v>0</v>
      </c>
      <c r="AE2174" s="50">
        <f t="shared" si="271"/>
        <v>0</v>
      </c>
    </row>
    <row r="2175" spans="1:31">
      <c r="A2175" s="59" t="str">
        <f t="shared" si="265"/>
        <v/>
      </c>
      <c r="B2175" s="59" t="str">
        <f t="shared" si="266"/>
        <v/>
      </c>
      <c r="V2175" s="59" t="str">
        <f t="shared" si="267"/>
        <v/>
      </c>
      <c r="W2175" s="59" t="str">
        <f t="shared" si="264"/>
        <v/>
      </c>
      <c r="X2175" s="59" t="str">
        <f t="shared" si="268"/>
        <v/>
      </c>
      <c r="AC2175" s="50">
        <f t="shared" si="269"/>
        <v>0</v>
      </c>
      <c r="AD2175" s="43">
        <f t="shared" si="270"/>
        <v>0</v>
      </c>
      <c r="AE2175" s="50">
        <f t="shared" si="271"/>
        <v>0</v>
      </c>
    </row>
    <row r="2176" spans="1:31">
      <c r="A2176" s="59" t="str">
        <f t="shared" si="265"/>
        <v/>
      </c>
      <c r="B2176" s="59" t="str">
        <f t="shared" si="266"/>
        <v/>
      </c>
      <c r="V2176" s="59" t="str">
        <f t="shared" si="267"/>
        <v/>
      </c>
      <c r="W2176" s="59" t="str">
        <f t="shared" si="264"/>
        <v/>
      </c>
      <c r="X2176" s="59" t="str">
        <f t="shared" si="268"/>
        <v/>
      </c>
      <c r="AC2176" s="50">
        <f t="shared" si="269"/>
        <v>0</v>
      </c>
      <c r="AD2176" s="43">
        <f t="shared" si="270"/>
        <v>0</v>
      </c>
      <c r="AE2176" s="50">
        <f t="shared" si="271"/>
        <v>0</v>
      </c>
    </row>
    <row r="2177" spans="1:31">
      <c r="A2177" s="59" t="str">
        <f t="shared" si="265"/>
        <v/>
      </c>
      <c r="B2177" s="59" t="str">
        <f t="shared" si="266"/>
        <v/>
      </c>
      <c r="V2177" s="59" t="str">
        <f t="shared" si="267"/>
        <v/>
      </c>
      <c r="W2177" s="59" t="str">
        <f t="shared" si="264"/>
        <v/>
      </c>
      <c r="X2177" s="59" t="str">
        <f t="shared" si="268"/>
        <v/>
      </c>
      <c r="AC2177" s="50">
        <f t="shared" si="269"/>
        <v>0</v>
      </c>
      <c r="AD2177" s="43">
        <f t="shared" si="270"/>
        <v>0</v>
      </c>
      <c r="AE2177" s="50">
        <f t="shared" si="271"/>
        <v>0</v>
      </c>
    </row>
    <row r="2178" spans="1:31">
      <c r="A2178" s="59" t="str">
        <f t="shared" si="265"/>
        <v/>
      </c>
      <c r="B2178" s="59" t="str">
        <f t="shared" si="266"/>
        <v/>
      </c>
      <c r="V2178" s="59" t="str">
        <f t="shared" si="267"/>
        <v/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59" t="str">
        <f t="shared" si="268"/>
        <v/>
      </c>
      <c r="AC2178" s="50">
        <f t="shared" si="269"/>
        <v>0</v>
      </c>
      <c r="AD2178" s="43">
        <f t="shared" si="270"/>
        <v>0</v>
      </c>
      <c r="AE2178" s="50">
        <f t="shared" si="271"/>
        <v>0</v>
      </c>
    </row>
    <row r="2179" spans="1:31">
      <c r="A2179" s="59" t="str">
        <f t="shared" ref="A2179:A2242" si="273">IF(G2179&amp;Q2179&lt;&gt;"",W2179&amp;Q2179,"")</f>
        <v/>
      </c>
      <c r="B2179" s="59" t="str">
        <f t="shared" ref="B2179:B2242" si="274">IF(C2179&lt;&gt;"",LEFT(C2179,9),"")</f>
        <v/>
      </c>
      <c r="V2179" s="59" t="str">
        <f t="shared" ref="V2179:V2242" si="275">W2179&amp;H2179</f>
        <v/>
      </c>
      <c r="W2179" s="59" t="str">
        <f t="shared" si="272"/>
        <v/>
      </c>
      <c r="X2179" s="59" t="str">
        <f t="shared" ref="X2179:X2242" si="276">IF(A2179&lt;&gt;"",IFERROR(IF(FIND(" ",G2179)&gt;=1,MID(G2179,FIND(" ",G2179)+1,LEN(G2179)),""),""),"")</f>
        <v/>
      </c>
      <c r="AC2179" s="50">
        <f t="shared" ref="AC2179:AC2242" si="277">IFERROR(VALUE(MID($C2179,1,2)),0)</f>
        <v>0</v>
      </c>
      <c r="AD2179" s="43">
        <f t="shared" ref="AD2179:AD2242" si="278">IFERROR(VALUE(MID($C2179,4,3)),0)</f>
        <v>0</v>
      </c>
      <c r="AE2179" s="50">
        <f t="shared" ref="AE2179:AE2242" si="279">VALUE(RIGHT("00"&amp;AC2179,2)&amp;RIGHT("000"&amp;AD2179,3))</f>
        <v>0</v>
      </c>
    </row>
    <row r="2180" spans="1:31">
      <c r="A2180" s="59" t="str">
        <f t="shared" si="273"/>
        <v/>
      </c>
      <c r="B2180" s="59" t="str">
        <f t="shared" si="274"/>
        <v/>
      </c>
      <c r="V2180" s="59" t="str">
        <f t="shared" si="275"/>
        <v/>
      </c>
      <c r="W2180" s="59" t="str">
        <f t="shared" si="272"/>
        <v/>
      </c>
      <c r="X2180" s="59" t="str">
        <f t="shared" si="276"/>
        <v/>
      </c>
      <c r="AC2180" s="50">
        <f t="shared" si="277"/>
        <v>0</v>
      </c>
      <c r="AD2180" s="43">
        <f t="shared" si="278"/>
        <v>0</v>
      </c>
      <c r="AE2180" s="50">
        <f t="shared" si="279"/>
        <v>0</v>
      </c>
    </row>
    <row r="2181" spans="1:31">
      <c r="A2181" s="59" t="str">
        <f t="shared" si="273"/>
        <v/>
      </c>
      <c r="B2181" s="59" t="str">
        <f t="shared" si="274"/>
        <v/>
      </c>
      <c r="V2181" s="59" t="str">
        <f t="shared" si="275"/>
        <v/>
      </c>
      <c r="W2181" s="59" t="str">
        <f t="shared" si="272"/>
        <v/>
      </c>
      <c r="X2181" s="59" t="str">
        <f t="shared" si="276"/>
        <v/>
      </c>
      <c r="AC2181" s="50">
        <f t="shared" si="277"/>
        <v>0</v>
      </c>
      <c r="AD2181" s="43">
        <f t="shared" si="278"/>
        <v>0</v>
      </c>
      <c r="AE2181" s="50">
        <f t="shared" si="279"/>
        <v>0</v>
      </c>
    </row>
    <row r="2182" spans="1:31">
      <c r="A2182" s="59" t="str">
        <f t="shared" si="273"/>
        <v/>
      </c>
      <c r="B2182" s="59" t="str">
        <f t="shared" si="274"/>
        <v/>
      </c>
      <c r="V2182" s="59" t="str">
        <f t="shared" si="275"/>
        <v/>
      </c>
      <c r="W2182" s="59" t="str">
        <f t="shared" si="272"/>
        <v/>
      </c>
      <c r="X2182" s="59" t="str">
        <f t="shared" si="276"/>
        <v/>
      </c>
      <c r="AC2182" s="50">
        <f t="shared" si="277"/>
        <v>0</v>
      </c>
      <c r="AD2182" s="43">
        <f t="shared" si="278"/>
        <v>0</v>
      </c>
      <c r="AE2182" s="50">
        <f t="shared" si="279"/>
        <v>0</v>
      </c>
    </row>
    <row r="2183" spans="1:31">
      <c r="A2183" s="59" t="str">
        <f t="shared" si="273"/>
        <v/>
      </c>
      <c r="B2183" s="59" t="str">
        <f t="shared" si="274"/>
        <v/>
      </c>
      <c r="V2183" s="59" t="str">
        <f t="shared" si="275"/>
        <v/>
      </c>
      <c r="W2183" s="59" t="str">
        <f t="shared" si="272"/>
        <v/>
      </c>
      <c r="X2183" s="59" t="str">
        <f t="shared" si="276"/>
        <v/>
      </c>
      <c r="AC2183" s="50">
        <f t="shared" si="277"/>
        <v>0</v>
      </c>
      <c r="AD2183" s="43">
        <f t="shared" si="278"/>
        <v>0</v>
      </c>
      <c r="AE2183" s="50">
        <f t="shared" si="279"/>
        <v>0</v>
      </c>
    </row>
    <row r="2184" spans="1:31">
      <c r="A2184" s="59" t="str">
        <f t="shared" si="273"/>
        <v/>
      </c>
      <c r="B2184" s="59" t="str">
        <f t="shared" si="274"/>
        <v/>
      </c>
      <c r="V2184" s="59" t="str">
        <f t="shared" si="275"/>
        <v/>
      </c>
      <c r="W2184" s="59" t="str">
        <f t="shared" si="272"/>
        <v/>
      </c>
      <c r="X2184" s="59" t="str">
        <f t="shared" si="276"/>
        <v/>
      </c>
      <c r="AC2184" s="50">
        <f t="shared" si="277"/>
        <v>0</v>
      </c>
      <c r="AD2184" s="43">
        <f t="shared" si="278"/>
        <v>0</v>
      </c>
      <c r="AE2184" s="50">
        <f t="shared" si="279"/>
        <v>0</v>
      </c>
    </row>
    <row r="2185" spans="1:31">
      <c r="A2185" s="59" t="str">
        <f t="shared" si="273"/>
        <v/>
      </c>
      <c r="B2185" s="59" t="str">
        <f t="shared" si="274"/>
        <v/>
      </c>
      <c r="V2185" s="59" t="str">
        <f t="shared" si="275"/>
        <v/>
      </c>
      <c r="W2185" s="59" t="str">
        <f t="shared" si="272"/>
        <v/>
      </c>
      <c r="X2185" s="59" t="str">
        <f t="shared" si="276"/>
        <v/>
      </c>
      <c r="AC2185" s="50">
        <f t="shared" si="277"/>
        <v>0</v>
      </c>
      <c r="AD2185" s="43">
        <f t="shared" si="278"/>
        <v>0</v>
      </c>
      <c r="AE2185" s="50">
        <f t="shared" si="279"/>
        <v>0</v>
      </c>
    </row>
    <row r="2186" spans="1:31">
      <c r="A2186" s="59" t="str">
        <f t="shared" si="273"/>
        <v/>
      </c>
      <c r="B2186" s="59" t="str">
        <f t="shared" si="274"/>
        <v/>
      </c>
      <c r="V2186" s="59" t="str">
        <f t="shared" si="275"/>
        <v/>
      </c>
      <c r="W2186" s="59" t="str">
        <f t="shared" si="272"/>
        <v/>
      </c>
      <c r="X2186" s="59" t="str">
        <f t="shared" si="276"/>
        <v/>
      </c>
      <c r="AC2186" s="50">
        <f t="shared" si="277"/>
        <v>0</v>
      </c>
      <c r="AD2186" s="43">
        <f t="shared" si="278"/>
        <v>0</v>
      </c>
      <c r="AE2186" s="50">
        <f t="shared" si="279"/>
        <v>0</v>
      </c>
    </row>
    <row r="2187" spans="1:31">
      <c r="A2187" s="59" t="str">
        <f t="shared" si="273"/>
        <v/>
      </c>
      <c r="B2187" s="59" t="str">
        <f t="shared" si="274"/>
        <v/>
      </c>
      <c r="V2187" s="59" t="str">
        <f t="shared" si="275"/>
        <v/>
      </c>
      <c r="W2187" s="59" t="str">
        <f t="shared" si="272"/>
        <v/>
      </c>
      <c r="X2187" s="59" t="str">
        <f t="shared" si="276"/>
        <v/>
      </c>
      <c r="AC2187" s="50">
        <f t="shared" si="277"/>
        <v>0</v>
      </c>
      <c r="AD2187" s="43">
        <f t="shared" si="278"/>
        <v>0</v>
      </c>
      <c r="AE2187" s="50">
        <f t="shared" si="279"/>
        <v>0</v>
      </c>
    </row>
    <row r="2188" spans="1:31">
      <c r="A2188" s="59" t="str">
        <f t="shared" si="273"/>
        <v/>
      </c>
      <c r="B2188" s="59" t="str">
        <f t="shared" si="274"/>
        <v/>
      </c>
      <c r="V2188" s="59" t="str">
        <f t="shared" si="275"/>
        <v/>
      </c>
      <c r="W2188" s="59" t="str">
        <f t="shared" si="272"/>
        <v/>
      </c>
      <c r="X2188" s="59" t="str">
        <f t="shared" si="276"/>
        <v/>
      </c>
      <c r="AC2188" s="50">
        <f t="shared" si="277"/>
        <v>0</v>
      </c>
      <c r="AD2188" s="43">
        <f t="shared" si="278"/>
        <v>0</v>
      </c>
      <c r="AE2188" s="50">
        <f t="shared" si="279"/>
        <v>0</v>
      </c>
    </row>
    <row r="2189" spans="1:31">
      <c r="A2189" s="59" t="str">
        <f t="shared" si="273"/>
        <v/>
      </c>
      <c r="B2189" s="59" t="str">
        <f t="shared" si="274"/>
        <v/>
      </c>
      <c r="V2189" s="59" t="str">
        <f t="shared" si="275"/>
        <v/>
      </c>
      <c r="W2189" s="59" t="str">
        <f t="shared" si="272"/>
        <v/>
      </c>
      <c r="X2189" s="59" t="str">
        <f t="shared" si="276"/>
        <v/>
      </c>
      <c r="AC2189" s="50">
        <f t="shared" si="277"/>
        <v>0</v>
      </c>
      <c r="AD2189" s="43">
        <f t="shared" si="278"/>
        <v>0</v>
      </c>
      <c r="AE2189" s="50">
        <f t="shared" si="279"/>
        <v>0</v>
      </c>
    </row>
    <row r="2190" spans="1:31">
      <c r="A2190" s="59" t="str">
        <f t="shared" si="273"/>
        <v/>
      </c>
      <c r="B2190" s="59" t="str">
        <f t="shared" si="274"/>
        <v/>
      </c>
      <c r="V2190" s="59" t="str">
        <f t="shared" si="275"/>
        <v/>
      </c>
      <c r="W2190" s="59" t="str">
        <f t="shared" si="272"/>
        <v/>
      </c>
      <c r="X2190" s="59" t="str">
        <f t="shared" si="276"/>
        <v/>
      </c>
      <c r="AC2190" s="50">
        <f t="shared" si="277"/>
        <v>0</v>
      </c>
      <c r="AD2190" s="43">
        <f t="shared" si="278"/>
        <v>0</v>
      </c>
      <c r="AE2190" s="50">
        <f t="shared" si="279"/>
        <v>0</v>
      </c>
    </row>
    <row r="2191" spans="1:31">
      <c r="A2191" s="59" t="str">
        <f t="shared" si="273"/>
        <v/>
      </c>
      <c r="B2191" s="59" t="str">
        <f t="shared" si="274"/>
        <v/>
      </c>
      <c r="V2191" s="59" t="str">
        <f t="shared" si="275"/>
        <v/>
      </c>
      <c r="W2191" s="59" t="str">
        <f t="shared" si="272"/>
        <v/>
      </c>
      <c r="X2191" s="59" t="str">
        <f t="shared" si="276"/>
        <v/>
      </c>
      <c r="AC2191" s="50">
        <f t="shared" si="277"/>
        <v>0</v>
      </c>
      <c r="AD2191" s="43">
        <f t="shared" si="278"/>
        <v>0</v>
      </c>
      <c r="AE2191" s="50">
        <f t="shared" si="279"/>
        <v>0</v>
      </c>
    </row>
    <row r="2192" spans="1:31">
      <c r="A2192" s="59" t="str">
        <f t="shared" si="273"/>
        <v/>
      </c>
      <c r="B2192" s="59" t="str">
        <f t="shared" si="274"/>
        <v/>
      </c>
      <c r="V2192" s="59" t="str">
        <f t="shared" si="275"/>
        <v/>
      </c>
      <c r="W2192" s="59" t="str">
        <f t="shared" si="272"/>
        <v/>
      </c>
      <c r="X2192" s="59" t="str">
        <f t="shared" si="276"/>
        <v/>
      </c>
      <c r="AC2192" s="50">
        <f t="shared" si="277"/>
        <v>0</v>
      </c>
      <c r="AD2192" s="43">
        <f t="shared" si="278"/>
        <v>0</v>
      </c>
      <c r="AE2192" s="50">
        <f t="shared" si="279"/>
        <v>0</v>
      </c>
    </row>
    <row r="2193" spans="1:31">
      <c r="A2193" s="59" t="str">
        <f t="shared" si="273"/>
        <v/>
      </c>
      <c r="B2193" s="59" t="str">
        <f t="shared" si="274"/>
        <v/>
      </c>
      <c r="V2193" s="59" t="str">
        <f t="shared" si="275"/>
        <v/>
      </c>
      <c r="W2193" s="59" t="str">
        <f t="shared" si="272"/>
        <v/>
      </c>
      <c r="X2193" s="59" t="str">
        <f t="shared" si="276"/>
        <v/>
      </c>
      <c r="AC2193" s="50">
        <f t="shared" si="277"/>
        <v>0</v>
      </c>
      <c r="AD2193" s="43">
        <f t="shared" si="278"/>
        <v>0</v>
      </c>
      <c r="AE2193" s="50">
        <f t="shared" si="279"/>
        <v>0</v>
      </c>
    </row>
    <row r="2194" spans="1:31">
      <c r="A2194" s="59" t="str">
        <f t="shared" si="273"/>
        <v/>
      </c>
      <c r="B2194" s="59" t="str">
        <f t="shared" si="274"/>
        <v/>
      </c>
      <c r="V2194" s="59" t="str">
        <f t="shared" si="275"/>
        <v/>
      </c>
      <c r="W2194" s="59" t="str">
        <f t="shared" si="272"/>
        <v/>
      </c>
      <c r="X2194" s="59" t="str">
        <f t="shared" si="276"/>
        <v/>
      </c>
      <c r="AC2194" s="50">
        <f t="shared" si="277"/>
        <v>0</v>
      </c>
      <c r="AD2194" s="43">
        <f t="shared" si="278"/>
        <v>0</v>
      </c>
      <c r="AE2194" s="50">
        <f t="shared" si="279"/>
        <v>0</v>
      </c>
    </row>
    <row r="2195" spans="1:31">
      <c r="A2195" s="59" t="str">
        <f t="shared" si="273"/>
        <v/>
      </c>
      <c r="B2195" s="59" t="str">
        <f t="shared" si="274"/>
        <v/>
      </c>
      <c r="V2195" s="59" t="str">
        <f t="shared" si="275"/>
        <v/>
      </c>
      <c r="W2195" s="59" t="str">
        <f t="shared" si="272"/>
        <v/>
      </c>
      <c r="X2195" s="59" t="str">
        <f t="shared" si="276"/>
        <v/>
      </c>
      <c r="AC2195" s="50">
        <f t="shared" si="277"/>
        <v>0</v>
      </c>
      <c r="AD2195" s="43">
        <f t="shared" si="278"/>
        <v>0</v>
      </c>
      <c r="AE2195" s="50">
        <f t="shared" si="279"/>
        <v>0</v>
      </c>
    </row>
    <row r="2196" spans="1:31">
      <c r="A2196" s="59" t="str">
        <f t="shared" si="273"/>
        <v/>
      </c>
      <c r="B2196" s="59" t="str">
        <f t="shared" si="274"/>
        <v/>
      </c>
      <c r="V2196" s="59" t="str">
        <f t="shared" si="275"/>
        <v/>
      </c>
      <c r="W2196" s="59" t="str">
        <f t="shared" si="272"/>
        <v/>
      </c>
      <c r="X2196" s="59" t="str">
        <f t="shared" si="276"/>
        <v/>
      </c>
      <c r="AC2196" s="50">
        <f t="shared" si="277"/>
        <v>0</v>
      </c>
      <c r="AD2196" s="43">
        <f t="shared" si="278"/>
        <v>0</v>
      </c>
      <c r="AE2196" s="50">
        <f t="shared" si="279"/>
        <v>0</v>
      </c>
    </row>
    <row r="2197" spans="1:31">
      <c r="A2197" s="59" t="str">
        <f t="shared" si="273"/>
        <v/>
      </c>
      <c r="B2197" s="59" t="str">
        <f t="shared" si="274"/>
        <v/>
      </c>
      <c r="V2197" s="59" t="str">
        <f t="shared" si="275"/>
        <v/>
      </c>
      <c r="W2197" s="59" t="str">
        <f t="shared" si="272"/>
        <v/>
      </c>
      <c r="X2197" s="59" t="str">
        <f t="shared" si="276"/>
        <v/>
      </c>
      <c r="AC2197" s="50">
        <f t="shared" si="277"/>
        <v>0</v>
      </c>
      <c r="AD2197" s="43">
        <f t="shared" si="278"/>
        <v>0</v>
      </c>
      <c r="AE2197" s="50">
        <f t="shared" si="279"/>
        <v>0</v>
      </c>
    </row>
    <row r="2198" spans="1:31">
      <c r="A2198" s="59" t="str">
        <f t="shared" si="273"/>
        <v/>
      </c>
      <c r="B2198" s="59" t="str">
        <f t="shared" si="274"/>
        <v/>
      </c>
      <c r="V2198" s="59" t="str">
        <f t="shared" si="275"/>
        <v/>
      </c>
      <c r="W2198" s="59" t="str">
        <f t="shared" si="272"/>
        <v/>
      </c>
      <c r="X2198" s="59" t="str">
        <f t="shared" si="276"/>
        <v/>
      </c>
      <c r="AC2198" s="50">
        <f t="shared" si="277"/>
        <v>0</v>
      </c>
      <c r="AD2198" s="43">
        <f t="shared" si="278"/>
        <v>0</v>
      </c>
      <c r="AE2198" s="50">
        <f t="shared" si="279"/>
        <v>0</v>
      </c>
    </row>
    <row r="2199" spans="1:31">
      <c r="A2199" s="59" t="str">
        <f t="shared" si="273"/>
        <v/>
      </c>
      <c r="B2199" s="59" t="str">
        <f t="shared" si="274"/>
        <v/>
      </c>
      <c r="V2199" s="59" t="str">
        <f t="shared" si="275"/>
        <v/>
      </c>
      <c r="W2199" s="59" t="str">
        <f t="shared" si="272"/>
        <v/>
      </c>
      <c r="X2199" s="59" t="str">
        <f t="shared" si="276"/>
        <v/>
      </c>
      <c r="AC2199" s="50">
        <f t="shared" si="277"/>
        <v>0</v>
      </c>
      <c r="AD2199" s="43">
        <f t="shared" si="278"/>
        <v>0</v>
      </c>
      <c r="AE2199" s="50">
        <f t="shared" si="279"/>
        <v>0</v>
      </c>
    </row>
    <row r="2200" spans="1:31">
      <c r="A2200" s="59" t="str">
        <f t="shared" si="273"/>
        <v/>
      </c>
      <c r="B2200" s="59" t="str">
        <f t="shared" si="274"/>
        <v/>
      </c>
      <c r="V2200" s="59" t="str">
        <f t="shared" si="275"/>
        <v/>
      </c>
      <c r="W2200" s="59" t="str">
        <f t="shared" si="272"/>
        <v/>
      </c>
      <c r="X2200" s="59" t="str">
        <f t="shared" si="276"/>
        <v/>
      </c>
      <c r="AC2200" s="50">
        <f t="shared" si="277"/>
        <v>0</v>
      </c>
      <c r="AD2200" s="43">
        <f t="shared" si="278"/>
        <v>0</v>
      </c>
      <c r="AE2200" s="50">
        <f t="shared" si="279"/>
        <v>0</v>
      </c>
    </row>
    <row r="2201" spans="1:31">
      <c r="A2201" s="59" t="str">
        <f t="shared" si="273"/>
        <v/>
      </c>
      <c r="B2201" s="59" t="str">
        <f t="shared" si="274"/>
        <v/>
      </c>
      <c r="V2201" s="59" t="str">
        <f t="shared" si="275"/>
        <v/>
      </c>
      <c r="W2201" s="59" t="str">
        <f t="shared" si="272"/>
        <v/>
      </c>
      <c r="X2201" s="59" t="str">
        <f t="shared" si="276"/>
        <v/>
      </c>
      <c r="AC2201" s="50">
        <f t="shared" si="277"/>
        <v>0</v>
      </c>
      <c r="AD2201" s="43">
        <f t="shared" si="278"/>
        <v>0</v>
      </c>
      <c r="AE2201" s="50">
        <f t="shared" si="279"/>
        <v>0</v>
      </c>
    </row>
    <row r="2202" spans="1:31">
      <c r="A2202" s="59" t="str">
        <f t="shared" si="273"/>
        <v/>
      </c>
      <c r="B2202" s="59" t="str">
        <f t="shared" si="274"/>
        <v/>
      </c>
      <c r="V2202" s="59" t="str">
        <f t="shared" si="275"/>
        <v/>
      </c>
      <c r="W2202" s="59" t="str">
        <f t="shared" si="272"/>
        <v/>
      </c>
      <c r="X2202" s="59" t="str">
        <f t="shared" si="276"/>
        <v/>
      </c>
      <c r="AC2202" s="50">
        <f t="shared" si="277"/>
        <v>0</v>
      </c>
      <c r="AD2202" s="43">
        <f t="shared" si="278"/>
        <v>0</v>
      </c>
      <c r="AE2202" s="50">
        <f t="shared" si="279"/>
        <v>0</v>
      </c>
    </row>
    <row r="2203" spans="1:31">
      <c r="A2203" s="59" t="str">
        <f t="shared" si="273"/>
        <v/>
      </c>
      <c r="B2203" s="59" t="str">
        <f t="shared" si="274"/>
        <v/>
      </c>
      <c r="V2203" s="59" t="str">
        <f t="shared" si="275"/>
        <v/>
      </c>
      <c r="W2203" s="59" t="str">
        <f t="shared" si="272"/>
        <v/>
      </c>
      <c r="X2203" s="59" t="str">
        <f t="shared" si="276"/>
        <v/>
      </c>
      <c r="AC2203" s="50">
        <f t="shared" si="277"/>
        <v>0</v>
      </c>
      <c r="AD2203" s="43">
        <f t="shared" si="278"/>
        <v>0</v>
      </c>
      <c r="AE2203" s="50">
        <f t="shared" si="279"/>
        <v>0</v>
      </c>
    </row>
    <row r="2204" spans="1:31">
      <c r="A2204" s="59" t="str">
        <f t="shared" si="273"/>
        <v/>
      </c>
      <c r="B2204" s="59" t="str">
        <f t="shared" si="274"/>
        <v/>
      </c>
      <c r="V2204" s="59" t="str">
        <f t="shared" si="275"/>
        <v/>
      </c>
      <c r="W2204" s="59" t="str">
        <f t="shared" si="272"/>
        <v/>
      </c>
      <c r="X2204" s="59" t="str">
        <f t="shared" si="276"/>
        <v/>
      </c>
      <c r="AC2204" s="50">
        <f t="shared" si="277"/>
        <v>0</v>
      </c>
      <c r="AD2204" s="43">
        <f t="shared" si="278"/>
        <v>0</v>
      </c>
      <c r="AE2204" s="50">
        <f t="shared" si="279"/>
        <v>0</v>
      </c>
    </row>
    <row r="2205" spans="1:31">
      <c r="A2205" s="59" t="str">
        <f t="shared" si="273"/>
        <v/>
      </c>
      <c r="B2205" s="59" t="str">
        <f t="shared" si="274"/>
        <v/>
      </c>
      <c r="V2205" s="59" t="str">
        <f t="shared" si="275"/>
        <v/>
      </c>
      <c r="W2205" s="59" t="str">
        <f t="shared" si="272"/>
        <v/>
      </c>
      <c r="X2205" s="59" t="str">
        <f t="shared" si="276"/>
        <v/>
      </c>
      <c r="AC2205" s="50">
        <f t="shared" si="277"/>
        <v>0</v>
      </c>
      <c r="AD2205" s="43">
        <f t="shared" si="278"/>
        <v>0</v>
      </c>
      <c r="AE2205" s="50">
        <f t="shared" si="279"/>
        <v>0</v>
      </c>
    </row>
    <row r="2206" spans="1:31">
      <c r="A2206" s="59" t="str">
        <f t="shared" si="273"/>
        <v/>
      </c>
      <c r="B2206" s="59" t="str">
        <f t="shared" si="274"/>
        <v/>
      </c>
      <c r="V2206" s="59" t="str">
        <f t="shared" si="275"/>
        <v/>
      </c>
      <c r="W2206" s="59" t="str">
        <f t="shared" si="272"/>
        <v/>
      </c>
      <c r="X2206" s="59" t="str">
        <f t="shared" si="276"/>
        <v/>
      </c>
      <c r="AC2206" s="50">
        <f t="shared" si="277"/>
        <v>0</v>
      </c>
      <c r="AD2206" s="43">
        <f t="shared" si="278"/>
        <v>0</v>
      </c>
      <c r="AE2206" s="50">
        <f t="shared" si="279"/>
        <v>0</v>
      </c>
    </row>
    <row r="2207" spans="1:31">
      <c r="A2207" s="59" t="str">
        <f t="shared" si="273"/>
        <v/>
      </c>
      <c r="B2207" s="59" t="str">
        <f t="shared" si="274"/>
        <v/>
      </c>
      <c r="V2207" s="59" t="str">
        <f t="shared" si="275"/>
        <v/>
      </c>
      <c r="W2207" s="59" t="str">
        <f t="shared" si="272"/>
        <v/>
      </c>
      <c r="X2207" s="59" t="str">
        <f t="shared" si="276"/>
        <v/>
      </c>
      <c r="AC2207" s="50">
        <f t="shared" si="277"/>
        <v>0</v>
      </c>
      <c r="AD2207" s="43">
        <f t="shared" si="278"/>
        <v>0</v>
      </c>
      <c r="AE2207" s="50">
        <f t="shared" si="279"/>
        <v>0</v>
      </c>
    </row>
    <row r="2208" spans="1:31">
      <c r="A2208" s="59" t="str">
        <f t="shared" si="273"/>
        <v/>
      </c>
      <c r="B2208" s="59" t="str">
        <f t="shared" si="274"/>
        <v/>
      </c>
      <c r="V2208" s="59" t="str">
        <f t="shared" si="275"/>
        <v/>
      </c>
      <c r="W2208" s="59" t="str">
        <f t="shared" si="272"/>
        <v/>
      </c>
      <c r="X2208" s="59" t="str">
        <f t="shared" si="276"/>
        <v/>
      </c>
      <c r="AC2208" s="50">
        <f t="shared" si="277"/>
        <v>0</v>
      </c>
      <c r="AD2208" s="43">
        <f t="shared" si="278"/>
        <v>0</v>
      </c>
      <c r="AE2208" s="50">
        <f t="shared" si="279"/>
        <v>0</v>
      </c>
    </row>
    <row r="2209" spans="1:31">
      <c r="A2209" s="59" t="str">
        <f t="shared" si="273"/>
        <v/>
      </c>
      <c r="B2209" s="59" t="str">
        <f t="shared" si="274"/>
        <v/>
      </c>
      <c r="V2209" s="59" t="str">
        <f t="shared" si="275"/>
        <v/>
      </c>
      <c r="W2209" s="59" t="str">
        <f t="shared" si="272"/>
        <v/>
      </c>
      <c r="X2209" s="59" t="str">
        <f t="shared" si="276"/>
        <v/>
      </c>
      <c r="AC2209" s="50">
        <f t="shared" si="277"/>
        <v>0</v>
      </c>
      <c r="AD2209" s="43">
        <f t="shared" si="278"/>
        <v>0</v>
      </c>
      <c r="AE2209" s="50">
        <f t="shared" si="279"/>
        <v>0</v>
      </c>
    </row>
    <row r="2210" spans="1:31">
      <c r="A2210" s="59" t="str">
        <f t="shared" si="273"/>
        <v/>
      </c>
      <c r="B2210" s="59" t="str">
        <f t="shared" si="274"/>
        <v/>
      </c>
      <c r="V2210" s="59" t="str">
        <f t="shared" si="275"/>
        <v/>
      </c>
      <c r="W2210" s="59" t="str">
        <f t="shared" si="272"/>
        <v/>
      </c>
      <c r="X2210" s="59" t="str">
        <f t="shared" si="276"/>
        <v/>
      </c>
      <c r="AC2210" s="50">
        <f t="shared" si="277"/>
        <v>0</v>
      </c>
      <c r="AD2210" s="43">
        <f t="shared" si="278"/>
        <v>0</v>
      </c>
      <c r="AE2210" s="50">
        <f t="shared" si="279"/>
        <v>0</v>
      </c>
    </row>
    <row r="2211" spans="1:31">
      <c r="A2211" s="59" t="str">
        <f t="shared" si="273"/>
        <v/>
      </c>
      <c r="B2211" s="59" t="str">
        <f t="shared" si="274"/>
        <v/>
      </c>
      <c r="V2211" s="59" t="str">
        <f t="shared" si="275"/>
        <v/>
      </c>
      <c r="W2211" s="59" t="str">
        <f t="shared" si="272"/>
        <v/>
      </c>
      <c r="X2211" s="59" t="str">
        <f t="shared" si="276"/>
        <v/>
      </c>
      <c r="AC2211" s="50">
        <f t="shared" si="277"/>
        <v>0</v>
      </c>
      <c r="AD2211" s="43">
        <f t="shared" si="278"/>
        <v>0</v>
      </c>
      <c r="AE2211" s="50">
        <f t="shared" si="279"/>
        <v>0</v>
      </c>
    </row>
    <row r="2212" spans="1:31">
      <c r="A2212" s="59" t="str">
        <f t="shared" si="273"/>
        <v/>
      </c>
      <c r="B2212" s="59" t="str">
        <f t="shared" si="274"/>
        <v/>
      </c>
      <c r="V2212" s="59" t="str">
        <f t="shared" si="275"/>
        <v/>
      </c>
      <c r="W2212" s="59" t="str">
        <f t="shared" si="272"/>
        <v/>
      </c>
      <c r="X2212" s="59" t="str">
        <f t="shared" si="276"/>
        <v/>
      </c>
      <c r="AC2212" s="50">
        <f t="shared" si="277"/>
        <v>0</v>
      </c>
      <c r="AD2212" s="43">
        <f t="shared" si="278"/>
        <v>0</v>
      </c>
      <c r="AE2212" s="50">
        <f t="shared" si="279"/>
        <v>0</v>
      </c>
    </row>
    <row r="2213" spans="1:31">
      <c r="A2213" s="59" t="str">
        <f t="shared" si="273"/>
        <v/>
      </c>
      <c r="B2213" s="59" t="str">
        <f t="shared" si="274"/>
        <v/>
      </c>
      <c r="V2213" s="59" t="str">
        <f t="shared" si="275"/>
        <v/>
      </c>
      <c r="W2213" s="59" t="str">
        <f t="shared" si="272"/>
        <v/>
      </c>
      <c r="X2213" s="59" t="str">
        <f t="shared" si="276"/>
        <v/>
      </c>
      <c r="AC2213" s="50">
        <f t="shared" si="277"/>
        <v>0</v>
      </c>
      <c r="AD2213" s="43">
        <f t="shared" si="278"/>
        <v>0</v>
      </c>
      <c r="AE2213" s="50">
        <f t="shared" si="279"/>
        <v>0</v>
      </c>
    </row>
    <row r="2214" spans="1:31">
      <c r="A2214" s="59" t="str">
        <f t="shared" si="273"/>
        <v/>
      </c>
      <c r="B2214" s="59" t="str">
        <f t="shared" si="274"/>
        <v/>
      </c>
      <c r="V2214" s="59" t="str">
        <f t="shared" si="275"/>
        <v/>
      </c>
      <c r="W2214" s="59" t="str">
        <f t="shared" si="272"/>
        <v/>
      </c>
      <c r="X2214" s="59" t="str">
        <f t="shared" si="276"/>
        <v/>
      </c>
      <c r="AC2214" s="50">
        <f t="shared" si="277"/>
        <v>0</v>
      </c>
      <c r="AD2214" s="43">
        <f t="shared" si="278"/>
        <v>0</v>
      </c>
      <c r="AE2214" s="50">
        <f t="shared" si="279"/>
        <v>0</v>
      </c>
    </row>
    <row r="2215" spans="1:31">
      <c r="A2215" s="59" t="str">
        <f t="shared" si="273"/>
        <v/>
      </c>
      <c r="B2215" s="59" t="str">
        <f t="shared" si="274"/>
        <v/>
      </c>
      <c r="V2215" s="59" t="str">
        <f t="shared" si="275"/>
        <v/>
      </c>
      <c r="W2215" s="59" t="str">
        <f t="shared" si="272"/>
        <v/>
      </c>
      <c r="X2215" s="59" t="str">
        <f t="shared" si="276"/>
        <v/>
      </c>
      <c r="AC2215" s="50">
        <f t="shared" si="277"/>
        <v>0</v>
      </c>
      <c r="AD2215" s="43">
        <f t="shared" si="278"/>
        <v>0</v>
      </c>
      <c r="AE2215" s="50">
        <f t="shared" si="279"/>
        <v>0</v>
      </c>
    </row>
    <row r="2216" spans="1:31">
      <c r="A2216" s="59" t="str">
        <f t="shared" si="273"/>
        <v/>
      </c>
      <c r="B2216" s="59" t="str">
        <f t="shared" si="274"/>
        <v/>
      </c>
      <c r="V2216" s="59" t="str">
        <f t="shared" si="275"/>
        <v/>
      </c>
      <c r="W2216" s="59" t="str">
        <f t="shared" si="272"/>
        <v/>
      </c>
      <c r="X2216" s="59" t="str">
        <f t="shared" si="276"/>
        <v/>
      </c>
      <c r="AC2216" s="50">
        <f t="shared" si="277"/>
        <v>0</v>
      </c>
      <c r="AD2216" s="43">
        <f t="shared" si="278"/>
        <v>0</v>
      </c>
      <c r="AE2216" s="50">
        <f t="shared" si="279"/>
        <v>0</v>
      </c>
    </row>
    <row r="2217" spans="1:31">
      <c r="A2217" s="59" t="str">
        <f t="shared" si="273"/>
        <v/>
      </c>
      <c r="B2217" s="59" t="str">
        <f t="shared" si="274"/>
        <v/>
      </c>
      <c r="V2217" s="59" t="str">
        <f t="shared" si="275"/>
        <v/>
      </c>
      <c r="W2217" s="59" t="str">
        <f t="shared" si="272"/>
        <v/>
      </c>
      <c r="X2217" s="59" t="str">
        <f t="shared" si="276"/>
        <v/>
      </c>
      <c r="AC2217" s="50">
        <f t="shared" si="277"/>
        <v>0</v>
      </c>
      <c r="AD2217" s="43">
        <f t="shared" si="278"/>
        <v>0</v>
      </c>
      <c r="AE2217" s="50">
        <f t="shared" si="279"/>
        <v>0</v>
      </c>
    </row>
    <row r="2218" spans="1:31">
      <c r="A2218" s="59" t="str">
        <f t="shared" si="273"/>
        <v/>
      </c>
      <c r="B2218" s="59" t="str">
        <f t="shared" si="274"/>
        <v/>
      </c>
      <c r="V2218" s="59" t="str">
        <f t="shared" si="275"/>
        <v/>
      </c>
      <c r="W2218" s="59" t="str">
        <f t="shared" si="272"/>
        <v/>
      </c>
      <c r="X2218" s="59" t="str">
        <f t="shared" si="276"/>
        <v/>
      </c>
      <c r="AC2218" s="50">
        <f t="shared" si="277"/>
        <v>0</v>
      </c>
      <c r="AD2218" s="43">
        <f t="shared" si="278"/>
        <v>0</v>
      </c>
      <c r="AE2218" s="50">
        <f t="shared" si="279"/>
        <v>0</v>
      </c>
    </row>
    <row r="2219" spans="1:31">
      <c r="A2219" s="59" t="str">
        <f t="shared" si="273"/>
        <v/>
      </c>
      <c r="B2219" s="59" t="str">
        <f t="shared" si="274"/>
        <v/>
      </c>
      <c r="V2219" s="59" t="str">
        <f t="shared" si="275"/>
        <v/>
      </c>
      <c r="W2219" s="59" t="str">
        <f t="shared" si="272"/>
        <v/>
      </c>
      <c r="X2219" s="59" t="str">
        <f t="shared" si="276"/>
        <v/>
      </c>
      <c r="AC2219" s="50">
        <f t="shared" si="277"/>
        <v>0</v>
      </c>
      <c r="AD2219" s="43">
        <f t="shared" si="278"/>
        <v>0</v>
      </c>
      <c r="AE2219" s="50">
        <f t="shared" si="279"/>
        <v>0</v>
      </c>
    </row>
    <row r="2220" spans="1:31">
      <c r="A2220" s="59" t="str">
        <f t="shared" si="273"/>
        <v/>
      </c>
      <c r="B2220" s="59" t="str">
        <f t="shared" si="274"/>
        <v/>
      </c>
      <c r="V2220" s="59" t="str">
        <f t="shared" si="275"/>
        <v/>
      </c>
      <c r="W2220" s="59" t="str">
        <f t="shared" si="272"/>
        <v/>
      </c>
      <c r="X2220" s="59" t="str">
        <f t="shared" si="276"/>
        <v/>
      </c>
      <c r="AC2220" s="50">
        <f t="shared" si="277"/>
        <v>0</v>
      </c>
      <c r="AD2220" s="43">
        <f t="shared" si="278"/>
        <v>0</v>
      </c>
      <c r="AE2220" s="50">
        <f t="shared" si="279"/>
        <v>0</v>
      </c>
    </row>
    <row r="2221" spans="1:31">
      <c r="A2221" s="59" t="str">
        <f t="shared" si="273"/>
        <v/>
      </c>
      <c r="B2221" s="59" t="str">
        <f t="shared" si="274"/>
        <v/>
      </c>
      <c r="V2221" s="59" t="str">
        <f t="shared" si="275"/>
        <v/>
      </c>
      <c r="W2221" s="59" t="str">
        <f t="shared" si="272"/>
        <v/>
      </c>
      <c r="X2221" s="59" t="str">
        <f t="shared" si="276"/>
        <v/>
      </c>
      <c r="AC2221" s="50">
        <f t="shared" si="277"/>
        <v>0</v>
      </c>
      <c r="AD2221" s="43">
        <f t="shared" si="278"/>
        <v>0</v>
      </c>
      <c r="AE2221" s="50">
        <f t="shared" si="279"/>
        <v>0</v>
      </c>
    </row>
    <row r="2222" spans="1:31">
      <c r="A2222" s="59" t="str">
        <f t="shared" si="273"/>
        <v/>
      </c>
      <c r="B2222" s="59" t="str">
        <f t="shared" si="274"/>
        <v/>
      </c>
      <c r="V2222" s="59" t="str">
        <f t="shared" si="275"/>
        <v/>
      </c>
      <c r="W2222" s="59" t="str">
        <f t="shared" si="272"/>
        <v/>
      </c>
      <c r="X2222" s="59" t="str">
        <f t="shared" si="276"/>
        <v/>
      </c>
      <c r="AC2222" s="50">
        <f t="shared" si="277"/>
        <v>0</v>
      </c>
      <c r="AD2222" s="43">
        <f t="shared" si="278"/>
        <v>0</v>
      </c>
      <c r="AE2222" s="50">
        <f t="shared" si="279"/>
        <v>0</v>
      </c>
    </row>
    <row r="2223" spans="1:31">
      <c r="A2223" s="59" t="str">
        <f t="shared" si="273"/>
        <v/>
      </c>
      <c r="B2223" s="59" t="str">
        <f t="shared" si="274"/>
        <v/>
      </c>
      <c r="V2223" s="59" t="str">
        <f t="shared" si="275"/>
        <v/>
      </c>
      <c r="W2223" s="59" t="str">
        <f t="shared" si="272"/>
        <v/>
      </c>
      <c r="X2223" s="59" t="str">
        <f t="shared" si="276"/>
        <v/>
      </c>
      <c r="AC2223" s="50">
        <f t="shared" si="277"/>
        <v>0</v>
      </c>
      <c r="AD2223" s="43">
        <f t="shared" si="278"/>
        <v>0</v>
      </c>
      <c r="AE2223" s="50">
        <f t="shared" si="279"/>
        <v>0</v>
      </c>
    </row>
    <row r="2224" spans="1:31">
      <c r="A2224" s="59" t="str">
        <f t="shared" si="273"/>
        <v/>
      </c>
      <c r="B2224" s="59" t="str">
        <f t="shared" si="274"/>
        <v/>
      </c>
      <c r="V2224" s="59" t="str">
        <f t="shared" si="275"/>
        <v/>
      </c>
      <c r="W2224" s="59" t="str">
        <f t="shared" si="272"/>
        <v/>
      </c>
      <c r="X2224" s="59" t="str">
        <f t="shared" si="276"/>
        <v/>
      </c>
      <c r="AC2224" s="50">
        <f t="shared" si="277"/>
        <v>0</v>
      </c>
      <c r="AD2224" s="43">
        <f t="shared" si="278"/>
        <v>0</v>
      </c>
      <c r="AE2224" s="50">
        <f t="shared" si="279"/>
        <v>0</v>
      </c>
    </row>
    <row r="2225" spans="1:31">
      <c r="A2225" s="59" t="str">
        <f t="shared" si="273"/>
        <v/>
      </c>
      <c r="B2225" s="59" t="str">
        <f t="shared" si="274"/>
        <v/>
      </c>
      <c r="V2225" s="59" t="str">
        <f t="shared" si="275"/>
        <v/>
      </c>
      <c r="W2225" s="59" t="str">
        <f t="shared" si="272"/>
        <v/>
      </c>
      <c r="X2225" s="59" t="str">
        <f t="shared" si="276"/>
        <v/>
      </c>
      <c r="AC2225" s="50">
        <f t="shared" si="277"/>
        <v>0</v>
      </c>
      <c r="AD2225" s="43">
        <f t="shared" si="278"/>
        <v>0</v>
      </c>
      <c r="AE2225" s="50">
        <f t="shared" si="279"/>
        <v>0</v>
      </c>
    </row>
    <row r="2226" spans="1:31">
      <c r="A2226" s="59" t="str">
        <f t="shared" si="273"/>
        <v/>
      </c>
      <c r="B2226" s="59" t="str">
        <f t="shared" si="274"/>
        <v/>
      </c>
      <c r="V2226" s="59" t="str">
        <f t="shared" si="275"/>
        <v/>
      </c>
      <c r="W2226" s="59" t="str">
        <f t="shared" si="272"/>
        <v/>
      </c>
      <c r="X2226" s="59" t="str">
        <f t="shared" si="276"/>
        <v/>
      </c>
      <c r="AC2226" s="50">
        <f t="shared" si="277"/>
        <v>0</v>
      </c>
      <c r="AD2226" s="43">
        <f t="shared" si="278"/>
        <v>0</v>
      </c>
      <c r="AE2226" s="50">
        <f t="shared" si="279"/>
        <v>0</v>
      </c>
    </row>
    <row r="2227" spans="1:31">
      <c r="A2227" s="59" t="str">
        <f t="shared" si="273"/>
        <v/>
      </c>
      <c r="B2227" s="59" t="str">
        <f t="shared" si="274"/>
        <v/>
      </c>
      <c r="V2227" s="59" t="str">
        <f t="shared" si="275"/>
        <v/>
      </c>
      <c r="W2227" s="59" t="str">
        <f t="shared" si="272"/>
        <v/>
      </c>
      <c r="X2227" s="59" t="str">
        <f t="shared" si="276"/>
        <v/>
      </c>
      <c r="AC2227" s="50">
        <f t="shared" si="277"/>
        <v>0</v>
      </c>
      <c r="AD2227" s="43">
        <f t="shared" si="278"/>
        <v>0</v>
      </c>
      <c r="AE2227" s="50">
        <f t="shared" si="279"/>
        <v>0</v>
      </c>
    </row>
    <row r="2228" spans="1:31">
      <c r="A2228" s="59" t="str">
        <f t="shared" si="273"/>
        <v/>
      </c>
      <c r="B2228" s="59" t="str">
        <f t="shared" si="274"/>
        <v/>
      </c>
      <c r="V2228" s="59" t="str">
        <f t="shared" si="275"/>
        <v/>
      </c>
      <c r="W2228" s="59" t="str">
        <f t="shared" si="272"/>
        <v/>
      </c>
      <c r="X2228" s="59" t="str">
        <f t="shared" si="276"/>
        <v/>
      </c>
      <c r="AC2228" s="50">
        <f t="shared" si="277"/>
        <v>0</v>
      </c>
      <c r="AD2228" s="43">
        <f t="shared" si="278"/>
        <v>0</v>
      </c>
      <c r="AE2228" s="50">
        <f t="shared" si="279"/>
        <v>0</v>
      </c>
    </row>
    <row r="2229" spans="1:31">
      <c r="A2229" s="59" t="str">
        <f t="shared" si="273"/>
        <v/>
      </c>
      <c r="B2229" s="59" t="str">
        <f t="shared" si="274"/>
        <v/>
      </c>
      <c r="V2229" s="59" t="str">
        <f t="shared" si="275"/>
        <v/>
      </c>
      <c r="W2229" s="59" t="str">
        <f t="shared" si="272"/>
        <v/>
      </c>
      <c r="X2229" s="59" t="str">
        <f t="shared" si="276"/>
        <v/>
      </c>
      <c r="AC2229" s="50">
        <f t="shared" si="277"/>
        <v>0</v>
      </c>
      <c r="AD2229" s="43">
        <f t="shared" si="278"/>
        <v>0</v>
      </c>
      <c r="AE2229" s="50">
        <f t="shared" si="279"/>
        <v>0</v>
      </c>
    </row>
    <row r="2230" spans="1:31">
      <c r="A2230" s="59" t="str">
        <f t="shared" si="273"/>
        <v/>
      </c>
      <c r="B2230" s="59" t="str">
        <f t="shared" si="274"/>
        <v/>
      </c>
      <c r="V2230" s="59" t="str">
        <f t="shared" si="275"/>
        <v/>
      </c>
      <c r="W2230" s="59" t="str">
        <f t="shared" si="272"/>
        <v/>
      </c>
      <c r="X2230" s="59" t="str">
        <f t="shared" si="276"/>
        <v/>
      </c>
      <c r="AC2230" s="50">
        <f t="shared" si="277"/>
        <v>0</v>
      </c>
      <c r="AD2230" s="43">
        <f t="shared" si="278"/>
        <v>0</v>
      </c>
      <c r="AE2230" s="50">
        <f t="shared" si="279"/>
        <v>0</v>
      </c>
    </row>
    <row r="2231" spans="1:31">
      <c r="A2231" s="59" t="str">
        <f t="shared" si="273"/>
        <v/>
      </c>
      <c r="B2231" s="59" t="str">
        <f t="shared" si="274"/>
        <v/>
      </c>
      <c r="V2231" s="59" t="str">
        <f t="shared" si="275"/>
        <v/>
      </c>
      <c r="W2231" s="59" t="str">
        <f t="shared" si="272"/>
        <v/>
      </c>
      <c r="X2231" s="59" t="str">
        <f t="shared" si="276"/>
        <v/>
      </c>
      <c r="AC2231" s="50">
        <f t="shared" si="277"/>
        <v>0</v>
      </c>
      <c r="AD2231" s="43">
        <f t="shared" si="278"/>
        <v>0</v>
      </c>
      <c r="AE2231" s="50">
        <f t="shared" si="279"/>
        <v>0</v>
      </c>
    </row>
    <row r="2232" spans="1:31">
      <c r="A2232" s="59" t="str">
        <f t="shared" si="273"/>
        <v/>
      </c>
      <c r="B2232" s="59" t="str">
        <f t="shared" si="274"/>
        <v/>
      </c>
      <c r="V2232" s="59" t="str">
        <f t="shared" si="275"/>
        <v/>
      </c>
      <c r="W2232" s="59" t="str">
        <f t="shared" si="272"/>
        <v/>
      </c>
      <c r="X2232" s="59" t="str">
        <f t="shared" si="276"/>
        <v/>
      </c>
      <c r="AC2232" s="50">
        <f t="shared" si="277"/>
        <v>0</v>
      </c>
      <c r="AD2232" s="43">
        <f t="shared" si="278"/>
        <v>0</v>
      </c>
      <c r="AE2232" s="50">
        <f t="shared" si="279"/>
        <v>0</v>
      </c>
    </row>
    <row r="2233" spans="1:31">
      <c r="A2233" s="59" t="str">
        <f t="shared" si="273"/>
        <v/>
      </c>
      <c r="B2233" s="59" t="str">
        <f t="shared" si="274"/>
        <v/>
      </c>
      <c r="V2233" s="59" t="str">
        <f t="shared" si="275"/>
        <v/>
      </c>
      <c r="W2233" s="59" t="str">
        <f t="shared" si="272"/>
        <v/>
      </c>
      <c r="X2233" s="59" t="str">
        <f t="shared" si="276"/>
        <v/>
      </c>
      <c r="AC2233" s="50">
        <f t="shared" si="277"/>
        <v>0</v>
      </c>
      <c r="AD2233" s="43">
        <f t="shared" si="278"/>
        <v>0</v>
      </c>
      <c r="AE2233" s="50">
        <f t="shared" si="279"/>
        <v>0</v>
      </c>
    </row>
    <row r="2234" spans="1:31">
      <c r="A2234" s="59" t="str">
        <f t="shared" si="273"/>
        <v/>
      </c>
      <c r="B2234" s="59" t="str">
        <f t="shared" si="274"/>
        <v/>
      </c>
      <c r="V2234" s="59" t="str">
        <f t="shared" si="275"/>
        <v/>
      </c>
      <c r="W2234" s="59" t="str">
        <f t="shared" si="272"/>
        <v/>
      </c>
      <c r="X2234" s="59" t="str">
        <f t="shared" si="276"/>
        <v/>
      </c>
      <c r="AC2234" s="50">
        <f t="shared" si="277"/>
        <v>0</v>
      </c>
      <c r="AD2234" s="43">
        <f t="shared" si="278"/>
        <v>0</v>
      </c>
      <c r="AE2234" s="50">
        <f t="shared" si="279"/>
        <v>0</v>
      </c>
    </row>
    <row r="2235" spans="1:31">
      <c r="A2235" s="59" t="str">
        <f t="shared" si="273"/>
        <v/>
      </c>
      <c r="B2235" s="59" t="str">
        <f t="shared" si="274"/>
        <v/>
      </c>
      <c r="V2235" s="59" t="str">
        <f t="shared" si="275"/>
        <v/>
      </c>
      <c r="W2235" s="59" t="str">
        <f t="shared" si="272"/>
        <v/>
      </c>
      <c r="X2235" s="59" t="str">
        <f t="shared" si="276"/>
        <v/>
      </c>
      <c r="AC2235" s="50">
        <f t="shared" si="277"/>
        <v>0</v>
      </c>
      <c r="AD2235" s="43">
        <f t="shared" si="278"/>
        <v>0</v>
      </c>
      <c r="AE2235" s="50">
        <f t="shared" si="279"/>
        <v>0</v>
      </c>
    </row>
    <row r="2236" spans="1:31">
      <c r="A2236" s="59" t="str">
        <f t="shared" si="273"/>
        <v/>
      </c>
      <c r="B2236" s="59" t="str">
        <f t="shared" si="274"/>
        <v/>
      </c>
      <c r="V2236" s="59" t="str">
        <f t="shared" si="275"/>
        <v/>
      </c>
      <c r="W2236" s="59" t="str">
        <f t="shared" si="272"/>
        <v/>
      </c>
      <c r="X2236" s="59" t="str">
        <f t="shared" si="276"/>
        <v/>
      </c>
      <c r="AC2236" s="50">
        <f t="shared" si="277"/>
        <v>0</v>
      </c>
      <c r="AD2236" s="43">
        <f t="shared" si="278"/>
        <v>0</v>
      </c>
      <c r="AE2236" s="50">
        <f t="shared" si="279"/>
        <v>0</v>
      </c>
    </row>
    <row r="2237" spans="1:31">
      <c r="A2237" s="59" t="str">
        <f t="shared" si="273"/>
        <v/>
      </c>
      <c r="B2237" s="59" t="str">
        <f t="shared" si="274"/>
        <v/>
      </c>
      <c r="V2237" s="59" t="str">
        <f t="shared" si="275"/>
        <v/>
      </c>
      <c r="W2237" s="59" t="str">
        <f t="shared" si="272"/>
        <v/>
      </c>
      <c r="X2237" s="59" t="str">
        <f t="shared" si="276"/>
        <v/>
      </c>
      <c r="AC2237" s="50">
        <f t="shared" si="277"/>
        <v>0</v>
      </c>
      <c r="AD2237" s="43">
        <f t="shared" si="278"/>
        <v>0</v>
      </c>
      <c r="AE2237" s="50">
        <f t="shared" si="279"/>
        <v>0</v>
      </c>
    </row>
    <row r="2238" spans="1:31">
      <c r="A2238" s="59" t="str">
        <f t="shared" si="273"/>
        <v/>
      </c>
      <c r="B2238" s="59" t="str">
        <f t="shared" si="274"/>
        <v/>
      </c>
      <c r="V2238" s="59" t="str">
        <f t="shared" si="275"/>
        <v/>
      </c>
      <c r="W2238" s="59" t="str">
        <f t="shared" si="272"/>
        <v/>
      </c>
      <c r="X2238" s="59" t="str">
        <f t="shared" si="276"/>
        <v/>
      </c>
      <c r="AC2238" s="50">
        <f t="shared" si="277"/>
        <v>0</v>
      </c>
      <c r="AD2238" s="43">
        <f t="shared" si="278"/>
        <v>0</v>
      </c>
      <c r="AE2238" s="50">
        <f t="shared" si="279"/>
        <v>0</v>
      </c>
    </row>
    <row r="2239" spans="1:31">
      <c r="A2239" s="59" t="str">
        <f t="shared" si="273"/>
        <v/>
      </c>
      <c r="B2239" s="59" t="str">
        <f t="shared" si="274"/>
        <v/>
      </c>
      <c r="V2239" s="59" t="str">
        <f t="shared" si="275"/>
        <v/>
      </c>
      <c r="W2239" s="59" t="str">
        <f t="shared" si="272"/>
        <v/>
      </c>
      <c r="X2239" s="59" t="str">
        <f t="shared" si="276"/>
        <v/>
      </c>
      <c r="AC2239" s="50">
        <f t="shared" si="277"/>
        <v>0</v>
      </c>
      <c r="AD2239" s="43">
        <f t="shared" si="278"/>
        <v>0</v>
      </c>
      <c r="AE2239" s="50">
        <f t="shared" si="279"/>
        <v>0</v>
      </c>
    </row>
    <row r="2240" spans="1:31">
      <c r="A2240" s="59" t="str">
        <f t="shared" si="273"/>
        <v/>
      </c>
      <c r="B2240" s="59" t="str">
        <f t="shared" si="274"/>
        <v/>
      </c>
      <c r="V2240" s="59" t="str">
        <f t="shared" si="275"/>
        <v/>
      </c>
      <c r="W2240" s="59" t="str">
        <f t="shared" si="272"/>
        <v/>
      </c>
      <c r="X2240" s="59" t="str">
        <f t="shared" si="276"/>
        <v/>
      </c>
      <c r="AC2240" s="50">
        <f t="shared" si="277"/>
        <v>0</v>
      </c>
      <c r="AD2240" s="43">
        <f t="shared" si="278"/>
        <v>0</v>
      </c>
      <c r="AE2240" s="50">
        <f t="shared" si="279"/>
        <v>0</v>
      </c>
    </row>
    <row r="2241" spans="1:31">
      <c r="A2241" s="59" t="str">
        <f t="shared" si="273"/>
        <v/>
      </c>
      <c r="B2241" s="59" t="str">
        <f t="shared" si="274"/>
        <v/>
      </c>
      <c r="V2241" s="59" t="str">
        <f t="shared" si="275"/>
        <v/>
      </c>
      <c r="W2241" s="59" t="str">
        <f t="shared" si="272"/>
        <v/>
      </c>
      <c r="X2241" s="59" t="str">
        <f t="shared" si="276"/>
        <v/>
      </c>
      <c r="AC2241" s="50">
        <f t="shared" si="277"/>
        <v>0</v>
      </c>
      <c r="AD2241" s="43">
        <f t="shared" si="278"/>
        <v>0</v>
      </c>
      <c r="AE2241" s="50">
        <f t="shared" si="279"/>
        <v>0</v>
      </c>
    </row>
    <row r="2242" spans="1:31">
      <c r="A2242" s="59" t="str">
        <f t="shared" si="273"/>
        <v/>
      </c>
      <c r="B2242" s="59" t="str">
        <f t="shared" si="274"/>
        <v/>
      </c>
      <c r="V2242" s="59" t="str">
        <f t="shared" si="275"/>
        <v/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59" t="str">
        <f t="shared" si="276"/>
        <v/>
      </c>
      <c r="AC2242" s="50">
        <f t="shared" si="277"/>
        <v>0</v>
      </c>
      <c r="AD2242" s="43">
        <f t="shared" si="278"/>
        <v>0</v>
      </c>
      <c r="AE2242" s="50">
        <f t="shared" si="279"/>
        <v>0</v>
      </c>
    </row>
    <row r="2243" spans="1:31">
      <c r="A2243" s="59" t="str">
        <f t="shared" ref="A2243:A2306" si="281">IF(G2243&amp;Q2243&lt;&gt;"",W2243&amp;Q2243,"")</f>
        <v/>
      </c>
      <c r="B2243" s="59" t="str">
        <f t="shared" ref="B2243:B2306" si="282">IF(C2243&lt;&gt;"",LEFT(C2243,9),"")</f>
        <v/>
      </c>
      <c r="V2243" s="59" t="str">
        <f t="shared" ref="V2243:V2306" si="283">W2243&amp;H2243</f>
        <v/>
      </c>
      <c r="W2243" s="59" t="str">
        <f t="shared" si="280"/>
        <v/>
      </c>
      <c r="X2243" s="59" t="str">
        <f t="shared" ref="X2243:X2306" si="284">IF(A2243&lt;&gt;"",IFERROR(IF(FIND(" ",G2243)&gt;=1,MID(G2243,FIND(" ",G2243)+1,LEN(G2243)),""),""),"")</f>
        <v/>
      </c>
      <c r="AC2243" s="50">
        <f t="shared" ref="AC2243:AC2306" si="285">IFERROR(VALUE(MID($C2243,1,2)),0)</f>
        <v>0</v>
      </c>
      <c r="AD2243" s="43">
        <f t="shared" ref="AD2243:AD2306" si="286">IFERROR(VALUE(MID($C2243,4,3)),0)</f>
        <v>0</v>
      </c>
      <c r="AE2243" s="50">
        <f t="shared" ref="AE2243:AE2306" si="287">VALUE(RIGHT("00"&amp;AC2243,2)&amp;RIGHT("000"&amp;AD2243,3))</f>
        <v>0</v>
      </c>
    </row>
    <row r="2244" spans="1:31">
      <c r="A2244" s="59" t="str">
        <f t="shared" si="281"/>
        <v/>
      </c>
      <c r="B2244" s="59" t="str">
        <f t="shared" si="282"/>
        <v/>
      </c>
      <c r="V2244" s="59" t="str">
        <f t="shared" si="283"/>
        <v/>
      </c>
      <c r="W2244" s="59" t="str">
        <f t="shared" si="280"/>
        <v/>
      </c>
      <c r="X2244" s="59" t="str">
        <f t="shared" si="284"/>
        <v/>
      </c>
      <c r="AC2244" s="50">
        <f t="shared" si="285"/>
        <v>0</v>
      </c>
      <c r="AD2244" s="43">
        <f t="shared" si="286"/>
        <v>0</v>
      </c>
      <c r="AE2244" s="50">
        <f t="shared" si="287"/>
        <v>0</v>
      </c>
    </row>
    <row r="2245" spans="1:31">
      <c r="A2245" s="59" t="str">
        <f t="shared" si="281"/>
        <v/>
      </c>
      <c r="B2245" s="59" t="str">
        <f t="shared" si="282"/>
        <v/>
      </c>
      <c r="V2245" s="59" t="str">
        <f t="shared" si="283"/>
        <v/>
      </c>
      <c r="W2245" s="59" t="str">
        <f t="shared" si="280"/>
        <v/>
      </c>
      <c r="X2245" s="59" t="str">
        <f t="shared" si="284"/>
        <v/>
      </c>
      <c r="AC2245" s="50">
        <f t="shared" si="285"/>
        <v>0</v>
      </c>
      <c r="AD2245" s="43">
        <f t="shared" si="286"/>
        <v>0</v>
      </c>
      <c r="AE2245" s="50">
        <f t="shared" si="287"/>
        <v>0</v>
      </c>
    </row>
    <row r="2246" spans="1:31">
      <c r="A2246" s="59" t="str">
        <f t="shared" si="281"/>
        <v/>
      </c>
      <c r="B2246" s="59" t="str">
        <f t="shared" si="282"/>
        <v/>
      </c>
      <c r="V2246" s="59" t="str">
        <f t="shared" si="283"/>
        <v/>
      </c>
      <c r="W2246" s="59" t="str">
        <f t="shared" si="280"/>
        <v/>
      </c>
      <c r="X2246" s="59" t="str">
        <f t="shared" si="284"/>
        <v/>
      </c>
      <c r="AC2246" s="50">
        <f t="shared" si="285"/>
        <v>0</v>
      </c>
      <c r="AD2246" s="43">
        <f t="shared" si="286"/>
        <v>0</v>
      </c>
      <c r="AE2246" s="50">
        <f t="shared" si="287"/>
        <v>0</v>
      </c>
    </row>
    <row r="2247" spans="1:31">
      <c r="A2247" s="59" t="str">
        <f t="shared" si="281"/>
        <v/>
      </c>
      <c r="B2247" s="59" t="str">
        <f t="shared" si="282"/>
        <v/>
      </c>
      <c r="V2247" s="59" t="str">
        <f t="shared" si="283"/>
        <v/>
      </c>
      <c r="W2247" s="59" t="str">
        <f t="shared" si="280"/>
        <v/>
      </c>
      <c r="X2247" s="59" t="str">
        <f t="shared" si="284"/>
        <v/>
      </c>
      <c r="AC2247" s="50">
        <f t="shared" si="285"/>
        <v>0</v>
      </c>
      <c r="AD2247" s="43">
        <f t="shared" si="286"/>
        <v>0</v>
      </c>
      <c r="AE2247" s="50">
        <f t="shared" si="287"/>
        <v>0</v>
      </c>
    </row>
    <row r="2248" spans="1:31">
      <c r="A2248" s="59" t="str">
        <f t="shared" si="281"/>
        <v/>
      </c>
      <c r="B2248" s="59" t="str">
        <f t="shared" si="282"/>
        <v/>
      </c>
      <c r="V2248" s="59" t="str">
        <f t="shared" si="283"/>
        <v/>
      </c>
      <c r="W2248" s="59" t="str">
        <f t="shared" si="280"/>
        <v/>
      </c>
      <c r="X2248" s="59" t="str">
        <f t="shared" si="284"/>
        <v/>
      </c>
      <c r="AC2248" s="50">
        <f t="shared" si="285"/>
        <v>0</v>
      </c>
      <c r="AD2248" s="43">
        <f t="shared" si="286"/>
        <v>0</v>
      </c>
      <c r="AE2248" s="50">
        <f t="shared" si="287"/>
        <v>0</v>
      </c>
    </row>
    <row r="2249" spans="1:31">
      <c r="A2249" s="59" t="str">
        <f t="shared" si="281"/>
        <v/>
      </c>
      <c r="B2249" s="59" t="str">
        <f t="shared" si="282"/>
        <v/>
      </c>
      <c r="V2249" s="59" t="str">
        <f t="shared" si="283"/>
        <v/>
      </c>
      <c r="W2249" s="59" t="str">
        <f t="shared" si="280"/>
        <v/>
      </c>
      <c r="X2249" s="59" t="str">
        <f t="shared" si="284"/>
        <v/>
      </c>
      <c r="AC2249" s="50">
        <f t="shared" si="285"/>
        <v>0</v>
      </c>
      <c r="AD2249" s="43">
        <f t="shared" si="286"/>
        <v>0</v>
      </c>
      <c r="AE2249" s="50">
        <f t="shared" si="287"/>
        <v>0</v>
      </c>
    </row>
    <row r="2250" spans="1:31">
      <c r="A2250" s="59" t="str">
        <f t="shared" si="281"/>
        <v/>
      </c>
      <c r="B2250" s="59" t="str">
        <f t="shared" si="282"/>
        <v/>
      </c>
      <c r="V2250" s="59" t="str">
        <f t="shared" si="283"/>
        <v/>
      </c>
      <c r="W2250" s="59" t="str">
        <f t="shared" si="280"/>
        <v/>
      </c>
      <c r="X2250" s="59" t="str">
        <f t="shared" si="284"/>
        <v/>
      </c>
      <c r="AC2250" s="50">
        <f t="shared" si="285"/>
        <v>0</v>
      </c>
      <c r="AD2250" s="43">
        <f t="shared" si="286"/>
        <v>0</v>
      </c>
      <c r="AE2250" s="50">
        <f t="shared" si="287"/>
        <v>0</v>
      </c>
    </row>
    <row r="2251" spans="1:31">
      <c r="A2251" s="59" t="str">
        <f t="shared" si="281"/>
        <v/>
      </c>
      <c r="B2251" s="59" t="str">
        <f t="shared" si="282"/>
        <v/>
      </c>
      <c r="V2251" s="59" t="str">
        <f t="shared" si="283"/>
        <v/>
      </c>
      <c r="W2251" s="59" t="str">
        <f t="shared" si="280"/>
        <v/>
      </c>
      <c r="X2251" s="59" t="str">
        <f t="shared" si="284"/>
        <v/>
      </c>
      <c r="AC2251" s="50">
        <f t="shared" si="285"/>
        <v>0</v>
      </c>
      <c r="AD2251" s="43">
        <f t="shared" si="286"/>
        <v>0</v>
      </c>
      <c r="AE2251" s="50">
        <f t="shared" si="287"/>
        <v>0</v>
      </c>
    </row>
    <row r="2252" spans="1:31">
      <c r="A2252" s="59" t="str">
        <f t="shared" si="281"/>
        <v/>
      </c>
      <c r="B2252" s="59" t="str">
        <f t="shared" si="282"/>
        <v/>
      </c>
      <c r="V2252" s="59" t="str">
        <f t="shared" si="283"/>
        <v/>
      </c>
      <c r="W2252" s="59" t="str">
        <f t="shared" si="280"/>
        <v/>
      </c>
      <c r="X2252" s="59" t="str">
        <f t="shared" si="284"/>
        <v/>
      </c>
      <c r="AC2252" s="50">
        <f t="shared" si="285"/>
        <v>0</v>
      </c>
      <c r="AD2252" s="43">
        <f t="shared" si="286"/>
        <v>0</v>
      </c>
      <c r="AE2252" s="50">
        <f t="shared" si="287"/>
        <v>0</v>
      </c>
    </row>
    <row r="2253" spans="1:31">
      <c r="A2253" s="59" t="str">
        <f t="shared" si="281"/>
        <v/>
      </c>
      <c r="B2253" s="59" t="str">
        <f t="shared" si="282"/>
        <v/>
      </c>
      <c r="V2253" s="59" t="str">
        <f t="shared" si="283"/>
        <v/>
      </c>
      <c r="W2253" s="59" t="str">
        <f t="shared" si="280"/>
        <v/>
      </c>
      <c r="X2253" s="59" t="str">
        <f t="shared" si="284"/>
        <v/>
      </c>
      <c r="AC2253" s="50">
        <f t="shared" si="285"/>
        <v>0</v>
      </c>
      <c r="AD2253" s="43">
        <f t="shared" si="286"/>
        <v>0</v>
      </c>
      <c r="AE2253" s="50">
        <f t="shared" si="287"/>
        <v>0</v>
      </c>
    </row>
    <row r="2254" spans="1:31">
      <c r="A2254" s="59" t="str">
        <f t="shared" si="281"/>
        <v/>
      </c>
      <c r="B2254" s="59" t="str">
        <f t="shared" si="282"/>
        <v/>
      </c>
      <c r="V2254" s="59" t="str">
        <f t="shared" si="283"/>
        <v/>
      </c>
      <c r="W2254" s="59" t="str">
        <f t="shared" si="280"/>
        <v/>
      </c>
      <c r="X2254" s="59" t="str">
        <f t="shared" si="284"/>
        <v/>
      </c>
      <c r="AC2254" s="50">
        <f t="shared" si="285"/>
        <v>0</v>
      </c>
      <c r="AD2254" s="43">
        <f t="shared" si="286"/>
        <v>0</v>
      </c>
      <c r="AE2254" s="50">
        <f t="shared" si="287"/>
        <v>0</v>
      </c>
    </row>
    <row r="2255" spans="1:31">
      <c r="A2255" s="59" t="str">
        <f t="shared" si="281"/>
        <v/>
      </c>
      <c r="B2255" s="59" t="str">
        <f t="shared" si="282"/>
        <v/>
      </c>
      <c r="V2255" s="59" t="str">
        <f t="shared" si="283"/>
        <v/>
      </c>
      <c r="W2255" s="59" t="str">
        <f t="shared" si="280"/>
        <v/>
      </c>
      <c r="X2255" s="59" t="str">
        <f t="shared" si="284"/>
        <v/>
      </c>
      <c r="AC2255" s="50">
        <f t="shared" si="285"/>
        <v>0</v>
      </c>
      <c r="AD2255" s="43">
        <f t="shared" si="286"/>
        <v>0</v>
      </c>
      <c r="AE2255" s="50">
        <f t="shared" si="287"/>
        <v>0</v>
      </c>
    </row>
    <row r="2256" spans="1:31">
      <c r="A2256" s="59" t="str">
        <f t="shared" si="281"/>
        <v/>
      </c>
      <c r="B2256" s="59" t="str">
        <f t="shared" si="282"/>
        <v/>
      </c>
      <c r="V2256" s="59" t="str">
        <f t="shared" si="283"/>
        <v/>
      </c>
      <c r="W2256" s="59" t="str">
        <f t="shared" si="280"/>
        <v/>
      </c>
      <c r="X2256" s="59" t="str">
        <f t="shared" si="284"/>
        <v/>
      </c>
      <c r="AC2256" s="50">
        <f t="shared" si="285"/>
        <v>0</v>
      </c>
      <c r="AD2256" s="43">
        <f t="shared" si="286"/>
        <v>0</v>
      </c>
      <c r="AE2256" s="50">
        <f t="shared" si="287"/>
        <v>0</v>
      </c>
    </row>
    <row r="2257" spans="1:31">
      <c r="A2257" s="59" t="str">
        <f t="shared" si="281"/>
        <v/>
      </c>
      <c r="B2257" s="59" t="str">
        <f t="shared" si="282"/>
        <v/>
      </c>
      <c r="V2257" s="59" t="str">
        <f t="shared" si="283"/>
        <v/>
      </c>
      <c r="W2257" s="59" t="str">
        <f t="shared" si="280"/>
        <v/>
      </c>
      <c r="X2257" s="59" t="str">
        <f t="shared" si="284"/>
        <v/>
      </c>
      <c r="AC2257" s="50">
        <f t="shared" si="285"/>
        <v>0</v>
      </c>
      <c r="AD2257" s="43">
        <f t="shared" si="286"/>
        <v>0</v>
      </c>
      <c r="AE2257" s="50">
        <f t="shared" si="287"/>
        <v>0</v>
      </c>
    </row>
    <row r="2258" spans="1:31">
      <c r="A2258" s="59" t="str">
        <f t="shared" si="281"/>
        <v/>
      </c>
      <c r="B2258" s="59" t="str">
        <f t="shared" si="282"/>
        <v/>
      </c>
      <c r="V2258" s="59" t="str">
        <f t="shared" si="283"/>
        <v/>
      </c>
      <c r="W2258" s="59" t="str">
        <f t="shared" si="280"/>
        <v/>
      </c>
      <c r="X2258" s="59" t="str">
        <f t="shared" si="284"/>
        <v/>
      </c>
      <c r="AC2258" s="50">
        <f t="shared" si="285"/>
        <v>0</v>
      </c>
      <c r="AD2258" s="43">
        <f t="shared" si="286"/>
        <v>0</v>
      </c>
      <c r="AE2258" s="50">
        <f t="shared" si="287"/>
        <v>0</v>
      </c>
    </row>
    <row r="2259" spans="1:31">
      <c r="A2259" s="59" t="str">
        <f t="shared" si="281"/>
        <v/>
      </c>
      <c r="B2259" s="59" t="str">
        <f t="shared" si="282"/>
        <v/>
      </c>
      <c r="V2259" s="59" t="str">
        <f t="shared" si="283"/>
        <v/>
      </c>
      <c r="W2259" s="59" t="str">
        <f t="shared" si="280"/>
        <v/>
      </c>
      <c r="X2259" s="59" t="str">
        <f t="shared" si="284"/>
        <v/>
      </c>
      <c r="AC2259" s="50">
        <f t="shared" si="285"/>
        <v>0</v>
      </c>
      <c r="AD2259" s="43">
        <f t="shared" si="286"/>
        <v>0</v>
      </c>
      <c r="AE2259" s="50">
        <f t="shared" si="287"/>
        <v>0</v>
      </c>
    </row>
    <row r="2260" spans="1:31">
      <c r="A2260" s="59" t="str">
        <f t="shared" si="281"/>
        <v/>
      </c>
      <c r="B2260" s="59" t="str">
        <f t="shared" si="282"/>
        <v/>
      </c>
      <c r="V2260" s="59" t="str">
        <f t="shared" si="283"/>
        <v/>
      </c>
      <c r="W2260" s="59" t="str">
        <f t="shared" si="280"/>
        <v/>
      </c>
      <c r="X2260" s="59" t="str">
        <f t="shared" si="284"/>
        <v/>
      </c>
      <c r="AC2260" s="50">
        <f t="shared" si="285"/>
        <v>0</v>
      </c>
      <c r="AD2260" s="43">
        <f t="shared" si="286"/>
        <v>0</v>
      </c>
      <c r="AE2260" s="50">
        <f t="shared" si="287"/>
        <v>0</v>
      </c>
    </row>
    <row r="2261" spans="1:31">
      <c r="A2261" s="59" t="str">
        <f t="shared" si="281"/>
        <v/>
      </c>
      <c r="B2261" s="59" t="str">
        <f t="shared" si="282"/>
        <v/>
      </c>
      <c r="V2261" s="59" t="str">
        <f t="shared" si="283"/>
        <v/>
      </c>
      <c r="W2261" s="59" t="str">
        <f t="shared" si="280"/>
        <v/>
      </c>
      <c r="X2261" s="59" t="str">
        <f t="shared" si="284"/>
        <v/>
      </c>
      <c r="AC2261" s="50">
        <f t="shared" si="285"/>
        <v>0</v>
      </c>
      <c r="AD2261" s="43">
        <f t="shared" si="286"/>
        <v>0</v>
      </c>
      <c r="AE2261" s="50">
        <f t="shared" si="287"/>
        <v>0</v>
      </c>
    </row>
    <row r="2262" spans="1:31">
      <c r="A2262" s="59" t="str">
        <f t="shared" si="281"/>
        <v/>
      </c>
      <c r="B2262" s="59" t="str">
        <f t="shared" si="282"/>
        <v/>
      </c>
      <c r="V2262" s="59" t="str">
        <f t="shared" si="283"/>
        <v/>
      </c>
      <c r="W2262" s="59" t="str">
        <f t="shared" si="280"/>
        <v/>
      </c>
      <c r="X2262" s="59" t="str">
        <f t="shared" si="284"/>
        <v/>
      </c>
      <c r="AC2262" s="50">
        <f t="shared" si="285"/>
        <v>0</v>
      </c>
      <c r="AD2262" s="43">
        <f t="shared" si="286"/>
        <v>0</v>
      </c>
      <c r="AE2262" s="50">
        <f t="shared" si="287"/>
        <v>0</v>
      </c>
    </row>
    <row r="2263" spans="1:31">
      <c r="A2263" s="59" t="str">
        <f t="shared" si="281"/>
        <v/>
      </c>
      <c r="B2263" s="59" t="str">
        <f t="shared" si="282"/>
        <v/>
      </c>
      <c r="V2263" s="59" t="str">
        <f t="shared" si="283"/>
        <v/>
      </c>
      <c r="W2263" s="59" t="str">
        <f t="shared" si="280"/>
        <v/>
      </c>
      <c r="X2263" s="59" t="str">
        <f t="shared" si="284"/>
        <v/>
      </c>
      <c r="AC2263" s="50">
        <f t="shared" si="285"/>
        <v>0</v>
      </c>
      <c r="AD2263" s="43">
        <f t="shared" si="286"/>
        <v>0</v>
      </c>
      <c r="AE2263" s="50">
        <f t="shared" si="287"/>
        <v>0</v>
      </c>
    </row>
    <row r="2264" spans="1:31">
      <c r="A2264" s="59" t="str">
        <f t="shared" si="281"/>
        <v/>
      </c>
      <c r="B2264" s="59" t="str">
        <f t="shared" si="282"/>
        <v/>
      </c>
      <c r="V2264" s="59" t="str">
        <f t="shared" si="283"/>
        <v/>
      </c>
      <c r="W2264" s="59" t="str">
        <f t="shared" si="280"/>
        <v/>
      </c>
      <c r="X2264" s="59" t="str">
        <f t="shared" si="284"/>
        <v/>
      </c>
      <c r="AC2264" s="50">
        <f t="shared" si="285"/>
        <v>0</v>
      </c>
      <c r="AD2264" s="43">
        <f t="shared" si="286"/>
        <v>0</v>
      </c>
      <c r="AE2264" s="50">
        <f t="shared" si="287"/>
        <v>0</v>
      </c>
    </row>
    <row r="2265" spans="1:31">
      <c r="A2265" s="59" t="str">
        <f t="shared" si="281"/>
        <v/>
      </c>
      <c r="B2265" s="59" t="str">
        <f t="shared" si="282"/>
        <v/>
      </c>
      <c r="V2265" s="59" t="str">
        <f t="shared" si="283"/>
        <v/>
      </c>
      <c r="W2265" s="59" t="str">
        <f t="shared" si="280"/>
        <v/>
      </c>
      <c r="X2265" s="59" t="str">
        <f t="shared" si="284"/>
        <v/>
      </c>
      <c r="AC2265" s="50">
        <f t="shared" si="285"/>
        <v>0</v>
      </c>
      <c r="AD2265" s="43">
        <f t="shared" si="286"/>
        <v>0</v>
      </c>
      <c r="AE2265" s="50">
        <f t="shared" si="287"/>
        <v>0</v>
      </c>
    </row>
    <row r="2266" spans="1:31">
      <c r="A2266" s="59" t="str">
        <f t="shared" si="281"/>
        <v/>
      </c>
      <c r="B2266" s="59" t="str">
        <f t="shared" si="282"/>
        <v/>
      </c>
      <c r="V2266" s="59" t="str">
        <f t="shared" si="283"/>
        <v/>
      </c>
      <c r="W2266" s="59" t="str">
        <f t="shared" si="280"/>
        <v/>
      </c>
      <c r="X2266" s="59" t="str">
        <f t="shared" si="284"/>
        <v/>
      </c>
      <c r="AC2266" s="50">
        <f t="shared" si="285"/>
        <v>0</v>
      </c>
      <c r="AD2266" s="43">
        <f t="shared" si="286"/>
        <v>0</v>
      </c>
      <c r="AE2266" s="50">
        <f t="shared" si="287"/>
        <v>0</v>
      </c>
    </row>
    <row r="2267" spans="1:31">
      <c r="A2267" s="59" t="str">
        <f t="shared" si="281"/>
        <v/>
      </c>
      <c r="B2267" s="59" t="str">
        <f t="shared" si="282"/>
        <v/>
      </c>
      <c r="V2267" s="59" t="str">
        <f t="shared" si="283"/>
        <v/>
      </c>
      <c r="W2267" s="59" t="str">
        <f t="shared" si="280"/>
        <v/>
      </c>
      <c r="X2267" s="59" t="str">
        <f t="shared" si="284"/>
        <v/>
      </c>
      <c r="AC2267" s="50">
        <f t="shared" si="285"/>
        <v>0</v>
      </c>
      <c r="AD2267" s="43">
        <f t="shared" si="286"/>
        <v>0</v>
      </c>
      <c r="AE2267" s="50">
        <f t="shared" si="287"/>
        <v>0</v>
      </c>
    </row>
    <row r="2268" spans="1:31">
      <c r="A2268" s="59" t="str">
        <f t="shared" si="281"/>
        <v/>
      </c>
      <c r="B2268" s="59" t="str">
        <f t="shared" si="282"/>
        <v/>
      </c>
      <c r="V2268" s="59" t="str">
        <f t="shared" si="283"/>
        <v/>
      </c>
      <c r="W2268" s="59" t="str">
        <f t="shared" si="280"/>
        <v/>
      </c>
      <c r="X2268" s="59" t="str">
        <f t="shared" si="284"/>
        <v/>
      </c>
      <c r="AC2268" s="50">
        <f t="shared" si="285"/>
        <v>0</v>
      </c>
      <c r="AD2268" s="43">
        <f t="shared" si="286"/>
        <v>0</v>
      </c>
      <c r="AE2268" s="50">
        <f t="shared" si="287"/>
        <v>0</v>
      </c>
    </row>
    <row r="2269" spans="1:31">
      <c r="A2269" s="59" t="str">
        <f t="shared" si="281"/>
        <v/>
      </c>
      <c r="B2269" s="59" t="str">
        <f t="shared" si="282"/>
        <v/>
      </c>
      <c r="V2269" s="59" t="str">
        <f t="shared" si="283"/>
        <v/>
      </c>
      <c r="W2269" s="59" t="str">
        <f t="shared" si="280"/>
        <v/>
      </c>
      <c r="X2269" s="59" t="str">
        <f t="shared" si="284"/>
        <v/>
      </c>
      <c r="AC2269" s="50">
        <f t="shared" si="285"/>
        <v>0</v>
      </c>
      <c r="AD2269" s="43">
        <f t="shared" si="286"/>
        <v>0</v>
      </c>
      <c r="AE2269" s="50">
        <f t="shared" si="287"/>
        <v>0</v>
      </c>
    </row>
    <row r="2270" spans="1:31">
      <c r="A2270" s="59" t="str">
        <f t="shared" si="281"/>
        <v/>
      </c>
      <c r="B2270" s="59" t="str">
        <f t="shared" si="282"/>
        <v/>
      </c>
      <c r="V2270" s="59" t="str">
        <f t="shared" si="283"/>
        <v/>
      </c>
      <c r="W2270" s="59" t="str">
        <f t="shared" si="280"/>
        <v/>
      </c>
      <c r="X2270" s="59" t="str">
        <f t="shared" si="284"/>
        <v/>
      </c>
      <c r="AC2270" s="50">
        <f t="shared" si="285"/>
        <v>0</v>
      </c>
      <c r="AD2270" s="43">
        <f t="shared" si="286"/>
        <v>0</v>
      </c>
      <c r="AE2270" s="50">
        <f t="shared" si="287"/>
        <v>0</v>
      </c>
    </row>
    <row r="2271" spans="1:31">
      <c r="A2271" s="59" t="str">
        <f t="shared" si="281"/>
        <v/>
      </c>
      <c r="B2271" s="59" t="str">
        <f t="shared" si="282"/>
        <v/>
      </c>
      <c r="V2271" s="59" t="str">
        <f t="shared" si="283"/>
        <v/>
      </c>
      <c r="W2271" s="59" t="str">
        <f t="shared" si="280"/>
        <v/>
      </c>
      <c r="X2271" s="59" t="str">
        <f t="shared" si="284"/>
        <v/>
      </c>
      <c r="AC2271" s="50">
        <f t="shared" si="285"/>
        <v>0</v>
      </c>
      <c r="AD2271" s="43">
        <f t="shared" si="286"/>
        <v>0</v>
      </c>
      <c r="AE2271" s="50">
        <f t="shared" si="287"/>
        <v>0</v>
      </c>
    </row>
    <row r="2272" spans="1:31">
      <c r="A2272" s="59" t="str">
        <f t="shared" si="281"/>
        <v/>
      </c>
      <c r="B2272" s="59" t="str">
        <f t="shared" si="282"/>
        <v/>
      </c>
      <c r="V2272" s="59" t="str">
        <f t="shared" si="283"/>
        <v/>
      </c>
      <c r="W2272" s="59" t="str">
        <f t="shared" si="280"/>
        <v/>
      </c>
      <c r="X2272" s="59" t="str">
        <f t="shared" si="284"/>
        <v/>
      </c>
      <c r="AC2272" s="50">
        <f t="shared" si="285"/>
        <v>0</v>
      </c>
      <c r="AD2272" s="43">
        <f t="shared" si="286"/>
        <v>0</v>
      </c>
      <c r="AE2272" s="50">
        <f t="shared" si="287"/>
        <v>0</v>
      </c>
    </row>
    <row r="2273" spans="1:31">
      <c r="A2273" s="59" t="str">
        <f t="shared" si="281"/>
        <v/>
      </c>
      <c r="B2273" s="59" t="str">
        <f t="shared" si="282"/>
        <v/>
      </c>
      <c r="V2273" s="59" t="str">
        <f t="shared" si="283"/>
        <v/>
      </c>
      <c r="W2273" s="59" t="str">
        <f t="shared" si="280"/>
        <v/>
      </c>
      <c r="X2273" s="59" t="str">
        <f t="shared" si="284"/>
        <v/>
      </c>
      <c r="AC2273" s="50">
        <f t="shared" si="285"/>
        <v>0</v>
      </c>
      <c r="AD2273" s="43">
        <f t="shared" si="286"/>
        <v>0</v>
      </c>
      <c r="AE2273" s="50">
        <f t="shared" si="287"/>
        <v>0</v>
      </c>
    </row>
    <row r="2274" spans="1:31">
      <c r="A2274" s="59" t="str">
        <f t="shared" si="281"/>
        <v/>
      </c>
      <c r="B2274" s="59" t="str">
        <f t="shared" si="282"/>
        <v/>
      </c>
      <c r="V2274" s="59" t="str">
        <f t="shared" si="283"/>
        <v/>
      </c>
      <c r="W2274" s="59" t="str">
        <f t="shared" si="280"/>
        <v/>
      </c>
      <c r="X2274" s="59" t="str">
        <f t="shared" si="284"/>
        <v/>
      </c>
      <c r="AC2274" s="50">
        <f t="shared" si="285"/>
        <v>0</v>
      </c>
      <c r="AD2274" s="43">
        <f t="shared" si="286"/>
        <v>0</v>
      </c>
      <c r="AE2274" s="50">
        <f t="shared" si="287"/>
        <v>0</v>
      </c>
    </row>
    <row r="2275" spans="1:31">
      <c r="A2275" s="59" t="str">
        <f t="shared" si="281"/>
        <v/>
      </c>
      <c r="B2275" s="59" t="str">
        <f t="shared" si="282"/>
        <v/>
      </c>
      <c r="V2275" s="59" t="str">
        <f t="shared" si="283"/>
        <v/>
      </c>
      <c r="W2275" s="59" t="str">
        <f t="shared" si="280"/>
        <v/>
      </c>
      <c r="X2275" s="59" t="str">
        <f t="shared" si="284"/>
        <v/>
      </c>
      <c r="AC2275" s="50">
        <f t="shared" si="285"/>
        <v>0</v>
      </c>
      <c r="AD2275" s="43">
        <f t="shared" si="286"/>
        <v>0</v>
      </c>
      <c r="AE2275" s="50">
        <f t="shared" si="287"/>
        <v>0</v>
      </c>
    </row>
    <row r="2276" spans="1:31">
      <c r="A2276" s="59" t="str">
        <f t="shared" si="281"/>
        <v/>
      </c>
      <c r="B2276" s="59" t="str">
        <f t="shared" si="282"/>
        <v/>
      </c>
      <c r="V2276" s="59" t="str">
        <f t="shared" si="283"/>
        <v/>
      </c>
      <c r="W2276" s="59" t="str">
        <f t="shared" si="280"/>
        <v/>
      </c>
      <c r="X2276" s="59" t="str">
        <f t="shared" si="284"/>
        <v/>
      </c>
      <c r="AC2276" s="50">
        <f t="shared" si="285"/>
        <v>0</v>
      </c>
      <c r="AD2276" s="43">
        <f t="shared" si="286"/>
        <v>0</v>
      </c>
      <c r="AE2276" s="50">
        <f t="shared" si="287"/>
        <v>0</v>
      </c>
    </row>
    <row r="2277" spans="1:31">
      <c r="A2277" s="59" t="str">
        <f t="shared" si="281"/>
        <v/>
      </c>
      <c r="B2277" s="59" t="str">
        <f t="shared" si="282"/>
        <v/>
      </c>
      <c r="V2277" s="59" t="str">
        <f t="shared" si="283"/>
        <v/>
      </c>
      <c r="W2277" s="59" t="str">
        <f t="shared" si="280"/>
        <v/>
      </c>
      <c r="X2277" s="59" t="str">
        <f t="shared" si="284"/>
        <v/>
      </c>
      <c r="AC2277" s="50">
        <f t="shared" si="285"/>
        <v>0</v>
      </c>
      <c r="AD2277" s="43">
        <f t="shared" si="286"/>
        <v>0</v>
      </c>
      <c r="AE2277" s="50">
        <f t="shared" si="287"/>
        <v>0</v>
      </c>
    </row>
    <row r="2278" spans="1:31">
      <c r="A2278" s="59" t="str">
        <f t="shared" si="281"/>
        <v/>
      </c>
      <c r="B2278" s="59" t="str">
        <f t="shared" si="282"/>
        <v/>
      </c>
      <c r="V2278" s="59" t="str">
        <f t="shared" si="283"/>
        <v/>
      </c>
      <c r="W2278" s="59" t="str">
        <f t="shared" si="280"/>
        <v/>
      </c>
      <c r="X2278" s="59" t="str">
        <f t="shared" si="284"/>
        <v/>
      </c>
      <c r="AC2278" s="50">
        <f t="shared" si="285"/>
        <v>0</v>
      </c>
      <c r="AD2278" s="43">
        <f t="shared" si="286"/>
        <v>0</v>
      </c>
      <c r="AE2278" s="50">
        <f t="shared" si="287"/>
        <v>0</v>
      </c>
    </row>
    <row r="2279" spans="1:31">
      <c r="A2279" s="59" t="str">
        <f t="shared" si="281"/>
        <v/>
      </c>
      <c r="B2279" s="59" t="str">
        <f t="shared" si="282"/>
        <v/>
      </c>
      <c r="V2279" s="59" t="str">
        <f t="shared" si="283"/>
        <v/>
      </c>
      <c r="W2279" s="59" t="str">
        <f t="shared" si="280"/>
        <v/>
      </c>
      <c r="X2279" s="59" t="str">
        <f t="shared" si="284"/>
        <v/>
      </c>
      <c r="AC2279" s="50">
        <f t="shared" si="285"/>
        <v>0</v>
      </c>
      <c r="AD2279" s="43">
        <f t="shared" si="286"/>
        <v>0</v>
      </c>
      <c r="AE2279" s="50">
        <f t="shared" si="287"/>
        <v>0</v>
      </c>
    </row>
    <row r="2280" spans="1:31">
      <c r="A2280" s="59" t="str">
        <f t="shared" si="281"/>
        <v/>
      </c>
      <c r="B2280" s="59" t="str">
        <f t="shared" si="282"/>
        <v/>
      </c>
      <c r="V2280" s="59" t="str">
        <f t="shared" si="283"/>
        <v/>
      </c>
      <c r="W2280" s="59" t="str">
        <f t="shared" si="280"/>
        <v/>
      </c>
      <c r="X2280" s="59" t="str">
        <f t="shared" si="284"/>
        <v/>
      </c>
      <c r="AC2280" s="50">
        <f t="shared" si="285"/>
        <v>0</v>
      </c>
      <c r="AD2280" s="43">
        <f t="shared" si="286"/>
        <v>0</v>
      </c>
      <c r="AE2280" s="50">
        <f t="shared" si="287"/>
        <v>0</v>
      </c>
    </row>
    <row r="2281" spans="1:31">
      <c r="A2281" s="59" t="str">
        <f t="shared" si="281"/>
        <v/>
      </c>
      <c r="B2281" s="59" t="str">
        <f t="shared" si="282"/>
        <v/>
      </c>
      <c r="V2281" s="59" t="str">
        <f t="shared" si="283"/>
        <v/>
      </c>
      <c r="W2281" s="59" t="str">
        <f t="shared" si="280"/>
        <v/>
      </c>
      <c r="X2281" s="59" t="str">
        <f t="shared" si="284"/>
        <v/>
      </c>
      <c r="AC2281" s="50">
        <f t="shared" si="285"/>
        <v>0</v>
      </c>
      <c r="AD2281" s="43">
        <f t="shared" si="286"/>
        <v>0</v>
      </c>
      <c r="AE2281" s="50">
        <f t="shared" si="287"/>
        <v>0</v>
      </c>
    </row>
    <row r="2282" spans="1:31">
      <c r="A2282" s="59" t="str">
        <f t="shared" si="281"/>
        <v/>
      </c>
      <c r="B2282" s="59" t="str">
        <f t="shared" si="282"/>
        <v/>
      </c>
      <c r="V2282" s="59" t="str">
        <f t="shared" si="283"/>
        <v/>
      </c>
      <c r="W2282" s="59" t="str">
        <f t="shared" si="280"/>
        <v/>
      </c>
      <c r="X2282" s="59" t="str">
        <f t="shared" si="284"/>
        <v/>
      </c>
      <c r="AC2282" s="50">
        <f t="shared" si="285"/>
        <v>0</v>
      </c>
      <c r="AD2282" s="43">
        <f t="shared" si="286"/>
        <v>0</v>
      </c>
      <c r="AE2282" s="50">
        <f t="shared" si="287"/>
        <v>0</v>
      </c>
    </row>
    <row r="2283" spans="1:31">
      <c r="A2283" s="59" t="str">
        <f t="shared" si="281"/>
        <v/>
      </c>
      <c r="B2283" s="59" t="str">
        <f t="shared" si="282"/>
        <v/>
      </c>
      <c r="V2283" s="59" t="str">
        <f t="shared" si="283"/>
        <v/>
      </c>
      <c r="W2283" s="59" t="str">
        <f t="shared" si="280"/>
        <v/>
      </c>
      <c r="X2283" s="59" t="str">
        <f t="shared" si="284"/>
        <v/>
      </c>
      <c r="AC2283" s="50">
        <f t="shared" si="285"/>
        <v>0</v>
      </c>
      <c r="AD2283" s="43">
        <f t="shared" si="286"/>
        <v>0</v>
      </c>
      <c r="AE2283" s="50">
        <f t="shared" si="287"/>
        <v>0</v>
      </c>
    </row>
    <row r="2284" spans="1:31">
      <c r="A2284" s="59" t="str">
        <f t="shared" si="281"/>
        <v/>
      </c>
      <c r="B2284" s="59" t="str">
        <f t="shared" si="282"/>
        <v/>
      </c>
      <c r="V2284" s="59" t="str">
        <f t="shared" si="283"/>
        <v/>
      </c>
      <c r="W2284" s="59" t="str">
        <f t="shared" si="280"/>
        <v/>
      </c>
      <c r="X2284" s="59" t="str">
        <f t="shared" si="284"/>
        <v/>
      </c>
      <c r="AC2284" s="50">
        <f t="shared" si="285"/>
        <v>0</v>
      </c>
      <c r="AD2284" s="43">
        <f t="shared" si="286"/>
        <v>0</v>
      </c>
      <c r="AE2284" s="50">
        <f t="shared" si="287"/>
        <v>0</v>
      </c>
    </row>
    <row r="2285" spans="1:31">
      <c r="A2285" s="59" t="str">
        <f t="shared" si="281"/>
        <v/>
      </c>
      <c r="B2285" s="59" t="str">
        <f t="shared" si="282"/>
        <v/>
      </c>
      <c r="V2285" s="59" t="str">
        <f t="shared" si="283"/>
        <v/>
      </c>
      <c r="W2285" s="59" t="str">
        <f t="shared" si="280"/>
        <v/>
      </c>
      <c r="X2285" s="59" t="str">
        <f t="shared" si="284"/>
        <v/>
      </c>
      <c r="AC2285" s="50">
        <f t="shared" si="285"/>
        <v>0</v>
      </c>
      <c r="AD2285" s="43">
        <f t="shared" si="286"/>
        <v>0</v>
      </c>
      <c r="AE2285" s="50">
        <f t="shared" si="287"/>
        <v>0</v>
      </c>
    </row>
    <row r="2286" spans="1:31">
      <c r="A2286" s="59" t="str">
        <f t="shared" si="281"/>
        <v/>
      </c>
      <c r="B2286" s="59" t="str">
        <f t="shared" si="282"/>
        <v/>
      </c>
      <c r="V2286" s="59" t="str">
        <f t="shared" si="283"/>
        <v/>
      </c>
      <c r="W2286" s="59" t="str">
        <f t="shared" si="280"/>
        <v/>
      </c>
      <c r="X2286" s="59" t="str">
        <f t="shared" si="284"/>
        <v/>
      </c>
      <c r="AC2286" s="50">
        <f t="shared" si="285"/>
        <v>0</v>
      </c>
      <c r="AD2286" s="43">
        <f t="shared" si="286"/>
        <v>0</v>
      </c>
      <c r="AE2286" s="50">
        <f t="shared" si="287"/>
        <v>0</v>
      </c>
    </row>
    <row r="2287" spans="1:31">
      <c r="A2287" s="59" t="str">
        <f t="shared" si="281"/>
        <v/>
      </c>
      <c r="B2287" s="59" t="str">
        <f t="shared" si="282"/>
        <v/>
      </c>
      <c r="V2287" s="59" t="str">
        <f t="shared" si="283"/>
        <v/>
      </c>
      <c r="W2287" s="59" t="str">
        <f t="shared" si="280"/>
        <v/>
      </c>
      <c r="X2287" s="59" t="str">
        <f t="shared" si="284"/>
        <v/>
      </c>
      <c r="AC2287" s="50">
        <f t="shared" si="285"/>
        <v>0</v>
      </c>
      <c r="AD2287" s="43">
        <f t="shared" si="286"/>
        <v>0</v>
      </c>
      <c r="AE2287" s="50">
        <f t="shared" si="287"/>
        <v>0</v>
      </c>
    </row>
    <row r="2288" spans="1:31">
      <c r="A2288" s="59" t="str">
        <f t="shared" si="281"/>
        <v/>
      </c>
      <c r="B2288" s="59" t="str">
        <f t="shared" si="282"/>
        <v/>
      </c>
      <c r="V2288" s="59" t="str">
        <f t="shared" si="283"/>
        <v/>
      </c>
      <c r="W2288" s="59" t="str">
        <f t="shared" si="280"/>
        <v/>
      </c>
      <c r="X2288" s="59" t="str">
        <f t="shared" si="284"/>
        <v/>
      </c>
      <c r="AC2288" s="50">
        <f t="shared" si="285"/>
        <v>0</v>
      </c>
      <c r="AD2288" s="43">
        <f t="shared" si="286"/>
        <v>0</v>
      </c>
      <c r="AE2288" s="50">
        <f t="shared" si="287"/>
        <v>0</v>
      </c>
    </row>
    <row r="2289" spans="1:31">
      <c r="A2289" s="59" t="str">
        <f t="shared" si="281"/>
        <v/>
      </c>
      <c r="B2289" s="59" t="str">
        <f t="shared" si="282"/>
        <v/>
      </c>
      <c r="V2289" s="59" t="str">
        <f t="shared" si="283"/>
        <v/>
      </c>
      <c r="W2289" s="59" t="str">
        <f t="shared" si="280"/>
        <v/>
      </c>
      <c r="X2289" s="59" t="str">
        <f t="shared" si="284"/>
        <v/>
      </c>
      <c r="AC2289" s="50">
        <f t="shared" si="285"/>
        <v>0</v>
      </c>
      <c r="AD2289" s="43">
        <f t="shared" si="286"/>
        <v>0</v>
      </c>
      <c r="AE2289" s="50">
        <f t="shared" si="287"/>
        <v>0</v>
      </c>
    </row>
    <row r="2290" spans="1:31">
      <c r="A2290" s="59" t="str">
        <f t="shared" si="281"/>
        <v/>
      </c>
      <c r="B2290" s="59" t="str">
        <f t="shared" si="282"/>
        <v/>
      </c>
      <c r="V2290" s="59" t="str">
        <f t="shared" si="283"/>
        <v/>
      </c>
      <c r="W2290" s="59" t="str">
        <f t="shared" si="280"/>
        <v/>
      </c>
      <c r="X2290" s="59" t="str">
        <f t="shared" si="284"/>
        <v/>
      </c>
      <c r="AC2290" s="50">
        <f t="shared" si="285"/>
        <v>0</v>
      </c>
      <c r="AD2290" s="43">
        <f t="shared" si="286"/>
        <v>0</v>
      </c>
      <c r="AE2290" s="50">
        <f t="shared" si="287"/>
        <v>0</v>
      </c>
    </row>
    <row r="2291" spans="1:31">
      <c r="A2291" s="59" t="str">
        <f t="shared" si="281"/>
        <v/>
      </c>
      <c r="B2291" s="59" t="str">
        <f t="shared" si="282"/>
        <v/>
      </c>
      <c r="V2291" s="59" t="str">
        <f t="shared" si="283"/>
        <v/>
      </c>
      <c r="W2291" s="59" t="str">
        <f t="shared" si="280"/>
        <v/>
      </c>
      <c r="X2291" s="59" t="str">
        <f t="shared" si="284"/>
        <v/>
      </c>
      <c r="AC2291" s="50">
        <f t="shared" si="285"/>
        <v>0</v>
      </c>
      <c r="AD2291" s="43">
        <f t="shared" si="286"/>
        <v>0</v>
      </c>
      <c r="AE2291" s="50">
        <f t="shared" si="287"/>
        <v>0</v>
      </c>
    </row>
    <row r="2292" spans="1:31">
      <c r="A2292" s="59" t="str">
        <f t="shared" si="281"/>
        <v/>
      </c>
      <c r="B2292" s="59" t="str">
        <f t="shared" si="282"/>
        <v/>
      </c>
      <c r="V2292" s="59" t="str">
        <f t="shared" si="283"/>
        <v/>
      </c>
      <c r="W2292" s="59" t="str">
        <f t="shared" si="280"/>
        <v/>
      </c>
      <c r="X2292" s="59" t="str">
        <f t="shared" si="284"/>
        <v/>
      </c>
      <c r="AC2292" s="50">
        <f t="shared" si="285"/>
        <v>0</v>
      </c>
      <c r="AD2292" s="43">
        <f t="shared" si="286"/>
        <v>0</v>
      </c>
      <c r="AE2292" s="50">
        <f t="shared" si="287"/>
        <v>0</v>
      </c>
    </row>
    <row r="2293" spans="1:31">
      <c r="A2293" s="59" t="str">
        <f t="shared" si="281"/>
        <v/>
      </c>
      <c r="B2293" s="59" t="str">
        <f t="shared" si="282"/>
        <v/>
      </c>
      <c r="V2293" s="59" t="str">
        <f t="shared" si="283"/>
        <v/>
      </c>
      <c r="W2293" s="59" t="str">
        <f t="shared" si="280"/>
        <v/>
      </c>
      <c r="X2293" s="59" t="str">
        <f t="shared" si="284"/>
        <v/>
      </c>
      <c r="AC2293" s="50">
        <f t="shared" si="285"/>
        <v>0</v>
      </c>
      <c r="AD2293" s="43">
        <f t="shared" si="286"/>
        <v>0</v>
      </c>
      <c r="AE2293" s="50">
        <f t="shared" si="287"/>
        <v>0</v>
      </c>
    </row>
    <row r="2294" spans="1:31">
      <c r="A2294" s="59" t="str">
        <f t="shared" si="281"/>
        <v/>
      </c>
      <c r="B2294" s="59" t="str">
        <f t="shared" si="282"/>
        <v/>
      </c>
      <c r="V2294" s="59" t="str">
        <f t="shared" si="283"/>
        <v/>
      </c>
      <c r="W2294" s="59" t="str">
        <f t="shared" si="280"/>
        <v/>
      </c>
      <c r="X2294" s="59" t="str">
        <f t="shared" si="284"/>
        <v/>
      </c>
      <c r="AC2294" s="50">
        <f t="shared" si="285"/>
        <v>0</v>
      </c>
      <c r="AD2294" s="43">
        <f t="shared" si="286"/>
        <v>0</v>
      </c>
      <c r="AE2294" s="50">
        <f t="shared" si="287"/>
        <v>0</v>
      </c>
    </row>
    <row r="2295" spans="1:31">
      <c r="A2295" s="59" t="str">
        <f t="shared" si="281"/>
        <v/>
      </c>
      <c r="B2295" s="59" t="str">
        <f t="shared" si="282"/>
        <v/>
      </c>
      <c r="V2295" s="59" t="str">
        <f t="shared" si="283"/>
        <v/>
      </c>
      <c r="W2295" s="59" t="str">
        <f t="shared" si="280"/>
        <v/>
      </c>
      <c r="X2295" s="59" t="str">
        <f t="shared" si="284"/>
        <v/>
      </c>
      <c r="AC2295" s="50">
        <f t="shared" si="285"/>
        <v>0</v>
      </c>
      <c r="AD2295" s="43">
        <f t="shared" si="286"/>
        <v>0</v>
      </c>
      <c r="AE2295" s="50">
        <f t="shared" si="287"/>
        <v>0</v>
      </c>
    </row>
    <row r="2296" spans="1:31">
      <c r="A2296" s="59" t="str">
        <f t="shared" si="281"/>
        <v/>
      </c>
      <c r="B2296" s="59" t="str">
        <f t="shared" si="282"/>
        <v/>
      </c>
      <c r="V2296" s="59" t="str">
        <f t="shared" si="283"/>
        <v/>
      </c>
      <c r="W2296" s="59" t="str">
        <f t="shared" si="280"/>
        <v/>
      </c>
      <c r="X2296" s="59" t="str">
        <f t="shared" si="284"/>
        <v/>
      </c>
      <c r="AC2296" s="50">
        <f t="shared" si="285"/>
        <v>0</v>
      </c>
      <c r="AD2296" s="43">
        <f t="shared" si="286"/>
        <v>0</v>
      </c>
      <c r="AE2296" s="50">
        <f t="shared" si="287"/>
        <v>0</v>
      </c>
    </row>
    <row r="2297" spans="1:31">
      <c r="A2297" s="59" t="str">
        <f t="shared" si="281"/>
        <v/>
      </c>
      <c r="B2297" s="59" t="str">
        <f t="shared" si="282"/>
        <v/>
      </c>
      <c r="V2297" s="59" t="str">
        <f t="shared" si="283"/>
        <v/>
      </c>
      <c r="W2297" s="59" t="str">
        <f t="shared" si="280"/>
        <v/>
      </c>
      <c r="X2297" s="59" t="str">
        <f t="shared" si="284"/>
        <v/>
      </c>
      <c r="AC2297" s="50">
        <f t="shared" si="285"/>
        <v>0</v>
      </c>
      <c r="AD2297" s="43">
        <f t="shared" si="286"/>
        <v>0</v>
      </c>
      <c r="AE2297" s="50">
        <f t="shared" si="287"/>
        <v>0</v>
      </c>
    </row>
    <row r="2298" spans="1:31">
      <c r="A2298" s="59" t="str">
        <f t="shared" si="281"/>
        <v/>
      </c>
      <c r="B2298" s="59" t="str">
        <f t="shared" si="282"/>
        <v/>
      </c>
      <c r="V2298" s="59" t="str">
        <f t="shared" si="283"/>
        <v/>
      </c>
      <c r="W2298" s="59" t="str">
        <f t="shared" si="280"/>
        <v/>
      </c>
      <c r="X2298" s="59" t="str">
        <f t="shared" si="284"/>
        <v/>
      </c>
      <c r="AC2298" s="50">
        <f t="shared" si="285"/>
        <v>0</v>
      </c>
      <c r="AD2298" s="43">
        <f t="shared" si="286"/>
        <v>0</v>
      </c>
      <c r="AE2298" s="50">
        <f t="shared" si="287"/>
        <v>0</v>
      </c>
    </row>
    <row r="2299" spans="1:31">
      <c r="A2299" s="59" t="str">
        <f t="shared" si="281"/>
        <v/>
      </c>
      <c r="B2299" s="59" t="str">
        <f t="shared" si="282"/>
        <v/>
      </c>
      <c r="V2299" s="59" t="str">
        <f t="shared" si="283"/>
        <v/>
      </c>
      <c r="W2299" s="59" t="str">
        <f t="shared" si="280"/>
        <v/>
      </c>
      <c r="X2299" s="59" t="str">
        <f t="shared" si="284"/>
        <v/>
      </c>
      <c r="AC2299" s="50">
        <f t="shared" si="285"/>
        <v>0</v>
      </c>
      <c r="AD2299" s="43">
        <f t="shared" si="286"/>
        <v>0</v>
      </c>
      <c r="AE2299" s="50">
        <f t="shared" si="287"/>
        <v>0</v>
      </c>
    </row>
    <row r="2300" spans="1:31">
      <c r="A2300" s="59" t="str">
        <f t="shared" si="281"/>
        <v/>
      </c>
      <c r="B2300" s="59" t="str">
        <f t="shared" si="282"/>
        <v/>
      </c>
      <c r="V2300" s="59" t="str">
        <f t="shared" si="283"/>
        <v/>
      </c>
      <c r="W2300" s="59" t="str">
        <f t="shared" si="280"/>
        <v/>
      </c>
      <c r="X2300" s="59" t="str">
        <f t="shared" si="284"/>
        <v/>
      </c>
      <c r="AC2300" s="50">
        <f t="shared" si="285"/>
        <v>0</v>
      </c>
      <c r="AD2300" s="43">
        <f t="shared" si="286"/>
        <v>0</v>
      </c>
      <c r="AE2300" s="50">
        <f t="shared" si="287"/>
        <v>0</v>
      </c>
    </row>
    <row r="2301" spans="1:31">
      <c r="A2301" s="59" t="str">
        <f t="shared" si="281"/>
        <v/>
      </c>
      <c r="B2301" s="59" t="str">
        <f t="shared" si="282"/>
        <v/>
      </c>
      <c r="V2301" s="59" t="str">
        <f t="shared" si="283"/>
        <v/>
      </c>
      <c r="W2301" s="59" t="str">
        <f t="shared" si="280"/>
        <v/>
      </c>
      <c r="X2301" s="59" t="str">
        <f t="shared" si="284"/>
        <v/>
      </c>
      <c r="AC2301" s="50">
        <f t="shared" si="285"/>
        <v>0</v>
      </c>
      <c r="AD2301" s="43">
        <f t="shared" si="286"/>
        <v>0</v>
      </c>
      <c r="AE2301" s="50">
        <f t="shared" si="287"/>
        <v>0</v>
      </c>
    </row>
    <row r="2302" spans="1:31">
      <c r="A2302" s="59" t="str">
        <f t="shared" si="281"/>
        <v/>
      </c>
      <c r="B2302" s="59" t="str">
        <f t="shared" si="282"/>
        <v/>
      </c>
      <c r="V2302" s="59" t="str">
        <f t="shared" si="283"/>
        <v/>
      </c>
      <c r="W2302" s="59" t="str">
        <f t="shared" si="280"/>
        <v/>
      </c>
      <c r="X2302" s="59" t="str">
        <f t="shared" si="284"/>
        <v/>
      </c>
      <c r="AC2302" s="50">
        <f t="shared" si="285"/>
        <v>0</v>
      </c>
      <c r="AD2302" s="43">
        <f t="shared" si="286"/>
        <v>0</v>
      </c>
      <c r="AE2302" s="50">
        <f t="shared" si="287"/>
        <v>0</v>
      </c>
    </row>
    <row r="2303" spans="1:31">
      <c r="A2303" s="59" t="str">
        <f t="shared" si="281"/>
        <v/>
      </c>
      <c r="B2303" s="59" t="str">
        <f t="shared" si="282"/>
        <v/>
      </c>
      <c r="V2303" s="59" t="str">
        <f t="shared" si="283"/>
        <v/>
      </c>
      <c r="W2303" s="59" t="str">
        <f t="shared" si="280"/>
        <v/>
      </c>
      <c r="X2303" s="59" t="str">
        <f t="shared" si="284"/>
        <v/>
      </c>
      <c r="AC2303" s="50">
        <f t="shared" si="285"/>
        <v>0</v>
      </c>
      <c r="AD2303" s="43">
        <f t="shared" si="286"/>
        <v>0</v>
      </c>
      <c r="AE2303" s="50">
        <f t="shared" si="287"/>
        <v>0</v>
      </c>
    </row>
    <row r="2304" spans="1:31">
      <c r="A2304" s="59" t="str">
        <f t="shared" si="281"/>
        <v/>
      </c>
      <c r="B2304" s="59" t="str">
        <f t="shared" si="282"/>
        <v/>
      </c>
      <c r="V2304" s="59" t="str">
        <f t="shared" si="283"/>
        <v/>
      </c>
      <c r="W2304" s="59" t="str">
        <f t="shared" si="280"/>
        <v/>
      </c>
      <c r="X2304" s="59" t="str">
        <f t="shared" si="284"/>
        <v/>
      </c>
      <c r="AC2304" s="50">
        <f t="shared" si="285"/>
        <v>0</v>
      </c>
      <c r="AD2304" s="43">
        <f t="shared" si="286"/>
        <v>0</v>
      </c>
      <c r="AE2304" s="50">
        <f t="shared" si="287"/>
        <v>0</v>
      </c>
    </row>
    <row r="2305" spans="1:31">
      <c r="A2305" s="59" t="str">
        <f t="shared" si="281"/>
        <v/>
      </c>
      <c r="B2305" s="59" t="str">
        <f t="shared" si="282"/>
        <v/>
      </c>
      <c r="V2305" s="59" t="str">
        <f t="shared" si="283"/>
        <v/>
      </c>
      <c r="W2305" s="59" t="str">
        <f t="shared" si="280"/>
        <v/>
      </c>
      <c r="X2305" s="59" t="str">
        <f t="shared" si="284"/>
        <v/>
      </c>
      <c r="AC2305" s="50">
        <f t="shared" si="285"/>
        <v>0</v>
      </c>
      <c r="AD2305" s="43">
        <f t="shared" si="286"/>
        <v>0</v>
      </c>
      <c r="AE2305" s="50">
        <f t="shared" si="287"/>
        <v>0</v>
      </c>
    </row>
    <row r="2306" spans="1:31">
      <c r="A2306" s="59" t="str">
        <f t="shared" si="281"/>
        <v/>
      </c>
      <c r="B2306" s="59" t="str">
        <f t="shared" si="282"/>
        <v/>
      </c>
      <c r="V2306" s="59" t="str">
        <f t="shared" si="283"/>
        <v/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59" t="str">
        <f t="shared" si="284"/>
        <v/>
      </c>
      <c r="AC2306" s="50">
        <f t="shared" si="285"/>
        <v>0</v>
      </c>
      <c r="AD2306" s="43">
        <f t="shared" si="286"/>
        <v>0</v>
      </c>
      <c r="AE2306" s="50">
        <f t="shared" si="287"/>
        <v>0</v>
      </c>
    </row>
    <row r="2307" spans="1:31">
      <c r="A2307" s="59" t="str">
        <f t="shared" ref="A2307:A2370" si="289">IF(G2307&amp;Q2307&lt;&gt;"",W2307&amp;Q2307,"")</f>
        <v/>
      </c>
      <c r="B2307" s="59" t="str">
        <f t="shared" ref="B2307:B2370" si="290">IF(C2307&lt;&gt;"",LEFT(C2307,9),"")</f>
        <v/>
      </c>
      <c r="V2307" s="59" t="str">
        <f t="shared" ref="V2307:V2370" si="291">W2307&amp;H2307</f>
        <v/>
      </c>
      <c r="W2307" s="59" t="str">
        <f t="shared" si="288"/>
        <v/>
      </c>
      <c r="X2307" s="59" t="str">
        <f t="shared" ref="X2307:X2370" si="292">IF(A2307&lt;&gt;"",IFERROR(IF(FIND(" ",G2307)&gt;=1,MID(G2307,FIND(" ",G2307)+1,LEN(G2307)),""),""),"")</f>
        <v/>
      </c>
      <c r="AC2307" s="50">
        <f t="shared" ref="AC2307:AC2370" si="293">IFERROR(VALUE(MID($C2307,1,2)),0)</f>
        <v>0</v>
      </c>
      <c r="AD2307" s="43">
        <f t="shared" ref="AD2307:AD2370" si="294">IFERROR(VALUE(MID($C2307,4,3)),0)</f>
        <v>0</v>
      </c>
      <c r="AE2307" s="50">
        <f t="shared" ref="AE2307:AE2370" si="295">VALUE(RIGHT("00"&amp;AC2307,2)&amp;RIGHT("000"&amp;AD2307,3))</f>
        <v>0</v>
      </c>
    </row>
    <row r="2308" spans="1:31">
      <c r="A2308" s="59" t="str">
        <f t="shared" si="289"/>
        <v/>
      </c>
      <c r="B2308" s="59" t="str">
        <f t="shared" si="290"/>
        <v/>
      </c>
      <c r="V2308" s="59" t="str">
        <f t="shared" si="291"/>
        <v/>
      </c>
      <c r="W2308" s="59" t="str">
        <f t="shared" si="288"/>
        <v/>
      </c>
      <c r="X2308" s="59" t="str">
        <f t="shared" si="292"/>
        <v/>
      </c>
      <c r="AC2308" s="50">
        <f t="shared" si="293"/>
        <v>0</v>
      </c>
      <c r="AD2308" s="43">
        <f t="shared" si="294"/>
        <v>0</v>
      </c>
      <c r="AE2308" s="50">
        <f t="shared" si="295"/>
        <v>0</v>
      </c>
    </row>
    <row r="2309" spans="1:31">
      <c r="A2309" s="59" t="str">
        <f t="shared" si="289"/>
        <v/>
      </c>
      <c r="B2309" s="59" t="str">
        <f t="shared" si="290"/>
        <v/>
      </c>
      <c r="V2309" s="59" t="str">
        <f t="shared" si="291"/>
        <v/>
      </c>
      <c r="W2309" s="59" t="str">
        <f t="shared" si="288"/>
        <v/>
      </c>
      <c r="X2309" s="59" t="str">
        <f t="shared" si="292"/>
        <v/>
      </c>
      <c r="AC2309" s="50">
        <f t="shared" si="293"/>
        <v>0</v>
      </c>
      <c r="AD2309" s="43">
        <f t="shared" si="294"/>
        <v>0</v>
      </c>
      <c r="AE2309" s="50">
        <f t="shared" si="295"/>
        <v>0</v>
      </c>
    </row>
    <row r="2310" spans="1:31">
      <c r="A2310" s="59" t="str">
        <f t="shared" si="289"/>
        <v/>
      </c>
      <c r="B2310" s="59" t="str">
        <f t="shared" si="290"/>
        <v/>
      </c>
      <c r="V2310" s="59" t="str">
        <f t="shared" si="291"/>
        <v/>
      </c>
      <c r="W2310" s="59" t="str">
        <f t="shared" si="288"/>
        <v/>
      </c>
      <c r="X2310" s="59" t="str">
        <f t="shared" si="292"/>
        <v/>
      </c>
      <c r="AC2310" s="50">
        <f t="shared" si="293"/>
        <v>0</v>
      </c>
      <c r="AD2310" s="43">
        <f t="shared" si="294"/>
        <v>0</v>
      </c>
      <c r="AE2310" s="50">
        <f t="shared" si="295"/>
        <v>0</v>
      </c>
    </row>
    <row r="2311" spans="1:31">
      <c r="A2311" s="59" t="str">
        <f t="shared" si="289"/>
        <v/>
      </c>
      <c r="B2311" s="59" t="str">
        <f t="shared" si="290"/>
        <v/>
      </c>
      <c r="V2311" s="59" t="str">
        <f t="shared" si="291"/>
        <v/>
      </c>
      <c r="W2311" s="59" t="str">
        <f t="shared" si="288"/>
        <v/>
      </c>
      <c r="X2311" s="59" t="str">
        <f t="shared" si="292"/>
        <v/>
      </c>
      <c r="AC2311" s="50">
        <f t="shared" si="293"/>
        <v>0</v>
      </c>
      <c r="AD2311" s="43">
        <f t="shared" si="294"/>
        <v>0</v>
      </c>
      <c r="AE2311" s="50">
        <f t="shared" si="295"/>
        <v>0</v>
      </c>
    </row>
    <row r="2312" spans="1:31">
      <c r="A2312" s="59" t="str">
        <f t="shared" si="289"/>
        <v/>
      </c>
      <c r="B2312" s="59" t="str">
        <f t="shared" si="290"/>
        <v/>
      </c>
      <c r="V2312" s="59" t="str">
        <f t="shared" si="291"/>
        <v/>
      </c>
      <c r="W2312" s="59" t="str">
        <f t="shared" si="288"/>
        <v/>
      </c>
      <c r="X2312" s="59" t="str">
        <f t="shared" si="292"/>
        <v/>
      </c>
      <c r="AC2312" s="50">
        <f t="shared" si="293"/>
        <v>0</v>
      </c>
      <c r="AD2312" s="43">
        <f t="shared" si="294"/>
        <v>0</v>
      </c>
      <c r="AE2312" s="50">
        <f t="shared" si="295"/>
        <v>0</v>
      </c>
    </row>
    <row r="2313" spans="1:31">
      <c r="A2313" s="59" t="str">
        <f t="shared" si="289"/>
        <v/>
      </c>
      <c r="B2313" s="59" t="str">
        <f t="shared" si="290"/>
        <v/>
      </c>
      <c r="V2313" s="59" t="str">
        <f t="shared" si="291"/>
        <v/>
      </c>
      <c r="W2313" s="59" t="str">
        <f t="shared" si="288"/>
        <v/>
      </c>
      <c r="X2313" s="59" t="str">
        <f t="shared" si="292"/>
        <v/>
      </c>
      <c r="AC2313" s="50">
        <f t="shared" si="293"/>
        <v>0</v>
      </c>
      <c r="AD2313" s="43">
        <f t="shared" si="294"/>
        <v>0</v>
      </c>
      <c r="AE2313" s="50">
        <f t="shared" si="295"/>
        <v>0</v>
      </c>
    </row>
    <row r="2314" spans="1:31">
      <c r="A2314" s="59" t="str">
        <f t="shared" si="289"/>
        <v/>
      </c>
      <c r="B2314" s="59" t="str">
        <f t="shared" si="290"/>
        <v/>
      </c>
      <c r="V2314" s="59" t="str">
        <f t="shared" si="291"/>
        <v/>
      </c>
      <c r="W2314" s="59" t="str">
        <f t="shared" si="288"/>
        <v/>
      </c>
      <c r="X2314" s="59" t="str">
        <f t="shared" si="292"/>
        <v/>
      </c>
      <c r="AC2314" s="50">
        <f t="shared" si="293"/>
        <v>0</v>
      </c>
      <c r="AD2314" s="43">
        <f t="shared" si="294"/>
        <v>0</v>
      </c>
      <c r="AE2314" s="50">
        <f t="shared" si="295"/>
        <v>0</v>
      </c>
    </row>
    <row r="2315" spans="1:31">
      <c r="A2315" s="59" t="str">
        <f t="shared" si="289"/>
        <v/>
      </c>
      <c r="B2315" s="59" t="str">
        <f t="shared" si="290"/>
        <v/>
      </c>
      <c r="V2315" s="59" t="str">
        <f t="shared" si="291"/>
        <v/>
      </c>
      <c r="W2315" s="59" t="str">
        <f t="shared" si="288"/>
        <v/>
      </c>
      <c r="X2315" s="59" t="str">
        <f t="shared" si="292"/>
        <v/>
      </c>
      <c r="AC2315" s="50">
        <f t="shared" si="293"/>
        <v>0</v>
      </c>
      <c r="AD2315" s="43">
        <f t="shared" si="294"/>
        <v>0</v>
      </c>
      <c r="AE2315" s="50">
        <f t="shared" si="295"/>
        <v>0</v>
      </c>
    </row>
    <row r="2316" spans="1:31">
      <c r="A2316" s="59" t="str">
        <f t="shared" si="289"/>
        <v/>
      </c>
      <c r="B2316" s="59" t="str">
        <f t="shared" si="290"/>
        <v/>
      </c>
      <c r="V2316" s="59" t="str">
        <f t="shared" si="291"/>
        <v/>
      </c>
      <c r="W2316" s="59" t="str">
        <f t="shared" si="288"/>
        <v/>
      </c>
      <c r="X2316" s="59" t="str">
        <f t="shared" si="292"/>
        <v/>
      </c>
      <c r="AC2316" s="50">
        <f t="shared" si="293"/>
        <v>0</v>
      </c>
      <c r="AD2316" s="43">
        <f t="shared" si="294"/>
        <v>0</v>
      </c>
      <c r="AE2316" s="50">
        <f t="shared" si="295"/>
        <v>0</v>
      </c>
    </row>
    <row r="2317" spans="1:31">
      <c r="A2317" s="59" t="str">
        <f t="shared" si="289"/>
        <v/>
      </c>
      <c r="B2317" s="59" t="str">
        <f t="shared" si="290"/>
        <v/>
      </c>
      <c r="V2317" s="59" t="str">
        <f t="shared" si="291"/>
        <v/>
      </c>
      <c r="W2317" s="59" t="str">
        <f t="shared" si="288"/>
        <v/>
      </c>
      <c r="X2317" s="59" t="str">
        <f t="shared" si="292"/>
        <v/>
      </c>
      <c r="AC2317" s="50">
        <f t="shared" si="293"/>
        <v>0</v>
      </c>
      <c r="AD2317" s="43">
        <f t="shared" si="294"/>
        <v>0</v>
      </c>
      <c r="AE2317" s="50">
        <f t="shared" si="295"/>
        <v>0</v>
      </c>
    </row>
    <row r="2318" spans="1:31">
      <c r="A2318" s="59" t="str">
        <f t="shared" si="289"/>
        <v/>
      </c>
      <c r="B2318" s="59" t="str">
        <f t="shared" si="290"/>
        <v/>
      </c>
      <c r="V2318" s="59" t="str">
        <f t="shared" si="291"/>
        <v/>
      </c>
      <c r="W2318" s="59" t="str">
        <f t="shared" si="288"/>
        <v/>
      </c>
      <c r="X2318" s="59" t="str">
        <f t="shared" si="292"/>
        <v/>
      </c>
      <c r="AC2318" s="50">
        <f t="shared" si="293"/>
        <v>0</v>
      </c>
      <c r="AD2318" s="43">
        <f t="shared" si="294"/>
        <v>0</v>
      </c>
      <c r="AE2318" s="50">
        <f t="shared" si="295"/>
        <v>0</v>
      </c>
    </row>
    <row r="2319" spans="1:31">
      <c r="A2319" s="59" t="str">
        <f t="shared" si="289"/>
        <v/>
      </c>
      <c r="B2319" s="59" t="str">
        <f t="shared" si="290"/>
        <v/>
      </c>
      <c r="V2319" s="59" t="str">
        <f t="shared" si="291"/>
        <v/>
      </c>
      <c r="W2319" s="59" t="str">
        <f t="shared" si="288"/>
        <v/>
      </c>
      <c r="X2319" s="59" t="str">
        <f t="shared" si="292"/>
        <v/>
      </c>
      <c r="AC2319" s="50">
        <f t="shared" si="293"/>
        <v>0</v>
      </c>
      <c r="AD2319" s="43">
        <f t="shared" si="294"/>
        <v>0</v>
      </c>
      <c r="AE2319" s="50">
        <f t="shared" si="295"/>
        <v>0</v>
      </c>
    </row>
    <row r="2320" spans="1:31">
      <c r="A2320" s="59" t="str">
        <f t="shared" si="289"/>
        <v/>
      </c>
      <c r="B2320" s="59" t="str">
        <f t="shared" si="290"/>
        <v/>
      </c>
      <c r="V2320" s="59" t="str">
        <f t="shared" si="291"/>
        <v/>
      </c>
      <c r="W2320" s="59" t="str">
        <f t="shared" si="288"/>
        <v/>
      </c>
      <c r="X2320" s="59" t="str">
        <f t="shared" si="292"/>
        <v/>
      </c>
      <c r="AC2320" s="50">
        <f t="shared" si="293"/>
        <v>0</v>
      </c>
      <c r="AD2320" s="43">
        <f t="shared" si="294"/>
        <v>0</v>
      </c>
      <c r="AE2320" s="50">
        <f t="shared" si="295"/>
        <v>0</v>
      </c>
    </row>
    <row r="2321" spans="1:31">
      <c r="A2321" s="59" t="str">
        <f t="shared" si="289"/>
        <v/>
      </c>
      <c r="B2321" s="59" t="str">
        <f t="shared" si="290"/>
        <v/>
      </c>
      <c r="V2321" s="59" t="str">
        <f t="shared" si="291"/>
        <v/>
      </c>
      <c r="W2321" s="59" t="str">
        <f t="shared" si="288"/>
        <v/>
      </c>
      <c r="X2321" s="59" t="str">
        <f t="shared" si="292"/>
        <v/>
      </c>
      <c r="AC2321" s="50">
        <f t="shared" si="293"/>
        <v>0</v>
      </c>
      <c r="AD2321" s="43">
        <f t="shared" si="294"/>
        <v>0</v>
      </c>
      <c r="AE2321" s="50">
        <f t="shared" si="295"/>
        <v>0</v>
      </c>
    </row>
    <row r="2322" spans="1:31">
      <c r="A2322" s="59" t="str">
        <f t="shared" si="289"/>
        <v/>
      </c>
      <c r="B2322" s="59" t="str">
        <f t="shared" si="290"/>
        <v/>
      </c>
      <c r="V2322" s="59" t="str">
        <f t="shared" si="291"/>
        <v/>
      </c>
      <c r="W2322" s="59" t="str">
        <f t="shared" si="288"/>
        <v/>
      </c>
      <c r="X2322" s="59" t="str">
        <f t="shared" si="292"/>
        <v/>
      </c>
      <c r="AC2322" s="50">
        <f t="shared" si="293"/>
        <v>0</v>
      </c>
      <c r="AD2322" s="43">
        <f t="shared" si="294"/>
        <v>0</v>
      </c>
      <c r="AE2322" s="50">
        <f t="shared" si="295"/>
        <v>0</v>
      </c>
    </row>
    <row r="2323" spans="1:31">
      <c r="A2323" s="59" t="str">
        <f t="shared" si="289"/>
        <v/>
      </c>
      <c r="B2323" s="59" t="str">
        <f t="shared" si="290"/>
        <v/>
      </c>
      <c r="V2323" s="59" t="str">
        <f t="shared" si="291"/>
        <v/>
      </c>
      <c r="W2323" s="59" t="str">
        <f t="shared" si="288"/>
        <v/>
      </c>
      <c r="X2323" s="59" t="str">
        <f t="shared" si="292"/>
        <v/>
      </c>
      <c r="AC2323" s="50">
        <f t="shared" si="293"/>
        <v>0</v>
      </c>
      <c r="AD2323" s="43">
        <f t="shared" si="294"/>
        <v>0</v>
      </c>
      <c r="AE2323" s="50">
        <f t="shared" si="295"/>
        <v>0</v>
      </c>
    </row>
    <row r="2324" spans="1:31">
      <c r="A2324" s="59" t="str">
        <f t="shared" si="289"/>
        <v/>
      </c>
      <c r="B2324" s="59" t="str">
        <f t="shared" si="290"/>
        <v/>
      </c>
      <c r="V2324" s="59" t="str">
        <f t="shared" si="291"/>
        <v/>
      </c>
      <c r="W2324" s="59" t="str">
        <f t="shared" si="288"/>
        <v/>
      </c>
      <c r="X2324" s="59" t="str">
        <f t="shared" si="292"/>
        <v/>
      </c>
      <c r="AC2324" s="50">
        <f t="shared" si="293"/>
        <v>0</v>
      </c>
      <c r="AD2324" s="43">
        <f t="shared" si="294"/>
        <v>0</v>
      </c>
      <c r="AE2324" s="50">
        <f t="shared" si="295"/>
        <v>0</v>
      </c>
    </row>
    <row r="2325" spans="1:31">
      <c r="A2325" s="59" t="str">
        <f t="shared" si="289"/>
        <v/>
      </c>
      <c r="B2325" s="59" t="str">
        <f t="shared" si="290"/>
        <v/>
      </c>
      <c r="V2325" s="59" t="str">
        <f t="shared" si="291"/>
        <v/>
      </c>
      <c r="W2325" s="59" t="str">
        <f t="shared" si="288"/>
        <v/>
      </c>
      <c r="X2325" s="59" t="str">
        <f t="shared" si="292"/>
        <v/>
      </c>
      <c r="AC2325" s="50">
        <f t="shared" si="293"/>
        <v>0</v>
      </c>
      <c r="AD2325" s="43">
        <f t="shared" si="294"/>
        <v>0</v>
      </c>
      <c r="AE2325" s="50">
        <f t="shared" si="295"/>
        <v>0</v>
      </c>
    </row>
    <row r="2326" spans="1:31">
      <c r="A2326" s="59" t="str">
        <f t="shared" si="289"/>
        <v/>
      </c>
      <c r="B2326" s="59" t="str">
        <f t="shared" si="290"/>
        <v/>
      </c>
      <c r="V2326" s="59" t="str">
        <f t="shared" si="291"/>
        <v/>
      </c>
      <c r="W2326" s="59" t="str">
        <f t="shared" si="288"/>
        <v/>
      </c>
      <c r="X2326" s="59" t="str">
        <f t="shared" si="292"/>
        <v/>
      </c>
      <c r="AC2326" s="50">
        <f t="shared" si="293"/>
        <v>0</v>
      </c>
      <c r="AD2326" s="43">
        <f t="shared" si="294"/>
        <v>0</v>
      </c>
      <c r="AE2326" s="50">
        <f t="shared" si="295"/>
        <v>0</v>
      </c>
    </row>
    <row r="2327" spans="1:31">
      <c r="A2327" s="59" t="str">
        <f t="shared" si="289"/>
        <v/>
      </c>
      <c r="B2327" s="59" t="str">
        <f t="shared" si="290"/>
        <v/>
      </c>
      <c r="V2327" s="59" t="str">
        <f t="shared" si="291"/>
        <v/>
      </c>
      <c r="W2327" s="59" t="str">
        <f t="shared" si="288"/>
        <v/>
      </c>
      <c r="X2327" s="59" t="str">
        <f t="shared" si="292"/>
        <v/>
      </c>
      <c r="AC2327" s="50">
        <f t="shared" si="293"/>
        <v>0</v>
      </c>
      <c r="AD2327" s="43">
        <f t="shared" si="294"/>
        <v>0</v>
      </c>
      <c r="AE2327" s="50">
        <f t="shared" si="295"/>
        <v>0</v>
      </c>
    </row>
    <row r="2328" spans="1:31">
      <c r="A2328" s="59" t="str">
        <f t="shared" si="289"/>
        <v/>
      </c>
      <c r="B2328" s="59" t="str">
        <f t="shared" si="290"/>
        <v/>
      </c>
      <c r="V2328" s="59" t="str">
        <f t="shared" si="291"/>
        <v/>
      </c>
      <c r="W2328" s="59" t="str">
        <f t="shared" si="288"/>
        <v/>
      </c>
      <c r="X2328" s="59" t="str">
        <f t="shared" si="292"/>
        <v/>
      </c>
      <c r="AC2328" s="50">
        <f t="shared" si="293"/>
        <v>0</v>
      </c>
      <c r="AD2328" s="43">
        <f t="shared" si="294"/>
        <v>0</v>
      </c>
      <c r="AE2328" s="50">
        <f t="shared" si="295"/>
        <v>0</v>
      </c>
    </row>
    <row r="2329" spans="1:31">
      <c r="A2329" s="59" t="str">
        <f t="shared" si="289"/>
        <v/>
      </c>
      <c r="B2329" s="59" t="str">
        <f t="shared" si="290"/>
        <v/>
      </c>
      <c r="V2329" s="59" t="str">
        <f t="shared" si="291"/>
        <v/>
      </c>
      <c r="W2329" s="59" t="str">
        <f t="shared" si="288"/>
        <v/>
      </c>
      <c r="X2329" s="59" t="str">
        <f t="shared" si="292"/>
        <v/>
      </c>
      <c r="AC2329" s="50">
        <f t="shared" si="293"/>
        <v>0</v>
      </c>
      <c r="AD2329" s="43">
        <f t="shared" si="294"/>
        <v>0</v>
      </c>
      <c r="AE2329" s="50">
        <f t="shared" si="295"/>
        <v>0</v>
      </c>
    </row>
    <row r="2330" spans="1:31">
      <c r="A2330" s="59" t="str">
        <f t="shared" si="289"/>
        <v/>
      </c>
      <c r="B2330" s="59" t="str">
        <f t="shared" si="290"/>
        <v/>
      </c>
      <c r="V2330" s="59" t="str">
        <f t="shared" si="291"/>
        <v/>
      </c>
      <c r="W2330" s="59" t="str">
        <f t="shared" si="288"/>
        <v/>
      </c>
      <c r="X2330" s="59" t="str">
        <f t="shared" si="292"/>
        <v/>
      </c>
      <c r="AC2330" s="50">
        <f t="shared" si="293"/>
        <v>0</v>
      </c>
      <c r="AD2330" s="43">
        <f t="shared" si="294"/>
        <v>0</v>
      </c>
      <c r="AE2330" s="50">
        <f t="shared" si="295"/>
        <v>0</v>
      </c>
    </row>
    <row r="2331" spans="1:31">
      <c r="A2331" s="59" t="str">
        <f t="shared" si="289"/>
        <v/>
      </c>
      <c r="B2331" s="59" t="str">
        <f t="shared" si="290"/>
        <v/>
      </c>
      <c r="V2331" s="59" t="str">
        <f t="shared" si="291"/>
        <v/>
      </c>
      <c r="W2331" s="59" t="str">
        <f t="shared" si="288"/>
        <v/>
      </c>
      <c r="X2331" s="59" t="str">
        <f t="shared" si="292"/>
        <v/>
      </c>
      <c r="AC2331" s="50">
        <f t="shared" si="293"/>
        <v>0</v>
      </c>
      <c r="AD2331" s="43">
        <f t="shared" si="294"/>
        <v>0</v>
      </c>
      <c r="AE2331" s="50">
        <f t="shared" si="295"/>
        <v>0</v>
      </c>
    </row>
    <row r="2332" spans="1:31">
      <c r="A2332" s="59" t="str">
        <f t="shared" si="289"/>
        <v/>
      </c>
      <c r="B2332" s="59" t="str">
        <f t="shared" si="290"/>
        <v/>
      </c>
      <c r="V2332" s="59" t="str">
        <f t="shared" si="291"/>
        <v/>
      </c>
      <c r="W2332" s="59" t="str">
        <f t="shared" si="288"/>
        <v/>
      </c>
      <c r="X2332" s="59" t="str">
        <f t="shared" si="292"/>
        <v/>
      </c>
      <c r="AC2332" s="50">
        <f t="shared" si="293"/>
        <v>0</v>
      </c>
      <c r="AD2332" s="43">
        <f t="shared" si="294"/>
        <v>0</v>
      </c>
      <c r="AE2332" s="50">
        <f t="shared" si="295"/>
        <v>0</v>
      </c>
    </row>
    <row r="2333" spans="1:31">
      <c r="A2333" s="59" t="str">
        <f t="shared" si="289"/>
        <v/>
      </c>
      <c r="B2333" s="59" t="str">
        <f t="shared" si="290"/>
        <v/>
      </c>
      <c r="V2333" s="59" t="str">
        <f t="shared" si="291"/>
        <v/>
      </c>
      <c r="W2333" s="59" t="str">
        <f t="shared" si="288"/>
        <v/>
      </c>
      <c r="X2333" s="59" t="str">
        <f t="shared" si="292"/>
        <v/>
      </c>
      <c r="AC2333" s="50">
        <f t="shared" si="293"/>
        <v>0</v>
      </c>
      <c r="AD2333" s="43">
        <f t="shared" si="294"/>
        <v>0</v>
      </c>
      <c r="AE2333" s="50">
        <f t="shared" si="295"/>
        <v>0</v>
      </c>
    </row>
    <row r="2334" spans="1:31">
      <c r="A2334" s="59" t="str">
        <f t="shared" si="289"/>
        <v/>
      </c>
      <c r="B2334" s="59" t="str">
        <f t="shared" si="290"/>
        <v/>
      </c>
      <c r="V2334" s="59" t="str">
        <f t="shared" si="291"/>
        <v/>
      </c>
      <c r="W2334" s="59" t="str">
        <f t="shared" si="288"/>
        <v/>
      </c>
      <c r="X2334" s="59" t="str">
        <f t="shared" si="292"/>
        <v/>
      </c>
      <c r="AC2334" s="50">
        <f t="shared" si="293"/>
        <v>0</v>
      </c>
      <c r="AD2334" s="43">
        <f t="shared" si="294"/>
        <v>0</v>
      </c>
      <c r="AE2334" s="50">
        <f t="shared" si="295"/>
        <v>0</v>
      </c>
    </row>
    <row r="2335" spans="1:31">
      <c r="A2335" s="59" t="str">
        <f t="shared" si="289"/>
        <v/>
      </c>
      <c r="B2335" s="59" t="str">
        <f t="shared" si="290"/>
        <v/>
      </c>
      <c r="V2335" s="59" t="str">
        <f t="shared" si="291"/>
        <v/>
      </c>
      <c r="W2335" s="59" t="str">
        <f t="shared" si="288"/>
        <v/>
      </c>
      <c r="X2335" s="59" t="str">
        <f t="shared" si="292"/>
        <v/>
      </c>
      <c r="AC2335" s="50">
        <f t="shared" si="293"/>
        <v>0</v>
      </c>
      <c r="AD2335" s="43">
        <f t="shared" si="294"/>
        <v>0</v>
      </c>
      <c r="AE2335" s="50">
        <f t="shared" si="295"/>
        <v>0</v>
      </c>
    </row>
    <row r="2336" spans="1:31">
      <c r="A2336" s="59" t="str">
        <f t="shared" si="289"/>
        <v/>
      </c>
      <c r="B2336" s="59" t="str">
        <f t="shared" si="290"/>
        <v/>
      </c>
      <c r="V2336" s="59" t="str">
        <f t="shared" si="291"/>
        <v/>
      </c>
      <c r="W2336" s="59" t="str">
        <f t="shared" si="288"/>
        <v/>
      </c>
      <c r="X2336" s="59" t="str">
        <f t="shared" si="292"/>
        <v/>
      </c>
      <c r="AC2336" s="50">
        <f t="shared" si="293"/>
        <v>0</v>
      </c>
      <c r="AD2336" s="43">
        <f t="shared" si="294"/>
        <v>0</v>
      </c>
      <c r="AE2336" s="50">
        <f t="shared" si="295"/>
        <v>0</v>
      </c>
    </row>
    <row r="2337" spans="1:31">
      <c r="A2337" s="59" t="str">
        <f t="shared" si="289"/>
        <v/>
      </c>
      <c r="B2337" s="59" t="str">
        <f t="shared" si="290"/>
        <v/>
      </c>
      <c r="V2337" s="59" t="str">
        <f t="shared" si="291"/>
        <v/>
      </c>
      <c r="W2337" s="59" t="str">
        <f t="shared" si="288"/>
        <v/>
      </c>
      <c r="X2337" s="59" t="str">
        <f t="shared" si="292"/>
        <v/>
      </c>
      <c r="AC2337" s="50">
        <f t="shared" si="293"/>
        <v>0</v>
      </c>
      <c r="AD2337" s="43">
        <f t="shared" si="294"/>
        <v>0</v>
      </c>
      <c r="AE2337" s="50">
        <f t="shared" si="295"/>
        <v>0</v>
      </c>
    </row>
    <row r="2338" spans="1:31">
      <c r="A2338" s="59" t="str">
        <f t="shared" si="289"/>
        <v/>
      </c>
      <c r="B2338" s="59" t="str">
        <f t="shared" si="290"/>
        <v/>
      </c>
      <c r="V2338" s="59" t="str">
        <f t="shared" si="291"/>
        <v/>
      </c>
      <c r="W2338" s="59" t="str">
        <f t="shared" si="288"/>
        <v/>
      </c>
      <c r="X2338" s="59" t="str">
        <f t="shared" si="292"/>
        <v/>
      </c>
      <c r="AC2338" s="50">
        <f t="shared" si="293"/>
        <v>0</v>
      </c>
      <c r="AD2338" s="43">
        <f t="shared" si="294"/>
        <v>0</v>
      </c>
      <c r="AE2338" s="50">
        <f t="shared" si="295"/>
        <v>0</v>
      </c>
    </row>
    <row r="2339" spans="1:31">
      <c r="A2339" s="59" t="str">
        <f t="shared" si="289"/>
        <v/>
      </c>
      <c r="B2339" s="59" t="str">
        <f t="shared" si="290"/>
        <v/>
      </c>
      <c r="V2339" s="59" t="str">
        <f t="shared" si="291"/>
        <v/>
      </c>
      <c r="W2339" s="59" t="str">
        <f t="shared" si="288"/>
        <v/>
      </c>
      <c r="X2339" s="59" t="str">
        <f t="shared" si="292"/>
        <v/>
      </c>
      <c r="AC2339" s="50">
        <f t="shared" si="293"/>
        <v>0</v>
      </c>
      <c r="AD2339" s="43">
        <f t="shared" si="294"/>
        <v>0</v>
      </c>
      <c r="AE2339" s="50">
        <f t="shared" si="295"/>
        <v>0</v>
      </c>
    </row>
    <row r="2340" spans="1:31">
      <c r="A2340" s="59" t="str">
        <f t="shared" si="289"/>
        <v/>
      </c>
      <c r="B2340" s="59" t="str">
        <f t="shared" si="290"/>
        <v/>
      </c>
      <c r="V2340" s="59" t="str">
        <f t="shared" si="291"/>
        <v/>
      </c>
      <c r="W2340" s="59" t="str">
        <f t="shared" si="288"/>
        <v/>
      </c>
      <c r="X2340" s="59" t="str">
        <f t="shared" si="292"/>
        <v/>
      </c>
      <c r="AC2340" s="50">
        <f t="shared" si="293"/>
        <v>0</v>
      </c>
      <c r="AD2340" s="43">
        <f t="shared" si="294"/>
        <v>0</v>
      </c>
      <c r="AE2340" s="50">
        <f t="shared" si="295"/>
        <v>0</v>
      </c>
    </row>
    <row r="2341" spans="1:31">
      <c r="A2341" s="59" t="str">
        <f t="shared" si="289"/>
        <v/>
      </c>
      <c r="B2341" s="59" t="str">
        <f t="shared" si="290"/>
        <v/>
      </c>
      <c r="V2341" s="59" t="str">
        <f t="shared" si="291"/>
        <v/>
      </c>
      <c r="W2341" s="59" t="str">
        <f t="shared" si="288"/>
        <v/>
      </c>
      <c r="X2341" s="59" t="str">
        <f t="shared" si="292"/>
        <v/>
      </c>
      <c r="AC2341" s="50">
        <f t="shared" si="293"/>
        <v>0</v>
      </c>
      <c r="AD2341" s="43">
        <f t="shared" si="294"/>
        <v>0</v>
      </c>
      <c r="AE2341" s="50">
        <f t="shared" si="295"/>
        <v>0</v>
      </c>
    </row>
    <row r="2342" spans="1:31">
      <c r="A2342" s="59" t="str">
        <f t="shared" si="289"/>
        <v/>
      </c>
      <c r="B2342" s="59" t="str">
        <f t="shared" si="290"/>
        <v/>
      </c>
      <c r="V2342" s="59" t="str">
        <f t="shared" si="291"/>
        <v/>
      </c>
      <c r="W2342" s="59" t="str">
        <f t="shared" si="288"/>
        <v/>
      </c>
      <c r="X2342" s="59" t="str">
        <f t="shared" si="292"/>
        <v/>
      </c>
      <c r="AC2342" s="50">
        <f t="shared" si="293"/>
        <v>0</v>
      </c>
      <c r="AD2342" s="43">
        <f t="shared" si="294"/>
        <v>0</v>
      </c>
      <c r="AE2342" s="50">
        <f t="shared" si="295"/>
        <v>0</v>
      </c>
    </row>
    <row r="2343" spans="1:31">
      <c r="A2343" s="59" t="str">
        <f t="shared" si="289"/>
        <v/>
      </c>
      <c r="B2343" s="59" t="str">
        <f t="shared" si="290"/>
        <v/>
      </c>
      <c r="V2343" s="59" t="str">
        <f t="shared" si="291"/>
        <v/>
      </c>
      <c r="W2343" s="59" t="str">
        <f t="shared" si="288"/>
        <v/>
      </c>
      <c r="X2343" s="59" t="str">
        <f t="shared" si="292"/>
        <v/>
      </c>
      <c r="AC2343" s="50">
        <f t="shared" si="293"/>
        <v>0</v>
      </c>
      <c r="AD2343" s="43">
        <f t="shared" si="294"/>
        <v>0</v>
      </c>
      <c r="AE2343" s="50">
        <f t="shared" si="295"/>
        <v>0</v>
      </c>
    </row>
    <row r="2344" spans="1:31">
      <c r="A2344" s="59" t="str">
        <f t="shared" si="289"/>
        <v/>
      </c>
      <c r="B2344" s="59" t="str">
        <f t="shared" si="290"/>
        <v/>
      </c>
      <c r="V2344" s="59" t="str">
        <f t="shared" si="291"/>
        <v/>
      </c>
      <c r="W2344" s="59" t="str">
        <f t="shared" si="288"/>
        <v/>
      </c>
      <c r="X2344" s="59" t="str">
        <f t="shared" si="292"/>
        <v/>
      </c>
      <c r="AC2344" s="50">
        <f t="shared" si="293"/>
        <v>0</v>
      </c>
      <c r="AD2344" s="43">
        <f t="shared" si="294"/>
        <v>0</v>
      </c>
      <c r="AE2344" s="50">
        <f t="shared" si="295"/>
        <v>0</v>
      </c>
    </row>
    <row r="2345" spans="1:31">
      <c r="A2345" s="59" t="str">
        <f t="shared" si="289"/>
        <v/>
      </c>
      <c r="B2345" s="59" t="str">
        <f t="shared" si="290"/>
        <v/>
      </c>
      <c r="V2345" s="59" t="str">
        <f t="shared" si="291"/>
        <v/>
      </c>
      <c r="W2345" s="59" t="str">
        <f t="shared" si="288"/>
        <v/>
      </c>
      <c r="X2345" s="59" t="str">
        <f t="shared" si="292"/>
        <v/>
      </c>
      <c r="AC2345" s="50">
        <f t="shared" si="293"/>
        <v>0</v>
      </c>
      <c r="AD2345" s="43">
        <f t="shared" si="294"/>
        <v>0</v>
      </c>
      <c r="AE2345" s="50">
        <f t="shared" si="295"/>
        <v>0</v>
      </c>
    </row>
    <row r="2346" spans="1:31">
      <c r="A2346" s="59" t="str">
        <f t="shared" si="289"/>
        <v/>
      </c>
      <c r="B2346" s="59" t="str">
        <f t="shared" si="290"/>
        <v/>
      </c>
      <c r="V2346" s="59" t="str">
        <f t="shared" si="291"/>
        <v/>
      </c>
      <c r="W2346" s="59" t="str">
        <f t="shared" si="288"/>
        <v/>
      </c>
      <c r="X2346" s="59" t="str">
        <f t="shared" si="292"/>
        <v/>
      </c>
      <c r="AC2346" s="50">
        <f t="shared" si="293"/>
        <v>0</v>
      </c>
      <c r="AD2346" s="43">
        <f t="shared" si="294"/>
        <v>0</v>
      </c>
      <c r="AE2346" s="50">
        <f t="shared" si="295"/>
        <v>0</v>
      </c>
    </row>
    <row r="2347" spans="1:31">
      <c r="A2347" s="59" t="str">
        <f t="shared" si="289"/>
        <v/>
      </c>
      <c r="B2347" s="59" t="str">
        <f t="shared" si="290"/>
        <v/>
      </c>
      <c r="V2347" s="59" t="str">
        <f t="shared" si="291"/>
        <v/>
      </c>
      <c r="W2347" s="59" t="str">
        <f t="shared" si="288"/>
        <v/>
      </c>
      <c r="X2347" s="59" t="str">
        <f t="shared" si="292"/>
        <v/>
      </c>
      <c r="AC2347" s="50">
        <f t="shared" si="293"/>
        <v>0</v>
      </c>
      <c r="AD2347" s="43">
        <f t="shared" si="294"/>
        <v>0</v>
      </c>
      <c r="AE2347" s="50">
        <f t="shared" si="295"/>
        <v>0</v>
      </c>
    </row>
    <row r="2348" spans="1:31">
      <c r="A2348" s="59" t="str">
        <f t="shared" si="289"/>
        <v/>
      </c>
      <c r="B2348" s="59" t="str">
        <f t="shared" si="290"/>
        <v/>
      </c>
      <c r="V2348" s="59" t="str">
        <f t="shared" si="291"/>
        <v/>
      </c>
      <c r="W2348" s="59" t="str">
        <f t="shared" si="288"/>
        <v/>
      </c>
      <c r="X2348" s="59" t="str">
        <f t="shared" si="292"/>
        <v/>
      </c>
      <c r="AC2348" s="50">
        <f t="shared" si="293"/>
        <v>0</v>
      </c>
      <c r="AD2348" s="43">
        <f t="shared" si="294"/>
        <v>0</v>
      </c>
      <c r="AE2348" s="50">
        <f t="shared" si="295"/>
        <v>0</v>
      </c>
    </row>
    <row r="2349" spans="1:31">
      <c r="A2349" s="59" t="str">
        <f t="shared" si="289"/>
        <v/>
      </c>
      <c r="B2349" s="59" t="str">
        <f t="shared" si="290"/>
        <v/>
      </c>
      <c r="V2349" s="59" t="str">
        <f t="shared" si="291"/>
        <v/>
      </c>
      <c r="W2349" s="59" t="str">
        <f t="shared" si="288"/>
        <v/>
      </c>
      <c r="X2349" s="59" t="str">
        <f t="shared" si="292"/>
        <v/>
      </c>
      <c r="AC2349" s="50">
        <f t="shared" si="293"/>
        <v>0</v>
      </c>
      <c r="AD2349" s="43">
        <f t="shared" si="294"/>
        <v>0</v>
      </c>
      <c r="AE2349" s="50">
        <f t="shared" si="295"/>
        <v>0</v>
      </c>
    </row>
    <row r="2350" spans="1:31">
      <c r="A2350" s="59" t="str">
        <f t="shared" si="289"/>
        <v/>
      </c>
      <c r="B2350" s="59" t="str">
        <f t="shared" si="290"/>
        <v/>
      </c>
      <c r="V2350" s="59" t="str">
        <f t="shared" si="291"/>
        <v/>
      </c>
      <c r="W2350" s="59" t="str">
        <f t="shared" si="288"/>
        <v/>
      </c>
      <c r="X2350" s="59" t="str">
        <f t="shared" si="292"/>
        <v/>
      </c>
      <c r="AC2350" s="50">
        <f t="shared" si="293"/>
        <v>0</v>
      </c>
      <c r="AD2350" s="43">
        <f t="shared" si="294"/>
        <v>0</v>
      </c>
      <c r="AE2350" s="50">
        <f t="shared" si="295"/>
        <v>0</v>
      </c>
    </row>
    <row r="2351" spans="1:31">
      <c r="A2351" s="59" t="str">
        <f t="shared" si="289"/>
        <v/>
      </c>
      <c r="B2351" s="59" t="str">
        <f t="shared" si="290"/>
        <v/>
      </c>
      <c r="V2351" s="59" t="str">
        <f t="shared" si="291"/>
        <v/>
      </c>
      <c r="W2351" s="59" t="str">
        <f t="shared" si="288"/>
        <v/>
      </c>
      <c r="X2351" s="59" t="str">
        <f t="shared" si="292"/>
        <v/>
      </c>
      <c r="AC2351" s="50">
        <f t="shared" si="293"/>
        <v>0</v>
      </c>
      <c r="AD2351" s="43">
        <f t="shared" si="294"/>
        <v>0</v>
      </c>
      <c r="AE2351" s="50">
        <f t="shared" si="295"/>
        <v>0</v>
      </c>
    </row>
    <row r="2352" spans="1:31">
      <c r="A2352" s="59" t="str">
        <f t="shared" si="289"/>
        <v/>
      </c>
      <c r="B2352" s="59" t="str">
        <f t="shared" si="290"/>
        <v/>
      </c>
      <c r="V2352" s="59" t="str">
        <f t="shared" si="291"/>
        <v/>
      </c>
      <c r="W2352" s="59" t="str">
        <f t="shared" si="288"/>
        <v/>
      </c>
      <c r="X2352" s="59" t="str">
        <f t="shared" si="292"/>
        <v/>
      </c>
      <c r="AC2352" s="50">
        <f t="shared" si="293"/>
        <v>0</v>
      </c>
      <c r="AD2352" s="43">
        <f t="shared" si="294"/>
        <v>0</v>
      </c>
      <c r="AE2352" s="50">
        <f t="shared" si="295"/>
        <v>0</v>
      </c>
    </row>
    <row r="2353" spans="1:31">
      <c r="A2353" s="59" t="str">
        <f t="shared" si="289"/>
        <v/>
      </c>
      <c r="B2353" s="59" t="str">
        <f t="shared" si="290"/>
        <v/>
      </c>
      <c r="V2353" s="59" t="str">
        <f t="shared" si="291"/>
        <v/>
      </c>
      <c r="W2353" s="59" t="str">
        <f t="shared" si="288"/>
        <v/>
      </c>
      <c r="X2353" s="59" t="str">
        <f t="shared" si="292"/>
        <v/>
      </c>
      <c r="AC2353" s="50">
        <f t="shared" si="293"/>
        <v>0</v>
      </c>
      <c r="AD2353" s="43">
        <f t="shared" si="294"/>
        <v>0</v>
      </c>
      <c r="AE2353" s="50">
        <f t="shared" si="295"/>
        <v>0</v>
      </c>
    </row>
    <row r="2354" spans="1:31">
      <c r="A2354" s="59" t="str">
        <f t="shared" si="289"/>
        <v/>
      </c>
      <c r="B2354" s="59" t="str">
        <f t="shared" si="290"/>
        <v/>
      </c>
      <c r="V2354" s="59" t="str">
        <f t="shared" si="291"/>
        <v/>
      </c>
      <c r="W2354" s="59" t="str">
        <f t="shared" si="288"/>
        <v/>
      </c>
      <c r="X2354" s="59" t="str">
        <f t="shared" si="292"/>
        <v/>
      </c>
      <c r="AC2354" s="50">
        <f t="shared" si="293"/>
        <v>0</v>
      </c>
      <c r="AD2354" s="43">
        <f t="shared" si="294"/>
        <v>0</v>
      </c>
      <c r="AE2354" s="50">
        <f t="shared" si="295"/>
        <v>0</v>
      </c>
    </row>
    <row r="2355" spans="1:31">
      <c r="A2355" s="59" t="str">
        <f t="shared" si="289"/>
        <v/>
      </c>
      <c r="B2355" s="59" t="str">
        <f t="shared" si="290"/>
        <v/>
      </c>
      <c r="V2355" s="59" t="str">
        <f t="shared" si="291"/>
        <v/>
      </c>
      <c r="W2355" s="59" t="str">
        <f t="shared" si="288"/>
        <v/>
      </c>
      <c r="X2355" s="59" t="str">
        <f t="shared" si="292"/>
        <v/>
      </c>
      <c r="AC2355" s="50">
        <f t="shared" si="293"/>
        <v>0</v>
      </c>
      <c r="AD2355" s="43">
        <f t="shared" si="294"/>
        <v>0</v>
      </c>
      <c r="AE2355" s="50">
        <f t="shared" si="295"/>
        <v>0</v>
      </c>
    </row>
    <row r="2356" spans="1:31">
      <c r="A2356" s="59" t="str">
        <f t="shared" si="289"/>
        <v/>
      </c>
      <c r="B2356" s="59" t="str">
        <f t="shared" si="290"/>
        <v/>
      </c>
      <c r="V2356" s="59" t="str">
        <f t="shared" si="291"/>
        <v/>
      </c>
      <c r="W2356" s="59" t="str">
        <f t="shared" si="288"/>
        <v/>
      </c>
      <c r="X2356" s="59" t="str">
        <f t="shared" si="292"/>
        <v/>
      </c>
      <c r="AC2356" s="50">
        <f t="shared" si="293"/>
        <v>0</v>
      </c>
      <c r="AD2356" s="43">
        <f t="shared" si="294"/>
        <v>0</v>
      </c>
      <c r="AE2356" s="50">
        <f t="shared" si="295"/>
        <v>0</v>
      </c>
    </row>
    <row r="2357" spans="1:31">
      <c r="A2357" s="59" t="str">
        <f t="shared" si="289"/>
        <v/>
      </c>
      <c r="B2357" s="59" t="str">
        <f t="shared" si="290"/>
        <v/>
      </c>
      <c r="V2357" s="59" t="str">
        <f t="shared" si="291"/>
        <v/>
      </c>
      <c r="W2357" s="59" t="str">
        <f t="shared" si="288"/>
        <v/>
      </c>
      <c r="X2357" s="59" t="str">
        <f t="shared" si="292"/>
        <v/>
      </c>
      <c r="AC2357" s="50">
        <f t="shared" si="293"/>
        <v>0</v>
      </c>
      <c r="AD2357" s="43">
        <f t="shared" si="294"/>
        <v>0</v>
      </c>
      <c r="AE2357" s="50">
        <f t="shared" si="295"/>
        <v>0</v>
      </c>
    </row>
    <row r="2358" spans="1:31">
      <c r="A2358" s="59" t="str">
        <f t="shared" si="289"/>
        <v/>
      </c>
      <c r="B2358" s="59" t="str">
        <f t="shared" si="290"/>
        <v/>
      </c>
      <c r="V2358" s="59" t="str">
        <f t="shared" si="291"/>
        <v/>
      </c>
      <c r="W2358" s="59" t="str">
        <f t="shared" si="288"/>
        <v/>
      </c>
      <c r="X2358" s="59" t="str">
        <f t="shared" si="292"/>
        <v/>
      </c>
      <c r="AC2358" s="50">
        <f t="shared" si="293"/>
        <v>0</v>
      </c>
      <c r="AD2358" s="43">
        <f t="shared" si="294"/>
        <v>0</v>
      </c>
      <c r="AE2358" s="50">
        <f t="shared" si="295"/>
        <v>0</v>
      </c>
    </row>
    <row r="2359" spans="1:31">
      <c r="A2359" s="59" t="str">
        <f t="shared" si="289"/>
        <v/>
      </c>
      <c r="B2359" s="59" t="str">
        <f t="shared" si="290"/>
        <v/>
      </c>
      <c r="V2359" s="59" t="str">
        <f t="shared" si="291"/>
        <v/>
      </c>
      <c r="W2359" s="59" t="str">
        <f t="shared" si="288"/>
        <v/>
      </c>
      <c r="X2359" s="59" t="str">
        <f t="shared" si="292"/>
        <v/>
      </c>
      <c r="AC2359" s="50">
        <f t="shared" si="293"/>
        <v>0</v>
      </c>
      <c r="AD2359" s="43">
        <f t="shared" si="294"/>
        <v>0</v>
      </c>
      <c r="AE2359" s="50">
        <f t="shared" si="295"/>
        <v>0</v>
      </c>
    </row>
    <row r="2360" spans="1:31">
      <c r="A2360" s="59" t="str">
        <f t="shared" si="289"/>
        <v/>
      </c>
      <c r="B2360" s="59" t="str">
        <f t="shared" si="290"/>
        <v/>
      </c>
      <c r="V2360" s="59" t="str">
        <f t="shared" si="291"/>
        <v/>
      </c>
      <c r="W2360" s="59" t="str">
        <f t="shared" si="288"/>
        <v/>
      </c>
      <c r="X2360" s="59" t="str">
        <f t="shared" si="292"/>
        <v/>
      </c>
      <c r="AC2360" s="50">
        <f t="shared" si="293"/>
        <v>0</v>
      </c>
      <c r="AD2360" s="43">
        <f t="shared" si="294"/>
        <v>0</v>
      </c>
      <c r="AE2360" s="50">
        <f t="shared" si="295"/>
        <v>0</v>
      </c>
    </row>
    <row r="2361" spans="1:31">
      <c r="A2361" s="59" t="str">
        <f t="shared" si="289"/>
        <v/>
      </c>
      <c r="B2361" s="59" t="str">
        <f t="shared" si="290"/>
        <v/>
      </c>
      <c r="V2361" s="59" t="str">
        <f t="shared" si="291"/>
        <v/>
      </c>
      <c r="W2361" s="59" t="str">
        <f t="shared" si="288"/>
        <v/>
      </c>
      <c r="X2361" s="59" t="str">
        <f t="shared" si="292"/>
        <v/>
      </c>
      <c r="AC2361" s="50">
        <f t="shared" si="293"/>
        <v>0</v>
      </c>
      <c r="AD2361" s="43">
        <f t="shared" si="294"/>
        <v>0</v>
      </c>
      <c r="AE2361" s="50">
        <f t="shared" si="295"/>
        <v>0</v>
      </c>
    </row>
    <row r="2362" spans="1:31">
      <c r="A2362" s="59" t="str">
        <f t="shared" si="289"/>
        <v/>
      </c>
      <c r="B2362" s="59" t="str">
        <f t="shared" si="290"/>
        <v/>
      </c>
      <c r="V2362" s="59" t="str">
        <f t="shared" si="291"/>
        <v/>
      </c>
      <c r="W2362" s="59" t="str">
        <f t="shared" si="288"/>
        <v/>
      </c>
      <c r="X2362" s="59" t="str">
        <f t="shared" si="292"/>
        <v/>
      </c>
      <c r="AC2362" s="50">
        <f t="shared" si="293"/>
        <v>0</v>
      </c>
      <c r="AD2362" s="43">
        <f t="shared" si="294"/>
        <v>0</v>
      </c>
      <c r="AE2362" s="50">
        <f t="shared" si="295"/>
        <v>0</v>
      </c>
    </row>
    <row r="2363" spans="1:31">
      <c r="A2363" s="59" t="str">
        <f t="shared" si="289"/>
        <v/>
      </c>
      <c r="B2363" s="59" t="str">
        <f t="shared" si="290"/>
        <v/>
      </c>
      <c r="V2363" s="59" t="str">
        <f t="shared" si="291"/>
        <v/>
      </c>
      <c r="W2363" s="59" t="str">
        <f t="shared" si="288"/>
        <v/>
      </c>
      <c r="X2363" s="59" t="str">
        <f t="shared" si="292"/>
        <v/>
      </c>
      <c r="AC2363" s="50">
        <f t="shared" si="293"/>
        <v>0</v>
      </c>
      <c r="AD2363" s="43">
        <f t="shared" si="294"/>
        <v>0</v>
      </c>
      <c r="AE2363" s="50">
        <f t="shared" si="295"/>
        <v>0</v>
      </c>
    </row>
    <row r="2364" spans="1:31">
      <c r="A2364" s="59" t="str">
        <f t="shared" si="289"/>
        <v/>
      </c>
      <c r="B2364" s="59" t="str">
        <f t="shared" si="290"/>
        <v/>
      </c>
      <c r="V2364" s="59" t="str">
        <f t="shared" si="291"/>
        <v/>
      </c>
      <c r="W2364" s="59" t="str">
        <f t="shared" si="288"/>
        <v/>
      </c>
      <c r="X2364" s="59" t="str">
        <f t="shared" si="292"/>
        <v/>
      </c>
      <c r="AC2364" s="50">
        <f t="shared" si="293"/>
        <v>0</v>
      </c>
      <c r="AD2364" s="43">
        <f t="shared" si="294"/>
        <v>0</v>
      </c>
      <c r="AE2364" s="50">
        <f t="shared" si="295"/>
        <v>0</v>
      </c>
    </row>
    <row r="2365" spans="1:31">
      <c r="A2365" s="59" t="str">
        <f t="shared" si="289"/>
        <v/>
      </c>
      <c r="B2365" s="59" t="str">
        <f t="shared" si="290"/>
        <v/>
      </c>
      <c r="V2365" s="59" t="str">
        <f t="shared" si="291"/>
        <v/>
      </c>
      <c r="W2365" s="59" t="str">
        <f t="shared" si="288"/>
        <v/>
      </c>
      <c r="X2365" s="59" t="str">
        <f t="shared" si="292"/>
        <v/>
      </c>
      <c r="AC2365" s="50">
        <f t="shared" si="293"/>
        <v>0</v>
      </c>
      <c r="AD2365" s="43">
        <f t="shared" si="294"/>
        <v>0</v>
      </c>
      <c r="AE2365" s="50">
        <f t="shared" si="295"/>
        <v>0</v>
      </c>
    </row>
    <row r="2366" spans="1:31">
      <c r="A2366" s="59" t="str">
        <f t="shared" si="289"/>
        <v/>
      </c>
      <c r="B2366" s="59" t="str">
        <f t="shared" si="290"/>
        <v/>
      </c>
      <c r="V2366" s="59" t="str">
        <f t="shared" si="291"/>
        <v/>
      </c>
      <c r="W2366" s="59" t="str">
        <f t="shared" si="288"/>
        <v/>
      </c>
      <c r="X2366" s="59" t="str">
        <f t="shared" si="292"/>
        <v/>
      </c>
      <c r="AC2366" s="50">
        <f t="shared" si="293"/>
        <v>0</v>
      </c>
      <c r="AD2366" s="43">
        <f t="shared" si="294"/>
        <v>0</v>
      </c>
      <c r="AE2366" s="50">
        <f t="shared" si="295"/>
        <v>0</v>
      </c>
    </row>
    <row r="2367" spans="1:31">
      <c r="A2367" s="59" t="str">
        <f t="shared" si="289"/>
        <v/>
      </c>
      <c r="B2367" s="59" t="str">
        <f t="shared" si="290"/>
        <v/>
      </c>
      <c r="V2367" s="59" t="str">
        <f t="shared" si="291"/>
        <v/>
      </c>
      <c r="W2367" s="59" t="str">
        <f t="shared" si="288"/>
        <v/>
      </c>
      <c r="X2367" s="59" t="str">
        <f t="shared" si="292"/>
        <v/>
      </c>
      <c r="AC2367" s="50">
        <f t="shared" si="293"/>
        <v>0</v>
      </c>
      <c r="AD2367" s="43">
        <f t="shared" si="294"/>
        <v>0</v>
      </c>
      <c r="AE2367" s="50">
        <f t="shared" si="295"/>
        <v>0</v>
      </c>
    </row>
    <row r="2368" spans="1:31">
      <c r="A2368" s="59" t="str">
        <f t="shared" si="289"/>
        <v/>
      </c>
      <c r="B2368" s="59" t="str">
        <f t="shared" si="290"/>
        <v/>
      </c>
      <c r="V2368" s="59" t="str">
        <f t="shared" si="291"/>
        <v/>
      </c>
      <c r="W2368" s="59" t="str">
        <f t="shared" si="288"/>
        <v/>
      </c>
      <c r="X2368" s="59" t="str">
        <f t="shared" si="292"/>
        <v/>
      </c>
      <c r="AC2368" s="50">
        <f t="shared" si="293"/>
        <v>0</v>
      </c>
      <c r="AD2368" s="43">
        <f t="shared" si="294"/>
        <v>0</v>
      </c>
      <c r="AE2368" s="50">
        <f t="shared" si="295"/>
        <v>0</v>
      </c>
    </row>
    <row r="2369" spans="1:31">
      <c r="A2369" s="59" t="str">
        <f t="shared" si="289"/>
        <v/>
      </c>
      <c r="B2369" s="59" t="str">
        <f t="shared" si="290"/>
        <v/>
      </c>
      <c r="V2369" s="59" t="str">
        <f t="shared" si="291"/>
        <v/>
      </c>
      <c r="W2369" s="59" t="str">
        <f t="shared" si="288"/>
        <v/>
      </c>
      <c r="X2369" s="59" t="str">
        <f t="shared" si="292"/>
        <v/>
      </c>
      <c r="AC2369" s="50">
        <f t="shared" si="293"/>
        <v>0</v>
      </c>
      <c r="AD2369" s="43">
        <f t="shared" si="294"/>
        <v>0</v>
      </c>
      <c r="AE2369" s="50">
        <f t="shared" si="295"/>
        <v>0</v>
      </c>
    </row>
    <row r="2370" spans="1:31">
      <c r="A2370" s="59" t="str">
        <f t="shared" si="289"/>
        <v/>
      </c>
      <c r="B2370" s="59" t="str">
        <f t="shared" si="290"/>
        <v/>
      </c>
      <c r="V2370" s="59" t="str">
        <f t="shared" si="291"/>
        <v/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59" t="str">
        <f t="shared" si="292"/>
        <v/>
      </c>
      <c r="AC2370" s="50">
        <f t="shared" si="293"/>
        <v>0</v>
      </c>
      <c r="AD2370" s="43">
        <f t="shared" si="294"/>
        <v>0</v>
      </c>
      <c r="AE2370" s="50">
        <f t="shared" si="295"/>
        <v>0</v>
      </c>
    </row>
    <row r="2371" spans="1:31">
      <c r="A2371" s="59" t="str">
        <f t="shared" ref="A2371:A2434" si="297">IF(G2371&amp;Q2371&lt;&gt;"",W2371&amp;Q2371,"")</f>
        <v/>
      </c>
      <c r="B2371" s="59" t="str">
        <f t="shared" ref="B2371:B2434" si="298">IF(C2371&lt;&gt;"",LEFT(C2371,9),"")</f>
        <v/>
      </c>
      <c r="V2371" s="59" t="str">
        <f t="shared" ref="V2371:V2434" si="299">W2371&amp;H2371</f>
        <v/>
      </c>
      <c r="W2371" s="59" t="str">
        <f t="shared" si="296"/>
        <v/>
      </c>
      <c r="X2371" s="59" t="str">
        <f t="shared" ref="X2371:X2434" si="300">IF(A2371&lt;&gt;"",IFERROR(IF(FIND(" ",G2371)&gt;=1,MID(G2371,FIND(" ",G2371)+1,LEN(G2371)),""),""),"")</f>
        <v/>
      </c>
      <c r="AC2371" s="50">
        <f t="shared" ref="AC2371:AC2434" si="301">IFERROR(VALUE(MID($C2371,1,2)),0)</f>
        <v>0</v>
      </c>
      <c r="AD2371" s="43">
        <f t="shared" ref="AD2371:AD2434" si="302">IFERROR(VALUE(MID($C2371,4,3)),0)</f>
        <v>0</v>
      </c>
      <c r="AE2371" s="50">
        <f t="shared" ref="AE2371:AE2434" si="303">VALUE(RIGHT("00"&amp;AC2371,2)&amp;RIGHT("000"&amp;AD2371,3))</f>
        <v>0</v>
      </c>
    </row>
    <row r="2372" spans="1:31">
      <c r="A2372" s="59" t="str">
        <f t="shared" si="297"/>
        <v/>
      </c>
      <c r="B2372" s="59" t="str">
        <f t="shared" si="298"/>
        <v/>
      </c>
      <c r="V2372" s="59" t="str">
        <f t="shared" si="299"/>
        <v/>
      </c>
      <c r="W2372" s="59" t="str">
        <f t="shared" si="296"/>
        <v/>
      </c>
      <c r="X2372" s="59" t="str">
        <f t="shared" si="300"/>
        <v/>
      </c>
      <c r="AC2372" s="50">
        <f t="shared" si="301"/>
        <v>0</v>
      </c>
      <c r="AD2372" s="43">
        <f t="shared" si="302"/>
        <v>0</v>
      </c>
      <c r="AE2372" s="50">
        <f t="shared" si="303"/>
        <v>0</v>
      </c>
    </row>
    <row r="2373" spans="1:31">
      <c r="A2373" s="59" t="str">
        <f t="shared" si="297"/>
        <v/>
      </c>
      <c r="B2373" s="59" t="str">
        <f t="shared" si="298"/>
        <v/>
      </c>
      <c r="V2373" s="59" t="str">
        <f t="shared" si="299"/>
        <v/>
      </c>
      <c r="W2373" s="59" t="str">
        <f t="shared" si="296"/>
        <v/>
      </c>
      <c r="X2373" s="59" t="str">
        <f t="shared" si="300"/>
        <v/>
      </c>
      <c r="AC2373" s="50">
        <f t="shared" si="301"/>
        <v>0</v>
      </c>
      <c r="AD2373" s="43">
        <f t="shared" si="302"/>
        <v>0</v>
      </c>
      <c r="AE2373" s="50">
        <f t="shared" si="303"/>
        <v>0</v>
      </c>
    </row>
    <row r="2374" spans="1:31">
      <c r="A2374" s="59" t="str">
        <f t="shared" si="297"/>
        <v/>
      </c>
      <c r="B2374" s="59" t="str">
        <f t="shared" si="298"/>
        <v/>
      </c>
      <c r="V2374" s="59" t="str">
        <f t="shared" si="299"/>
        <v/>
      </c>
      <c r="W2374" s="59" t="str">
        <f t="shared" si="296"/>
        <v/>
      </c>
      <c r="X2374" s="59" t="str">
        <f t="shared" si="300"/>
        <v/>
      </c>
      <c r="AC2374" s="50">
        <f t="shared" si="301"/>
        <v>0</v>
      </c>
      <c r="AD2374" s="43">
        <f t="shared" si="302"/>
        <v>0</v>
      </c>
      <c r="AE2374" s="50">
        <f t="shared" si="303"/>
        <v>0</v>
      </c>
    </row>
    <row r="2375" spans="1:31">
      <c r="A2375" s="59" t="str">
        <f t="shared" si="297"/>
        <v/>
      </c>
      <c r="B2375" s="59" t="str">
        <f t="shared" si="298"/>
        <v/>
      </c>
      <c r="V2375" s="59" t="str">
        <f t="shared" si="299"/>
        <v/>
      </c>
      <c r="W2375" s="59" t="str">
        <f t="shared" si="296"/>
        <v/>
      </c>
      <c r="X2375" s="59" t="str">
        <f t="shared" si="300"/>
        <v/>
      </c>
      <c r="AC2375" s="50">
        <f t="shared" si="301"/>
        <v>0</v>
      </c>
      <c r="AD2375" s="43">
        <f t="shared" si="302"/>
        <v>0</v>
      </c>
      <c r="AE2375" s="50">
        <f t="shared" si="303"/>
        <v>0</v>
      </c>
    </row>
    <row r="2376" spans="1:31">
      <c r="A2376" s="59" t="str">
        <f t="shared" si="297"/>
        <v/>
      </c>
      <c r="B2376" s="59" t="str">
        <f t="shared" si="298"/>
        <v/>
      </c>
      <c r="V2376" s="59" t="str">
        <f t="shared" si="299"/>
        <v/>
      </c>
      <c r="W2376" s="59" t="str">
        <f t="shared" si="296"/>
        <v/>
      </c>
      <c r="X2376" s="59" t="str">
        <f t="shared" si="300"/>
        <v/>
      </c>
      <c r="AC2376" s="50">
        <f t="shared" si="301"/>
        <v>0</v>
      </c>
      <c r="AD2376" s="43">
        <f t="shared" si="302"/>
        <v>0</v>
      </c>
      <c r="AE2376" s="50">
        <f t="shared" si="303"/>
        <v>0</v>
      </c>
    </row>
    <row r="2377" spans="1:31">
      <c r="A2377" s="59" t="str">
        <f t="shared" si="297"/>
        <v/>
      </c>
      <c r="B2377" s="59" t="str">
        <f t="shared" si="298"/>
        <v/>
      </c>
      <c r="V2377" s="59" t="str">
        <f t="shared" si="299"/>
        <v/>
      </c>
      <c r="W2377" s="59" t="str">
        <f t="shared" si="296"/>
        <v/>
      </c>
      <c r="X2377" s="59" t="str">
        <f t="shared" si="300"/>
        <v/>
      </c>
      <c r="AC2377" s="50">
        <f t="shared" si="301"/>
        <v>0</v>
      </c>
      <c r="AD2377" s="43">
        <f t="shared" si="302"/>
        <v>0</v>
      </c>
      <c r="AE2377" s="50">
        <f t="shared" si="303"/>
        <v>0</v>
      </c>
    </row>
    <row r="2378" spans="1:31">
      <c r="A2378" s="59" t="str">
        <f t="shared" si="297"/>
        <v/>
      </c>
      <c r="B2378" s="59" t="str">
        <f t="shared" si="298"/>
        <v/>
      </c>
      <c r="V2378" s="59" t="str">
        <f t="shared" si="299"/>
        <v/>
      </c>
      <c r="W2378" s="59" t="str">
        <f t="shared" si="296"/>
        <v/>
      </c>
      <c r="X2378" s="59" t="str">
        <f t="shared" si="300"/>
        <v/>
      </c>
      <c r="AC2378" s="50">
        <f t="shared" si="301"/>
        <v>0</v>
      </c>
      <c r="AD2378" s="43">
        <f t="shared" si="302"/>
        <v>0</v>
      </c>
      <c r="AE2378" s="50">
        <f t="shared" si="303"/>
        <v>0</v>
      </c>
    </row>
    <row r="2379" spans="1:31">
      <c r="A2379" s="59" t="str">
        <f t="shared" si="297"/>
        <v/>
      </c>
      <c r="B2379" s="59" t="str">
        <f t="shared" si="298"/>
        <v/>
      </c>
      <c r="V2379" s="59" t="str">
        <f t="shared" si="299"/>
        <v/>
      </c>
      <c r="W2379" s="59" t="str">
        <f t="shared" si="296"/>
        <v/>
      </c>
      <c r="X2379" s="59" t="str">
        <f t="shared" si="300"/>
        <v/>
      </c>
      <c r="AC2379" s="50">
        <f t="shared" si="301"/>
        <v>0</v>
      </c>
      <c r="AD2379" s="43">
        <f t="shared" si="302"/>
        <v>0</v>
      </c>
      <c r="AE2379" s="50">
        <f t="shared" si="303"/>
        <v>0</v>
      </c>
    </row>
    <row r="2380" spans="1:31">
      <c r="A2380" s="59" t="str">
        <f t="shared" si="297"/>
        <v/>
      </c>
      <c r="B2380" s="59" t="str">
        <f t="shared" si="298"/>
        <v/>
      </c>
      <c r="V2380" s="59" t="str">
        <f t="shared" si="299"/>
        <v/>
      </c>
      <c r="W2380" s="59" t="str">
        <f t="shared" si="296"/>
        <v/>
      </c>
      <c r="X2380" s="59" t="str">
        <f t="shared" si="300"/>
        <v/>
      </c>
      <c r="AC2380" s="50">
        <f t="shared" si="301"/>
        <v>0</v>
      </c>
      <c r="AD2380" s="43">
        <f t="shared" si="302"/>
        <v>0</v>
      </c>
      <c r="AE2380" s="50">
        <f t="shared" si="303"/>
        <v>0</v>
      </c>
    </row>
    <row r="2381" spans="1:31">
      <c r="A2381" s="59" t="str">
        <f t="shared" si="297"/>
        <v/>
      </c>
      <c r="B2381" s="59" t="str">
        <f t="shared" si="298"/>
        <v/>
      </c>
      <c r="V2381" s="59" t="str">
        <f t="shared" si="299"/>
        <v/>
      </c>
      <c r="W2381" s="59" t="str">
        <f t="shared" si="296"/>
        <v/>
      </c>
      <c r="X2381" s="59" t="str">
        <f t="shared" si="300"/>
        <v/>
      </c>
      <c r="AC2381" s="50">
        <f t="shared" si="301"/>
        <v>0</v>
      </c>
      <c r="AD2381" s="43">
        <f t="shared" si="302"/>
        <v>0</v>
      </c>
      <c r="AE2381" s="50">
        <f t="shared" si="303"/>
        <v>0</v>
      </c>
    </row>
    <row r="2382" spans="1:31">
      <c r="A2382" s="59" t="str">
        <f t="shared" si="297"/>
        <v/>
      </c>
      <c r="B2382" s="59" t="str">
        <f t="shared" si="298"/>
        <v/>
      </c>
      <c r="V2382" s="59" t="str">
        <f t="shared" si="299"/>
        <v/>
      </c>
      <c r="W2382" s="59" t="str">
        <f t="shared" si="296"/>
        <v/>
      </c>
      <c r="X2382" s="59" t="str">
        <f t="shared" si="300"/>
        <v/>
      </c>
      <c r="AC2382" s="50">
        <f t="shared" si="301"/>
        <v>0</v>
      </c>
      <c r="AD2382" s="43">
        <f t="shared" si="302"/>
        <v>0</v>
      </c>
      <c r="AE2382" s="50">
        <f t="shared" si="303"/>
        <v>0</v>
      </c>
    </row>
    <row r="2383" spans="1:31">
      <c r="A2383" s="59" t="str">
        <f t="shared" si="297"/>
        <v/>
      </c>
      <c r="B2383" s="59" t="str">
        <f t="shared" si="298"/>
        <v/>
      </c>
      <c r="V2383" s="59" t="str">
        <f t="shared" si="299"/>
        <v/>
      </c>
      <c r="W2383" s="59" t="str">
        <f t="shared" si="296"/>
        <v/>
      </c>
      <c r="X2383" s="59" t="str">
        <f t="shared" si="300"/>
        <v/>
      </c>
      <c r="AC2383" s="50">
        <f t="shared" si="301"/>
        <v>0</v>
      </c>
      <c r="AD2383" s="43">
        <f t="shared" si="302"/>
        <v>0</v>
      </c>
      <c r="AE2383" s="50">
        <f t="shared" si="303"/>
        <v>0</v>
      </c>
    </row>
    <row r="2384" spans="1:31">
      <c r="A2384" s="59" t="str">
        <f t="shared" si="297"/>
        <v/>
      </c>
      <c r="B2384" s="59" t="str">
        <f t="shared" si="298"/>
        <v/>
      </c>
      <c r="V2384" s="59" t="str">
        <f t="shared" si="299"/>
        <v/>
      </c>
      <c r="W2384" s="59" t="str">
        <f t="shared" si="296"/>
        <v/>
      </c>
      <c r="X2384" s="59" t="str">
        <f t="shared" si="300"/>
        <v/>
      </c>
      <c r="AC2384" s="50">
        <f t="shared" si="301"/>
        <v>0</v>
      </c>
      <c r="AD2384" s="43">
        <f t="shared" si="302"/>
        <v>0</v>
      </c>
      <c r="AE2384" s="50">
        <f t="shared" si="303"/>
        <v>0</v>
      </c>
    </row>
    <row r="2385" spans="1:31">
      <c r="A2385" s="59" t="str">
        <f t="shared" si="297"/>
        <v/>
      </c>
      <c r="B2385" s="59" t="str">
        <f t="shared" si="298"/>
        <v/>
      </c>
      <c r="V2385" s="59" t="str">
        <f t="shared" si="299"/>
        <v/>
      </c>
      <c r="W2385" s="59" t="str">
        <f t="shared" si="296"/>
        <v/>
      </c>
      <c r="X2385" s="59" t="str">
        <f t="shared" si="300"/>
        <v/>
      </c>
      <c r="AC2385" s="50">
        <f t="shared" si="301"/>
        <v>0</v>
      </c>
      <c r="AD2385" s="43">
        <f t="shared" si="302"/>
        <v>0</v>
      </c>
      <c r="AE2385" s="50">
        <f t="shared" si="303"/>
        <v>0</v>
      </c>
    </row>
    <row r="2386" spans="1:31">
      <c r="A2386" s="59" t="str">
        <f t="shared" si="297"/>
        <v/>
      </c>
      <c r="B2386" s="59" t="str">
        <f t="shared" si="298"/>
        <v/>
      </c>
      <c r="V2386" s="59" t="str">
        <f t="shared" si="299"/>
        <v/>
      </c>
      <c r="W2386" s="59" t="str">
        <f t="shared" si="296"/>
        <v/>
      </c>
      <c r="X2386" s="59" t="str">
        <f t="shared" si="300"/>
        <v/>
      </c>
      <c r="AC2386" s="50">
        <f t="shared" si="301"/>
        <v>0</v>
      </c>
      <c r="AD2386" s="43">
        <f t="shared" si="302"/>
        <v>0</v>
      </c>
      <c r="AE2386" s="50">
        <f t="shared" si="303"/>
        <v>0</v>
      </c>
    </row>
    <row r="2387" spans="1:31">
      <c r="A2387" s="59" t="str">
        <f t="shared" si="297"/>
        <v/>
      </c>
      <c r="B2387" s="59" t="str">
        <f t="shared" si="298"/>
        <v/>
      </c>
      <c r="V2387" s="59" t="str">
        <f t="shared" si="299"/>
        <v/>
      </c>
      <c r="W2387" s="59" t="str">
        <f t="shared" si="296"/>
        <v/>
      </c>
      <c r="X2387" s="59" t="str">
        <f t="shared" si="300"/>
        <v/>
      </c>
      <c r="AC2387" s="50">
        <f t="shared" si="301"/>
        <v>0</v>
      </c>
      <c r="AD2387" s="43">
        <f t="shared" si="302"/>
        <v>0</v>
      </c>
      <c r="AE2387" s="50">
        <f t="shared" si="303"/>
        <v>0</v>
      </c>
    </row>
    <row r="2388" spans="1:31">
      <c r="A2388" s="59" t="str">
        <f t="shared" si="297"/>
        <v/>
      </c>
      <c r="B2388" s="59" t="str">
        <f t="shared" si="298"/>
        <v/>
      </c>
      <c r="V2388" s="59" t="str">
        <f t="shared" si="299"/>
        <v/>
      </c>
      <c r="W2388" s="59" t="str">
        <f t="shared" si="296"/>
        <v/>
      </c>
      <c r="X2388" s="59" t="str">
        <f t="shared" si="300"/>
        <v/>
      </c>
      <c r="AC2388" s="50">
        <f t="shared" si="301"/>
        <v>0</v>
      </c>
      <c r="AD2388" s="43">
        <f t="shared" si="302"/>
        <v>0</v>
      </c>
      <c r="AE2388" s="50">
        <f t="shared" si="303"/>
        <v>0</v>
      </c>
    </row>
    <row r="2389" spans="1:31">
      <c r="A2389" s="59" t="str">
        <f t="shared" si="297"/>
        <v/>
      </c>
      <c r="B2389" s="59" t="str">
        <f t="shared" si="298"/>
        <v/>
      </c>
      <c r="V2389" s="59" t="str">
        <f t="shared" si="299"/>
        <v/>
      </c>
      <c r="W2389" s="59" t="str">
        <f t="shared" si="296"/>
        <v/>
      </c>
      <c r="X2389" s="59" t="str">
        <f t="shared" si="300"/>
        <v/>
      </c>
      <c r="AC2389" s="50">
        <f t="shared" si="301"/>
        <v>0</v>
      </c>
      <c r="AD2389" s="43">
        <f t="shared" si="302"/>
        <v>0</v>
      </c>
      <c r="AE2389" s="50">
        <f t="shared" si="303"/>
        <v>0</v>
      </c>
    </row>
    <row r="2390" spans="1:31">
      <c r="A2390" s="59" t="str">
        <f t="shared" si="297"/>
        <v/>
      </c>
      <c r="B2390" s="59" t="str">
        <f t="shared" si="298"/>
        <v/>
      </c>
      <c r="V2390" s="59" t="str">
        <f t="shared" si="299"/>
        <v/>
      </c>
      <c r="W2390" s="59" t="str">
        <f t="shared" si="296"/>
        <v/>
      </c>
      <c r="X2390" s="59" t="str">
        <f t="shared" si="300"/>
        <v/>
      </c>
      <c r="AC2390" s="50">
        <f t="shared" si="301"/>
        <v>0</v>
      </c>
      <c r="AD2390" s="43">
        <f t="shared" si="302"/>
        <v>0</v>
      </c>
      <c r="AE2390" s="50">
        <f t="shared" si="303"/>
        <v>0</v>
      </c>
    </row>
    <row r="2391" spans="1:31">
      <c r="A2391" s="59" t="str">
        <f t="shared" si="297"/>
        <v/>
      </c>
      <c r="B2391" s="59" t="str">
        <f t="shared" si="298"/>
        <v/>
      </c>
      <c r="V2391" s="59" t="str">
        <f t="shared" si="299"/>
        <v/>
      </c>
      <c r="W2391" s="59" t="str">
        <f t="shared" si="296"/>
        <v/>
      </c>
      <c r="X2391" s="59" t="str">
        <f t="shared" si="300"/>
        <v/>
      </c>
      <c r="AC2391" s="50">
        <f t="shared" si="301"/>
        <v>0</v>
      </c>
      <c r="AD2391" s="43">
        <f t="shared" si="302"/>
        <v>0</v>
      </c>
      <c r="AE2391" s="50">
        <f t="shared" si="303"/>
        <v>0</v>
      </c>
    </row>
    <row r="2392" spans="1:31">
      <c r="A2392" s="59" t="str">
        <f t="shared" si="297"/>
        <v/>
      </c>
      <c r="B2392" s="59" t="str">
        <f t="shared" si="298"/>
        <v/>
      </c>
      <c r="V2392" s="59" t="str">
        <f t="shared" si="299"/>
        <v/>
      </c>
      <c r="W2392" s="59" t="str">
        <f t="shared" si="296"/>
        <v/>
      </c>
      <c r="X2392" s="59" t="str">
        <f t="shared" si="300"/>
        <v/>
      </c>
      <c r="AC2392" s="50">
        <f t="shared" si="301"/>
        <v>0</v>
      </c>
      <c r="AD2392" s="43">
        <f t="shared" si="302"/>
        <v>0</v>
      </c>
      <c r="AE2392" s="50">
        <f t="shared" si="303"/>
        <v>0</v>
      </c>
    </row>
    <row r="2393" spans="1:31">
      <c r="A2393" s="59" t="str">
        <f t="shared" si="297"/>
        <v/>
      </c>
      <c r="B2393" s="59" t="str">
        <f t="shared" si="298"/>
        <v/>
      </c>
      <c r="V2393" s="59" t="str">
        <f t="shared" si="299"/>
        <v/>
      </c>
      <c r="W2393" s="59" t="str">
        <f t="shared" si="296"/>
        <v/>
      </c>
      <c r="X2393" s="59" t="str">
        <f t="shared" si="300"/>
        <v/>
      </c>
      <c r="AC2393" s="50">
        <f t="shared" si="301"/>
        <v>0</v>
      </c>
      <c r="AD2393" s="43">
        <f t="shared" si="302"/>
        <v>0</v>
      </c>
      <c r="AE2393" s="50">
        <f t="shared" si="303"/>
        <v>0</v>
      </c>
    </row>
    <row r="2394" spans="1:31">
      <c r="A2394" s="59" t="str">
        <f t="shared" si="297"/>
        <v/>
      </c>
      <c r="B2394" s="59" t="str">
        <f t="shared" si="298"/>
        <v/>
      </c>
      <c r="V2394" s="59" t="str">
        <f t="shared" si="299"/>
        <v/>
      </c>
      <c r="W2394" s="59" t="str">
        <f t="shared" si="296"/>
        <v/>
      </c>
      <c r="X2394" s="59" t="str">
        <f t="shared" si="300"/>
        <v/>
      </c>
      <c r="AC2394" s="50">
        <f t="shared" si="301"/>
        <v>0</v>
      </c>
      <c r="AD2394" s="43">
        <f t="shared" si="302"/>
        <v>0</v>
      </c>
      <c r="AE2394" s="50">
        <f t="shared" si="303"/>
        <v>0</v>
      </c>
    </row>
    <row r="2395" spans="1:31">
      <c r="A2395" s="59" t="str">
        <f t="shared" si="297"/>
        <v/>
      </c>
      <c r="B2395" s="59" t="str">
        <f t="shared" si="298"/>
        <v/>
      </c>
      <c r="V2395" s="59" t="str">
        <f t="shared" si="299"/>
        <v/>
      </c>
      <c r="W2395" s="59" t="str">
        <f t="shared" si="296"/>
        <v/>
      </c>
      <c r="X2395" s="59" t="str">
        <f t="shared" si="300"/>
        <v/>
      </c>
      <c r="AC2395" s="50">
        <f t="shared" si="301"/>
        <v>0</v>
      </c>
      <c r="AD2395" s="43">
        <f t="shared" si="302"/>
        <v>0</v>
      </c>
      <c r="AE2395" s="50">
        <f t="shared" si="303"/>
        <v>0</v>
      </c>
    </row>
    <row r="2396" spans="1:31">
      <c r="A2396" s="59" t="str">
        <f t="shared" si="297"/>
        <v/>
      </c>
      <c r="B2396" s="59" t="str">
        <f t="shared" si="298"/>
        <v/>
      </c>
      <c r="V2396" s="59" t="str">
        <f t="shared" si="299"/>
        <v/>
      </c>
      <c r="W2396" s="59" t="str">
        <f t="shared" si="296"/>
        <v/>
      </c>
      <c r="X2396" s="59" t="str">
        <f t="shared" si="300"/>
        <v/>
      </c>
      <c r="AC2396" s="50">
        <f t="shared" si="301"/>
        <v>0</v>
      </c>
      <c r="AD2396" s="43">
        <f t="shared" si="302"/>
        <v>0</v>
      </c>
      <c r="AE2396" s="50">
        <f t="shared" si="303"/>
        <v>0</v>
      </c>
    </row>
    <row r="2397" spans="1:31">
      <c r="A2397" s="59" t="str">
        <f t="shared" si="297"/>
        <v/>
      </c>
      <c r="B2397" s="59" t="str">
        <f t="shared" si="298"/>
        <v/>
      </c>
      <c r="V2397" s="59" t="str">
        <f t="shared" si="299"/>
        <v/>
      </c>
      <c r="W2397" s="59" t="str">
        <f t="shared" si="296"/>
        <v/>
      </c>
      <c r="X2397" s="59" t="str">
        <f t="shared" si="300"/>
        <v/>
      </c>
      <c r="AC2397" s="50">
        <f t="shared" si="301"/>
        <v>0</v>
      </c>
      <c r="AD2397" s="43">
        <f t="shared" si="302"/>
        <v>0</v>
      </c>
      <c r="AE2397" s="50">
        <f t="shared" si="303"/>
        <v>0</v>
      </c>
    </row>
    <row r="2398" spans="1:31">
      <c r="A2398" s="59" t="str">
        <f t="shared" si="297"/>
        <v/>
      </c>
      <c r="B2398" s="59" t="str">
        <f t="shared" si="298"/>
        <v/>
      </c>
      <c r="V2398" s="59" t="str">
        <f t="shared" si="299"/>
        <v/>
      </c>
      <c r="W2398" s="59" t="str">
        <f t="shared" si="296"/>
        <v/>
      </c>
      <c r="X2398" s="59" t="str">
        <f t="shared" si="300"/>
        <v/>
      </c>
      <c r="AC2398" s="50">
        <f t="shared" si="301"/>
        <v>0</v>
      </c>
      <c r="AD2398" s="43">
        <f t="shared" si="302"/>
        <v>0</v>
      </c>
      <c r="AE2398" s="50">
        <f t="shared" si="303"/>
        <v>0</v>
      </c>
    </row>
    <row r="2399" spans="1:31">
      <c r="A2399" s="59" t="str">
        <f t="shared" si="297"/>
        <v/>
      </c>
      <c r="B2399" s="59" t="str">
        <f t="shared" si="298"/>
        <v/>
      </c>
      <c r="V2399" s="59" t="str">
        <f t="shared" si="299"/>
        <v/>
      </c>
      <c r="W2399" s="59" t="str">
        <f t="shared" si="296"/>
        <v/>
      </c>
      <c r="X2399" s="59" t="str">
        <f t="shared" si="300"/>
        <v/>
      </c>
      <c r="AC2399" s="50">
        <f t="shared" si="301"/>
        <v>0</v>
      </c>
      <c r="AD2399" s="43">
        <f t="shared" si="302"/>
        <v>0</v>
      </c>
      <c r="AE2399" s="50">
        <f t="shared" si="303"/>
        <v>0</v>
      </c>
    </row>
    <row r="2400" spans="1:31">
      <c r="A2400" s="59" t="str">
        <f t="shared" si="297"/>
        <v/>
      </c>
      <c r="B2400" s="59" t="str">
        <f t="shared" si="298"/>
        <v/>
      </c>
      <c r="V2400" s="59" t="str">
        <f t="shared" si="299"/>
        <v/>
      </c>
      <c r="W2400" s="59" t="str">
        <f t="shared" si="296"/>
        <v/>
      </c>
      <c r="X2400" s="59" t="str">
        <f t="shared" si="300"/>
        <v/>
      </c>
      <c r="AC2400" s="50">
        <f t="shared" si="301"/>
        <v>0</v>
      </c>
      <c r="AD2400" s="43">
        <f t="shared" si="302"/>
        <v>0</v>
      </c>
      <c r="AE2400" s="50">
        <f t="shared" si="303"/>
        <v>0</v>
      </c>
    </row>
    <row r="2401" spans="1:31">
      <c r="A2401" s="59" t="str">
        <f t="shared" si="297"/>
        <v/>
      </c>
      <c r="B2401" s="59" t="str">
        <f t="shared" si="298"/>
        <v/>
      </c>
      <c r="V2401" s="59" t="str">
        <f t="shared" si="299"/>
        <v/>
      </c>
      <c r="W2401" s="59" t="str">
        <f t="shared" si="296"/>
        <v/>
      </c>
      <c r="X2401" s="59" t="str">
        <f t="shared" si="300"/>
        <v/>
      </c>
      <c r="AC2401" s="50">
        <f t="shared" si="301"/>
        <v>0</v>
      </c>
      <c r="AD2401" s="43">
        <f t="shared" si="302"/>
        <v>0</v>
      </c>
      <c r="AE2401" s="50">
        <f t="shared" si="303"/>
        <v>0</v>
      </c>
    </row>
    <row r="2402" spans="1:31">
      <c r="A2402" s="59" t="str">
        <f t="shared" si="297"/>
        <v/>
      </c>
      <c r="B2402" s="59" t="str">
        <f t="shared" si="298"/>
        <v/>
      </c>
      <c r="V2402" s="59" t="str">
        <f t="shared" si="299"/>
        <v/>
      </c>
      <c r="W2402" s="59" t="str">
        <f t="shared" si="296"/>
        <v/>
      </c>
      <c r="X2402" s="59" t="str">
        <f t="shared" si="300"/>
        <v/>
      </c>
      <c r="AC2402" s="50">
        <f t="shared" si="301"/>
        <v>0</v>
      </c>
      <c r="AD2402" s="43">
        <f t="shared" si="302"/>
        <v>0</v>
      </c>
      <c r="AE2402" s="50">
        <f t="shared" si="303"/>
        <v>0</v>
      </c>
    </row>
    <row r="2403" spans="1:31">
      <c r="A2403" s="59" t="str">
        <f t="shared" si="297"/>
        <v/>
      </c>
      <c r="B2403" s="59" t="str">
        <f t="shared" si="298"/>
        <v/>
      </c>
      <c r="V2403" s="59" t="str">
        <f t="shared" si="299"/>
        <v/>
      </c>
      <c r="W2403" s="59" t="str">
        <f t="shared" si="296"/>
        <v/>
      </c>
      <c r="X2403" s="59" t="str">
        <f t="shared" si="300"/>
        <v/>
      </c>
      <c r="AC2403" s="50">
        <f t="shared" si="301"/>
        <v>0</v>
      </c>
      <c r="AD2403" s="43">
        <f t="shared" si="302"/>
        <v>0</v>
      </c>
      <c r="AE2403" s="50">
        <f t="shared" si="303"/>
        <v>0</v>
      </c>
    </row>
    <row r="2404" spans="1:31">
      <c r="A2404" s="59" t="str">
        <f t="shared" si="297"/>
        <v/>
      </c>
      <c r="B2404" s="59" t="str">
        <f t="shared" si="298"/>
        <v/>
      </c>
      <c r="V2404" s="59" t="str">
        <f t="shared" si="299"/>
        <v/>
      </c>
      <c r="W2404" s="59" t="str">
        <f t="shared" si="296"/>
        <v/>
      </c>
      <c r="X2404" s="59" t="str">
        <f t="shared" si="300"/>
        <v/>
      </c>
      <c r="AC2404" s="50">
        <f t="shared" si="301"/>
        <v>0</v>
      </c>
      <c r="AD2404" s="43">
        <f t="shared" si="302"/>
        <v>0</v>
      </c>
      <c r="AE2404" s="50">
        <f t="shared" si="303"/>
        <v>0</v>
      </c>
    </row>
    <row r="2405" spans="1:31">
      <c r="A2405" s="59" t="str">
        <f t="shared" si="297"/>
        <v/>
      </c>
      <c r="B2405" s="59" t="str">
        <f t="shared" si="298"/>
        <v/>
      </c>
      <c r="V2405" s="59" t="str">
        <f t="shared" si="299"/>
        <v/>
      </c>
      <c r="W2405" s="59" t="str">
        <f t="shared" si="296"/>
        <v/>
      </c>
      <c r="X2405" s="59" t="str">
        <f t="shared" si="300"/>
        <v/>
      </c>
      <c r="AC2405" s="50">
        <f t="shared" si="301"/>
        <v>0</v>
      </c>
      <c r="AD2405" s="43">
        <f t="shared" si="302"/>
        <v>0</v>
      </c>
      <c r="AE2405" s="50">
        <f t="shared" si="303"/>
        <v>0</v>
      </c>
    </row>
    <row r="2406" spans="1:31">
      <c r="A2406" s="59" t="str">
        <f t="shared" si="297"/>
        <v/>
      </c>
      <c r="B2406" s="59" t="str">
        <f t="shared" si="298"/>
        <v/>
      </c>
      <c r="V2406" s="59" t="str">
        <f t="shared" si="299"/>
        <v/>
      </c>
      <c r="W2406" s="59" t="str">
        <f t="shared" si="296"/>
        <v/>
      </c>
      <c r="X2406" s="59" t="str">
        <f t="shared" si="300"/>
        <v/>
      </c>
      <c r="AC2406" s="50">
        <f t="shared" si="301"/>
        <v>0</v>
      </c>
      <c r="AD2406" s="43">
        <f t="shared" si="302"/>
        <v>0</v>
      </c>
      <c r="AE2406" s="50">
        <f t="shared" si="303"/>
        <v>0</v>
      </c>
    </row>
    <row r="2407" spans="1:31">
      <c r="A2407" s="59" t="str">
        <f t="shared" si="297"/>
        <v/>
      </c>
      <c r="B2407" s="59" t="str">
        <f t="shared" si="298"/>
        <v/>
      </c>
      <c r="V2407" s="59" t="str">
        <f t="shared" si="299"/>
        <v/>
      </c>
      <c r="W2407" s="59" t="str">
        <f t="shared" si="296"/>
        <v/>
      </c>
      <c r="X2407" s="59" t="str">
        <f t="shared" si="300"/>
        <v/>
      </c>
      <c r="AC2407" s="50">
        <f t="shared" si="301"/>
        <v>0</v>
      </c>
      <c r="AD2407" s="43">
        <f t="shared" si="302"/>
        <v>0</v>
      </c>
      <c r="AE2407" s="50">
        <f t="shared" si="303"/>
        <v>0</v>
      </c>
    </row>
    <row r="2408" spans="1:31">
      <c r="A2408" s="59" t="str">
        <f t="shared" si="297"/>
        <v/>
      </c>
      <c r="B2408" s="59" t="str">
        <f t="shared" si="298"/>
        <v/>
      </c>
      <c r="V2408" s="59" t="str">
        <f t="shared" si="299"/>
        <v/>
      </c>
      <c r="W2408" s="59" t="str">
        <f t="shared" si="296"/>
        <v/>
      </c>
      <c r="X2408" s="59" t="str">
        <f t="shared" si="300"/>
        <v/>
      </c>
      <c r="AC2408" s="50">
        <f t="shared" si="301"/>
        <v>0</v>
      </c>
      <c r="AD2408" s="43">
        <f t="shared" si="302"/>
        <v>0</v>
      </c>
      <c r="AE2408" s="50">
        <f t="shared" si="303"/>
        <v>0</v>
      </c>
    </row>
    <row r="2409" spans="1:31">
      <c r="A2409" s="59" t="str">
        <f t="shared" si="297"/>
        <v/>
      </c>
      <c r="B2409" s="59" t="str">
        <f t="shared" si="298"/>
        <v/>
      </c>
      <c r="V2409" s="59" t="str">
        <f t="shared" si="299"/>
        <v/>
      </c>
      <c r="W2409" s="59" t="str">
        <f t="shared" si="296"/>
        <v/>
      </c>
      <c r="X2409" s="59" t="str">
        <f t="shared" si="300"/>
        <v/>
      </c>
      <c r="AC2409" s="50">
        <f t="shared" si="301"/>
        <v>0</v>
      </c>
      <c r="AD2409" s="43">
        <f t="shared" si="302"/>
        <v>0</v>
      </c>
      <c r="AE2409" s="50">
        <f t="shared" si="303"/>
        <v>0</v>
      </c>
    </row>
    <row r="2410" spans="1:31">
      <c r="A2410" s="59" t="str">
        <f t="shared" si="297"/>
        <v/>
      </c>
      <c r="B2410" s="59" t="str">
        <f t="shared" si="298"/>
        <v/>
      </c>
      <c r="V2410" s="59" t="str">
        <f t="shared" si="299"/>
        <v/>
      </c>
      <c r="W2410" s="59" t="str">
        <f t="shared" si="296"/>
        <v/>
      </c>
      <c r="X2410" s="59" t="str">
        <f t="shared" si="300"/>
        <v/>
      </c>
      <c r="AC2410" s="50">
        <f t="shared" si="301"/>
        <v>0</v>
      </c>
      <c r="AD2410" s="43">
        <f t="shared" si="302"/>
        <v>0</v>
      </c>
      <c r="AE2410" s="50">
        <f t="shared" si="303"/>
        <v>0</v>
      </c>
    </row>
    <row r="2411" spans="1:31">
      <c r="A2411" s="59" t="str">
        <f t="shared" si="297"/>
        <v/>
      </c>
      <c r="B2411" s="59" t="str">
        <f t="shared" si="298"/>
        <v/>
      </c>
      <c r="V2411" s="59" t="str">
        <f t="shared" si="299"/>
        <v/>
      </c>
      <c r="W2411" s="59" t="str">
        <f t="shared" si="296"/>
        <v/>
      </c>
      <c r="X2411" s="59" t="str">
        <f t="shared" si="300"/>
        <v/>
      </c>
      <c r="AC2411" s="50">
        <f t="shared" si="301"/>
        <v>0</v>
      </c>
      <c r="AD2411" s="43">
        <f t="shared" si="302"/>
        <v>0</v>
      </c>
      <c r="AE2411" s="50">
        <f t="shared" si="303"/>
        <v>0</v>
      </c>
    </row>
    <row r="2412" spans="1:31">
      <c r="A2412" s="59" t="str">
        <f t="shared" si="297"/>
        <v/>
      </c>
      <c r="B2412" s="59" t="str">
        <f t="shared" si="298"/>
        <v/>
      </c>
      <c r="V2412" s="59" t="str">
        <f t="shared" si="299"/>
        <v/>
      </c>
      <c r="W2412" s="59" t="str">
        <f t="shared" si="296"/>
        <v/>
      </c>
      <c r="X2412" s="59" t="str">
        <f t="shared" si="300"/>
        <v/>
      </c>
      <c r="AC2412" s="50">
        <f t="shared" si="301"/>
        <v>0</v>
      </c>
      <c r="AD2412" s="43">
        <f t="shared" si="302"/>
        <v>0</v>
      </c>
      <c r="AE2412" s="50">
        <f t="shared" si="303"/>
        <v>0</v>
      </c>
    </row>
    <row r="2413" spans="1:31">
      <c r="A2413" s="59" t="str">
        <f t="shared" si="297"/>
        <v/>
      </c>
      <c r="B2413" s="59" t="str">
        <f t="shared" si="298"/>
        <v/>
      </c>
      <c r="V2413" s="59" t="str">
        <f t="shared" si="299"/>
        <v/>
      </c>
      <c r="W2413" s="59" t="str">
        <f t="shared" si="296"/>
        <v/>
      </c>
      <c r="X2413" s="59" t="str">
        <f t="shared" si="300"/>
        <v/>
      </c>
      <c r="AC2413" s="50">
        <f t="shared" si="301"/>
        <v>0</v>
      </c>
      <c r="AD2413" s="43">
        <f t="shared" si="302"/>
        <v>0</v>
      </c>
      <c r="AE2413" s="50">
        <f t="shared" si="303"/>
        <v>0</v>
      </c>
    </row>
    <row r="2414" spans="1:31">
      <c r="A2414" s="59" t="str">
        <f t="shared" si="297"/>
        <v/>
      </c>
      <c r="B2414" s="59" t="str">
        <f t="shared" si="298"/>
        <v/>
      </c>
      <c r="V2414" s="59" t="str">
        <f t="shared" si="299"/>
        <v/>
      </c>
      <c r="W2414" s="59" t="str">
        <f t="shared" si="296"/>
        <v/>
      </c>
      <c r="X2414" s="59" t="str">
        <f t="shared" si="300"/>
        <v/>
      </c>
      <c r="AC2414" s="50">
        <f t="shared" si="301"/>
        <v>0</v>
      </c>
      <c r="AD2414" s="43">
        <f t="shared" si="302"/>
        <v>0</v>
      </c>
      <c r="AE2414" s="50">
        <f t="shared" si="303"/>
        <v>0</v>
      </c>
    </row>
    <row r="2415" spans="1:31">
      <c r="A2415" s="59" t="str">
        <f t="shared" si="297"/>
        <v/>
      </c>
      <c r="B2415" s="59" t="str">
        <f t="shared" si="298"/>
        <v/>
      </c>
      <c r="V2415" s="59" t="str">
        <f t="shared" si="299"/>
        <v/>
      </c>
      <c r="W2415" s="59" t="str">
        <f t="shared" si="296"/>
        <v/>
      </c>
      <c r="X2415" s="59" t="str">
        <f t="shared" si="300"/>
        <v/>
      </c>
      <c r="AC2415" s="50">
        <f t="shared" si="301"/>
        <v>0</v>
      </c>
      <c r="AD2415" s="43">
        <f t="shared" si="302"/>
        <v>0</v>
      </c>
      <c r="AE2415" s="50">
        <f t="shared" si="303"/>
        <v>0</v>
      </c>
    </row>
    <row r="2416" spans="1:31">
      <c r="A2416" s="59" t="str">
        <f t="shared" si="297"/>
        <v/>
      </c>
      <c r="B2416" s="59" t="str">
        <f t="shared" si="298"/>
        <v/>
      </c>
      <c r="V2416" s="59" t="str">
        <f t="shared" si="299"/>
        <v/>
      </c>
      <c r="W2416" s="59" t="str">
        <f t="shared" si="296"/>
        <v/>
      </c>
      <c r="X2416" s="59" t="str">
        <f t="shared" si="300"/>
        <v/>
      </c>
      <c r="AC2416" s="50">
        <f t="shared" si="301"/>
        <v>0</v>
      </c>
      <c r="AD2416" s="43">
        <f t="shared" si="302"/>
        <v>0</v>
      </c>
      <c r="AE2416" s="50">
        <f t="shared" si="303"/>
        <v>0</v>
      </c>
    </row>
    <row r="2417" spans="1:31">
      <c r="A2417" s="59" t="str">
        <f t="shared" si="297"/>
        <v/>
      </c>
      <c r="B2417" s="59" t="str">
        <f t="shared" si="298"/>
        <v/>
      </c>
      <c r="V2417" s="59" t="str">
        <f t="shared" si="299"/>
        <v/>
      </c>
      <c r="W2417" s="59" t="str">
        <f t="shared" si="296"/>
        <v/>
      </c>
      <c r="X2417" s="59" t="str">
        <f t="shared" si="300"/>
        <v/>
      </c>
      <c r="AC2417" s="50">
        <f t="shared" si="301"/>
        <v>0</v>
      </c>
      <c r="AD2417" s="43">
        <f t="shared" si="302"/>
        <v>0</v>
      </c>
      <c r="AE2417" s="50">
        <f t="shared" si="303"/>
        <v>0</v>
      </c>
    </row>
    <row r="2418" spans="1:31">
      <c r="A2418" s="59" t="str">
        <f t="shared" si="297"/>
        <v/>
      </c>
      <c r="B2418" s="59" t="str">
        <f t="shared" si="298"/>
        <v/>
      </c>
      <c r="V2418" s="59" t="str">
        <f t="shared" si="299"/>
        <v/>
      </c>
      <c r="W2418" s="59" t="str">
        <f t="shared" si="296"/>
        <v/>
      </c>
      <c r="X2418" s="59" t="str">
        <f t="shared" si="300"/>
        <v/>
      </c>
      <c r="AC2418" s="50">
        <f t="shared" si="301"/>
        <v>0</v>
      </c>
      <c r="AD2418" s="43">
        <f t="shared" si="302"/>
        <v>0</v>
      </c>
      <c r="AE2418" s="50">
        <f t="shared" si="303"/>
        <v>0</v>
      </c>
    </row>
    <row r="2419" spans="1:31">
      <c r="A2419" s="59" t="str">
        <f t="shared" si="297"/>
        <v/>
      </c>
      <c r="B2419" s="59" t="str">
        <f t="shared" si="298"/>
        <v/>
      </c>
      <c r="V2419" s="59" t="str">
        <f t="shared" si="299"/>
        <v/>
      </c>
      <c r="W2419" s="59" t="str">
        <f t="shared" si="296"/>
        <v/>
      </c>
      <c r="X2419" s="59" t="str">
        <f t="shared" si="300"/>
        <v/>
      </c>
      <c r="AC2419" s="50">
        <f t="shared" si="301"/>
        <v>0</v>
      </c>
      <c r="AD2419" s="43">
        <f t="shared" si="302"/>
        <v>0</v>
      </c>
      <c r="AE2419" s="50">
        <f t="shared" si="303"/>
        <v>0</v>
      </c>
    </row>
    <row r="2420" spans="1:31">
      <c r="A2420" s="59" t="str">
        <f t="shared" si="297"/>
        <v/>
      </c>
      <c r="B2420" s="59" t="str">
        <f t="shared" si="298"/>
        <v/>
      </c>
      <c r="V2420" s="59" t="str">
        <f t="shared" si="299"/>
        <v/>
      </c>
      <c r="W2420" s="59" t="str">
        <f t="shared" si="296"/>
        <v/>
      </c>
      <c r="X2420" s="59" t="str">
        <f t="shared" si="300"/>
        <v/>
      </c>
      <c r="AC2420" s="50">
        <f t="shared" si="301"/>
        <v>0</v>
      </c>
      <c r="AD2420" s="43">
        <f t="shared" si="302"/>
        <v>0</v>
      </c>
      <c r="AE2420" s="50">
        <f t="shared" si="303"/>
        <v>0</v>
      </c>
    </row>
    <row r="2421" spans="1:31">
      <c r="A2421" s="59" t="str">
        <f t="shared" si="297"/>
        <v/>
      </c>
      <c r="B2421" s="59" t="str">
        <f t="shared" si="298"/>
        <v/>
      </c>
      <c r="V2421" s="59" t="str">
        <f t="shared" si="299"/>
        <v/>
      </c>
      <c r="W2421" s="59" t="str">
        <f t="shared" si="296"/>
        <v/>
      </c>
      <c r="X2421" s="59" t="str">
        <f t="shared" si="300"/>
        <v/>
      </c>
      <c r="AC2421" s="50">
        <f t="shared" si="301"/>
        <v>0</v>
      </c>
      <c r="AD2421" s="43">
        <f t="shared" si="302"/>
        <v>0</v>
      </c>
      <c r="AE2421" s="50">
        <f t="shared" si="303"/>
        <v>0</v>
      </c>
    </row>
    <row r="2422" spans="1:31">
      <c r="A2422" s="59" t="str">
        <f t="shared" si="297"/>
        <v/>
      </c>
      <c r="B2422" s="59" t="str">
        <f t="shared" si="298"/>
        <v/>
      </c>
      <c r="V2422" s="59" t="str">
        <f t="shared" si="299"/>
        <v/>
      </c>
      <c r="W2422" s="59" t="str">
        <f t="shared" si="296"/>
        <v/>
      </c>
      <c r="X2422" s="59" t="str">
        <f t="shared" si="300"/>
        <v/>
      </c>
      <c r="AC2422" s="50">
        <f t="shared" si="301"/>
        <v>0</v>
      </c>
      <c r="AD2422" s="43">
        <f t="shared" si="302"/>
        <v>0</v>
      </c>
      <c r="AE2422" s="50">
        <f t="shared" si="303"/>
        <v>0</v>
      </c>
    </row>
    <row r="2423" spans="1:31">
      <c r="A2423" s="59" t="str">
        <f t="shared" si="297"/>
        <v/>
      </c>
      <c r="B2423" s="59" t="str">
        <f t="shared" si="298"/>
        <v/>
      </c>
      <c r="V2423" s="59" t="str">
        <f t="shared" si="299"/>
        <v/>
      </c>
      <c r="W2423" s="59" t="str">
        <f t="shared" si="296"/>
        <v/>
      </c>
      <c r="X2423" s="59" t="str">
        <f t="shared" si="300"/>
        <v/>
      </c>
      <c r="AC2423" s="50">
        <f t="shared" si="301"/>
        <v>0</v>
      </c>
      <c r="AD2423" s="43">
        <f t="shared" si="302"/>
        <v>0</v>
      </c>
      <c r="AE2423" s="50">
        <f t="shared" si="303"/>
        <v>0</v>
      </c>
    </row>
    <row r="2424" spans="1:31">
      <c r="A2424" s="59" t="str">
        <f t="shared" si="297"/>
        <v/>
      </c>
      <c r="B2424" s="59" t="str">
        <f t="shared" si="298"/>
        <v/>
      </c>
      <c r="V2424" s="59" t="str">
        <f t="shared" si="299"/>
        <v/>
      </c>
      <c r="W2424" s="59" t="str">
        <f t="shared" si="296"/>
        <v/>
      </c>
      <c r="X2424" s="59" t="str">
        <f t="shared" si="300"/>
        <v/>
      </c>
      <c r="AC2424" s="50">
        <f t="shared" si="301"/>
        <v>0</v>
      </c>
      <c r="AD2424" s="43">
        <f t="shared" si="302"/>
        <v>0</v>
      </c>
      <c r="AE2424" s="50">
        <f t="shared" si="303"/>
        <v>0</v>
      </c>
    </row>
    <row r="2425" spans="1:31">
      <c r="A2425" s="59" t="str">
        <f t="shared" si="297"/>
        <v/>
      </c>
      <c r="B2425" s="59" t="str">
        <f t="shared" si="298"/>
        <v/>
      </c>
      <c r="V2425" s="59" t="str">
        <f t="shared" si="299"/>
        <v/>
      </c>
      <c r="W2425" s="59" t="str">
        <f t="shared" si="296"/>
        <v/>
      </c>
      <c r="X2425" s="59" t="str">
        <f t="shared" si="300"/>
        <v/>
      </c>
      <c r="AC2425" s="50">
        <f t="shared" si="301"/>
        <v>0</v>
      </c>
      <c r="AD2425" s="43">
        <f t="shared" si="302"/>
        <v>0</v>
      </c>
      <c r="AE2425" s="50">
        <f t="shared" si="303"/>
        <v>0</v>
      </c>
    </row>
    <row r="2426" spans="1:31">
      <c r="A2426" s="59" t="str">
        <f t="shared" si="297"/>
        <v/>
      </c>
      <c r="B2426" s="59" t="str">
        <f t="shared" si="298"/>
        <v/>
      </c>
      <c r="V2426" s="59" t="str">
        <f t="shared" si="299"/>
        <v/>
      </c>
      <c r="W2426" s="59" t="str">
        <f t="shared" si="296"/>
        <v/>
      </c>
      <c r="X2426" s="59" t="str">
        <f t="shared" si="300"/>
        <v/>
      </c>
      <c r="AC2426" s="50">
        <f t="shared" si="301"/>
        <v>0</v>
      </c>
      <c r="AD2426" s="43">
        <f t="shared" si="302"/>
        <v>0</v>
      </c>
      <c r="AE2426" s="50">
        <f t="shared" si="303"/>
        <v>0</v>
      </c>
    </row>
    <row r="2427" spans="1:31">
      <c r="A2427" s="59" t="str">
        <f t="shared" si="297"/>
        <v/>
      </c>
      <c r="B2427" s="59" t="str">
        <f t="shared" si="298"/>
        <v/>
      </c>
      <c r="V2427" s="59" t="str">
        <f t="shared" si="299"/>
        <v/>
      </c>
      <c r="W2427" s="59" t="str">
        <f t="shared" si="296"/>
        <v/>
      </c>
      <c r="X2427" s="59" t="str">
        <f t="shared" si="300"/>
        <v/>
      </c>
      <c r="AC2427" s="50">
        <f t="shared" si="301"/>
        <v>0</v>
      </c>
      <c r="AD2427" s="43">
        <f t="shared" si="302"/>
        <v>0</v>
      </c>
      <c r="AE2427" s="50">
        <f t="shared" si="303"/>
        <v>0</v>
      </c>
    </row>
    <row r="2428" spans="1:31">
      <c r="A2428" s="59" t="str">
        <f t="shared" si="297"/>
        <v/>
      </c>
      <c r="B2428" s="59" t="str">
        <f t="shared" si="298"/>
        <v/>
      </c>
      <c r="V2428" s="59" t="str">
        <f t="shared" si="299"/>
        <v/>
      </c>
      <c r="W2428" s="59" t="str">
        <f t="shared" si="296"/>
        <v/>
      </c>
      <c r="X2428" s="59" t="str">
        <f t="shared" si="300"/>
        <v/>
      </c>
      <c r="AC2428" s="50">
        <f t="shared" si="301"/>
        <v>0</v>
      </c>
      <c r="AD2428" s="43">
        <f t="shared" si="302"/>
        <v>0</v>
      </c>
      <c r="AE2428" s="50">
        <f t="shared" si="303"/>
        <v>0</v>
      </c>
    </row>
    <row r="2429" spans="1:31">
      <c r="A2429" s="59" t="str">
        <f t="shared" si="297"/>
        <v/>
      </c>
      <c r="B2429" s="59" t="str">
        <f t="shared" si="298"/>
        <v/>
      </c>
      <c r="V2429" s="59" t="str">
        <f t="shared" si="299"/>
        <v/>
      </c>
      <c r="W2429" s="59" t="str">
        <f t="shared" si="296"/>
        <v/>
      </c>
      <c r="X2429" s="59" t="str">
        <f t="shared" si="300"/>
        <v/>
      </c>
      <c r="AC2429" s="50">
        <f t="shared" si="301"/>
        <v>0</v>
      </c>
      <c r="AD2429" s="43">
        <f t="shared" si="302"/>
        <v>0</v>
      </c>
      <c r="AE2429" s="50">
        <f t="shared" si="303"/>
        <v>0</v>
      </c>
    </row>
    <row r="2430" spans="1:31">
      <c r="A2430" s="59" t="str">
        <f t="shared" si="297"/>
        <v/>
      </c>
      <c r="B2430" s="59" t="str">
        <f t="shared" si="298"/>
        <v/>
      </c>
      <c r="V2430" s="59" t="str">
        <f t="shared" si="299"/>
        <v/>
      </c>
      <c r="W2430" s="59" t="str">
        <f t="shared" si="296"/>
        <v/>
      </c>
      <c r="X2430" s="59" t="str">
        <f t="shared" si="300"/>
        <v/>
      </c>
      <c r="AC2430" s="50">
        <f t="shared" si="301"/>
        <v>0</v>
      </c>
      <c r="AD2430" s="43">
        <f t="shared" si="302"/>
        <v>0</v>
      </c>
      <c r="AE2430" s="50">
        <f t="shared" si="303"/>
        <v>0</v>
      </c>
    </row>
    <row r="2431" spans="1:31">
      <c r="A2431" s="59" t="str">
        <f t="shared" si="297"/>
        <v/>
      </c>
      <c r="B2431" s="59" t="str">
        <f t="shared" si="298"/>
        <v/>
      </c>
      <c r="V2431" s="59" t="str">
        <f t="shared" si="299"/>
        <v/>
      </c>
      <c r="W2431" s="59" t="str">
        <f t="shared" si="296"/>
        <v/>
      </c>
      <c r="X2431" s="59" t="str">
        <f t="shared" si="300"/>
        <v/>
      </c>
      <c r="AC2431" s="50">
        <f t="shared" si="301"/>
        <v>0</v>
      </c>
      <c r="AD2431" s="43">
        <f t="shared" si="302"/>
        <v>0</v>
      </c>
      <c r="AE2431" s="50">
        <f t="shared" si="303"/>
        <v>0</v>
      </c>
    </row>
    <row r="2432" spans="1:31">
      <c r="A2432" s="59" t="str">
        <f t="shared" si="297"/>
        <v/>
      </c>
      <c r="B2432" s="59" t="str">
        <f t="shared" si="298"/>
        <v/>
      </c>
      <c r="V2432" s="59" t="str">
        <f t="shared" si="299"/>
        <v/>
      </c>
      <c r="W2432" s="59" t="str">
        <f t="shared" si="296"/>
        <v/>
      </c>
      <c r="X2432" s="59" t="str">
        <f t="shared" si="300"/>
        <v/>
      </c>
      <c r="AC2432" s="50">
        <f t="shared" si="301"/>
        <v>0</v>
      </c>
      <c r="AD2432" s="43">
        <f t="shared" si="302"/>
        <v>0</v>
      </c>
      <c r="AE2432" s="50">
        <f t="shared" si="303"/>
        <v>0</v>
      </c>
    </row>
    <row r="2433" spans="1:31">
      <c r="A2433" s="59" t="str">
        <f t="shared" si="297"/>
        <v/>
      </c>
      <c r="B2433" s="59" t="str">
        <f t="shared" si="298"/>
        <v/>
      </c>
      <c r="V2433" s="59" t="str">
        <f t="shared" si="299"/>
        <v/>
      </c>
      <c r="W2433" s="59" t="str">
        <f t="shared" si="296"/>
        <v/>
      </c>
      <c r="X2433" s="59" t="str">
        <f t="shared" si="300"/>
        <v/>
      </c>
      <c r="AC2433" s="50">
        <f t="shared" si="301"/>
        <v>0</v>
      </c>
      <c r="AD2433" s="43">
        <f t="shared" si="302"/>
        <v>0</v>
      </c>
      <c r="AE2433" s="50">
        <f t="shared" si="303"/>
        <v>0</v>
      </c>
    </row>
    <row r="2434" spans="1:31">
      <c r="A2434" s="59" t="str">
        <f t="shared" si="297"/>
        <v/>
      </c>
      <c r="B2434" s="59" t="str">
        <f t="shared" si="298"/>
        <v/>
      </c>
      <c r="V2434" s="59" t="str">
        <f t="shared" si="299"/>
        <v/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59" t="str">
        <f t="shared" si="300"/>
        <v/>
      </c>
      <c r="AC2434" s="50">
        <f t="shared" si="301"/>
        <v>0</v>
      </c>
      <c r="AD2434" s="43">
        <f t="shared" si="302"/>
        <v>0</v>
      </c>
      <c r="AE2434" s="50">
        <f t="shared" si="303"/>
        <v>0</v>
      </c>
    </row>
    <row r="2435" spans="1:31">
      <c r="A2435" s="59" t="str">
        <f t="shared" ref="A2435:A2498" si="305">IF(G2435&amp;Q2435&lt;&gt;"",W2435&amp;Q2435,"")</f>
        <v/>
      </c>
      <c r="B2435" s="59" t="str">
        <f t="shared" ref="B2435:B2498" si="306">IF(C2435&lt;&gt;"",LEFT(C2435,9),"")</f>
        <v/>
      </c>
      <c r="V2435" s="59" t="str">
        <f t="shared" ref="V2435:V2498" si="307">W2435&amp;H2435</f>
        <v/>
      </c>
      <c r="W2435" s="59" t="str">
        <f t="shared" si="304"/>
        <v/>
      </c>
      <c r="X2435" s="59" t="str">
        <f t="shared" ref="X2435:X2498" si="308">IF(A2435&lt;&gt;"",IFERROR(IF(FIND(" ",G2435)&gt;=1,MID(G2435,FIND(" ",G2435)+1,LEN(G2435)),""),""),"")</f>
        <v/>
      </c>
      <c r="AC2435" s="50">
        <f t="shared" ref="AC2435:AC2498" si="309">IFERROR(VALUE(MID($C2435,1,2)),0)</f>
        <v>0</v>
      </c>
      <c r="AD2435" s="43">
        <f t="shared" ref="AD2435:AD2498" si="310">IFERROR(VALUE(MID($C2435,4,3)),0)</f>
        <v>0</v>
      </c>
      <c r="AE2435" s="50">
        <f t="shared" ref="AE2435:AE2498" si="311">VALUE(RIGHT("00"&amp;AC2435,2)&amp;RIGHT("000"&amp;AD2435,3))</f>
        <v>0</v>
      </c>
    </row>
    <row r="2436" spans="1:31">
      <c r="A2436" s="59" t="str">
        <f t="shared" si="305"/>
        <v/>
      </c>
      <c r="B2436" s="59" t="str">
        <f t="shared" si="306"/>
        <v/>
      </c>
      <c r="V2436" s="59" t="str">
        <f t="shared" si="307"/>
        <v/>
      </c>
      <c r="W2436" s="59" t="str">
        <f t="shared" si="304"/>
        <v/>
      </c>
      <c r="X2436" s="59" t="str">
        <f t="shared" si="308"/>
        <v/>
      </c>
      <c r="AC2436" s="50">
        <f t="shared" si="309"/>
        <v>0</v>
      </c>
      <c r="AD2436" s="43">
        <f t="shared" si="310"/>
        <v>0</v>
      </c>
      <c r="AE2436" s="50">
        <f t="shared" si="311"/>
        <v>0</v>
      </c>
    </row>
    <row r="2437" spans="1:31">
      <c r="A2437" s="59" t="str">
        <f t="shared" si="305"/>
        <v/>
      </c>
      <c r="B2437" s="59" t="str">
        <f t="shared" si="306"/>
        <v/>
      </c>
      <c r="V2437" s="59" t="str">
        <f t="shared" si="307"/>
        <v/>
      </c>
      <c r="W2437" s="59" t="str">
        <f t="shared" si="304"/>
        <v/>
      </c>
      <c r="X2437" s="59" t="str">
        <f t="shared" si="308"/>
        <v/>
      </c>
      <c r="AC2437" s="50">
        <f t="shared" si="309"/>
        <v>0</v>
      </c>
      <c r="AD2437" s="43">
        <f t="shared" si="310"/>
        <v>0</v>
      </c>
      <c r="AE2437" s="50">
        <f t="shared" si="311"/>
        <v>0</v>
      </c>
    </row>
    <row r="2438" spans="1:31">
      <c r="A2438" s="59" t="str">
        <f t="shared" si="305"/>
        <v/>
      </c>
      <c r="B2438" s="59" t="str">
        <f t="shared" si="306"/>
        <v/>
      </c>
      <c r="V2438" s="59" t="str">
        <f t="shared" si="307"/>
        <v/>
      </c>
      <c r="W2438" s="59" t="str">
        <f t="shared" si="304"/>
        <v/>
      </c>
      <c r="X2438" s="59" t="str">
        <f t="shared" si="308"/>
        <v/>
      </c>
      <c r="AC2438" s="50">
        <f t="shared" si="309"/>
        <v>0</v>
      </c>
      <c r="AD2438" s="43">
        <f t="shared" si="310"/>
        <v>0</v>
      </c>
      <c r="AE2438" s="50">
        <f t="shared" si="311"/>
        <v>0</v>
      </c>
    </row>
    <row r="2439" spans="1:31">
      <c r="A2439" s="59" t="str">
        <f t="shared" si="305"/>
        <v/>
      </c>
      <c r="B2439" s="59" t="str">
        <f t="shared" si="306"/>
        <v/>
      </c>
      <c r="V2439" s="59" t="str">
        <f t="shared" si="307"/>
        <v/>
      </c>
      <c r="W2439" s="59" t="str">
        <f t="shared" si="304"/>
        <v/>
      </c>
      <c r="X2439" s="59" t="str">
        <f t="shared" si="308"/>
        <v/>
      </c>
      <c r="AC2439" s="50">
        <f t="shared" si="309"/>
        <v>0</v>
      </c>
      <c r="AD2439" s="43">
        <f t="shared" si="310"/>
        <v>0</v>
      </c>
      <c r="AE2439" s="50">
        <f t="shared" si="311"/>
        <v>0</v>
      </c>
    </row>
    <row r="2440" spans="1:31">
      <c r="A2440" s="59" t="str">
        <f t="shared" si="305"/>
        <v/>
      </c>
      <c r="B2440" s="59" t="str">
        <f t="shared" si="306"/>
        <v/>
      </c>
      <c r="V2440" s="59" t="str">
        <f t="shared" si="307"/>
        <v/>
      </c>
      <c r="W2440" s="59" t="str">
        <f t="shared" si="304"/>
        <v/>
      </c>
      <c r="X2440" s="59" t="str">
        <f t="shared" si="308"/>
        <v/>
      </c>
      <c r="AC2440" s="50">
        <f t="shared" si="309"/>
        <v>0</v>
      </c>
      <c r="AD2440" s="43">
        <f t="shared" si="310"/>
        <v>0</v>
      </c>
      <c r="AE2440" s="50">
        <f t="shared" si="311"/>
        <v>0</v>
      </c>
    </row>
    <row r="2441" spans="1:31">
      <c r="A2441" s="59" t="str">
        <f t="shared" si="305"/>
        <v/>
      </c>
      <c r="B2441" s="59" t="str">
        <f t="shared" si="306"/>
        <v/>
      </c>
      <c r="V2441" s="59" t="str">
        <f t="shared" si="307"/>
        <v/>
      </c>
      <c r="W2441" s="59" t="str">
        <f t="shared" si="304"/>
        <v/>
      </c>
      <c r="X2441" s="59" t="str">
        <f t="shared" si="308"/>
        <v/>
      </c>
      <c r="AC2441" s="50">
        <f t="shared" si="309"/>
        <v>0</v>
      </c>
      <c r="AD2441" s="43">
        <f t="shared" si="310"/>
        <v>0</v>
      </c>
      <c r="AE2441" s="50">
        <f t="shared" si="311"/>
        <v>0</v>
      </c>
    </row>
    <row r="2442" spans="1:31">
      <c r="A2442" s="59" t="str">
        <f t="shared" si="305"/>
        <v/>
      </c>
      <c r="B2442" s="59" t="str">
        <f t="shared" si="306"/>
        <v/>
      </c>
      <c r="V2442" s="59" t="str">
        <f t="shared" si="307"/>
        <v/>
      </c>
      <c r="W2442" s="59" t="str">
        <f t="shared" si="304"/>
        <v/>
      </c>
      <c r="X2442" s="59" t="str">
        <f t="shared" si="308"/>
        <v/>
      </c>
      <c r="AC2442" s="50">
        <f t="shared" si="309"/>
        <v>0</v>
      </c>
      <c r="AD2442" s="43">
        <f t="shared" si="310"/>
        <v>0</v>
      </c>
      <c r="AE2442" s="50">
        <f t="shared" si="311"/>
        <v>0</v>
      </c>
    </row>
    <row r="2443" spans="1:31">
      <c r="A2443" s="59" t="str">
        <f t="shared" si="305"/>
        <v/>
      </c>
      <c r="B2443" s="59" t="str">
        <f t="shared" si="306"/>
        <v/>
      </c>
      <c r="V2443" s="59" t="str">
        <f t="shared" si="307"/>
        <v/>
      </c>
      <c r="W2443" s="59" t="str">
        <f t="shared" si="304"/>
        <v/>
      </c>
      <c r="X2443" s="59" t="str">
        <f t="shared" si="308"/>
        <v/>
      </c>
      <c r="AC2443" s="50">
        <f t="shared" si="309"/>
        <v>0</v>
      </c>
      <c r="AD2443" s="43">
        <f t="shared" si="310"/>
        <v>0</v>
      </c>
      <c r="AE2443" s="50">
        <f t="shared" si="311"/>
        <v>0</v>
      </c>
    </row>
    <row r="2444" spans="1:31">
      <c r="A2444" s="59" t="str">
        <f t="shared" si="305"/>
        <v/>
      </c>
      <c r="B2444" s="59" t="str">
        <f t="shared" si="306"/>
        <v/>
      </c>
      <c r="V2444" s="59" t="str">
        <f t="shared" si="307"/>
        <v/>
      </c>
      <c r="W2444" s="59" t="str">
        <f t="shared" si="304"/>
        <v/>
      </c>
      <c r="X2444" s="59" t="str">
        <f t="shared" si="308"/>
        <v/>
      </c>
      <c r="AC2444" s="50">
        <f t="shared" si="309"/>
        <v>0</v>
      </c>
      <c r="AD2444" s="43">
        <f t="shared" si="310"/>
        <v>0</v>
      </c>
      <c r="AE2444" s="50">
        <f t="shared" si="311"/>
        <v>0</v>
      </c>
    </row>
    <row r="2445" spans="1:31">
      <c r="A2445" s="59" t="str">
        <f t="shared" si="305"/>
        <v/>
      </c>
      <c r="B2445" s="59" t="str">
        <f t="shared" si="306"/>
        <v/>
      </c>
      <c r="V2445" s="59" t="str">
        <f t="shared" si="307"/>
        <v/>
      </c>
      <c r="W2445" s="59" t="str">
        <f t="shared" si="304"/>
        <v/>
      </c>
      <c r="X2445" s="59" t="str">
        <f t="shared" si="308"/>
        <v/>
      </c>
      <c r="AC2445" s="50">
        <f t="shared" si="309"/>
        <v>0</v>
      </c>
      <c r="AD2445" s="43">
        <f t="shared" si="310"/>
        <v>0</v>
      </c>
      <c r="AE2445" s="50">
        <f t="shared" si="311"/>
        <v>0</v>
      </c>
    </row>
    <row r="2446" spans="1:31">
      <c r="A2446" s="59" t="str">
        <f t="shared" si="305"/>
        <v/>
      </c>
      <c r="B2446" s="59" t="str">
        <f t="shared" si="306"/>
        <v/>
      </c>
      <c r="V2446" s="59" t="str">
        <f t="shared" si="307"/>
        <v/>
      </c>
      <c r="W2446" s="59" t="str">
        <f t="shared" si="304"/>
        <v/>
      </c>
      <c r="X2446" s="59" t="str">
        <f t="shared" si="308"/>
        <v/>
      </c>
      <c r="AC2446" s="50">
        <f t="shared" si="309"/>
        <v>0</v>
      </c>
      <c r="AD2446" s="43">
        <f t="shared" si="310"/>
        <v>0</v>
      </c>
      <c r="AE2446" s="50">
        <f t="shared" si="311"/>
        <v>0</v>
      </c>
    </row>
    <row r="2447" spans="1:31">
      <c r="A2447" s="59" t="str">
        <f t="shared" si="305"/>
        <v/>
      </c>
      <c r="B2447" s="59" t="str">
        <f t="shared" si="306"/>
        <v/>
      </c>
      <c r="V2447" s="59" t="str">
        <f t="shared" si="307"/>
        <v/>
      </c>
      <c r="W2447" s="59" t="str">
        <f t="shared" si="304"/>
        <v/>
      </c>
      <c r="X2447" s="59" t="str">
        <f t="shared" si="308"/>
        <v/>
      </c>
      <c r="AC2447" s="50">
        <f t="shared" si="309"/>
        <v>0</v>
      </c>
      <c r="AD2447" s="43">
        <f t="shared" si="310"/>
        <v>0</v>
      </c>
      <c r="AE2447" s="50">
        <f t="shared" si="311"/>
        <v>0</v>
      </c>
    </row>
    <row r="2448" spans="1:31">
      <c r="A2448" s="59" t="str">
        <f t="shared" si="305"/>
        <v/>
      </c>
      <c r="B2448" s="59" t="str">
        <f t="shared" si="306"/>
        <v/>
      </c>
      <c r="V2448" s="59" t="str">
        <f t="shared" si="307"/>
        <v/>
      </c>
      <c r="W2448" s="59" t="str">
        <f t="shared" si="304"/>
        <v/>
      </c>
      <c r="X2448" s="59" t="str">
        <f t="shared" si="308"/>
        <v/>
      </c>
      <c r="AC2448" s="50">
        <f t="shared" si="309"/>
        <v>0</v>
      </c>
      <c r="AD2448" s="43">
        <f t="shared" si="310"/>
        <v>0</v>
      </c>
      <c r="AE2448" s="50">
        <f t="shared" si="311"/>
        <v>0</v>
      </c>
    </row>
    <row r="2449" spans="1:31">
      <c r="A2449" s="59" t="str">
        <f t="shared" si="305"/>
        <v/>
      </c>
      <c r="B2449" s="59" t="str">
        <f t="shared" si="306"/>
        <v/>
      </c>
      <c r="V2449" s="59" t="str">
        <f t="shared" si="307"/>
        <v/>
      </c>
      <c r="W2449" s="59" t="str">
        <f t="shared" si="304"/>
        <v/>
      </c>
      <c r="X2449" s="59" t="str">
        <f t="shared" si="308"/>
        <v/>
      </c>
      <c r="AC2449" s="50">
        <f t="shared" si="309"/>
        <v>0</v>
      </c>
      <c r="AD2449" s="43">
        <f t="shared" si="310"/>
        <v>0</v>
      </c>
      <c r="AE2449" s="50">
        <f t="shared" si="311"/>
        <v>0</v>
      </c>
    </row>
    <row r="2450" spans="1:31">
      <c r="A2450" s="59" t="str">
        <f t="shared" si="305"/>
        <v/>
      </c>
      <c r="B2450" s="59" t="str">
        <f t="shared" si="306"/>
        <v/>
      </c>
      <c r="V2450" s="59" t="str">
        <f t="shared" si="307"/>
        <v/>
      </c>
      <c r="W2450" s="59" t="str">
        <f t="shared" si="304"/>
        <v/>
      </c>
      <c r="X2450" s="59" t="str">
        <f t="shared" si="308"/>
        <v/>
      </c>
      <c r="AC2450" s="50">
        <f t="shared" si="309"/>
        <v>0</v>
      </c>
      <c r="AD2450" s="43">
        <f t="shared" si="310"/>
        <v>0</v>
      </c>
      <c r="AE2450" s="50">
        <f t="shared" si="311"/>
        <v>0</v>
      </c>
    </row>
    <row r="2451" spans="1:31">
      <c r="A2451" s="59" t="str">
        <f t="shared" si="305"/>
        <v/>
      </c>
      <c r="B2451" s="59" t="str">
        <f t="shared" si="306"/>
        <v/>
      </c>
      <c r="V2451" s="59" t="str">
        <f t="shared" si="307"/>
        <v/>
      </c>
      <c r="W2451" s="59" t="str">
        <f t="shared" si="304"/>
        <v/>
      </c>
      <c r="X2451" s="59" t="str">
        <f t="shared" si="308"/>
        <v/>
      </c>
      <c r="AC2451" s="50">
        <f t="shared" si="309"/>
        <v>0</v>
      </c>
      <c r="AD2451" s="43">
        <f t="shared" si="310"/>
        <v>0</v>
      </c>
      <c r="AE2451" s="50">
        <f t="shared" si="311"/>
        <v>0</v>
      </c>
    </row>
    <row r="2452" spans="1:31">
      <c r="A2452" s="59" t="str">
        <f t="shared" si="305"/>
        <v/>
      </c>
      <c r="B2452" s="59" t="str">
        <f t="shared" si="306"/>
        <v/>
      </c>
      <c r="V2452" s="59" t="str">
        <f t="shared" si="307"/>
        <v/>
      </c>
      <c r="W2452" s="59" t="str">
        <f t="shared" si="304"/>
        <v/>
      </c>
      <c r="X2452" s="59" t="str">
        <f t="shared" si="308"/>
        <v/>
      </c>
      <c r="AC2452" s="50">
        <f t="shared" si="309"/>
        <v>0</v>
      </c>
      <c r="AD2452" s="43">
        <f t="shared" si="310"/>
        <v>0</v>
      </c>
      <c r="AE2452" s="50">
        <f t="shared" si="311"/>
        <v>0</v>
      </c>
    </row>
    <row r="2453" spans="1:31">
      <c r="A2453" s="59" t="str">
        <f t="shared" si="305"/>
        <v/>
      </c>
      <c r="B2453" s="59" t="str">
        <f t="shared" si="306"/>
        <v/>
      </c>
      <c r="V2453" s="59" t="str">
        <f t="shared" si="307"/>
        <v/>
      </c>
      <c r="W2453" s="59" t="str">
        <f t="shared" si="304"/>
        <v/>
      </c>
      <c r="X2453" s="59" t="str">
        <f t="shared" si="308"/>
        <v/>
      </c>
      <c r="AC2453" s="50">
        <f t="shared" si="309"/>
        <v>0</v>
      </c>
      <c r="AD2453" s="43">
        <f t="shared" si="310"/>
        <v>0</v>
      </c>
      <c r="AE2453" s="50">
        <f t="shared" si="311"/>
        <v>0</v>
      </c>
    </row>
    <row r="2454" spans="1:31">
      <c r="A2454" s="59" t="str">
        <f t="shared" si="305"/>
        <v/>
      </c>
      <c r="B2454" s="59" t="str">
        <f t="shared" si="306"/>
        <v/>
      </c>
      <c r="V2454" s="59" t="str">
        <f t="shared" si="307"/>
        <v/>
      </c>
      <c r="W2454" s="59" t="str">
        <f t="shared" si="304"/>
        <v/>
      </c>
      <c r="X2454" s="59" t="str">
        <f t="shared" si="308"/>
        <v/>
      </c>
      <c r="AC2454" s="50">
        <f t="shared" si="309"/>
        <v>0</v>
      </c>
      <c r="AD2454" s="43">
        <f t="shared" si="310"/>
        <v>0</v>
      </c>
      <c r="AE2454" s="50">
        <f t="shared" si="311"/>
        <v>0</v>
      </c>
    </row>
    <row r="2455" spans="1:31">
      <c r="A2455" s="59" t="str">
        <f t="shared" si="305"/>
        <v/>
      </c>
      <c r="B2455" s="59" t="str">
        <f t="shared" si="306"/>
        <v/>
      </c>
      <c r="V2455" s="59" t="str">
        <f t="shared" si="307"/>
        <v/>
      </c>
      <c r="W2455" s="59" t="str">
        <f t="shared" si="304"/>
        <v/>
      </c>
      <c r="X2455" s="59" t="str">
        <f t="shared" si="308"/>
        <v/>
      </c>
      <c r="AC2455" s="50">
        <f t="shared" si="309"/>
        <v>0</v>
      </c>
      <c r="AD2455" s="43">
        <f t="shared" si="310"/>
        <v>0</v>
      </c>
      <c r="AE2455" s="50">
        <f t="shared" si="311"/>
        <v>0</v>
      </c>
    </row>
    <row r="2456" spans="1:31">
      <c r="A2456" s="59" t="str">
        <f t="shared" si="305"/>
        <v/>
      </c>
      <c r="B2456" s="59" t="str">
        <f t="shared" si="306"/>
        <v/>
      </c>
      <c r="V2456" s="59" t="str">
        <f t="shared" si="307"/>
        <v/>
      </c>
      <c r="W2456" s="59" t="str">
        <f t="shared" si="304"/>
        <v/>
      </c>
      <c r="X2456" s="59" t="str">
        <f t="shared" si="308"/>
        <v/>
      </c>
      <c r="AC2456" s="50">
        <f t="shared" si="309"/>
        <v>0</v>
      </c>
      <c r="AD2456" s="43">
        <f t="shared" si="310"/>
        <v>0</v>
      </c>
      <c r="AE2456" s="50">
        <f t="shared" si="311"/>
        <v>0</v>
      </c>
    </row>
    <row r="2457" spans="1:31">
      <c r="A2457" s="59" t="str">
        <f t="shared" si="305"/>
        <v/>
      </c>
      <c r="B2457" s="59" t="str">
        <f t="shared" si="306"/>
        <v/>
      </c>
      <c r="V2457" s="59" t="str">
        <f t="shared" si="307"/>
        <v/>
      </c>
      <c r="W2457" s="59" t="str">
        <f t="shared" si="304"/>
        <v/>
      </c>
      <c r="X2457" s="59" t="str">
        <f t="shared" si="308"/>
        <v/>
      </c>
      <c r="AC2457" s="50">
        <f t="shared" si="309"/>
        <v>0</v>
      </c>
      <c r="AD2457" s="43">
        <f t="shared" si="310"/>
        <v>0</v>
      </c>
      <c r="AE2457" s="50">
        <f t="shared" si="311"/>
        <v>0</v>
      </c>
    </row>
    <row r="2458" spans="1:31">
      <c r="A2458" s="59" t="str">
        <f t="shared" si="305"/>
        <v/>
      </c>
      <c r="B2458" s="59" t="str">
        <f t="shared" si="306"/>
        <v/>
      </c>
      <c r="V2458" s="59" t="str">
        <f t="shared" si="307"/>
        <v/>
      </c>
      <c r="W2458" s="59" t="str">
        <f t="shared" si="304"/>
        <v/>
      </c>
      <c r="X2458" s="59" t="str">
        <f t="shared" si="308"/>
        <v/>
      </c>
      <c r="AC2458" s="50">
        <f t="shared" si="309"/>
        <v>0</v>
      </c>
      <c r="AD2458" s="43">
        <f t="shared" si="310"/>
        <v>0</v>
      </c>
      <c r="AE2458" s="50">
        <f t="shared" si="311"/>
        <v>0</v>
      </c>
    </row>
    <row r="2459" spans="1:31">
      <c r="A2459" s="59" t="str">
        <f t="shared" si="305"/>
        <v/>
      </c>
      <c r="B2459" s="59" t="str">
        <f t="shared" si="306"/>
        <v/>
      </c>
      <c r="V2459" s="59" t="str">
        <f t="shared" si="307"/>
        <v/>
      </c>
      <c r="W2459" s="59" t="str">
        <f t="shared" si="304"/>
        <v/>
      </c>
      <c r="X2459" s="59" t="str">
        <f t="shared" si="308"/>
        <v/>
      </c>
      <c r="AC2459" s="50">
        <f t="shared" si="309"/>
        <v>0</v>
      </c>
      <c r="AD2459" s="43">
        <f t="shared" si="310"/>
        <v>0</v>
      </c>
      <c r="AE2459" s="50">
        <f t="shared" si="311"/>
        <v>0</v>
      </c>
    </row>
    <row r="2460" spans="1:31">
      <c r="A2460" s="59" t="str">
        <f t="shared" si="305"/>
        <v/>
      </c>
      <c r="B2460" s="59" t="str">
        <f t="shared" si="306"/>
        <v/>
      </c>
      <c r="V2460" s="59" t="str">
        <f t="shared" si="307"/>
        <v/>
      </c>
      <c r="W2460" s="59" t="str">
        <f t="shared" si="304"/>
        <v/>
      </c>
      <c r="X2460" s="59" t="str">
        <f t="shared" si="308"/>
        <v/>
      </c>
      <c r="AC2460" s="50">
        <f t="shared" si="309"/>
        <v>0</v>
      </c>
      <c r="AD2460" s="43">
        <f t="shared" si="310"/>
        <v>0</v>
      </c>
      <c r="AE2460" s="50">
        <f t="shared" si="311"/>
        <v>0</v>
      </c>
    </row>
    <row r="2461" spans="1:31">
      <c r="A2461" s="59" t="str">
        <f t="shared" si="305"/>
        <v/>
      </c>
      <c r="B2461" s="59" t="str">
        <f t="shared" si="306"/>
        <v/>
      </c>
      <c r="V2461" s="59" t="str">
        <f t="shared" si="307"/>
        <v/>
      </c>
      <c r="W2461" s="59" t="str">
        <f t="shared" si="304"/>
        <v/>
      </c>
      <c r="X2461" s="59" t="str">
        <f t="shared" si="308"/>
        <v/>
      </c>
      <c r="AC2461" s="50">
        <f t="shared" si="309"/>
        <v>0</v>
      </c>
      <c r="AD2461" s="43">
        <f t="shared" si="310"/>
        <v>0</v>
      </c>
      <c r="AE2461" s="50">
        <f t="shared" si="311"/>
        <v>0</v>
      </c>
    </row>
    <row r="2462" spans="1:31">
      <c r="A2462" s="59" t="str">
        <f t="shared" si="305"/>
        <v/>
      </c>
      <c r="B2462" s="59" t="str">
        <f t="shared" si="306"/>
        <v/>
      </c>
      <c r="V2462" s="59" t="str">
        <f t="shared" si="307"/>
        <v/>
      </c>
      <c r="W2462" s="59" t="str">
        <f t="shared" si="304"/>
        <v/>
      </c>
      <c r="X2462" s="59" t="str">
        <f t="shared" si="308"/>
        <v/>
      </c>
      <c r="AC2462" s="50">
        <f t="shared" si="309"/>
        <v>0</v>
      </c>
      <c r="AD2462" s="43">
        <f t="shared" si="310"/>
        <v>0</v>
      </c>
      <c r="AE2462" s="50">
        <f t="shared" si="311"/>
        <v>0</v>
      </c>
    </row>
    <row r="2463" spans="1:31">
      <c r="A2463" s="59" t="str">
        <f t="shared" si="305"/>
        <v/>
      </c>
      <c r="B2463" s="59" t="str">
        <f t="shared" si="306"/>
        <v/>
      </c>
      <c r="V2463" s="59" t="str">
        <f t="shared" si="307"/>
        <v/>
      </c>
      <c r="W2463" s="59" t="str">
        <f t="shared" si="304"/>
        <v/>
      </c>
      <c r="X2463" s="59" t="str">
        <f t="shared" si="308"/>
        <v/>
      </c>
      <c r="AC2463" s="50">
        <f t="shared" si="309"/>
        <v>0</v>
      </c>
      <c r="AD2463" s="43">
        <f t="shared" si="310"/>
        <v>0</v>
      </c>
      <c r="AE2463" s="50">
        <f t="shared" si="311"/>
        <v>0</v>
      </c>
    </row>
    <row r="2464" spans="1:31">
      <c r="A2464" s="59" t="str">
        <f t="shared" si="305"/>
        <v/>
      </c>
      <c r="B2464" s="59" t="str">
        <f t="shared" si="306"/>
        <v/>
      </c>
      <c r="V2464" s="59" t="str">
        <f t="shared" si="307"/>
        <v/>
      </c>
      <c r="W2464" s="59" t="str">
        <f t="shared" si="304"/>
        <v/>
      </c>
      <c r="X2464" s="59" t="str">
        <f t="shared" si="308"/>
        <v/>
      </c>
      <c r="AC2464" s="50">
        <f t="shared" si="309"/>
        <v>0</v>
      </c>
      <c r="AD2464" s="43">
        <f t="shared" si="310"/>
        <v>0</v>
      </c>
      <c r="AE2464" s="50">
        <f t="shared" si="311"/>
        <v>0</v>
      </c>
    </row>
    <row r="2465" spans="1:31">
      <c r="A2465" s="59" t="str">
        <f t="shared" si="305"/>
        <v/>
      </c>
      <c r="B2465" s="59" t="str">
        <f t="shared" si="306"/>
        <v/>
      </c>
      <c r="V2465" s="59" t="str">
        <f t="shared" si="307"/>
        <v/>
      </c>
      <c r="W2465" s="59" t="str">
        <f t="shared" si="304"/>
        <v/>
      </c>
      <c r="X2465" s="59" t="str">
        <f t="shared" si="308"/>
        <v/>
      </c>
      <c r="AC2465" s="50">
        <f t="shared" si="309"/>
        <v>0</v>
      </c>
      <c r="AD2465" s="43">
        <f t="shared" si="310"/>
        <v>0</v>
      </c>
      <c r="AE2465" s="50">
        <f t="shared" si="311"/>
        <v>0</v>
      </c>
    </row>
    <row r="2466" spans="1:31">
      <c r="A2466" s="59" t="str">
        <f t="shared" si="305"/>
        <v/>
      </c>
      <c r="B2466" s="59" t="str">
        <f t="shared" si="306"/>
        <v/>
      </c>
      <c r="V2466" s="59" t="str">
        <f t="shared" si="307"/>
        <v/>
      </c>
      <c r="W2466" s="59" t="str">
        <f t="shared" si="304"/>
        <v/>
      </c>
      <c r="X2466" s="59" t="str">
        <f t="shared" si="308"/>
        <v/>
      </c>
      <c r="AC2466" s="50">
        <f t="shared" si="309"/>
        <v>0</v>
      </c>
      <c r="AD2466" s="43">
        <f t="shared" si="310"/>
        <v>0</v>
      </c>
      <c r="AE2466" s="50">
        <f t="shared" si="311"/>
        <v>0</v>
      </c>
    </row>
    <row r="2467" spans="1:31">
      <c r="A2467" s="59" t="str">
        <f t="shared" si="305"/>
        <v/>
      </c>
      <c r="B2467" s="59" t="str">
        <f t="shared" si="306"/>
        <v/>
      </c>
      <c r="V2467" s="59" t="str">
        <f t="shared" si="307"/>
        <v/>
      </c>
      <c r="W2467" s="59" t="str">
        <f t="shared" si="304"/>
        <v/>
      </c>
      <c r="X2467" s="59" t="str">
        <f t="shared" si="308"/>
        <v/>
      </c>
      <c r="AC2467" s="50">
        <f t="shared" si="309"/>
        <v>0</v>
      </c>
      <c r="AD2467" s="43">
        <f t="shared" si="310"/>
        <v>0</v>
      </c>
      <c r="AE2467" s="50">
        <f t="shared" si="311"/>
        <v>0</v>
      </c>
    </row>
    <row r="2468" spans="1:31">
      <c r="A2468" s="59" t="str">
        <f t="shared" si="305"/>
        <v/>
      </c>
      <c r="B2468" s="59" t="str">
        <f t="shared" si="306"/>
        <v/>
      </c>
      <c r="V2468" s="59" t="str">
        <f t="shared" si="307"/>
        <v/>
      </c>
      <c r="W2468" s="59" t="str">
        <f t="shared" si="304"/>
        <v/>
      </c>
      <c r="X2468" s="59" t="str">
        <f t="shared" si="308"/>
        <v/>
      </c>
      <c r="AC2468" s="50">
        <f t="shared" si="309"/>
        <v>0</v>
      </c>
      <c r="AD2468" s="43">
        <f t="shared" si="310"/>
        <v>0</v>
      </c>
      <c r="AE2468" s="50">
        <f t="shared" si="311"/>
        <v>0</v>
      </c>
    </row>
    <row r="2469" spans="1:31">
      <c r="A2469" s="59" t="str">
        <f t="shared" si="305"/>
        <v/>
      </c>
      <c r="B2469" s="59" t="str">
        <f t="shared" si="306"/>
        <v/>
      </c>
      <c r="V2469" s="59" t="str">
        <f t="shared" si="307"/>
        <v/>
      </c>
      <c r="W2469" s="59" t="str">
        <f t="shared" si="304"/>
        <v/>
      </c>
      <c r="X2469" s="59" t="str">
        <f t="shared" si="308"/>
        <v/>
      </c>
      <c r="AC2469" s="50">
        <f t="shared" si="309"/>
        <v>0</v>
      </c>
      <c r="AD2469" s="43">
        <f t="shared" si="310"/>
        <v>0</v>
      </c>
      <c r="AE2469" s="50">
        <f t="shared" si="311"/>
        <v>0</v>
      </c>
    </row>
    <row r="2470" spans="1:31">
      <c r="A2470" s="59" t="str">
        <f t="shared" si="305"/>
        <v/>
      </c>
      <c r="B2470" s="59" t="str">
        <f t="shared" si="306"/>
        <v/>
      </c>
      <c r="V2470" s="59" t="str">
        <f t="shared" si="307"/>
        <v/>
      </c>
      <c r="W2470" s="59" t="str">
        <f t="shared" si="304"/>
        <v/>
      </c>
      <c r="X2470" s="59" t="str">
        <f t="shared" si="308"/>
        <v/>
      </c>
      <c r="AC2470" s="50">
        <f t="shared" si="309"/>
        <v>0</v>
      </c>
      <c r="AD2470" s="43">
        <f t="shared" si="310"/>
        <v>0</v>
      </c>
      <c r="AE2470" s="50">
        <f t="shared" si="311"/>
        <v>0</v>
      </c>
    </row>
    <row r="2471" spans="1:31">
      <c r="A2471" s="59" t="str">
        <f t="shared" si="305"/>
        <v/>
      </c>
      <c r="B2471" s="59" t="str">
        <f t="shared" si="306"/>
        <v/>
      </c>
      <c r="V2471" s="59" t="str">
        <f t="shared" si="307"/>
        <v/>
      </c>
      <c r="W2471" s="59" t="str">
        <f t="shared" si="304"/>
        <v/>
      </c>
      <c r="X2471" s="59" t="str">
        <f t="shared" si="308"/>
        <v/>
      </c>
      <c r="AC2471" s="50">
        <f t="shared" si="309"/>
        <v>0</v>
      </c>
      <c r="AD2471" s="43">
        <f t="shared" si="310"/>
        <v>0</v>
      </c>
      <c r="AE2471" s="50">
        <f t="shared" si="311"/>
        <v>0</v>
      </c>
    </row>
    <row r="2472" spans="1:31">
      <c r="A2472" s="59" t="str">
        <f t="shared" si="305"/>
        <v/>
      </c>
      <c r="B2472" s="59" t="str">
        <f t="shared" si="306"/>
        <v/>
      </c>
      <c r="V2472" s="59" t="str">
        <f t="shared" si="307"/>
        <v/>
      </c>
      <c r="W2472" s="59" t="str">
        <f t="shared" si="304"/>
        <v/>
      </c>
      <c r="X2472" s="59" t="str">
        <f t="shared" si="308"/>
        <v/>
      </c>
      <c r="AC2472" s="50">
        <f t="shared" si="309"/>
        <v>0</v>
      </c>
      <c r="AD2472" s="43">
        <f t="shared" si="310"/>
        <v>0</v>
      </c>
      <c r="AE2472" s="50">
        <f t="shared" si="311"/>
        <v>0</v>
      </c>
    </row>
    <row r="2473" spans="1:31">
      <c r="A2473" s="59" t="str">
        <f t="shared" si="305"/>
        <v/>
      </c>
      <c r="B2473" s="59" t="str">
        <f t="shared" si="306"/>
        <v/>
      </c>
      <c r="V2473" s="59" t="str">
        <f t="shared" si="307"/>
        <v/>
      </c>
      <c r="W2473" s="59" t="str">
        <f t="shared" si="304"/>
        <v/>
      </c>
      <c r="X2473" s="59" t="str">
        <f t="shared" si="308"/>
        <v/>
      </c>
      <c r="AC2473" s="50">
        <f t="shared" si="309"/>
        <v>0</v>
      </c>
      <c r="AD2473" s="43">
        <f t="shared" si="310"/>
        <v>0</v>
      </c>
      <c r="AE2473" s="50">
        <f t="shared" si="311"/>
        <v>0</v>
      </c>
    </row>
    <row r="2474" spans="1:31">
      <c r="A2474" s="59" t="str">
        <f t="shared" si="305"/>
        <v/>
      </c>
      <c r="B2474" s="59" t="str">
        <f t="shared" si="306"/>
        <v/>
      </c>
      <c r="V2474" s="59" t="str">
        <f t="shared" si="307"/>
        <v/>
      </c>
      <c r="W2474" s="59" t="str">
        <f t="shared" si="304"/>
        <v/>
      </c>
      <c r="X2474" s="59" t="str">
        <f t="shared" si="308"/>
        <v/>
      </c>
      <c r="AC2474" s="50">
        <f t="shared" si="309"/>
        <v>0</v>
      </c>
      <c r="AD2474" s="43">
        <f t="shared" si="310"/>
        <v>0</v>
      </c>
      <c r="AE2474" s="50">
        <f t="shared" si="311"/>
        <v>0</v>
      </c>
    </row>
    <row r="2475" spans="1:31">
      <c r="A2475" s="59" t="str">
        <f t="shared" si="305"/>
        <v/>
      </c>
      <c r="B2475" s="59" t="str">
        <f t="shared" si="306"/>
        <v/>
      </c>
      <c r="V2475" s="59" t="str">
        <f t="shared" si="307"/>
        <v/>
      </c>
      <c r="W2475" s="59" t="str">
        <f t="shared" si="304"/>
        <v/>
      </c>
      <c r="X2475" s="59" t="str">
        <f t="shared" si="308"/>
        <v/>
      </c>
      <c r="AC2475" s="50">
        <f t="shared" si="309"/>
        <v>0</v>
      </c>
      <c r="AD2475" s="43">
        <f t="shared" si="310"/>
        <v>0</v>
      </c>
      <c r="AE2475" s="50">
        <f t="shared" si="311"/>
        <v>0</v>
      </c>
    </row>
    <row r="2476" spans="1:31">
      <c r="A2476" s="59" t="str">
        <f t="shared" si="305"/>
        <v/>
      </c>
      <c r="B2476" s="59" t="str">
        <f t="shared" si="306"/>
        <v/>
      </c>
      <c r="V2476" s="59" t="str">
        <f t="shared" si="307"/>
        <v/>
      </c>
      <c r="W2476" s="59" t="str">
        <f t="shared" si="304"/>
        <v/>
      </c>
      <c r="X2476" s="59" t="str">
        <f t="shared" si="308"/>
        <v/>
      </c>
      <c r="AC2476" s="50">
        <f t="shared" si="309"/>
        <v>0</v>
      </c>
      <c r="AD2476" s="43">
        <f t="shared" si="310"/>
        <v>0</v>
      </c>
      <c r="AE2476" s="50">
        <f t="shared" si="311"/>
        <v>0</v>
      </c>
    </row>
    <row r="2477" spans="1:31">
      <c r="A2477" s="59" t="str">
        <f t="shared" si="305"/>
        <v/>
      </c>
      <c r="B2477" s="59" t="str">
        <f t="shared" si="306"/>
        <v/>
      </c>
      <c r="V2477" s="59" t="str">
        <f t="shared" si="307"/>
        <v/>
      </c>
      <c r="W2477" s="59" t="str">
        <f t="shared" si="304"/>
        <v/>
      </c>
      <c r="X2477" s="59" t="str">
        <f t="shared" si="308"/>
        <v/>
      </c>
      <c r="AC2477" s="50">
        <f t="shared" si="309"/>
        <v>0</v>
      </c>
      <c r="AD2477" s="43">
        <f t="shared" si="310"/>
        <v>0</v>
      </c>
      <c r="AE2477" s="50">
        <f t="shared" si="311"/>
        <v>0</v>
      </c>
    </row>
    <row r="2478" spans="1:31">
      <c r="A2478" s="59" t="str">
        <f t="shared" si="305"/>
        <v/>
      </c>
      <c r="B2478" s="59" t="str">
        <f t="shared" si="306"/>
        <v/>
      </c>
      <c r="V2478" s="59" t="str">
        <f t="shared" si="307"/>
        <v/>
      </c>
      <c r="W2478" s="59" t="str">
        <f t="shared" si="304"/>
        <v/>
      </c>
      <c r="X2478" s="59" t="str">
        <f t="shared" si="308"/>
        <v/>
      </c>
      <c r="AC2478" s="50">
        <f t="shared" si="309"/>
        <v>0</v>
      </c>
      <c r="AD2478" s="43">
        <f t="shared" si="310"/>
        <v>0</v>
      </c>
      <c r="AE2478" s="50">
        <f t="shared" si="311"/>
        <v>0</v>
      </c>
    </row>
    <row r="2479" spans="1:31">
      <c r="A2479" s="59" t="str">
        <f t="shared" si="305"/>
        <v/>
      </c>
      <c r="B2479" s="59" t="str">
        <f t="shared" si="306"/>
        <v/>
      </c>
      <c r="V2479" s="59" t="str">
        <f t="shared" si="307"/>
        <v/>
      </c>
      <c r="W2479" s="59" t="str">
        <f t="shared" si="304"/>
        <v/>
      </c>
      <c r="X2479" s="59" t="str">
        <f t="shared" si="308"/>
        <v/>
      </c>
      <c r="AC2479" s="50">
        <f t="shared" si="309"/>
        <v>0</v>
      </c>
      <c r="AD2479" s="43">
        <f t="shared" si="310"/>
        <v>0</v>
      </c>
      <c r="AE2479" s="50">
        <f t="shared" si="311"/>
        <v>0</v>
      </c>
    </row>
    <row r="2480" spans="1:31">
      <c r="A2480" s="59" t="str">
        <f t="shared" si="305"/>
        <v/>
      </c>
      <c r="B2480" s="59" t="str">
        <f t="shared" si="306"/>
        <v/>
      </c>
      <c r="V2480" s="59" t="str">
        <f t="shared" si="307"/>
        <v/>
      </c>
      <c r="W2480" s="59" t="str">
        <f t="shared" si="304"/>
        <v/>
      </c>
      <c r="X2480" s="59" t="str">
        <f t="shared" si="308"/>
        <v/>
      </c>
      <c r="AC2480" s="50">
        <f t="shared" si="309"/>
        <v>0</v>
      </c>
      <c r="AD2480" s="43">
        <f t="shared" si="310"/>
        <v>0</v>
      </c>
      <c r="AE2480" s="50">
        <f t="shared" si="311"/>
        <v>0</v>
      </c>
    </row>
    <row r="2481" spans="1:31">
      <c r="A2481" s="59" t="str">
        <f t="shared" si="305"/>
        <v/>
      </c>
      <c r="B2481" s="59" t="str">
        <f t="shared" si="306"/>
        <v/>
      </c>
      <c r="V2481" s="59" t="str">
        <f t="shared" si="307"/>
        <v/>
      </c>
      <c r="W2481" s="59" t="str">
        <f t="shared" si="304"/>
        <v/>
      </c>
      <c r="X2481" s="59" t="str">
        <f t="shared" si="308"/>
        <v/>
      </c>
      <c r="AC2481" s="50">
        <f t="shared" si="309"/>
        <v>0</v>
      </c>
      <c r="AD2481" s="43">
        <f t="shared" si="310"/>
        <v>0</v>
      </c>
      <c r="AE2481" s="50">
        <f t="shared" si="311"/>
        <v>0</v>
      </c>
    </row>
    <row r="2482" spans="1:31">
      <c r="A2482" s="59" t="str">
        <f t="shared" si="305"/>
        <v/>
      </c>
      <c r="B2482" s="59" t="str">
        <f t="shared" si="306"/>
        <v/>
      </c>
      <c r="V2482" s="59" t="str">
        <f t="shared" si="307"/>
        <v/>
      </c>
      <c r="W2482" s="59" t="str">
        <f t="shared" si="304"/>
        <v/>
      </c>
      <c r="X2482" s="59" t="str">
        <f t="shared" si="308"/>
        <v/>
      </c>
      <c r="AC2482" s="50">
        <f t="shared" si="309"/>
        <v>0</v>
      </c>
      <c r="AD2482" s="43">
        <f t="shared" si="310"/>
        <v>0</v>
      </c>
      <c r="AE2482" s="50">
        <f t="shared" si="311"/>
        <v>0</v>
      </c>
    </row>
    <row r="2483" spans="1:31">
      <c r="A2483" s="59" t="str">
        <f t="shared" si="305"/>
        <v/>
      </c>
      <c r="B2483" s="59" t="str">
        <f t="shared" si="306"/>
        <v/>
      </c>
      <c r="V2483" s="59" t="str">
        <f t="shared" si="307"/>
        <v/>
      </c>
      <c r="W2483" s="59" t="str">
        <f t="shared" si="304"/>
        <v/>
      </c>
      <c r="X2483" s="59" t="str">
        <f t="shared" si="308"/>
        <v/>
      </c>
      <c r="AC2483" s="50">
        <f t="shared" si="309"/>
        <v>0</v>
      </c>
      <c r="AD2483" s="43">
        <f t="shared" si="310"/>
        <v>0</v>
      </c>
      <c r="AE2483" s="50">
        <f t="shared" si="311"/>
        <v>0</v>
      </c>
    </row>
    <row r="2484" spans="1:31">
      <c r="A2484" s="59" t="str">
        <f t="shared" si="305"/>
        <v/>
      </c>
      <c r="B2484" s="59" t="str">
        <f t="shared" si="306"/>
        <v/>
      </c>
      <c r="V2484" s="59" t="str">
        <f t="shared" si="307"/>
        <v/>
      </c>
      <c r="W2484" s="59" t="str">
        <f t="shared" si="304"/>
        <v/>
      </c>
      <c r="X2484" s="59" t="str">
        <f t="shared" si="308"/>
        <v/>
      </c>
      <c r="AC2484" s="50">
        <f t="shared" si="309"/>
        <v>0</v>
      </c>
      <c r="AD2484" s="43">
        <f t="shared" si="310"/>
        <v>0</v>
      </c>
      <c r="AE2484" s="50">
        <f t="shared" si="311"/>
        <v>0</v>
      </c>
    </row>
    <row r="2485" spans="1:31">
      <c r="A2485" s="59" t="str">
        <f t="shared" si="305"/>
        <v/>
      </c>
      <c r="B2485" s="59" t="str">
        <f t="shared" si="306"/>
        <v/>
      </c>
      <c r="V2485" s="59" t="str">
        <f t="shared" si="307"/>
        <v/>
      </c>
      <c r="W2485" s="59" t="str">
        <f t="shared" si="304"/>
        <v/>
      </c>
      <c r="X2485" s="59" t="str">
        <f t="shared" si="308"/>
        <v/>
      </c>
      <c r="AC2485" s="50">
        <f t="shared" si="309"/>
        <v>0</v>
      </c>
      <c r="AD2485" s="43">
        <f t="shared" si="310"/>
        <v>0</v>
      </c>
      <c r="AE2485" s="50">
        <f t="shared" si="311"/>
        <v>0</v>
      </c>
    </row>
    <row r="2486" spans="1:31">
      <c r="A2486" s="59" t="str">
        <f t="shared" si="305"/>
        <v/>
      </c>
      <c r="B2486" s="59" t="str">
        <f t="shared" si="306"/>
        <v/>
      </c>
      <c r="V2486" s="59" t="str">
        <f t="shared" si="307"/>
        <v/>
      </c>
      <c r="W2486" s="59" t="str">
        <f t="shared" si="304"/>
        <v/>
      </c>
      <c r="X2486" s="59" t="str">
        <f t="shared" si="308"/>
        <v/>
      </c>
      <c r="AC2486" s="50">
        <f t="shared" si="309"/>
        <v>0</v>
      </c>
      <c r="AD2486" s="43">
        <f t="shared" si="310"/>
        <v>0</v>
      </c>
      <c r="AE2486" s="50">
        <f t="shared" si="311"/>
        <v>0</v>
      </c>
    </row>
    <row r="2487" spans="1:31">
      <c r="A2487" s="59" t="str">
        <f t="shared" si="305"/>
        <v/>
      </c>
      <c r="B2487" s="59" t="str">
        <f t="shared" si="306"/>
        <v/>
      </c>
      <c r="V2487" s="59" t="str">
        <f t="shared" si="307"/>
        <v/>
      </c>
      <c r="W2487" s="59" t="str">
        <f t="shared" si="304"/>
        <v/>
      </c>
      <c r="X2487" s="59" t="str">
        <f t="shared" si="308"/>
        <v/>
      </c>
      <c r="AC2487" s="50">
        <f t="shared" si="309"/>
        <v>0</v>
      </c>
      <c r="AD2487" s="43">
        <f t="shared" si="310"/>
        <v>0</v>
      </c>
      <c r="AE2487" s="50">
        <f t="shared" si="311"/>
        <v>0</v>
      </c>
    </row>
    <row r="2488" spans="1:31">
      <c r="A2488" s="59" t="str">
        <f t="shared" si="305"/>
        <v/>
      </c>
      <c r="B2488" s="59" t="str">
        <f t="shared" si="306"/>
        <v/>
      </c>
      <c r="V2488" s="59" t="str">
        <f t="shared" si="307"/>
        <v/>
      </c>
      <c r="W2488" s="59" t="str">
        <f t="shared" si="304"/>
        <v/>
      </c>
      <c r="X2488" s="59" t="str">
        <f t="shared" si="308"/>
        <v/>
      </c>
      <c r="AC2488" s="50">
        <f t="shared" si="309"/>
        <v>0</v>
      </c>
      <c r="AD2488" s="43">
        <f t="shared" si="310"/>
        <v>0</v>
      </c>
      <c r="AE2488" s="50">
        <f t="shared" si="311"/>
        <v>0</v>
      </c>
    </row>
    <row r="2489" spans="1:31">
      <c r="A2489" s="59" t="str">
        <f t="shared" si="305"/>
        <v/>
      </c>
      <c r="B2489" s="59" t="str">
        <f t="shared" si="306"/>
        <v/>
      </c>
      <c r="V2489" s="59" t="str">
        <f t="shared" si="307"/>
        <v/>
      </c>
      <c r="W2489" s="59" t="str">
        <f t="shared" si="304"/>
        <v/>
      </c>
      <c r="X2489" s="59" t="str">
        <f t="shared" si="308"/>
        <v/>
      </c>
      <c r="AC2489" s="50">
        <f t="shared" si="309"/>
        <v>0</v>
      </c>
      <c r="AD2489" s="43">
        <f t="shared" si="310"/>
        <v>0</v>
      </c>
      <c r="AE2489" s="50">
        <f t="shared" si="311"/>
        <v>0</v>
      </c>
    </row>
    <row r="2490" spans="1:31">
      <c r="A2490" s="59" t="str">
        <f t="shared" si="305"/>
        <v/>
      </c>
      <c r="B2490" s="59" t="str">
        <f t="shared" si="306"/>
        <v/>
      </c>
      <c r="V2490" s="59" t="str">
        <f t="shared" si="307"/>
        <v/>
      </c>
      <c r="W2490" s="59" t="str">
        <f t="shared" si="304"/>
        <v/>
      </c>
      <c r="X2490" s="59" t="str">
        <f t="shared" si="308"/>
        <v/>
      </c>
      <c r="AC2490" s="50">
        <f t="shared" si="309"/>
        <v>0</v>
      </c>
      <c r="AD2490" s="43">
        <f t="shared" si="310"/>
        <v>0</v>
      </c>
      <c r="AE2490" s="50">
        <f t="shared" si="311"/>
        <v>0</v>
      </c>
    </row>
    <row r="2491" spans="1:31">
      <c r="A2491" s="59" t="str">
        <f t="shared" si="305"/>
        <v/>
      </c>
      <c r="B2491" s="59" t="str">
        <f t="shared" si="306"/>
        <v/>
      </c>
      <c r="V2491" s="59" t="str">
        <f t="shared" si="307"/>
        <v/>
      </c>
      <c r="W2491" s="59" t="str">
        <f t="shared" si="304"/>
        <v/>
      </c>
      <c r="X2491" s="59" t="str">
        <f t="shared" si="308"/>
        <v/>
      </c>
      <c r="AC2491" s="50">
        <f t="shared" si="309"/>
        <v>0</v>
      </c>
      <c r="AD2491" s="43">
        <f t="shared" si="310"/>
        <v>0</v>
      </c>
      <c r="AE2491" s="50">
        <f t="shared" si="311"/>
        <v>0</v>
      </c>
    </row>
    <row r="2492" spans="1:31">
      <c r="A2492" s="59" t="str">
        <f t="shared" si="305"/>
        <v/>
      </c>
      <c r="B2492" s="59" t="str">
        <f t="shared" si="306"/>
        <v/>
      </c>
      <c r="V2492" s="59" t="str">
        <f t="shared" si="307"/>
        <v/>
      </c>
      <c r="W2492" s="59" t="str">
        <f t="shared" si="304"/>
        <v/>
      </c>
      <c r="X2492" s="59" t="str">
        <f t="shared" si="308"/>
        <v/>
      </c>
      <c r="AC2492" s="50">
        <f t="shared" si="309"/>
        <v>0</v>
      </c>
      <c r="AD2492" s="43">
        <f t="shared" si="310"/>
        <v>0</v>
      </c>
      <c r="AE2492" s="50">
        <f t="shared" si="311"/>
        <v>0</v>
      </c>
    </row>
    <row r="2493" spans="1:31">
      <c r="A2493" s="59" t="str">
        <f t="shared" si="305"/>
        <v/>
      </c>
      <c r="B2493" s="59" t="str">
        <f t="shared" si="306"/>
        <v/>
      </c>
      <c r="V2493" s="59" t="str">
        <f t="shared" si="307"/>
        <v/>
      </c>
      <c r="W2493" s="59" t="str">
        <f t="shared" si="304"/>
        <v/>
      </c>
      <c r="X2493" s="59" t="str">
        <f t="shared" si="308"/>
        <v/>
      </c>
      <c r="AC2493" s="50">
        <f t="shared" si="309"/>
        <v>0</v>
      </c>
      <c r="AD2493" s="43">
        <f t="shared" si="310"/>
        <v>0</v>
      </c>
      <c r="AE2493" s="50">
        <f t="shared" si="311"/>
        <v>0</v>
      </c>
    </row>
    <row r="2494" spans="1:31">
      <c r="A2494" s="59" t="str">
        <f t="shared" si="305"/>
        <v/>
      </c>
      <c r="B2494" s="59" t="str">
        <f t="shared" si="306"/>
        <v/>
      </c>
      <c r="V2494" s="59" t="str">
        <f t="shared" si="307"/>
        <v/>
      </c>
      <c r="W2494" s="59" t="str">
        <f t="shared" si="304"/>
        <v/>
      </c>
      <c r="X2494" s="59" t="str">
        <f t="shared" si="308"/>
        <v/>
      </c>
      <c r="AC2494" s="50">
        <f t="shared" si="309"/>
        <v>0</v>
      </c>
      <c r="AD2494" s="43">
        <f t="shared" si="310"/>
        <v>0</v>
      </c>
      <c r="AE2494" s="50">
        <f t="shared" si="311"/>
        <v>0</v>
      </c>
    </row>
    <row r="2495" spans="1:31">
      <c r="A2495" s="59" t="str">
        <f t="shared" si="305"/>
        <v/>
      </c>
      <c r="B2495" s="59" t="str">
        <f t="shared" si="306"/>
        <v/>
      </c>
      <c r="V2495" s="59" t="str">
        <f t="shared" si="307"/>
        <v/>
      </c>
      <c r="W2495" s="59" t="str">
        <f t="shared" si="304"/>
        <v/>
      </c>
      <c r="X2495" s="59" t="str">
        <f t="shared" si="308"/>
        <v/>
      </c>
      <c r="AC2495" s="50">
        <f t="shared" si="309"/>
        <v>0</v>
      </c>
      <c r="AD2495" s="43">
        <f t="shared" si="310"/>
        <v>0</v>
      </c>
      <c r="AE2495" s="50">
        <f t="shared" si="311"/>
        <v>0</v>
      </c>
    </row>
    <row r="2496" spans="1:31">
      <c r="A2496" s="59" t="str">
        <f t="shared" si="305"/>
        <v/>
      </c>
      <c r="B2496" s="59" t="str">
        <f t="shared" si="306"/>
        <v/>
      </c>
      <c r="V2496" s="59" t="str">
        <f t="shared" si="307"/>
        <v/>
      </c>
      <c r="W2496" s="59" t="str">
        <f t="shared" si="304"/>
        <v/>
      </c>
      <c r="X2496" s="59" t="str">
        <f t="shared" si="308"/>
        <v/>
      </c>
      <c r="AC2496" s="50">
        <f t="shared" si="309"/>
        <v>0</v>
      </c>
      <c r="AD2496" s="43">
        <f t="shared" si="310"/>
        <v>0</v>
      </c>
      <c r="AE2496" s="50">
        <f t="shared" si="311"/>
        <v>0</v>
      </c>
    </row>
    <row r="2497" spans="1:31">
      <c r="A2497" s="59" t="str">
        <f t="shared" si="305"/>
        <v/>
      </c>
      <c r="B2497" s="59" t="str">
        <f t="shared" si="306"/>
        <v/>
      </c>
      <c r="V2497" s="59" t="str">
        <f t="shared" si="307"/>
        <v/>
      </c>
      <c r="W2497" s="59" t="str">
        <f t="shared" si="304"/>
        <v/>
      </c>
      <c r="X2497" s="59" t="str">
        <f t="shared" si="308"/>
        <v/>
      </c>
      <c r="AC2497" s="50">
        <f t="shared" si="309"/>
        <v>0</v>
      </c>
      <c r="AD2497" s="43">
        <f t="shared" si="310"/>
        <v>0</v>
      </c>
      <c r="AE2497" s="50">
        <f t="shared" si="311"/>
        <v>0</v>
      </c>
    </row>
    <row r="2498" spans="1:31">
      <c r="A2498" s="59" t="str">
        <f t="shared" si="305"/>
        <v/>
      </c>
      <c r="B2498" s="59" t="str">
        <f t="shared" si="306"/>
        <v/>
      </c>
      <c r="V2498" s="59" t="str">
        <f t="shared" si="307"/>
        <v/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59" t="str">
        <f t="shared" si="308"/>
        <v/>
      </c>
      <c r="AC2498" s="50">
        <f t="shared" si="309"/>
        <v>0</v>
      </c>
      <c r="AD2498" s="43">
        <f t="shared" si="310"/>
        <v>0</v>
      </c>
      <c r="AE2498" s="50">
        <f t="shared" si="311"/>
        <v>0</v>
      </c>
    </row>
    <row r="2499" spans="1:31">
      <c r="A2499" s="59" t="str">
        <f t="shared" ref="A2499:A2562" si="313">IF(G2499&amp;Q2499&lt;&gt;"",W2499&amp;Q2499,"")</f>
        <v/>
      </c>
      <c r="B2499" s="59" t="str">
        <f t="shared" ref="B2499:B2562" si="314">IF(C2499&lt;&gt;"",LEFT(C2499,9),"")</f>
        <v/>
      </c>
      <c r="V2499" s="59" t="str">
        <f t="shared" ref="V2499:V2562" si="315">W2499&amp;H2499</f>
        <v/>
      </c>
      <c r="W2499" s="59" t="str">
        <f t="shared" si="312"/>
        <v/>
      </c>
      <c r="X2499" s="59" t="str">
        <f t="shared" ref="X2499:X2562" si="316">IF(A2499&lt;&gt;"",IFERROR(IF(FIND(" ",G2499)&gt;=1,MID(G2499,FIND(" ",G2499)+1,LEN(G2499)),""),""),"")</f>
        <v/>
      </c>
      <c r="AC2499" s="50">
        <f t="shared" ref="AC2499:AC2562" si="317">IFERROR(VALUE(MID($C2499,1,2)),0)</f>
        <v>0</v>
      </c>
      <c r="AD2499" s="43">
        <f t="shared" ref="AD2499:AD2562" si="318">IFERROR(VALUE(MID($C2499,4,3)),0)</f>
        <v>0</v>
      </c>
      <c r="AE2499" s="50">
        <f t="shared" ref="AE2499:AE2562" si="319">VALUE(RIGHT("00"&amp;AC2499,2)&amp;RIGHT("000"&amp;AD2499,3))</f>
        <v>0</v>
      </c>
    </row>
    <row r="2500" spans="1:31">
      <c r="A2500" s="59" t="str">
        <f t="shared" si="313"/>
        <v/>
      </c>
      <c r="B2500" s="59" t="str">
        <f t="shared" si="314"/>
        <v/>
      </c>
      <c r="V2500" s="59" t="str">
        <f t="shared" si="315"/>
        <v/>
      </c>
      <c r="W2500" s="59" t="str">
        <f t="shared" si="312"/>
        <v/>
      </c>
      <c r="X2500" s="59" t="str">
        <f t="shared" si="316"/>
        <v/>
      </c>
      <c r="AC2500" s="50">
        <f t="shared" si="317"/>
        <v>0</v>
      </c>
      <c r="AD2500" s="43">
        <f t="shared" si="318"/>
        <v>0</v>
      </c>
      <c r="AE2500" s="50">
        <f t="shared" si="319"/>
        <v>0</v>
      </c>
    </row>
    <row r="2501" spans="1:31">
      <c r="A2501" s="59" t="str">
        <f t="shared" si="313"/>
        <v/>
      </c>
      <c r="B2501" s="59" t="str">
        <f t="shared" si="314"/>
        <v/>
      </c>
      <c r="V2501" s="59" t="str">
        <f t="shared" si="315"/>
        <v/>
      </c>
      <c r="W2501" s="59" t="str">
        <f t="shared" si="312"/>
        <v/>
      </c>
      <c r="X2501" s="59" t="str">
        <f t="shared" si="316"/>
        <v/>
      </c>
      <c r="AC2501" s="50">
        <f t="shared" si="317"/>
        <v>0</v>
      </c>
      <c r="AD2501" s="43">
        <f t="shared" si="318"/>
        <v>0</v>
      </c>
      <c r="AE2501" s="50">
        <f t="shared" si="319"/>
        <v>0</v>
      </c>
    </row>
    <row r="2502" spans="1:31">
      <c r="A2502" s="59" t="str">
        <f t="shared" si="313"/>
        <v/>
      </c>
      <c r="B2502" s="59" t="str">
        <f t="shared" si="314"/>
        <v/>
      </c>
      <c r="V2502" s="59" t="str">
        <f t="shared" si="315"/>
        <v/>
      </c>
      <c r="W2502" s="59" t="str">
        <f t="shared" si="312"/>
        <v/>
      </c>
      <c r="X2502" s="59" t="str">
        <f t="shared" si="316"/>
        <v/>
      </c>
      <c r="AC2502" s="50">
        <f t="shared" si="317"/>
        <v>0</v>
      </c>
      <c r="AD2502" s="43">
        <f t="shared" si="318"/>
        <v>0</v>
      </c>
      <c r="AE2502" s="50">
        <f t="shared" si="319"/>
        <v>0</v>
      </c>
    </row>
    <row r="2503" spans="1:31">
      <c r="A2503" s="59" t="str">
        <f t="shared" si="313"/>
        <v/>
      </c>
      <c r="B2503" s="59" t="str">
        <f t="shared" si="314"/>
        <v/>
      </c>
      <c r="V2503" s="59" t="str">
        <f t="shared" si="315"/>
        <v/>
      </c>
      <c r="W2503" s="59" t="str">
        <f t="shared" si="312"/>
        <v/>
      </c>
      <c r="X2503" s="59" t="str">
        <f t="shared" si="316"/>
        <v/>
      </c>
      <c r="AC2503" s="50">
        <f t="shared" si="317"/>
        <v>0</v>
      </c>
      <c r="AD2503" s="43">
        <f t="shared" si="318"/>
        <v>0</v>
      </c>
      <c r="AE2503" s="50">
        <f t="shared" si="319"/>
        <v>0</v>
      </c>
    </row>
    <row r="2504" spans="1:31">
      <c r="A2504" s="59" t="str">
        <f t="shared" si="313"/>
        <v/>
      </c>
      <c r="B2504" s="59" t="str">
        <f t="shared" si="314"/>
        <v/>
      </c>
      <c r="V2504" s="59" t="str">
        <f t="shared" si="315"/>
        <v/>
      </c>
      <c r="W2504" s="59" t="str">
        <f t="shared" si="312"/>
        <v/>
      </c>
      <c r="X2504" s="59" t="str">
        <f t="shared" si="316"/>
        <v/>
      </c>
      <c r="AC2504" s="50">
        <f t="shared" si="317"/>
        <v>0</v>
      </c>
      <c r="AD2504" s="43">
        <f t="shared" si="318"/>
        <v>0</v>
      </c>
      <c r="AE2504" s="50">
        <f t="shared" si="319"/>
        <v>0</v>
      </c>
    </row>
    <row r="2505" spans="1:31">
      <c r="A2505" s="59" t="str">
        <f t="shared" si="313"/>
        <v/>
      </c>
      <c r="B2505" s="59" t="str">
        <f t="shared" si="314"/>
        <v/>
      </c>
      <c r="V2505" s="59" t="str">
        <f t="shared" si="315"/>
        <v/>
      </c>
      <c r="W2505" s="59" t="str">
        <f t="shared" si="312"/>
        <v/>
      </c>
      <c r="X2505" s="59" t="str">
        <f t="shared" si="316"/>
        <v/>
      </c>
      <c r="AC2505" s="50">
        <f t="shared" si="317"/>
        <v>0</v>
      </c>
      <c r="AD2505" s="43">
        <f t="shared" si="318"/>
        <v>0</v>
      </c>
      <c r="AE2505" s="50">
        <f t="shared" si="319"/>
        <v>0</v>
      </c>
    </row>
    <row r="2506" spans="1:31">
      <c r="A2506" s="59" t="str">
        <f t="shared" si="313"/>
        <v/>
      </c>
      <c r="B2506" s="59" t="str">
        <f t="shared" si="314"/>
        <v/>
      </c>
      <c r="V2506" s="59" t="str">
        <f t="shared" si="315"/>
        <v/>
      </c>
      <c r="W2506" s="59" t="str">
        <f t="shared" si="312"/>
        <v/>
      </c>
      <c r="X2506" s="59" t="str">
        <f t="shared" si="316"/>
        <v/>
      </c>
      <c r="AC2506" s="50">
        <f t="shared" si="317"/>
        <v>0</v>
      </c>
      <c r="AD2506" s="43">
        <f t="shared" si="318"/>
        <v>0</v>
      </c>
      <c r="AE2506" s="50">
        <f t="shared" si="319"/>
        <v>0</v>
      </c>
    </row>
    <row r="2507" spans="1:31">
      <c r="A2507" s="59" t="str">
        <f t="shared" si="313"/>
        <v/>
      </c>
      <c r="B2507" s="59" t="str">
        <f t="shared" si="314"/>
        <v/>
      </c>
      <c r="V2507" s="59" t="str">
        <f t="shared" si="315"/>
        <v/>
      </c>
      <c r="W2507" s="59" t="str">
        <f t="shared" si="312"/>
        <v/>
      </c>
      <c r="X2507" s="59" t="str">
        <f t="shared" si="316"/>
        <v/>
      </c>
      <c r="AC2507" s="50">
        <f t="shared" si="317"/>
        <v>0</v>
      </c>
      <c r="AD2507" s="43">
        <f t="shared" si="318"/>
        <v>0</v>
      </c>
      <c r="AE2507" s="50">
        <f t="shared" si="319"/>
        <v>0</v>
      </c>
    </row>
    <row r="2508" spans="1:31">
      <c r="A2508" s="59" t="str">
        <f t="shared" si="313"/>
        <v/>
      </c>
      <c r="B2508" s="59" t="str">
        <f t="shared" si="314"/>
        <v/>
      </c>
      <c r="V2508" s="59" t="str">
        <f t="shared" si="315"/>
        <v/>
      </c>
      <c r="W2508" s="59" t="str">
        <f t="shared" si="312"/>
        <v/>
      </c>
      <c r="X2508" s="59" t="str">
        <f t="shared" si="316"/>
        <v/>
      </c>
      <c r="AC2508" s="50">
        <f t="shared" si="317"/>
        <v>0</v>
      </c>
      <c r="AD2508" s="43">
        <f t="shared" si="318"/>
        <v>0</v>
      </c>
      <c r="AE2508" s="50">
        <f t="shared" si="319"/>
        <v>0</v>
      </c>
    </row>
    <row r="2509" spans="1:31">
      <c r="A2509" s="59" t="str">
        <f t="shared" si="313"/>
        <v/>
      </c>
      <c r="B2509" s="59" t="str">
        <f t="shared" si="314"/>
        <v/>
      </c>
      <c r="V2509" s="59" t="str">
        <f t="shared" si="315"/>
        <v/>
      </c>
      <c r="W2509" s="59" t="str">
        <f t="shared" si="312"/>
        <v/>
      </c>
      <c r="X2509" s="59" t="str">
        <f t="shared" si="316"/>
        <v/>
      </c>
      <c r="AC2509" s="50">
        <f t="shared" si="317"/>
        <v>0</v>
      </c>
      <c r="AD2509" s="43">
        <f t="shared" si="318"/>
        <v>0</v>
      </c>
      <c r="AE2509" s="50">
        <f t="shared" si="319"/>
        <v>0</v>
      </c>
    </row>
    <row r="2510" spans="1:31">
      <c r="A2510" s="59" t="str">
        <f t="shared" si="313"/>
        <v/>
      </c>
      <c r="B2510" s="59" t="str">
        <f t="shared" si="314"/>
        <v/>
      </c>
      <c r="V2510" s="59" t="str">
        <f t="shared" si="315"/>
        <v/>
      </c>
      <c r="W2510" s="59" t="str">
        <f t="shared" si="312"/>
        <v/>
      </c>
      <c r="X2510" s="59" t="str">
        <f t="shared" si="316"/>
        <v/>
      </c>
      <c r="AC2510" s="50">
        <f t="shared" si="317"/>
        <v>0</v>
      </c>
      <c r="AD2510" s="43">
        <f t="shared" si="318"/>
        <v>0</v>
      </c>
      <c r="AE2510" s="50">
        <f t="shared" si="319"/>
        <v>0</v>
      </c>
    </row>
    <row r="2511" spans="1:31">
      <c r="A2511" s="59" t="str">
        <f t="shared" si="313"/>
        <v/>
      </c>
      <c r="B2511" s="59" t="str">
        <f t="shared" si="314"/>
        <v/>
      </c>
      <c r="V2511" s="59" t="str">
        <f t="shared" si="315"/>
        <v/>
      </c>
      <c r="W2511" s="59" t="str">
        <f t="shared" si="312"/>
        <v/>
      </c>
      <c r="X2511" s="59" t="str">
        <f t="shared" si="316"/>
        <v/>
      </c>
      <c r="AC2511" s="50">
        <f t="shared" si="317"/>
        <v>0</v>
      </c>
      <c r="AD2511" s="43">
        <f t="shared" si="318"/>
        <v>0</v>
      </c>
      <c r="AE2511" s="50">
        <f t="shared" si="319"/>
        <v>0</v>
      </c>
    </row>
    <row r="2512" spans="1:31">
      <c r="A2512" s="59" t="str">
        <f t="shared" si="313"/>
        <v/>
      </c>
      <c r="B2512" s="59" t="str">
        <f t="shared" si="314"/>
        <v/>
      </c>
      <c r="V2512" s="59" t="str">
        <f t="shared" si="315"/>
        <v/>
      </c>
      <c r="W2512" s="59" t="str">
        <f t="shared" si="312"/>
        <v/>
      </c>
      <c r="X2512" s="59" t="str">
        <f t="shared" si="316"/>
        <v/>
      </c>
      <c r="AC2512" s="50">
        <f t="shared" si="317"/>
        <v>0</v>
      </c>
      <c r="AD2512" s="43">
        <f t="shared" si="318"/>
        <v>0</v>
      </c>
      <c r="AE2512" s="50">
        <f t="shared" si="319"/>
        <v>0</v>
      </c>
    </row>
    <row r="2513" spans="1:31">
      <c r="A2513" s="59" t="str">
        <f t="shared" si="313"/>
        <v/>
      </c>
      <c r="B2513" s="59" t="str">
        <f t="shared" si="314"/>
        <v/>
      </c>
      <c r="V2513" s="59" t="str">
        <f t="shared" si="315"/>
        <v/>
      </c>
      <c r="W2513" s="59" t="str">
        <f t="shared" si="312"/>
        <v/>
      </c>
      <c r="X2513" s="59" t="str">
        <f t="shared" si="316"/>
        <v/>
      </c>
      <c r="AC2513" s="50">
        <f t="shared" si="317"/>
        <v>0</v>
      </c>
      <c r="AD2513" s="43">
        <f t="shared" si="318"/>
        <v>0</v>
      </c>
      <c r="AE2513" s="50">
        <f t="shared" si="319"/>
        <v>0</v>
      </c>
    </row>
    <row r="2514" spans="1:31">
      <c r="A2514" s="59" t="str">
        <f t="shared" si="313"/>
        <v/>
      </c>
      <c r="B2514" s="59" t="str">
        <f t="shared" si="314"/>
        <v/>
      </c>
      <c r="V2514" s="59" t="str">
        <f t="shared" si="315"/>
        <v/>
      </c>
      <c r="W2514" s="59" t="str">
        <f t="shared" si="312"/>
        <v/>
      </c>
      <c r="X2514" s="59" t="str">
        <f t="shared" si="316"/>
        <v/>
      </c>
      <c r="AC2514" s="50">
        <f t="shared" si="317"/>
        <v>0</v>
      </c>
      <c r="AD2514" s="43">
        <f t="shared" si="318"/>
        <v>0</v>
      </c>
      <c r="AE2514" s="50">
        <f t="shared" si="319"/>
        <v>0</v>
      </c>
    </row>
    <row r="2515" spans="1:31">
      <c r="A2515" s="59" t="str">
        <f t="shared" si="313"/>
        <v/>
      </c>
      <c r="B2515" s="59" t="str">
        <f t="shared" si="314"/>
        <v/>
      </c>
      <c r="V2515" s="59" t="str">
        <f t="shared" si="315"/>
        <v/>
      </c>
      <c r="W2515" s="59" t="str">
        <f t="shared" si="312"/>
        <v/>
      </c>
      <c r="X2515" s="59" t="str">
        <f t="shared" si="316"/>
        <v/>
      </c>
      <c r="AC2515" s="50">
        <f t="shared" si="317"/>
        <v>0</v>
      </c>
      <c r="AD2515" s="43">
        <f t="shared" si="318"/>
        <v>0</v>
      </c>
      <c r="AE2515" s="50">
        <f t="shared" si="319"/>
        <v>0</v>
      </c>
    </row>
    <row r="2516" spans="1:31">
      <c r="A2516" s="59" t="str">
        <f t="shared" si="313"/>
        <v/>
      </c>
      <c r="B2516" s="59" t="str">
        <f t="shared" si="314"/>
        <v/>
      </c>
      <c r="V2516" s="59" t="str">
        <f t="shared" si="315"/>
        <v/>
      </c>
      <c r="W2516" s="59" t="str">
        <f t="shared" si="312"/>
        <v/>
      </c>
      <c r="X2516" s="59" t="str">
        <f t="shared" si="316"/>
        <v/>
      </c>
      <c r="AC2516" s="50">
        <f t="shared" si="317"/>
        <v>0</v>
      </c>
      <c r="AD2516" s="43">
        <f t="shared" si="318"/>
        <v>0</v>
      </c>
      <c r="AE2516" s="50">
        <f t="shared" si="319"/>
        <v>0</v>
      </c>
    </row>
    <row r="2517" spans="1:31">
      <c r="A2517" s="59" t="str">
        <f t="shared" si="313"/>
        <v/>
      </c>
      <c r="B2517" s="59" t="str">
        <f t="shared" si="314"/>
        <v/>
      </c>
      <c r="V2517" s="59" t="str">
        <f t="shared" si="315"/>
        <v/>
      </c>
      <c r="W2517" s="59" t="str">
        <f t="shared" si="312"/>
        <v/>
      </c>
      <c r="X2517" s="59" t="str">
        <f t="shared" si="316"/>
        <v/>
      </c>
      <c r="AC2517" s="50">
        <f t="shared" si="317"/>
        <v>0</v>
      </c>
      <c r="AD2517" s="43">
        <f t="shared" si="318"/>
        <v>0</v>
      </c>
      <c r="AE2517" s="50">
        <f t="shared" si="319"/>
        <v>0</v>
      </c>
    </row>
    <row r="2518" spans="1:31">
      <c r="A2518" s="59" t="str">
        <f t="shared" si="313"/>
        <v/>
      </c>
      <c r="B2518" s="59" t="str">
        <f t="shared" si="314"/>
        <v/>
      </c>
      <c r="V2518" s="59" t="str">
        <f t="shared" si="315"/>
        <v/>
      </c>
      <c r="W2518" s="59" t="str">
        <f t="shared" si="312"/>
        <v/>
      </c>
      <c r="X2518" s="59" t="str">
        <f t="shared" si="316"/>
        <v/>
      </c>
      <c r="AC2518" s="50">
        <f t="shared" si="317"/>
        <v>0</v>
      </c>
      <c r="AD2518" s="43">
        <f t="shared" si="318"/>
        <v>0</v>
      </c>
      <c r="AE2518" s="50">
        <f t="shared" si="319"/>
        <v>0</v>
      </c>
    </row>
    <row r="2519" spans="1:31">
      <c r="A2519" s="59" t="str">
        <f t="shared" si="313"/>
        <v/>
      </c>
      <c r="B2519" s="59" t="str">
        <f t="shared" si="314"/>
        <v/>
      </c>
      <c r="V2519" s="59" t="str">
        <f t="shared" si="315"/>
        <v/>
      </c>
      <c r="W2519" s="59" t="str">
        <f t="shared" si="312"/>
        <v/>
      </c>
      <c r="X2519" s="59" t="str">
        <f t="shared" si="316"/>
        <v/>
      </c>
      <c r="AC2519" s="50">
        <f t="shared" si="317"/>
        <v>0</v>
      </c>
      <c r="AD2519" s="43">
        <f t="shared" si="318"/>
        <v>0</v>
      </c>
      <c r="AE2519" s="50">
        <f t="shared" si="319"/>
        <v>0</v>
      </c>
    </row>
    <row r="2520" spans="1:31">
      <c r="A2520" s="59" t="str">
        <f t="shared" si="313"/>
        <v/>
      </c>
      <c r="B2520" s="59" t="str">
        <f t="shared" si="314"/>
        <v/>
      </c>
      <c r="V2520" s="59" t="str">
        <f t="shared" si="315"/>
        <v/>
      </c>
      <c r="W2520" s="59" t="str">
        <f t="shared" si="312"/>
        <v/>
      </c>
      <c r="X2520" s="59" t="str">
        <f t="shared" si="316"/>
        <v/>
      </c>
      <c r="AC2520" s="50">
        <f t="shared" si="317"/>
        <v>0</v>
      </c>
      <c r="AD2520" s="43">
        <f t="shared" si="318"/>
        <v>0</v>
      </c>
      <c r="AE2520" s="50">
        <f t="shared" si="319"/>
        <v>0</v>
      </c>
    </row>
    <row r="2521" spans="1:31">
      <c r="A2521" s="59" t="str">
        <f t="shared" si="313"/>
        <v/>
      </c>
      <c r="B2521" s="59" t="str">
        <f t="shared" si="314"/>
        <v/>
      </c>
      <c r="V2521" s="59" t="str">
        <f t="shared" si="315"/>
        <v/>
      </c>
      <c r="W2521" s="59" t="str">
        <f t="shared" si="312"/>
        <v/>
      </c>
      <c r="X2521" s="59" t="str">
        <f t="shared" si="316"/>
        <v/>
      </c>
      <c r="AC2521" s="50">
        <f t="shared" si="317"/>
        <v>0</v>
      </c>
      <c r="AD2521" s="43">
        <f t="shared" si="318"/>
        <v>0</v>
      </c>
      <c r="AE2521" s="50">
        <f t="shared" si="319"/>
        <v>0</v>
      </c>
    </row>
    <row r="2522" spans="1:31">
      <c r="A2522" s="59" t="str">
        <f t="shared" si="313"/>
        <v/>
      </c>
      <c r="B2522" s="59" t="str">
        <f t="shared" si="314"/>
        <v/>
      </c>
      <c r="V2522" s="59" t="str">
        <f t="shared" si="315"/>
        <v/>
      </c>
      <c r="W2522" s="59" t="str">
        <f t="shared" si="312"/>
        <v/>
      </c>
      <c r="X2522" s="59" t="str">
        <f t="shared" si="316"/>
        <v/>
      </c>
      <c r="AC2522" s="50">
        <f t="shared" si="317"/>
        <v>0</v>
      </c>
      <c r="AD2522" s="43">
        <f t="shared" si="318"/>
        <v>0</v>
      </c>
      <c r="AE2522" s="50">
        <f t="shared" si="319"/>
        <v>0</v>
      </c>
    </row>
    <row r="2523" spans="1:31">
      <c r="A2523" s="59" t="str">
        <f t="shared" si="313"/>
        <v/>
      </c>
      <c r="B2523" s="59" t="str">
        <f t="shared" si="314"/>
        <v/>
      </c>
      <c r="V2523" s="59" t="str">
        <f t="shared" si="315"/>
        <v/>
      </c>
      <c r="W2523" s="59" t="str">
        <f t="shared" si="312"/>
        <v/>
      </c>
      <c r="X2523" s="59" t="str">
        <f t="shared" si="316"/>
        <v/>
      </c>
      <c r="AC2523" s="50">
        <f t="shared" si="317"/>
        <v>0</v>
      </c>
      <c r="AD2523" s="43">
        <f t="shared" si="318"/>
        <v>0</v>
      </c>
      <c r="AE2523" s="50">
        <f t="shared" si="319"/>
        <v>0</v>
      </c>
    </row>
    <row r="2524" spans="1:31">
      <c r="A2524" s="59" t="str">
        <f t="shared" si="313"/>
        <v/>
      </c>
      <c r="B2524" s="59" t="str">
        <f t="shared" si="314"/>
        <v/>
      </c>
      <c r="V2524" s="59" t="str">
        <f t="shared" si="315"/>
        <v/>
      </c>
      <c r="W2524" s="59" t="str">
        <f t="shared" si="312"/>
        <v/>
      </c>
      <c r="X2524" s="59" t="str">
        <f t="shared" si="316"/>
        <v/>
      </c>
      <c r="AC2524" s="50">
        <f t="shared" si="317"/>
        <v>0</v>
      </c>
      <c r="AD2524" s="43">
        <f t="shared" si="318"/>
        <v>0</v>
      </c>
      <c r="AE2524" s="50">
        <f t="shared" si="319"/>
        <v>0</v>
      </c>
    </row>
    <row r="2525" spans="1:31">
      <c r="A2525" s="59" t="str">
        <f t="shared" si="313"/>
        <v/>
      </c>
      <c r="B2525" s="59" t="str">
        <f t="shared" si="314"/>
        <v/>
      </c>
      <c r="V2525" s="59" t="str">
        <f t="shared" si="315"/>
        <v/>
      </c>
      <c r="W2525" s="59" t="str">
        <f t="shared" si="312"/>
        <v/>
      </c>
      <c r="X2525" s="59" t="str">
        <f t="shared" si="316"/>
        <v/>
      </c>
      <c r="AC2525" s="50">
        <f t="shared" si="317"/>
        <v>0</v>
      </c>
      <c r="AD2525" s="43">
        <f t="shared" si="318"/>
        <v>0</v>
      </c>
      <c r="AE2525" s="50">
        <f t="shared" si="319"/>
        <v>0</v>
      </c>
    </row>
    <row r="2526" spans="1:31">
      <c r="A2526" s="59" t="str">
        <f t="shared" si="313"/>
        <v/>
      </c>
      <c r="B2526" s="59" t="str">
        <f t="shared" si="314"/>
        <v/>
      </c>
      <c r="V2526" s="59" t="str">
        <f t="shared" si="315"/>
        <v/>
      </c>
      <c r="W2526" s="59" t="str">
        <f t="shared" si="312"/>
        <v/>
      </c>
      <c r="X2526" s="59" t="str">
        <f t="shared" si="316"/>
        <v/>
      </c>
      <c r="AC2526" s="50">
        <f t="shared" si="317"/>
        <v>0</v>
      </c>
      <c r="AD2526" s="43">
        <f t="shared" si="318"/>
        <v>0</v>
      </c>
      <c r="AE2526" s="50">
        <f t="shared" si="319"/>
        <v>0</v>
      </c>
    </row>
    <row r="2527" spans="1:31">
      <c r="A2527" s="59" t="str">
        <f t="shared" si="313"/>
        <v/>
      </c>
      <c r="B2527" s="59" t="str">
        <f t="shared" si="314"/>
        <v/>
      </c>
      <c r="V2527" s="59" t="str">
        <f t="shared" si="315"/>
        <v/>
      </c>
      <c r="W2527" s="59" t="str">
        <f t="shared" si="312"/>
        <v/>
      </c>
      <c r="X2527" s="59" t="str">
        <f t="shared" si="316"/>
        <v/>
      </c>
      <c r="AC2527" s="50">
        <f t="shared" si="317"/>
        <v>0</v>
      </c>
      <c r="AD2527" s="43">
        <f t="shared" si="318"/>
        <v>0</v>
      </c>
      <c r="AE2527" s="50">
        <f t="shared" si="319"/>
        <v>0</v>
      </c>
    </row>
    <row r="2528" spans="1:31">
      <c r="A2528" s="59" t="str">
        <f t="shared" si="313"/>
        <v/>
      </c>
      <c r="B2528" s="59" t="str">
        <f t="shared" si="314"/>
        <v/>
      </c>
      <c r="V2528" s="59" t="str">
        <f t="shared" si="315"/>
        <v/>
      </c>
      <c r="W2528" s="59" t="str">
        <f t="shared" si="312"/>
        <v/>
      </c>
      <c r="X2528" s="59" t="str">
        <f t="shared" si="316"/>
        <v/>
      </c>
      <c r="AC2528" s="50">
        <f t="shared" si="317"/>
        <v>0</v>
      </c>
      <c r="AD2528" s="43">
        <f t="shared" si="318"/>
        <v>0</v>
      </c>
      <c r="AE2528" s="50">
        <f t="shared" si="319"/>
        <v>0</v>
      </c>
    </row>
    <row r="2529" spans="1:31">
      <c r="A2529" s="59" t="str">
        <f t="shared" si="313"/>
        <v/>
      </c>
      <c r="B2529" s="59" t="str">
        <f t="shared" si="314"/>
        <v/>
      </c>
      <c r="V2529" s="59" t="str">
        <f t="shared" si="315"/>
        <v/>
      </c>
      <c r="W2529" s="59" t="str">
        <f t="shared" si="312"/>
        <v/>
      </c>
      <c r="X2529" s="59" t="str">
        <f t="shared" si="316"/>
        <v/>
      </c>
      <c r="AC2529" s="50">
        <f t="shared" si="317"/>
        <v>0</v>
      </c>
      <c r="AD2529" s="43">
        <f t="shared" si="318"/>
        <v>0</v>
      </c>
      <c r="AE2529" s="50">
        <f t="shared" si="319"/>
        <v>0</v>
      </c>
    </row>
    <row r="2530" spans="1:31">
      <c r="A2530" s="59" t="str">
        <f t="shared" si="313"/>
        <v/>
      </c>
      <c r="B2530" s="59" t="str">
        <f t="shared" si="314"/>
        <v/>
      </c>
      <c r="V2530" s="59" t="str">
        <f t="shared" si="315"/>
        <v/>
      </c>
      <c r="W2530" s="59" t="str">
        <f t="shared" si="312"/>
        <v/>
      </c>
      <c r="X2530" s="59" t="str">
        <f t="shared" si="316"/>
        <v/>
      </c>
      <c r="AC2530" s="50">
        <f t="shared" si="317"/>
        <v>0</v>
      </c>
      <c r="AD2530" s="43">
        <f t="shared" si="318"/>
        <v>0</v>
      </c>
      <c r="AE2530" s="50">
        <f t="shared" si="319"/>
        <v>0</v>
      </c>
    </row>
    <row r="2531" spans="1:31">
      <c r="A2531" s="59" t="str">
        <f t="shared" si="313"/>
        <v/>
      </c>
      <c r="B2531" s="59" t="str">
        <f t="shared" si="314"/>
        <v/>
      </c>
      <c r="V2531" s="59" t="str">
        <f t="shared" si="315"/>
        <v/>
      </c>
      <c r="W2531" s="59" t="str">
        <f t="shared" si="312"/>
        <v/>
      </c>
      <c r="X2531" s="59" t="str">
        <f t="shared" si="316"/>
        <v/>
      </c>
      <c r="AC2531" s="50">
        <f t="shared" si="317"/>
        <v>0</v>
      </c>
      <c r="AD2531" s="43">
        <f t="shared" si="318"/>
        <v>0</v>
      </c>
      <c r="AE2531" s="50">
        <f t="shared" si="319"/>
        <v>0</v>
      </c>
    </row>
    <row r="2532" spans="1:31">
      <c r="A2532" s="59" t="str">
        <f t="shared" si="313"/>
        <v/>
      </c>
      <c r="B2532" s="59" t="str">
        <f t="shared" si="314"/>
        <v/>
      </c>
      <c r="V2532" s="59" t="str">
        <f t="shared" si="315"/>
        <v/>
      </c>
      <c r="W2532" s="59" t="str">
        <f t="shared" si="312"/>
        <v/>
      </c>
      <c r="X2532" s="59" t="str">
        <f t="shared" si="316"/>
        <v/>
      </c>
      <c r="AC2532" s="50">
        <f t="shared" si="317"/>
        <v>0</v>
      </c>
      <c r="AD2532" s="43">
        <f t="shared" si="318"/>
        <v>0</v>
      </c>
      <c r="AE2532" s="50">
        <f t="shared" si="319"/>
        <v>0</v>
      </c>
    </row>
    <row r="2533" spans="1:31">
      <c r="A2533" s="59" t="str">
        <f t="shared" si="313"/>
        <v/>
      </c>
      <c r="B2533" s="59" t="str">
        <f t="shared" si="314"/>
        <v/>
      </c>
      <c r="V2533" s="59" t="str">
        <f t="shared" si="315"/>
        <v/>
      </c>
      <c r="W2533" s="59" t="str">
        <f t="shared" si="312"/>
        <v/>
      </c>
      <c r="X2533" s="59" t="str">
        <f t="shared" si="316"/>
        <v/>
      </c>
      <c r="AC2533" s="50">
        <f t="shared" si="317"/>
        <v>0</v>
      </c>
      <c r="AD2533" s="43">
        <f t="shared" si="318"/>
        <v>0</v>
      </c>
      <c r="AE2533" s="50">
        <f t="shared" si="319"/>
        <v>0</v>
      </c>
    </row>
    <row r="2534" spans="1:31">
      <c r="A2534" s="59" t="str">
        <f t="shared" si="313"/>
        <v/>
      </c>
      <c r="B2534" s="59" t="str">
        <f t="shared" si="314"/>
        <v/>
      </c>
      <c r="V2534" s="59" t="str">
        <f t="shared" si="315"/>
        <v/>
      </c>
      <c r="W2534" s="59" t="str">
        <f t="shared" si="312"/>
        <v/>
      </c>
      <c r="X2534" s="59" t="str">
        <f t="shared" si="316"/>
        <v/>
      </c>
      <c r="AC2534" s="50">
        <f t="shared" si="317"/>
        <v>0</v>
      </c>
      <c r="AD2534" s="43">
        <f t="shared" si="318"/>
        <v>0</v>
      </c>
      <c r="AE2534" s="50">
        <f t="shared" si="319"/>
        <v>0</v>
      </c>
    </row>
    <row r="2535" spans="1:31">
      <c r="A2535" s="59" t="str">
        <f t="shared" si="313"/>
        <v/>
      </c>
      <c r="B2535" s="59" t="str">
        <f t="shared" si="314"/>
        <v/>
      </c>
      <c r="V2535" s="59" t="str">
        <f t="shared" si="315"/>
        <v/>
      </c>
      <c r="W2535" s="59" t="str">
        <f t="shared" si="312"/>
        <v/>
      </c>
      <c r="X2535" s="59" t="str">
        <f t="shared" si="316"/>
        <v/>
      </c>
      <c r="AC2535" s="50">
        <f t="shared" si="317"/>
        <v>0</v>
      </c>
      <c r="AD2535" s="43">
        <f t="shared" si="318"/>
        <v>0</v>
      </c>
      <c r="AE2535" s="50">
        <f t="shared" si="319"/>
        <v>0</v>
      </c>
    </row>
    <row r="2536" spans="1:31">
      <c r="A2536" s="59" t="str">
        <f t="shared" si="313"/>
        <v/>
      </c>
      <c r="B2536" s="59" t="str">
        <f t="shared" si="314"/>
        <v/>
      </c>
      <c r="V2536" s="59" t="str">
        <f t="shared" si="315"/>
        <v/>
      </c>
      <c r="W2536" s="59" t="str">
        <f t="shared" si="312"/>
        <v/>
      </c>
      <c r="X2536" s="59" t="str">
        <f t="shared" si="316"/>
        <v/>
      </c>
      <c r="AC2536" s="50">
        <f t="shared" si="317"/>
        <v>0</v>
      </c>
      <c r="AD2536" s="43">
        <f t="shared" si="318"/>
        <v>0</v>
      </c>
      <c r="AE2536" s="50">
        <f t="shared" si="319"/>
        <v>0</v>
      </c>
    </row>
    <row r="2537" spans="1:31">
      <c r="A2537" s="59" t="str">
        <f t="shared" si="313"/>
        <v/>
      </c>
      <c r="B2537" s="59" t="str">
        <f t="shared" si="314"/>
        <v/>
      </c>
      <c r="V2537" s="59" t="str">
        <f t="shared" si="315"/>
        <v/>
      </c>
      <c r="W2537" s="59" t="str">
        <f t="shared" si="312"/>
        <v/>
      </c>
      <c r="X2537" s="59" t="str">
        <f t="shared" si="316"/>
        <v/>
      </c>
      <c r="AC2537" s="50">
        <f t="shared" si="317"/>
        <v>0</v>
      </c>
      <c r="AD2537" s="43">
        <f t="shared" si="318"/>
        <v>0</v>
      </c>
      <c r="AE2537" s="50">
        <f t="shared" si="319"/>
        <v>0</v>
      </c>
    </row>
    <row r="2538" spans="1:31">
      <c r="A2538" s="59" t="str">
        <f t="shared" si="313"/>
        <v/>
      </c>
      <c r="B2538" s="59" t="str">
        <f t="shared" si="314"/>
        <v/>
      </c>
      <c r="V2538" s="59" t="str">
        <f t="shared" si="315"/>
        <v/>
      </c>
      <c r="W2538" s="59" t="str">
        <f t="shared" si="312"/>
        <v/>
      </c>
      <c r="X2538" s="59" t="str">
        <f t="shared" si="316"/>
        <v/>
      </c>
      <c r="AC2538" s="50">
        <f t="shared" si="317"/>
        <v>0</v>
      </c>
      <c r="AD2538" s="43">
        <f t="shared" si="318"/>
        <v>0</v>
      </c>
      <c r="AE2538" s="50">
        <f t="shared" si="319"/>
        <v>0</v>
      </c>
    </row>
    <row r="2539" spans="1:31">
      <c r="A2539" s="59" t="str">
        <f t="shared" si="313"/>
        <v/>
      </c>
      <c r="B2539" s="59" t="str">
        <f t="shared" si="314"/>
        <v/>
      </c>
      <c r="V2539" s="59" t="str">
        <f t="shared" si="315"/>
        <v/>
      </c>
      <c r="W2539" s="59" t="str">
        <f t="shared" si="312"/>
        <v/>
      </c>
      <c r="X2539" s="59" t="str">
        <f t="shared" si="316"/>
        <v/>
      </c>
      <c r="AC2539" s="50">
        <f t="shared" si="317"/>
        <v>0</v>
      </c>
      <c r="AD2539" s="43">
        <f t="shared" si="318"/>
        <v>0</v>
      </c>
      <c r="AE2539" s="50">
        <f t="shared" si="319"/>
        <v>0</v>
      </c>
    </row>
    <row r="2540" spans="1:31">
      <c r="A2540" s="59" t="str">
        <f t="shared" si="313"/>
        <v/>
      </c>
      <c r="B2540" s="59" t="str">
        <f t="shared" si="314"/>
        <v/>
      </c>
      <c r="V2540" s="59" t="str">
        <f t="shared" si="315"/>
        <v/>
      </c>
      <c r="W2540" s="59" t="str">
        <f t="shared" si="312"/>
        <v/>
      </c>
      <c r="X2540" s="59" t="str">
        <f t="shared" si="316"/>
        <v/>
      </c>
      <c r="AC2540" s="50">
        <f t="shared" si="317"/>
        <v>0</v>
      </c>
      <c r="AD2540" s="43">
        <f t="shared" si="318"/>
        <v>0</v>
      </c>
      <c r="AE2540" s="50">
        <f t="shared" si="319"/>
        <v>0</v>
      </c>
    </row>
    <row r="2541" spans="1:31">
      <c r="A2541" s="59" t="str">
        <f t="shared" si="313"/>
        <v/>
      </c>
      <c r="B2541" s="59" t="str">
        <f t="shared" si="314"/>
        <v/>
      </c>
      <c r="V2541" s="59" t="str">
        <f t="shared" si="315"/>
        <v/>
      </c>
      <c r="W2541" s="59" t="str">
        <f t="shared" si="312"/>
        <v/>
      </c>
      <c r="X2541" s="59" t="str">
        <f t="shared" si="316"/>
        <v/>
      </c>
      <c r="AC2541" s="50">
        <f t="shared" si="317"/>
        <v>0</v>
      </c>
      <c r="AD2541" s="43">
        <f t="shared" si="318"/>
        <v>0</v>
      </c>
      <c r="AE2541" s="50">
        <f t="shared" si="319"/>
        <v>0</v>
      </c>
    </row>
    <row r="2542" spans="1:31">
      <c r="A2542" s="59" t="str">
        <f t="shared" si="313"/>
        <v/>
      </c>
      <c r="B2542" s="59" t="str">
        <f t="shared" si="314"/>
        <v/>
      </c>
      <c r="V2542" s="59" t="str">
        <f t="shared" si="315"/>
        <v/>
      </c>
      <c r="W2542" s="59" t="str">
        <f t="shared" si="312"/>
        <v/>
      </c>
      <c r="X2542" s="59" t="str">
        <f t="shared" si="316"/>
        <v/>
      </c>
      <c r="AC2542" s="50">
        <f t="shared" si="317"/>
        <v>0</v>
      </c>
      <c r="AD2542" s="43">
        <f t="shared" si="318"/>
        <v>0</v>
      </c>
      <c r="AE2542" s="50">
        <f t="shared" si="319"/>
        <v>0</v>
      </c>
    </row>
    <row r="2543" spans="1:31">
      <c r="A2543" s="59" t="str">
        <f t="shared" si="313"/>
        <v/>
      </c>
      <c r="B2543" s="59" t="str">
        <f t="shared" si="314"/>
        <v/>
      </c>
      <c r="V2543" s="59" t="str">
        <f t="shared" si="315"/>
        <v/>
      </c>
      <c r="W2543" s="59" t="str">
        <f t="shared" si="312"/>
        <v/>
      </c>
      <c r="X2543" s="59" t="str">
        <f t="shared" si="316"/>
        <v/>
      </c>
      <c r="AC2543" s="50">
        <f t="shared" si="317"/>
        <v>0</v>
      </c>
      <c r="AD2543" s="43">
        <f t="shared" si="318"/>
        <v>0</v>
      </c>
      <c r="AE2543" s="50">
        <f t="shared" si="319"/>
        <v>0</v>
      </c>
    </row>
    <row r="2544" spans="1:31">
      <c r="A2544" s="59" t="str">
        <f t="shared" si="313"/>
        <v/>
      </c>
      <c r="B2544" s="59" t="str">
        <f t="shared" si="314"/>
        <v/>
      </c>
      <c r="V2544" s="59" t="str">
        <f t="shared" si="315"/>
        <v/>
      </c>
      <c r="W2544" s="59" t="str">
        <f t="shared" si="312"/>
        <v/>
      </c>
      <c r="X2544" s="59" t="str">
        <f t="shared" si="316"/>
        <v/>
      </c>
      <c r="AC2544" s="50">
        <f t="shared" si="317"/>
        <v>0</v>
      </c>
      <c r="AD2544" s="43">
        <f t="shared" si="318"/>
        <v>0</v>
      </c>
      <c r="AE2544" s="50">
        <f t="shared" si="319"/>
        <v>0</v>
      </c>
    </row>
    <row r="2545" spans="1:31">
      <c r="A2545" s="59" t="str">
        <f t="shared" si="313"/>
        <v/>
      </c>
      <c r="B2545" s="59" t="str">
        <f t="shared" si="314"/>
        <v/>
      </c>
      <c r="V2545" s="59" t="str">
        <f t="shared" si="315"/>
        <v/>
      </c>
      <c r="W2545" s="59" t="str">
        <f t="shared" si="312"/>
        <v/>
      </c>
      <c r="X2545" s="59" t="str">
        <f t="shared" si="316"/>
        <v/>
      </c>
      <c r="AC2545" s="50">
        <f t="shared" si="317"/>
        <v>0</v>
      </c>
      <c r="AD2545" s="43">
        <f t="shared" si="318"/>
        <v>0</v>
      </c>
      <c r="AE2545" s="50">
        <f t="shared" si="319"/>
        <v>0</v>
      </c>
    </row>
    <row r="2546" spans="1:31">
      <c r="A2546" s="59" t="str">
        <f t="shared" si="313"/>
        <v/>
      </c>
      <c r="B2546" s="59" t="str">
        <f t="shared" si="314"/>
        <v/>
      </c>
      <c r="V2546" s="59" t="str">
        <f t="shared" si="315"/>
        <v/>
      </c>
      <c r="W2546" s="59" t="str">
        <f t="shared" si="312"/>
        <v/>
      </c>
      <c r="X2546" s="59" t="str">
        <f t="shared" si="316"/>
        <v/>
      </c>
      <c r="AC2546" s="50">
        <f t="shared" si="317"/>
        <v>0</v>
      </c>
      <c r="AD2546" s="43">
        <f t="shared" si="318"/>
        <v>0</v>
      </c>
      <c r="AE2546" s="50">
        <f t="shared" si="319"/>
        <v>0</v>
      </c>
    </row>
    <row r="2547" spans="1:31">
      <c r="A2547" s="59" t="str">
        <f t="shared" si="313"/>
        <v/>
      </c>
      <c r="B2547" s="59" t="str">
        <f t="shared" si="314"/>
        <v/>
      </c>
      <c r="V2547" s="59" t="str">
        <f t="shared" si="315"/>
        <v/>
      </c>
      <c r="W2547" s="59" t="str">
        <f t="shared" si="312"/>
        <v/>
      </c>
      <c r="X2547" s="59" t="str">
        <f t="shared" si="316"/>
        <v/>
      </c>
      <c r="AC2547" s="50">
        <f t="shared" si="317"/>
        <v>0</v>
      </c>
      <c r="AD2547" s="43">
        <f t="shared" si="318"/>
        <v>0</v>
      </c>
      <c r="AE2547" s="50">
        <f t="shared" si="319"/>
        <v>0</v>
      </c>
    </row>
    <row r="2548" spans="1:31">
      <c r="A2548" s="59" t="str">
        <f t="shared" si="313"/>
        <v/>
      </c>
      <c r="B2548" s="59" t="str">
        <f t="shared" si="314"/>
        <v/>
      </c>
      <c r="V2548" s="59" t="str">
        <f t="shared" si="315"/>
        <v/>
      </c>
      <c r="W2548" s="59" t="str">
        <f t="shared" si="312"/>
        <v/>
      </c>
      <c r="X2548" s="59" t="str">
        <f t="shared" si="316"/>
        <v/>
      </c>
      <c r="AC2548" s="50">
        <f t="shared" si="317"/>
        <v>0</v>
      </c>
      <c r="AD2548" s="43">
        <f t="shared" si="318"/>
        <v>0</v>
      </c>
      <c r="AE2548" s="50">
        <f t="shared" si="319"/>
        <v>0</v>
      </c>
    </row>
    <row r="2549" spans="1:31">
      <c r="A2549" s="59" t="str">
        <f t="shared" si="313"/>
        <v/>
      </c>
      <c r="B2549" s="59" t="str">
        <f t="shared" si="314"/>
        <v/>
      </c>
      <c r="V2549" s="59" t="str">
        <f t="shared" si="315"/>
        <v/>
      </c>
      <c r="W2549" s="59" t="str">
        <f t="shared" si="312"/>
        <v/>
      </c>
      <c r="X2549" s="59" t="str">
        <f t="shared" si="316"/>
        <v/>
      </c>
      <c r="AC2549" s="50">
        <f t="shared" si="317"/>
        <v>0</v>
      </c>
      <c r="AD2549" s="43">
        <f t="shared" si="318"/>
        <v>0</v>
      </c>
      <c r="AE2549" s="50">
        <f t="shared" si="319"/>
        <v>0</v>
      </c>
    </row>
    <row r="2550" spans="1:31">
      <c r="A2550" s="59" t="str">
        <f t="shared" si="313"/>
        <v/>
      </c>
      <c r="B2550" s="59" t="str">
        <f t="shared" si="314"/>
        <v/>
      </c>
      <c r="V2550" s="59" t="str">
        <f t="shared" si="315"/>
        <v/>
      </c>
      <c r="W2550" s="59" t="str">
        <f t="shared" si="312"/>
        <v/>
      </c>
      <c r="X2550" s="59" t="str">
        <f t="shared" si="316"/>
        <v/>
      </c>
      <c r="AC2550" s="50">
        <f t="shared" si="317"/>
        <v>0</v>
      </c>
      <c r="AD2550" s="43">
        <f t="shared" si="318"/>
        <v>0</v>
      </c>
      <c r="AE2550" s="50">
        <f t="shared" si="319"/>
        <v>0</v>
      </c>
    </row>
    <row r="2551" spans="1:31">
      <c r="A2551" s="59" t="str">
        <f t="shared" si="313"/>
        <v/>
      </c>
      <c r="B2551" s="59" t="str">
        <f t="shared" si="314"/>
        <v/>
      </c>
      <c r="V2551" s="59" t="str">
        <f t="shared" si="315"/>
        <v/>
      </c>
      <c r="W2551" s="59" t="str">
        <f t="shared" si="312"/>
        <v/>
      </c>
      <c r="X2551" s="59" t="str">
        <f t="shared" si="316"/>
        <v/>
      </c>
      <c r="AC2551" s="50">
        <f t="shared" si="317"/>
        <v>0</v>
      </c>
      <c r="AD2551" s="43">
        <f t="shared" si="318"/>
        <v>0</v>
      </c>
      <c r="AE2551" s="50">
        <f t="shared" si="319"/>
        <v>0</v>
      </c>
    </row>
    <row r="2552" spans="1:31">
      <c r="A2552" s="59" t="str">
        <f t="shared" si="313"/>
        <v/>
      </c>
      <c r="B2552" s="59" t="str">
        <f t="shared" si="314"/>
        <v/>
      </c>
      <c r="V2552" s="59" t="str">
        <f t="shared" si="315"/>
        <v/>
      </c>
      <c r="W2552" s="59" t="str">
        <f t="shared" si="312"/>
        <v/>
      </c>
      <c r="X2552" s="59" t="str">
        <f t="shared" si="316"/>
        <v/>
      </c>
      <c r="AC2552" s="50">
        <f t="shared" si="317"/>
        <v>0</v>
      </c>
      <c r="AD2552" s="43">
        <f t="shared" si="318"/>
        <v>0</v>
      </c>
      <c r="AE2552" s="50">
        <f t="shared" si="319"/>
        <v>0</v>
      </c>
    </row>
    <row r="2553" spans="1:31">
      <c r="A2553" s="59" t="str">
        <f t="shared" si="313"/>
        <v/>
      </c>
      <c r="B2553" s="59" t="str">
        <f t="shared" si="314"/>
        <v/>
      </c>
      <c r="V2553" s="59" t="str">
        <f t="shared" si="315"/>
        <v/>
      </c>
      <c r="W2553" s="59" t="str">
        <f t="shared" si="312"/>
        <v/>
      </c>
      <c r="X2553" s="59" t="str">
        <f t="shared" si="316"/>
        <v/>
      </c>
      <c r="AC2553" s="50">
        <f t="shared" si="317"/>
        <v>0</v>
      </c>
      <c r="AD2553" s="43">
        <f t="shared" si="318"/>
        <v>0</v>
      </c>
      <c r="AE2553" s="50">
        <f t="shared" si="319"/>
        <v>0</v>
      </c>
    </row>
    <row r="2554" spans="1:31">
      <c r="A2554" s="59" t="str">
        <f t="shared" si="313"/>
        <v/>
      </c>
      <c r="B2554" s="59" t="str">
        <f t="shared" si="314"/>
        <v/>
      </c>
      <c r="V2554" s="59" t="str">
        <f t="shared" si="315"/>
        <v/>
      </c>
      <c r="W2554" s="59" t="str">
        <f t="shared" si="312"/>
        <v/>
      </c>
      <c r="X2554" s="59" t="str">
        <f t="shared" si="316"/>
        <v/>
      </c>
      <c r="AC2554" s="50">
        <f t="shared" si="317"/>
        <v>0</v>
      </c>
      <c r="AD2554" s="43">
        <f t="shared" si="318"/>
        <v>0</v>
      </c>
      <c r="AE2554" s="50">
        <f t="shared" si="319"/>
        <v>0</v>
      </c>
    </row>
    <row r="2555" spans="1:31">
      <c r="A2555" s="59" t="str">
        <f t="shared" si="313"/>
        <v/>
      </c>
      <c r="B2555" s="59" t="str">
        <f t="shared" si="314"/>
        <v/>
      </c>
      <c r="V2555" s="59" t="str">
        <f t="shared" si="315"/>
        <v/>
      </c>
      <c r="W2555" s="59" t="str">
        <f t="shared" si="312"/>
        <v/>
      </c>
      <c r="X2555" s="59" t="str">
        <f t="shared" si="316"/>
        <v/>
      </c>
      <c r="AC2555" s="50">
        <f t="shared" si="317"/>
        <v>0</v>
      </c>
      <c r="AD2555" s="43">
        <f t="shared" si="318"/>
        <v>0</v>
      </c>
      <c r="AE2555" s="50">
        <f t="shared" si="319"/>
        <v>0</v>
      </c>
    </row>
    <row r="2556" spans="1:31">
      <c r="A2556" s="59" t="str">
        <f t="shared" si="313"/>
        <v/>
      </c>
      <c r="B2556" s="59" t="str">
        <f t="shared" si="314"/>
        <v/>
      </c>
      <c r="V2556" s="59" t="str">
        <f t="shared" si="315"/>
        <v/>
      </c>
      <c r="W2556" s="59" t="str">
        <f t="shared" si="312"/>
        <v/>
      </c>
      <c r="X2556" s="59" t="str">
        <f t="shared" si="316"/>
        <v/>
      </c>
      <c r="AC2556" s="50">
        <f t="shared" si="317"/>
        <v>0</v>
      </c>
      <c r="AD2556" s="43">
        <f t="shared" si="318"/>
        <v>0</v>
      </c>
      <c r="AE2556" s="50">
        <f t="shared" si="319"/>
        <v>0</v>
      </c>
    </row>
    <row r="2557" spans="1:31">
      <c r="A2557" s="59" t="str">
        <f t="shared" si="313"/>
        <v/>
      </c>
      <c r="B2557" s="59" t="str">
        <f t="shared" si="314"/>
        <v/>
      </c>
      <c r="V2557" s="59" t="str">
        <f t="shared" si="315"/>
        <v/>
      </c>
      <c r="W2557" s="59" t="str">
        <f t="shared" si="312"/>
        <v/>
      </c>
      <c r="X2557" s="59" t="str">
        <f t="shared" si="316"/>
        <v/>
      </c>
      <c r="AC2557" s="50">
        <f t="shared" si="317"/>
        <v>0</v>
      </c>
      <c r="AD2557" s="43">
        <f t="shared" si="318"/>
        <v>0</v>
      </c>
      <c r="AE2557" s="50">
        <f t="shared" si="319"/>
        <v>0</v>
      </c>
    </row>
    <row r="2558" spans="1:31">
      <c r="A2558" s="59" t="str">
        <f t="shared" si="313"/>
        <v/>
      </c>
      <c r="B2558" s="59" t="str">
        <f t="shared" si="314"/>
        <v/>
      </c>
      <c r="V2558" s="59" t="str">
        <f t="shared" si="315"/>
        <v/>
      </c>
      <c r="W2558" s="59" t="str">
        <f t="shared" si="312"/>
        <v/>
      </c>
      <c r="X2558" s="59" t="str">
        <f t="shared" si="316"/>
        <v/>
      </c>
      <c r="AC2558" s="50">
        <f t="shared" si="317"/>
        <v>0</v>
      </c>
      <c r="AD2558" s="43">
        <f t="shared" si="318"/>
        <v>0</v>
      </c>
      <c r="AE2558" s="50">
        <f t="shared" si="319"/>
        <v>0</v>
      </c>
    </row>
    <row r="2559" spans="1:31">
      <c r="A2559" s="59" t="str">
        <f t="shared" si="313"/>
        <v/>
      </c>
      <c r="B2559" s="59" t="str">
        <f t="shared" si="314"/>
        <v/>
      </c>
      <c r="V2559" s="59" t="str">
        <f t="shared" si="315"/>
        <v/>
      </c>
      <c r="W2559" s="59" t="str">
        <f t="shared" si="312"/>
        <v/>
      </c>
      <c r="X2559" s="59" t="str">
        <f t="shared" si="316"/>
        <v/>
      </c>
      <c r="AC2559" s="50">
        <f t="shared" si="317"/>
        <v>0</v>
      </c>
      <c r="AD2559" s="43">
        <f t="shared" si="318"/>
        <v>0</v>
      </c>
      <c r="AE2559" s="50">
        <f t="shared" si="319"/>
        <v>0</v>
      </c>
    </row>
    <row r="2560" spans="1:31">
      <c r="A2560" s="59" t="str">
        <f t="shared" si="313"/>
        <v/>
      </c>
      <c r="B2560" s="59" t="str">
        <f t="shared" si="314"/>
        <v/>
      </c>
      <c r="V2560" s="59" t="str">
        <f t="shared" si="315"/>
        <v/>
      </c>
      <c r="W2560" s="59" t="str">
        <f t="shared" si="312"/>
        <v/>
      </c>
      <c r="X2560" s="59" t="str">
        <f t="shared" si="316"/>
        <v/>
      </c>
      <c r="AC2560" s="50">
        <f t="shared" si="317"/>
        <v>0</v>
      </c>
      <c r="AD2560" s="43">
        <f t="shared" si="318"/>
        <v>0</v>
      </c>
      <c r="AE2560" s="50">
        <f t="shared" si="319"/>
        <v>0</v>
      </c>
    </row>
    <row r="2561" spans="1:31">
      <c r="A2561" s="59" t="str">
        <f t="shared" si="313"/>
        <v/>
      </c>
      <c r="B2561" s="59" t="str">
        <f t="shared" si="314"/>
        <v/>
      </c>
      <c r="V2561" s="59" t="str">
        <f t="shared" si="315"/>
        <v/>
      </c>
      <c r="W2561" s="59" t="str">
        <f t="shared" si="312"/>
        <v/>
      </c>
      <c r="X2561" s="59" t="str">
        <f t="shared" si="316"/>
        <v/>
      </c>
      <c r="AC2561" s="50">
        <f t="shared" si="317"/>
        <v>0</v>
      </c>
      <c r="AD2561" s="43">
        <f t="shared" si="318"/>
        <v>0</v>
      </c>
      <c r="AE2561" s="50">
        <f t="shared" si="319"/>
        <v>0</v>
      </c>
    </row>
    <row r="2562" spans="1:31">
      <c r="A2562" s="59" t="str">
        <f t="shared" si="313"/>
        <v/>
      </c>
      <c r="B2562" s="59" t="str">
        <f t="shared" si="314"/>
        <v/>
      </c>
      <c r="V2562" s="59" t="str">
        <f t="shared" si="315"/>
        <v/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59" t="str">
        <f t="shared" si="316"/>
        <v/>
      </c>
      <c r="AC2562" s="50">
        <f t="shared" si="317"/>
        <v>0</v>
      </c>
      <c r="AD2562" s="43">
        <f t="shared" si="318"/>
        <v>0</v>
      </c>
      <c r="AE2562" s="50">
        <f t="shared" si="319"/>
        <v>0</v>
      </c>
    </row>
    <row r="2563" spans="1:31">
      <c r="A2563" s="59" t="str">
        <f t="shared" ref="A2563:A2626" si="321">IF(G2563&amp;Q2563&lt;&gt;"",W2563&amp;Q2563,"")</f>
        <v/>
      </c>
      <c r="B2563" s="59" t="str">
        <f t="shared" ref="B2563:B2626" si="322">IF(C2563&lt;&gt;"",LEFT(C2563,9),"")</f>
        <v/>
      </c>
      <c r="V2563" s="59" t="str">
        <f t="shared" ref="V2563:V2626" si="323">W2563&amp;H2563</f>
        <v/>
      </c>
      <c r="W2563" s="59" t="str">
        <f t="shared" si="320"/>
        <v/>
      </c>
      <c r="X2563" s="59" t="str">
        <f t="shared" ref="X2563:X2626" si="324">IF(A2563&lt;&gt;"",IFERROR(IF(FIND(" ",G2563)&gt;=1,MID(G2563,FIND(" ",G2563)+1,LEN(G2563)),""),""),"")</f>
        <v/>
      </c>
      <c r="AC2563" s="50">
        <f t="shared" ref="AC2563:AC2626" si="325">IFERROR(VALUE(MID($C2563,1,2)),0)</f>
        <v>0</v>
      </c>
      <c r="AD2563" s="43">
        <f t="shared" ref="AD2563:AD2626" si="326">IFERROR(VALUE(MID($C2563,4,3)),0)</f>
        <v>0</v>
      </c>
      <c r="AE2563" s="50">
        <f t="shared" ref="AE2563:AE2626" si="327">VALUE(RIGHT("00"&amp;AC2563,2)&amp;RIGHT("000"&amp;AD2563,3))</f>
        <v>0</v>
      </c>
    </row>
    <row r="2564" spans="1:31">
      <c r="A2564" s="59" t="str">
        <f t="shared" si="321"/>
        <v/>
      </c>
      <c r="B2564" s="59" t="str">
        <f t="shared" si="322"/>
        <v/>
      </c>
      <c r="V2564" s="59" t="str">
        <f t="shared" si="323"/>
        <v/>
      </c>
      <c r="W2564" s="59" t="str">
        <f t="shared" si="320"/>
        <v/>
      </c>
      <c r="X2564" s="59" t="str">
        <f t="shared" si="324"/>
        <v/>
      </c>
      <c r="AC2564" s="50">
        <f t="shared" si="325"/>
        <v>0</v>
      </c>
      <c r="AD2564" s="43">
        <f t="shared" si="326"/>
        <v>0</v>
      </c>
      <c r="AE2564" s="50">
        <f t="shared" si="327"/>
        <v>0</v>
      </c>
    </row>
    <row r="2565" spans="1:31">
      <c r="A2565" s="59" t="str">
        <f t="shared" si="321"/>
        <v/>
      </c>
      <c r="B2565" s="59" t="str">
        <f t="shared" si="322"/>
        <v/>
      </c>
      <c r="V2565" s="59" t="str">
        <f t="shared" si="323"/>
        <v/>
      </c>
      <c r="W2565" s="59" t="str">
        <f t="shared" si="320"/>
        <v/>
      </c>
      <c r="X2565" s="59" t="str">
        <f t="shared" si="324"/>
        <v/>
      </c>
      <c r="AC2565" s="50">
        <f t="shared" si="325"/>
        <v>0</v>
      </c>
      <c r="AD2565" s="43">
        <f t="shared" si="326"/>
        <v>0</v>
      </c>
      <c r="AE2565" s="50">
        <f t="shared" si="327"/>
        <v>0</v>
      </c>
    </row>
    <row r="2566" spans="1:31">
      <c r="A2566" s="59" t="str">
        <f t="shared" si="321"/>
        <v/>
      </c>
      <c r="B2566" s="59" t="str">
        <f t="shared" si="322"/>
        <v/>
      </c>
      <c r="V2566" s="59" t="str">
        <f t="shared" si="323"/>
        <v/>
      </c>
      <c r="W2566" s="59" t="str">
        <f t="shared" si="320"/>
        <v/>
      </c>
      <c r="X2566" s="59" t="str">
        <f t="shared" si="324"/>
        <v/>
      </c>
      <c r="AC2566" s="50">
        <f t="shared" si="325"/>
        <v>0</v>
      </c>
      <c r="AD2566" s="43">
        <f t="shared" si="326"/>
        <v>0</v>
      </c>
      <c r="AE2566" s="50">
        <f t="shared" si="327"/>
        <v>0</v>
      </c>
    </row>
    <row r="2567" spans="1:31">
      <c r="A2567" s="59" t="str">
        <f t="shared" si="321"/>
        <v/>
      </c>
      <c r="B2567" s="59" t="str">
        <f t="shared" si="322"/>
        <v/>
      </c>
      <c r="V2567" s="59" t="str">
        <f t="shared" si="323"/>
        <v/>
      </c>
      <c r="W2567" s="59" t="str">
        <f t="shared" si="320"/>
        <v/>
      </c>
      <c r="X2567" s="59" t="str">
        <f t="shared" si="324"/>
        <v/>
      </c>
      <c r="AC2567" s="50">
        <f t="shared" si="325"/>
        <v>0</v>
      </c>
      <c r="AD2567" s="43">
        <f t="shared" si="326"/>
        <v>0</v>
      </c>
      <c r="AE2567" s="50">
        <f t="shared" si="327"/>
        <v>0</v>
      </c>
    </row>
    <row r="2568" spans="1:31">
      <c r="A2568" s="59" t="str">
        <f t="shared" si="321"/>
        <v/>
      </c>
      <c r="B2568" s="59" t="str">
        <f t="shared" si="322"/>
        <v/>
      </c>
      <c r="V2568" s="59" t="str">
        <f t="shared" si="323"/>
        <v/>
      </c>
      <c r="W2568" s="59" t="str">
        <f t="shared" si="320"/>
        <v/>
      </c>
      <c r="X2568" s="59" t="str">
        <f t="shared" si="324"/>
        <v/>
      </c>
      <c r="AC2568" s="50">
        <f t="shared" si="325"/>
        <v>0</v>
      </c>
      <c r="AD2568" s="43">
        <f t="shared" si="326"/>
        <v>0</v>
      </c>
      <c r="AE2568" s="50">
        <f t="shared" si="327"/>
        <v>0</v>
      </c>
    </row>
    <row r="2569" spans="1:31">
      <c r="A2569" s="59" t="str">
        <f t="shared" si="321"/>
        <v/>
      </c>
      <c r="B2569" s="59" t="str">
        <f t="shared" si="322"/>
        <v/>
      </c>
      <c r="V2569" s="59" t="str">
        <f t="shared" si="323"/>
        <v/>
      </c>
      <c r="W2569" s="59" t="str">
        <f t="shared" si="320"/>
        <v/>
      </c>
      <c r="X2569" s="59" t="str">
        <f t="shared" si="324"/>
        <v/>
      </c>
      <c r="AC2569" s="50">
        <f t="shared" si="325"/>
        <v>0</v>
      </c>
      <c r="AD2569" s="43">
        <f t="shared" si="326"/>
        <v>0</v>
      </c>
      <c r="AE2569" s="50">
        <f t="shared" si="327"/>
        <v>0</v>
      </c>
    </row>
    <row r="2570" spans="1:31">
      <c r="A2570" s="59" t="str">
        <f t="shared" si="321"/>
        <v/>
      </c>
      <c r="B2570" s="59" t="str">
        <f t="shared" si="322"/>
        <v/>
      </c>
      <c r="V2570" s="59" t="str">
        <f t="shared" si="323"/>
        <v/>
      </c>
      <c r="W2570" s="59" t="str">
        <f t="shared" si="320"/>
        <v/>
      </c>
      <c r="X2570" s="59" t="str">
        <f t="shared" si="324"/>
        <v/>
      </c>
      <c r="AC2570" s="50">
        <f t="shared" si="325"/>
        <v>0</v>
      </c>
      <c r="AD2570" s="43">
        <f t="shared" si="326"/>
        <v>0</v>
      </c>
      <c r="AE2570" s="50">
        <f t="shared" si="327"/>
        <v>0</v>
      </c>
    </row>
    <row r="2571" spans="1:31">
      <c r="A2571" s="59" t="str">
        <f t="shared" si="321"/>
        <v/>
      </c>
      <c r="B2571" s="59" t="str">
        <f t="shared" si="322"/>
        <v/>
      </c>
      <c r="V2571" s="59" t="str">
        <f t="shared" si="323"/>
        <v/>
      </c>
      <c r="W2571" s="59" t="str">
        <f t="shared" si="320"/>
        <v/>
      </c>
      <c r="X2571" s="59" t="str">
        <f t="shared" si="324"/>
        <v/>
      </c>
      <c r="AC2571" s="50">
        <f t="shared" si="325"/>
        <v>0</v>
      </c>
      <c r="AD2571" s="43">
        <f t="shared" si="326"/>
        <v>0</v>
      </c>
      <c r="AE2571" s="50">
        <f t="shared" si="327"/>
        <v>0</v>
      </c>
    </row>
    <row r="2572" spans="1:31">
      <c r="A2572" s="59" t="str">
        <f t="shared" si="321"/>
        <v/>
      </c>
      <c r="B2572" s="59" t="str">
        <f t="shared" si="322"/>
        <v/>
      </c>
      <c r="V2572" s="59" t="str">
        <f t="shared" si="323"/>
        <v/>
      </c>
      <c r="W2572" s="59" t="str">
        <f t="shared" si="320"/>
        <v/>
      </c>
      <c r="X2572" s="59" t="str">
        <f t="shared" si="324"/>
        <v/>
      </c>
      <c r="AC2572" s="50">
        <f t="shared" si="325"/>
        <v>0</v>
      </c>
      <c r="AD2572" s="43">
        <f t="shared" si="326"/>
        <v>0</v>
      </c>
      <c r="AE2572" s="50">
        <f t="shared" si="327"/>
        <v>0</v>
      </c>
    </row>
    <row r="2573" spans="1:31">
      <c r="A2573" s="59" t="str">
        <f t="shared" si="321"/>
        <v/>
      </c>
      <c r="B2573" s="59" t="str">
        <f t="shared" si="322"/>
        <v/>
      </c>
      <c r="V2573" s="59" t="str">
        <f t="shared" si="323"/>
        <v/>
      </c>
      <c r="W2573" s="59" t="str">
        <f t="shared" si="320"/>
        <v/>
      </c>
      <c r="X2573" s="59" t="str">
        <f t="shared" si="324"/>
        <v/>
      </c>
      <c r="AC2573" s="50">
        <f t="shared" si="325"/>
        <v>0</v>
      </c>
      <c r="AD2573" s="43">
        <f t="shared" si="326"/>
        <v>0</v>
      </c>
      <c r="AE2573" s="50">
        <f t="shared" si="327"/>
        <v>0</v>
      </c>
    </row>
    <row r="2574" spans="1:31">
      <c r="A2574" s="59" t="str">
        <f t="shared" si="321"/>
        <v/>
      </c>
      <c r="B2574" s="59" t="str">
        <f t="shared" si="322"/>
        <v/>
      </c>
      <c r="V2574" s="59" t="str">
        <f t="shared" si="323"/>
        <v/>
      </c>
      <c r="W2574" s="59" t="str">
        <f t="shared" si="320"/>
        <v/>
      </c>
      <c r="X2574" s="59" t="str">
        <f t="shared" si="324"/>
        <v/>
      </c>
      <c r="AC2574" s="50">
        <f t="shared" si="325"/>
        <v>0</v>
      </c>
      <c r="AD2574" s="43">
        <f t="shared" si="326"/>
        <v>0</v>
      </c>
      <c r="AE2574" s="50">
        <f t="shared" si="327"/>
        <v>0</v>
      </c>
    </row>
    <row r="2575" spans="1:31">
      <c r="A2575" s="59" t="str">
        <f t="shared" si="321"/>
        <v/>
      </c>
      <c r="B2575" s="59" t="str">
        <f t="shared" si="322"/>
        <v/>
      </c>
      <c r="V2575" s="59" t="str">
        <f t="shared" si="323"/>
        <v/>
      </c>
      <c r="W2575" s="59" t="str">
        <f t="shared" si="320"/>
        <v/>
      </c>
      <c r="X2575" s="59" t="str">
        <f t="shared" si="324"/>
        <v/>
      </c>
      <c r="AC2575" s="50">
        <f t="shared" si="325"/>
        <v>0</v>
      </c>
      <c r="AD2575" s="43">
        <f t="shared" si="326"/>
        <v>0</v>
      </c>
      <c r="AE2575" s="50">
        <f t="shared" si="327"/>
        <v>0</v>
      </c>
    </row>
    <row r="2576" spans="1:31">
      <c r="A2576" s="59" t="str">
        <f t="shared" si="321"/>
        <v/>
      </c>
      <c r="B2576" s="59" t="str">
        <f t="shared" si="322"/>
        <v/>
      </c>
      <c r="V2576" s="59" t="str">
        <f t="shared" si="323"/>
        <v/>
      </c>
      <c r="W2576" s="59" t="str">
        <f t="shared" si="320"/>
        <v/>
      </c>
      <c r="X2576" s="59" t="str">
        <f t="shared" si="324"/>
        <v/>
      </c>
      <c r="AC2576" s="50">
        <f t="shared" si="325"/>
        <v>0</v>
      </c>
      <c r="AD2576" s="43">
        <f t="shared" si="326"/>
        <v>0</v>
      </c>
      <c r="AE2576" s="50">
        <f t="shared" si="327"/>
        <v>0</v>
      </c>
    </row>
    <row r="2577" spans="1:31">
      <c r="A2577" s="59" t="str">
        <f t="shared" si="321"/>
        <v/>
      </c>
      <c r="B2577" s="59" t="str">
        <f t="shared" si="322"/>
        <v/>
      </c>
      <c r="V2577" s="59" t="str">
        <f t="shared" si="323"/>
        <v/>
      </c>
      <c r="W2577" s="59" t="str">
        <f t="shared" si="320"/>
        <v/>
      </c>
      <c r="X2577" s="59" t="str">
        <f t="shared" si="324"/>
        <v/>
      </c>
      <c r="AC2577" s="50">
        <f t="shared" si="325"/>
        <v>0</v>
      </c>
      <c r="AD2577" s="43">
        <f t="shared" si="326"/>
        <v>0</v>
      </c>
      <c r="AE2577" s="50">
        <f t="shared" si="327"/>
        <v>0</v>
      </c>
    </row>
    <row r="2578" spans="1:31">
      <c r="A2578" s="59" t="str">
        <f t="shared" si="321"/>
        <v/>
      </c>
      <c r="B2578" s="59" t="str">
        <f t="shared" si="322"/>
        <v/>
      </c>
      <c r="V2578" s="59" t="str">
        <f t="shared" si="323"/>
        <v/>
      </c>
      <c r="W2578" s="59" t="str">
        <f t="shared" si="320"/>
        <v/>
      </c>
      <c r="X2578" s="59" t="str">
        <f t="shared" si="324"/>
        <v/>
      </c>
      <c r="AC2578" s="50">
        <f t="shared" si="325"/>
        <v>0</v>
      </c>
      <c r="AD2578" s="43">
        <f t="shared" si="326"/>
        <v>0</v>
      </c>
      <c r="AE2578" s="50">
        <f t="shared" si="327"/>
        <v>0</v>
      </c>
    </row>
    <row r="2579" spans="1:31">
      <c r="A2579" s="59" t="str">
        <f t="shared" si="321"/>
        <v/>
      </c>
      <c r="B2579" s="59" t="str">
        <f t="shared" si="322"/>
        <v/>
      </c>
      <c r="V2579" s="59" t="str">
        <f t="shared" si="323"/>
        <v/>
      </c>
      <c r="W2579" s="59" t="str">
        <f t="shared" si="320"/>
        <v/>
      </c>
      <c r="X2579" s="59" t="str">
        <f t="shared" si="324"/>
        <v/>
      </c>
      <c r="AC2579" s="50">
        <f t="shared" si="325"/>
        <v>0</v>
      </c>
      <c r="AD2579" s="43">
        <f t="shared" si="326"/>
        <v>0</v>
      </c>
      <c r="AE2579" s="50">
        <f t="shared" si="327"/>
        <v>0</v>
      </c>
    </row>
    <row r="2580" spans="1:31">
      <c r="A2580" s="59" t="str">
        <f t="shared" si="321"/>
        <v/>
      </c>
      <c r="B2580" s="59" t="str">
        <f t="shared" si="322"/>
        <v/>
      </c>
      <c r="V2580" s="59" t="str">
        <f t="shared" si="323"/>
        <v/>
      </c>
      <c r="W2580" s="59" t="str">
        <f t="shared" si="320"/>
        <v/>
      </c>
      <c r="X2580" s="59" t="str">
        <f t="shared" si="324"/>
        <v/>
      </c>
      <c r="AC2580" s="50">
        <f t="shared" si="325"/>
        <v>0</v>
      </c>
      <c r="AD2580" s="43">
        <f t="shared" si="326"/>
        <v>0</v>
      </c>
      <c r="AE2580" s="50">
        <f t="shared" si="327"/>
        <v>0</v>
      </c>
    </row>
    <row r="2581" spans="1:31">
      <c r="A2581" s="59" t="str">
        <f t="shared" si="321"/>
        <v/>
      </c>
      <c r="B2581" s="59" t="str">
        <f t="shared" si="322"/>
        <v/>
      </c>
      <c r="V2581" s="59" t="str">
        <f t="shared" si="323"/>
        <v/>
      </c>
      <c r="W2581" s="59" t="str">
        <f t="shared" si="320"/>
        <v/>
      </c>
      <c r="X2581" s="59" t="str">
        <f t="shared" si="324"/>
        <v/>
      </c>
      <c r="AC2581" s="50">
        <f t="shared" si="325"/>
        <v>0</v>
      </c>
      <c r="AD2581" s="43">
        <f t="shared" si="326"/>
        <v>0</v>
      </c>
      <c r="AE2581" s="50">
        <f t="shared" si="327"/>
        <v>0</v>
      </c>
    </row>
    <row r="2582" spans="1:31">
      <c r="A2582" s="59" t="str">
        <f t="shared" si="321"/>
        <v/>
      </c>
      <c r="B2582" s="59" t="str">
        <f t="shared" si="322"/>
        <v/>
      </c>
      <c r="V2582" s="59" t="str">
        <f t="shared" si="323"/>
        <v/>
      </c>
      <c r="W2582" s="59" t="str">
        <f t="shared" si="320"/>
        <v/>
      </c>
      <c r="X2582" s="59" t="str">
        <f t="shared" si="324"/>
        <v/>
      </c>
      <c r="AC2582" s="50">
        <f t="shared" si="325"/>
        <v>0</v>
      </c>
      <c r="AD2582" s="43">
        <f t="shared" si="326"/>
        <v>0</v>
      </c>
      <c r="AE2582" s="50">
        <f t="shared" si="327"/>
        <v>0</v>
      </c>
    </row>
    <row r="2583" spans="1:31">
      <c r="A2583" s="59" t="str">
        <f t="shared" si="321"/>
        <v/>
      </c>
      <c r="B2583" s="59" t="str">
        <f t="shared" si="322"/>
        <v/>
      </c>
      <c r="V2583" s="59" t="str">
        <f t="shared" si="323"/>
        <v/>
      </c>
      <c r="W2583" s="59" t="str">
        <f t="shared" si="320"/>
        <v/>
      </c>
      <c r="X2583" s="59" t="str">
        <f t="shared" si="324"/>
        <v/>
      </c>
      <c r="AC2583" s="50">
        <f t="shared" si="325"/>
        <v>0</v>
      </c>
      <c r="AD2583" s="43">
        <f t="shared" si="326"/>
        <v>0</v>
      </c>
      <c r="AE2583" s="50">
        <f t="shared" si="327"/>
        <v>0</v>
      </c>
    </row>
    <row r="2584" spans="1:31">
      <c r="A2584" s="59" t="str">
        <f t="shared" si="321"/>
        <v/>
      </c>
      <c r="B2584" s="59" t="str">
        <f t="shared" si="322"/>
        <v/>
      </c>
      <c r="V2584" s="59" t="str">
        <f t="shared" si="323"/>
        <v/>
      </c>
      <c r="W2584" s="59" t="str">
        <f t="shared" si="320"/>
        <v/>
      </c>
      <c r="X2584" s="59" t="str">
        <f t="shared" si="324"/>
        <v/>
      </c>
      <c r="AC2584" s="50">
        <f t="shared" si="325"/>
        <v>0</v>
      </c>
      <c r="AD2584" s="43">
        <f t="shared" si="326"/>
        <v>0</v>
      </c>
      <c r="AE2584" s="50">
        <f t="shared" si="327"/>
        <v>0</v>
      </c>
    </row>
    <row r="2585" spans="1:31">
      <c r="A2585" s="59" t="str">
        <f t="shared" si="321"/>
        <v/>
      </c>
      <c r="B2585" s="59" t="str">
        <f t="shared" si="322"/>
        <v/>
      </c>
      <c r="V2585" s="59" t="str">
        <f t="shared" si="323"/>
        <v/>
      </c>
      <c r="W2585" s="59" t="str">
        <f t="shared" si="320"/>
        <v/>
      </c>
      <c r="X2585" s="59" t="str">
        <f t="shared" si="324"/>
        <v/>
      </c>
      <c r="AC2585" s="50">
        <f t="shared" si="325"/>
        <v>0</v>
      </c>
      <c r="AD2585" s="43">
        <f t="shared" si="326"/>
        <v>0</v>
      </c>
      <c r="AE2585" s="50">
        <f t="shared" si="327"/>
        <v>0</v>
      </c>
    </row>
    <row r="2586" spans="1:31">
      <c r="A2586" s="59" t="str">
        <f t="shared" si="321"/>
        <v/>
      </c>
      <c r="B2586" s="59" t="str">
        <f t="shared" si="322"/>
        <v/>
      </c>
      <c r="V2586" s="59" t="str">
        <f t="shared" si="323"/>
        <v/>
      </c>
      <c r="W2586" s="59" t="str">
        <f t="shared" si="320"/>
        <v/>
      </c>
      <c r="X2586" s="59" t="str">
        <f t="shared" si="324"/>
        <v/>
      </c>
      <c r="AC2586" s="50">
        <f t="shared" si="325"/>
        <v>0</v>
      </c>
      <c r="AD2586" s="43">
        <f t="shared" si="326"/>
        <v>0</v>
      </c>
      <c r="AE2586" s="50">
        <f t="shared" si="327"/>
        <v>0</v>
      </c>
    </row>
    <row r="2587" spans="1:31">
      <c r="A2587" s="59" t="str">
        <f t="shared" si="321"/>
        <v/>
      </c>
      <c r="B2587" s="59" t="str">
        <f t="shared" si="322"/>
        <v/>
      </c>
      <c r="V2587" s="59" t="str">
        <f t="shared" si="323"/>
        <v/>
      </c>
      <c r="W2587" s="59" t="str">
        <f t="shared" si="320"/>
        <v/>
      </c>
      <c r="X2587" s="59" t="str">
        <f t="shared" si="324"/>
        <v/>
      </c>
      <c r="AC2587" s="50">
        <f t="shared" si="325"/>
        <v>0</v>
      </c>
      <c r="AD2587" s="43">
        <f t="shared" si="326"/>
        <v>0</v>
      </c>
      <c r="AE2587" s="50">
        <f t="shared" si="327"/>
        <v>0</v>
      </c>
    </row>
    <row r="2588" spans="1:31">
      <c r="A2588" s="59" t="str">
        <f t="shared" si="321"/>
        <v/>
      </c>
      <c r="B2588" s="59" t="str">
        <f t="shared" si="322"/>
        <v/>
      </c>
      <c r="V2588" s="59" t="str">
        <f t="shared" si="323"/>
        <v/>
      </c>
      <c r="W2588" s="59" t="str">
        <f t="shared" si="320"/>
        <v/>
      </c>
      <c r="X2588" s="59" t="str">
        <f t="shared" si="324"/>
        <v/>
      </c>
      <c r="AC2588" s="50">
        <f t="shared" si="325"/>
        <v>0</v>
      </c>
      <c r="AD2588" s="43">
        <f t="shared" si="326"/>
        <v>0</v>
      </c>
      <c r="AE2588" s="50">
        <f t="shared" si="327"/>
        <v>0</v>
      </c>
    </row>
    <row r="2589" spans="1:31">
      <c r="A2589" s="59" t="str">
        <f t="shared" si="321"/>
        <v/>
      </c>
      <c r="B2589" s="59" t="str">
        <f t="shared" si="322"/>
        <v/>
      </c>
      <c r="V2589" s="59" t="str">
        <f t="shared" si="323"/>
        <v/>
      </c>
      <c r="W2589" s="59" t="str">
        <f t="shared" si="320"/>
        <v/>
      </c>
      <c r="X2589" s="59" t="str">
        <f t="shared" si="324"/>
        <v/>
      </c>
      <c r="AC2589" s="50">
        <f t="shared" si="325"/>
        <v>0</v>
      </c>
      <c r="AD2589" s="43">
        <f t="shared" si="326"/>
        <v>0</v>
      </c>
      <c r="AE2589" s="50">
        <f t="shared" si="327"/>
        <v>0</v>
      </c>
    </row>
    <row r="2590" spans="1:31">
      <c r="A2590" s="59" t="str">
        <f t="shared" si="321"/>
        <v/>
      </c>
      <c r="B2590" s="59" t="str">
        <f t="shared" si="322"/>
        <v/>
      </c>
      <c r="V2590" s="59" t="str">
        <f t="shared" si="323"/>
        <v/>
      </c>
      <c r="W2590" s="59" t="str">
        <f t="shared" si="320"/>
        <v/>
      </c>
      <c r="X2590" s="59" t="str">
        <f t="shared" si="324"/>
        <v/>
      </c>
      <c r="AC2590" s="50">
        <f t="shared" si="325"/>
        <v>0</v>
      </c>
      <c r="AD2590" s="43">
        <f t="shared" si="326"/>
        <v>0</v>
      </c>
      <c r="AE2590" s="50">
        <f t="shared" si="327"/>
        <v>0</v>
      </c>
    </row>
    <row r="2591" spans="1:31">
      <c r="A2591" s="59" t="str">
        <f t="shared" si="321"/>
        <v/>
      </c>
      <c r="B2591" s="59" t="str">
        <f t="shared" si="322"/>
        <v/>
      </c>
      <c r="V2591" s="59" t="str">
        <f t="shared" si="323"/>
        <v/>
      </c>
      <c r="W2591" s="59" t="str">
        <f t="shared" si="320"/>
        <v/>
      </c>
      <c r="X2591" s="59" t="str">
        <f t="shared" si="324"/>
        <v/>
      </c>
      <c r="AC2591" s="50">
        <f t="shared" si="325"/>
        <v>0</v>
      </c>
      <c r="AD2591" s="43">
        <f t="shared" si="326"/>
        <v>0</v>
      </c>
      <c r="AE2591" s="50">
        <f t="shared" si="327"/>
        <v>0</v>
      </c>
    </row>
    <row r="2592" spans="1:31">
      <c r="A2592" s="59" t="str">
        <f t="shared" si="321"/>
        <v/>
      </c>
      <c r="B2592" s="59" t="str">
        <f t="shared" si="322"/>
        <v/>
      </c>
      <c r="V2592" s="59" t="str">
        <f t="shared" si="323"/>
        <v/>
      </c>
      <c r="W2592" s="59" t="str">
        <f t="shared" si="320"/>
        <v/>
      </c>
      <c r="X2592" s="59" t="str">
        <f t="shared" si="324"/>
        <v/>
      </c>
      <c r="AC2592" s="50">
        <f t="shared" si="325"/>
        <v>0</v>
      </c>
      <c r="AD2592" s="43">
        <f t="shared" si="326"/>
        <v>0</v>
      </c>
      <c r="AE2592" s="50">
        <f t="shared" si="327"/>
        <v>0</v>
      </c>
    </row>
    <row r="2593" spans="1:31">
      <c r="A2593" s="59" t="str">
        <f t="shared" si="321"/>
        <v/>
      </c>
      <c r="B2593" s="59" t="str">
        <f t="shared" si="322"/>
        <v/>
      </c>
      <c r="V2593" s="59" t="str">
        <f t="shared" si="323"/>
        <v/>
      </c>
      <c r="W2593" s="59" t="str">
        <f t="shared" si="320"/>
        <v/>
      </c>
      <c r="X2593" s="59" t="str">
        <f t="shared" si="324"/>
        <v/>
      </c>
      <c r="AC2593" s="50">
        <f t="shared" si="325"/>
        <v>0</v>
      </c>
      <c r="AD2593" s="43">
        <f t="shared" si="326"/>
        <v>0</v>
      </c>
      <c r="AE2593" s="50">
        <f t="shared" si="327"/>
        <v>0</v>
      </c>
    </row>
    <row r="2594" spans="1:31">
      <c r="A2594" s="59" t="str">
        <f t="shared" si="321"/>
        <v/>
      </c>
      <c r="B2594" s="59" t="str">
        <f t="shared" si="322"/>
        <v/>
      </c>
      <c r="V2594" s="59" t="str">
        <f t="shared" si="323"/>
        <v/>
      </c>
      <c r="W2594" s="59" t="str">
        <f t="shared" si="320"/>
        <v/>
      </c>
      <c r="X2594" s="59" t="str">
        <f t="shared" si="324"/>
        <v/>
      </c>
      <c r="AC2594" s="50">
        <f t="shared" si="325"/>
        <v>0</v>
      </c>
      <c r="AD2594" s="43">
        <f t="shared" si="326"/>
        <v>0</v>
      </c>
      <c r="AE2594" s="50">
        <f t="shared" si="327"/>
        <v>0</v>
      </c>
    </row>
    <row r="2595" spans="1:31">
      <c r="A2595" s="59" t="str">
        <f t="shared" si="321"/>
        <v/>
      </c>
      <c r="B2595" s="59" t="str">
        <f t="shared" si="322"/>
        <v/>
      </c>
      <c r="V2595" s="59" t="str">
        <f t="shared" si="323"/>
        <v/>
      </c>
      <c r="W2595" s="59" t="str">
        <f t="shared" si="320"/>
        <v/>
      </c>
      <c r="X2595" s="59" t="str">
        <f t="shared" si="324"/>
        <v/>
      </c>
      <c r="AC2595" s="50">
        <f t="shared" si="325"/>
        <v>0</v>
      </c>
      <c r="AD2595" s="43">
        <f t="shared" si="326"/>
        <v>0</v>
      </c>
      <c r="AE2595" s="50">
        <f t="shared" si="327"/>
        <v>0</v>
      </c>
    </row>
    <row r="2596" spans="1:31">
      <c r="A2596" s="59" t="str">
        <f t="shared" si="321"/>
        <v/>
      </c>
      <c r="B2596" s="59" t="str">
        <f t="shared" si="322"/>
        <v/>
      </c>
      <c r="V2596" s="59" t="str">
        <f t="shared" si="323"/>
        <v/>
      </c>
      <c r="W2596" s="59" t="str">
        <f t="shared" si="320"/>
        <v/>
      </c>
      <c r="X2596" s="59" t="str">
        <f t="shared" si="324"/>
        <v/>
      </c>
      <c r="AC2596" s="50">
        <f t="shared" si="325"/>
        <v>0</v>
      </c>
      <c r="AD2596" s="43">
        <f t="shared" si="326"/>
        <v>0</v>
      </c>
      <c r="AE2596" s="50">
        <f t="shared" si="327"/>
        <v>0</v>
      </c>
    </row>
    <row r="2597" spans="1:31">
      <c r="A2597" s="59" t="str">
        <f t="shared" si="321"/>
        <v/>
      </c>
      <c r="B2597" s="59" t="str">
        <f t="shared" si="322"/>
        <v/>
      </c>
      <c r="V2597" s="59" t="str">
        <f t="shared" si="323"/>
        <v/>
      </c>
      <c r="W2597" s="59" t="str">
        <f t="shared" si="320"/>
        <v/>
      </c>
      <c r="X2597" s="59" t="str">
        <f t="shared" si="324"/>
        <v/>
      </c>
      <c r="AC2597" s="50">
        <f t="shared" si="325"/>
        <v>0</v>
      </c>
      <c r="AD2597" s="43">
        <f t="shared" si="326"/>
        <v>0</v>
      </c>
      <c r="AE2597" s="50">
        <f t="shared" si="327"/>
        <v>0</v>
      </c>
    </row>
    <row r="2598" spans="1:31">
      <c r="A2598" s="59" t="str">
        <f t="shared" si="321"/>
        <v/>
      </c>
      <c r="B2598" s="59" t="str">
        <f t="shared" si="322"/>
        <v/>
      </c>
      <c r="V2598" s="59" t="str">
        <f t="shared" si="323"/>
        <v/>
      </c>
      <c r="W2598" s="59" t="str">
        <f t="shared" si="320"/>
        <v/>
      </c>
      <c r="X2598" s="59" t="str">
        <f t="shared" si="324"/>
        <v/>
      </c>
      <c r="AC2598" s="50">
        <f t="shared" si="325"/>
        <v>0</v>
      </c>
      <c r="AD2598" s="43">
        <f t="shared" si="326"/>
        <v>0</v>
      </c>
      <c r="AE2598" s="50">
        <f t="shared" si="327"/>
        <v>0</v>
      </c>
    </row>
    <row r="2599" spans="1:31">
      <c r="A2599" s="59" t="str">
        <f t="shared" si="321"/>
        <v/>
      </c>
      <c r="B2599" s="59" t="str">
        <f t="shared" si="322"/>
        <v/>
      </c>
      <c r="V2599" s="59" t="str">
        <f t="shared" si="323"/>
        <v/>
      </c>
      <c r="W2599" s="59" t="str">
        <f t="shared" si="320"/>
        <v/>
      </c>
      <c r="X2599" s="59" t="str">
        <f t="shared" si="324"/>
        <v/>
      </c>
      <c r="AC2599" s="50">
        <f t="shared" si="325"/>
        <v>0</v>
      </c>
      <c r="AD2599" s="43">
        <f t="shared" si="326"/>
        <v>0</v>
      </c>
      <c r="AE2599" s="50">
        <f t="shared" si="327"/>
        <v>0</v>
      </c>
    </row>
    <row r="2600" spans="1:31">
      <c r="A2600" s="59" t="str">
        <f t="shared" si="321"/>
        <v/>
      </c>
      <c r="B2600" s="59" t="str">
        <f t="shared" si="322"/>
        <v/>
      </c>
      <c r="V2600" s="59" t="str">
        <f t="shared" si="323"/>
        <v/>
      </c>
      <c r="W2600" s="59" t="str">
        <f t="shared" si="320"/>
        <v/>
      </c>
      <c r="X2600" s="59" t="str">
        <f t="shared" si="324"/>
        <v/>
      </c>
      <c r="AC2600" s="50">
        <f t="shared" si="325"/>
        <v>0</v>
      </c>
      <c r="AD2600" s="43">
        <f t="shared" si="326"/>
        <v>0</v>
      </c>
      <c r="AE2600" s="50">
        <f t="shared" si="327"/>
        <v>0</v>
      </c>
    </row>
    <row r="2601" spans="1:31">
      <c r="A2601" s="59" t="str">
        <f t="shared" si="321"/>
        <v/>
      </c>
      <c r="B2601" s="59" t="str">
        <f t="shared" si="322"/>
        <v/>
      </c>
      <c r="V2601" s="59" t="str">
        <f t="shared" si="323"/>
        <v/>
      </c>
      <c r="W2601" s="59" t="str">
        <f t="shared" si="320"/>
        <v/>
      </c>
      <c r="X2601" s="59" t="str">
        <f t="shared" si="324"/>
        <v/>
      </c>
      <c r="AC2601" s="50">
        <f t="shared" si="325"/>
        <v>0</v>
      </c>
      <c r="AD2601" s="43">
        <f t="shared" si="326"/>
        <v>0</v>
      </c>
      <c r="AE2601" s="50">
        <f t="shared" si="327"/>
        <v>0</v>
      </c>
    </row>
    <row r="2602" spans="1:31">
      <c r="A2602" s="59" t="str">
        <f t="shared" si="321"/>
        <v/>
      </c>
      <c r="B2602" s="59" t="str">
        <f t="shared" si="322"/>
        <v/>
      </c>
      <c r="V2602" s="59" t="str">
        <f t="shared" si="323"/>
        <v/>
      </c>
      <c r="W2602" s="59" t="str">
        <f t="shared" si="320"/>
        <v/>
      </c>
      <c r="X2602" s="59" t="str">
        <f t="shared" si="324"/>
        <v/>
      </c>
      <c r="AC2602" s="50">
        <f t="shared" si="325"/>
        <v>0</v>
      </c>
      <c r="AD2602" s="43">
        <f t="shared" si="326"/>
        <v>0</v>
      </c>
      <c r="AE2602" s="50">
        <f t="shared" si="327"/>
        <v>0</v>
      </c>
    </row>
    <row r="2603" spans="1:31">
      <c r="A2603" s="59" t="str">
        <f t="shared" si="321"/>
        <v/>
      </c>
      <c r="B2603" s="59" t="str">
        <f t="shared" si="322"/>
        <v/>
      </c>
      <c r="V2603" s="59" t="str">
        <f t="shared" si="323"/>
        <v/>
      </c>
      <c r="W2603" s="59" t="str">
        <f t="shared" si="320"/>
        <v/>
      </c>
      <c r="X2603" s="59" t="str">
        <f t="shared" si="324"/>
        <v/>
      </c>
      <c r="AC2603" s="50">
        <f t="shared" si="325"/>
        <v>0</v>
      </c>
      <c r="AD2603" s="43">
        <f t="shared" si="326"/>
        <v>0</v>
      </c>
      <c r="AE2603" s="50">
        <f t="shared" si="327"/>
        <v>0</v>
      </c>
    </row>
    <row r="2604" spans="1:31">
      <c r="A2604" s="59" t="str">
        <f t="shared" si="321"/>
        <v/>
      </c>
      <c r="B2604" s="59" t="str">
        <f t="shared" si="322"/>
        <v/>
      </c>
      <c r="V2604" s="59" t="str">
        <f t="shared" si="323"/>
        <v/>
      </c>
      <c r="W2604" s="59" t="str">
        <f t="shared" si="320"/>
        <v/>
      </c>
      <c r="X2604" s="59" t="str">
        <f t="shared" si="324"/>
        <v/>
      </c>
      <c r="AC2604" s="50">
        <f t="shared" si="325"/>
        <v>0</v>
      </c>
      <c r="AD2604" s="43">
        <f t="shared" si="326"/>
        <v>0</v>
      </c>
      <c r="AE2604" s="50">
        <f t="shared" si="327"/>
        <v>0</v>
      </c>
    </row>
    <row r="2605" spans="1:31">
      <c r="A2605" s="59" t="str">
        <f t="shared" si="321"/>
        <v/>
      </c>
      <c r="B2605" s="59" t="str">
        <f t="shared" si="322"/>
        <v/>
      </c>
      <c r="V2605" s="59" t="str">
        <f t="shared" si="323"/>
        <v/>
      </c>
      <c r="W2605" s="59" t="str">
        <f t="shared" si="320"/>
        <v/>
      </c>
      <c r="X2605" s="59" t="str">
        <f t="shared" si="324"/>
        <v/>
      </c>
      <c r="AC2605" s="50">
        <f t="shared" si="325"/>
        <v>0</v>
      </c>
      <c r="AD2605" s="43">
        <f t="shared" si="326"/>
        <v>0</v>
      </c>
      <c r="AE2605" s="50">
        <f t="shared" si="327"/>
        <v>0</v>
      </c>
    </row>
    <row r="2606" spans="1:31">
      <c r="A2606" s="59" t="str">
        <f t="shared" si="321"/>
        <v/>
      </c>
      <c r="B2606" s="59" t="str">
        <f t="shared" si="322"/>
        <v/>
      </c>
      <c r="V2606" s="59" t="str">
        <f t="shared" si="323"/>
        <v/>
      </c>
      <c r="W2606" s="59" t="str">
        <f t="shared" si="320"/>
        <v/>
      </c>
      <c r="X2606" s="59" t="str">
        <f t="shared" si="324"/>
        <v/>
      </c>
      <c r="AC2606" s="50">
        <f t="shared" si="325"/>
        <v>0</v>
      </c>
      <c r="AD2606" s="43">
        <f t="shared" si="326"/>
        <v>0</v>
      </c>
      <c r="AE2606" s="50">
        <f t="shared" si="327"/>
        <v>0</v>
      </c>
    </row>
    <row r="2607" spans="1:31">
      <c r="A2607" s="59" t="str">
        <f t="shared" si="321"/>
        <v/>
      </c>
      <c r="B2607" s="59" t="str">
        <f t="shared" si="322"/>
        <v/>
      </c>
      <c r="V2607" s="59" t="str">
        <f t="shared" si="323"/>
        <v/>
      </c>
      <c r="W2607" s="59" t="str">
        <f t="shared" si="320"/>
        <v/>
      </c>
      <c r="X2607" s="59" t="str">
        <f t="shared" si="324"/>
        <v/>
      </c>
      <c r="AC2607" s="50">
        <f t="shared" si="325"/>
        <v>0</v>
      </c>
      <c r="AD2607" s="43">
        <f t="shared" si="326"/>
        <v>0</v>
      </c>
      <c r="AE2607" s="50">
        <f t="shared" si="327"/>
        <v>0</v>
      </c>
    </row>
    <row r="2608" spans="1:31">
      <c r="A2608" s="59" t="str">
        <f t="shared" si="321"/>
        <v/>
      </c>
      <c r="B2608" s="59" t="str">
        <f t="shared" si="322"/>
        <v/>
      </c>
      <c r="V2608" s="59" t="str">
        <f t="shared" si="323"/>
        <v/>
      </c>
      <c r="W2608" s="59" t="str">
        <f t="shared" si="320"/>
        <v/>
      </c>
      <c r="X2608" s="59" t="str">
        <f t="shared" si="324"/>
        <v/>
      </c>
      <c r="AC2608" s="50">
        <f t="shared" si="325"/>
        <v>0</v>
      </c>
      <c r="AD2608" s="43">
        <f t="shared" si="326"/>
        <v>0</v>
      </c>
      <c r="AE2608" s="50">
        <f t="shared" si="327"/>
        <v>0</v>
      </c>
    </row>
    <row r="2609" spans="1:31">
      <c r="A2609" s="59" t="str">
        <f t="shared" si="321"/>
        <v/>
      </c>
      <c r="B2609" s="59" t="str">
        <f t="shared" si="322"/>
        <v/>
      </c>
      <c r="V2609" s="59" t="str">
        <f t="shared" si="323"/>
        <v/>
      </c>
      <c r="W2609" s="59" t="str">
        <f t="shared" si="320"/>
        <v/>
      </c>
      <c r="X2609" s="59" t="str">
        <f t="shared" si="324"/>
        <v/>
      </c>
      <c r="AC2609" s="50">
        <f t="shared" si="325"/>
        <v>0</v>
      </c>
      <c r="AD2609" s="43">
        <f t="shared" si="326"/>
        <v>0</v>
      </c>
      <c r="AE2609" s="50">
        <f t="shared" si="327"/>
        <v>0</v>
      </c>
    </row>
    <row r="2610" spans="1:31">
      <c r="A2610" s="59" t="str">
        <f t="shared" si="321"/>
        <v/>
      </c>
      <c r="B2610" s="59" t="str">
        <f t="shared" si="322"/>
        <v/>
      </c>
      <c r="V2610" s="59" t="str">
        <f t="shared" si="323"/>
        <v/>
      </c>
      <c r="W2610" s="59" t="str">
        <f t="shared" si="320"/>
        <v/>
      </c>
      <c r="X2610" s="59" t="str">
        <f t="shared" si="324"/>
        <v/>
      </c>
      <c r="AC2610" s="50">
        <f t="shared" si="325"/>
        <v>0</v>
      </c>
      <c r="AD2610" s="43">
        <f t="shared" si="326"/>
        <v>0</v>
      </c>
      <c r="AE2610" s="50">
        <f t="shared" si="327"/>
        <v>0</v>
      </c>
    </row>
    <row r="2611" spans="1:31">
      <c r="A2611" s="59" t="str">
        <f t="shared" si="321"/>
        <v/>
      </c>
      <c r="B2611" s="59" t="str">
        <f t="shared" si="322"/>
        <v/>
      </c>
      <c r="V2611" s="59" t="str">
        <f t="shared" si="323"/>
        <v/>
      </c>
      <c r="W2611" s="59" t="str">
        <f t="shared" si="320"/>
        <v/>
      </c>
      <c r="X2611" s="59" t="str">
        <f t="shared" si="324"/>
        <v/>
      </c>
      <c r="AC2611" s="50">
        <f t="shared" si="325"/>
        <v>0</v>
      </c>
      <c r="AD2611" s="43">
        <f t="shared" si="326"/>
        <v>0</v>
      </c>
      <c r="AE2611" s="50">
        <f t="shared" si="327"/>
        <v>0</v>
      </c>
    </row>
    <row r="2612" spans="1:31">
      <c r="A2612" s="59" t="str">
        <f t="shared" si="321"/>
        <v/>
      </c>
      <c r="B2612" s="59" t="str">
        <f t="shared" si="322"/>
        <v/>
      </c>
      <c r="V2612" s="59" t="str">
        <f t="shared" si="323"/>
        <v/>
      </c>
      <c r="W2612" s="59" t="str">
        <f t="shared" si="320"/>
        <v/>
      </c>
      <c r="X2612" s="59" t="str">
        <f t="shared" si="324"/>
        <v/>
      </c>
      <c r="AC2612" s="50">
        <f t="shared" si="325"/>
        <v>0</v>
      </c>
      <c r="AD2612" s="43">
        <f t="shared" si="326"/>
        <v>0</v>
      </c>
      <c r="AE2612" s="50">
        <f t="shared" si="327"/>
        <v>0</v>
      </c>
    </row>
    <row r="2613" spans="1:31">
      <c r="A2613" s="59" t="str">
        <f t="shared" si="321"/>
        <v/>
      </c>
      <c r="B2613" s="59" t="str">
        <f t="shared" si="322"/>
        <v/>
      </c>
      <c r="V2613" s="59" t="str">
        <f t="shared" si="323"/>
        <v/>
      </c>
      <c r="W2613" s="59" t="str">
        <f t="shared" si="320"/>
        <v/>
      </c>
      <c r="X2613" s="59" t="str">
        <f t="shared" si="324"/>
        <v/>
      </c>
      <c r="AC2613" s="50">
        <f t="shared" si="325"/>
        <v>0</v>
      </c>
      <c r="AD2613" s="43">
        <f t="shared" si="326"/>
        <v>0</v>
      </c>
      <c r="AE2613" s="50">
        <f t="shared" si="327"/>
        <v>0</v>
      </c>
    </row>
    <row r="2614" spans="1:31">
      <c r="A2614" s="59" t="str">
        <f t="shared" si="321"/>
        <v/>
      </c>
      <c r="B2614" s="59" t="str">
        <f t="shared" si="322"/>
        <v/>
      </c>
      <c r="V2614" s="59" t="str">
        <f t="shared" si="323"/>
        <v/>
      </c>
      <c r="W2614" s="59" t="str">
        <f t="shared" si="320"/>
        <v/>
      </c>
      <c r="X2614" s="59" t="str">
        <f t="shared" si="324"/>
        <v/>
      </c>
      <c r="AC2614" s="50">
        <f t="shared" si="325"/>
        <v>0</v>
      </c>
      <c r="AD2614" s="43">
        <f t="shared" si="326"/>
        <v>0</v>
      </c>
      <c r="AE2614" s="50">
        <f t="shared" si="327"/>
        <v>0</v>
      </c>
    </row>
    <row r="2615" spans="1:31">
      <c r="A2615" s="59" t="str">
        <f t="shared" si="321"/>
        <v/>
      </c>
      <c r="B2615" s="59" t="str">
        <f t="shared" si="322"/>
        <v/>
      </c>
      <c r="V2615" s="59" t="str">
        <f t="shared" si="323"/>
        <v/>
      </c>
      <c r="W2615" s="59" t="str">
        <f t="shared" si="320"/>
        <v/>
      </c>
      <c r="X2615" s="59" t="str">
        <f t="shared" si="324"/>
        <v/>
      </c>
      <c r="AC2615" s="50">
        <f t="shared" si="325"/>
        <v>0</v>
      </c>
      <c r="AD2615" s="43">
        <f t="shared" si="326"/>
        <v>0</v>
      </c>
      <c r="AE2615" s="50">
        <f t="shared" si="327"/>
        <v>0</v>
      </c>
    </row>
    <row r="2616" spans="1:31">
      <c r="A2616" s="59" t="str">
        <f t="shared" si="321"/>
        <v/>
      </c>
      <c r="B2616" s="59" t="str">
        <f t="shared" si="322"/>
        <v/>
      </c>
      <c r="V2616" s="59" t="str">
        <f t="shared" si="323"/>
        <v/>
      </c>
      <c r="W2616" s="59" t="str">
        <f t="shared" si="320"/>
        <v/>
      </c>
      <c r="X2616" s="59" t="str">
        <f t="shared" si="324"/>
        <v/>
      </c>
      <c r="AC2616" s="50">
        <f t="shared" si="325"/>
        <v>0</v>
      </c>
      <c r="AD2616" s="43">
        <f t="shared" si="326"/>
        <v>0</v>
      </c>
      <c r="AE2616" s="50">
        <f t="shared" si="327"/>
        <v>0</v>
      </c>
    </row>
    <row r="2617" spans="1:31">
      <c r="A2617" s="59" t="str">
        <f t="shared" si="321"/>
        <v/>
      </c>
      <c r="B2617" s="59" t="str">
        <f t="shared" si="322"/>
        <v/>
      </c>
      <c r="V2617" s="59" t="str">
        <f t="shared" si="323"/>
        <v/>
      </c>
      <c r="W2617" s="59" t="str">
        <f t="shared" si="320"/>
        <v/>
      </c>
      <c r="X2617" s="59" t="str">
        <f t="shared" si="324"/>
        <v/>
      </c>
      <c r="AC2617" s="50">
        <f t="shared" si="325"/>
        <v>0</v>
      </c>
      <c r="AD2617" s="43">
        <f t="shared" si="326"/>
        <v>0</v>
      </c>
      <c r="AE2617" s="50">
        <f t="shared" si="327"/>
        <v>0</v>
      </c>
    </row>
    <row r="2618" spans="1:31">
      <c r="A2618" s="59" t="str">
        <f t="shared" si="321"/>
        <v/>
      </c>
      <c r="B2618" s="59" t="str">
        <f t="shared" si="322"/>
        <v/>
      </c>
      <c r="V2618" s="59" t="str">
        <f t="shared" si="323"/>
        <v/>
      </c>
      <c r="W2618" s="59" t="str">
        <f t="shared" si="320"/>
        <v/>
      </c>
      <c r="X2618" s="59" t="str">
        <f t="shared" si="324"/>
        <v/>
      </c>
      <c r="AC2618" s="50">
        <f t="shared" si="325"/>
        <v>0</v>
      </c>
      <c r="AD2618" s="43">
        <f t="shared" si="326"/>
        <v>0</v>
      </c>
      <c r="AE2618" s="50">
        <f t="shared" si="327"/>
        <v>0</v>
      </c>
    </row>
    <row r="2619" spans="1:31">
      <c r="A2619" s="59" t="str">
        <f t="shared" si="321"/>
        <v/>
      </c>
      <c r="B2619" s="59" t="str">
        <f t="shared" si="322"/>
        <v/>
      </c>
      <c r="V2619" s="59" t="str">
        <f t="shared" si="323"/>
        <v/>
      </c>
      <c r="W2619" s="59" t="str">
        <f t="shared" si="320"/>
        <v/>
      </c>
      <c r="X2619" s="59" t="str">
        <f t="shared" si="324"/>
        <v/>
      </c>
      <c r="AC2619" s="50">
        <f t="shared" si="325"/>
        <v>0</v>
      </c>
      <c r="AD2619" s="43">
        <f t="shared" si="326"/>
        <v>0</v>
      </c>
      <c r="AE2619" s="50">
        <f t="shared" si="327"/>
        <v>0</v>
      </c>
    </row>
    <row r="2620" spans="1:31">
      <c r="A2620" s="59" t="str">
        <f t="shared" si="321"/>
        <v/>
      </c>
      <c r="B2620" s="59" t="str">
        <f t="shared" si="322"/>
        <v/>
      </c>
      <c r="V2620" s="59" t="str">
        <f t="shared" si="323"/>
        <v/>
      </c>
      <c r="W2620" s="59" t="str">
        <f t="shared" si="320"/>
        <v/>
      </c>
      <c r="X2620" s="59" t="str">
        <f t="shared" si="324"/>
        <v/>
      </c>
      <c r="AC2620" s="50">
        <f t="shared" si="325"/>
        <v>0</v>
      </c>
      <c r="AD2620" s="43">
        <f t="shared" si="326"/>
        <v>0</v>
      </c>
      <c r="AE2620" s="50">
        <f t="shared" si="327"/>
        <v>0</v>
      </c>
    </row>
    <row r="2621" spans="1:31">
      <c r="A2621" s="59" t="str">
        <f t="shared" si="321"/>
        <v/>
      </c>
      <c r="B2621" s="59" t="str">
        <f t="shared" si="322"/>
        <v/>
      </c>
      <c r="V2621" s="59" t="str">
        <f t="shared" si="323"/>
        <v/>
      </c>
      <c r="W2621" s="59" t="str">
        <f t="shared" si="320"/>
        <v/>
      </c>
      <c r="X2621" s="59" t="str">
        <f t="shared" si="324"/>
        <v/>
      </c>
      <c r="AC2621" s="50">
        <f t="shared" si="325"/>
        <v>0</v>
      </c>
      <c r="AD2621" s="43">
        <f t="shared" si="326"/>
        <v>0</v>
      </c>
      <c r="AE2621" s="50">
        <f t="shared" si="327"/>
        <v>0</v>
      </c>
    </row>
    <row r="2622" spans="1:31">
      <c r="A2622" s="59" t="str">
        <f t="shared" si="321"/>
        <v/>
      </c>
      <c r="B2622" s="59" t="str">
        <f t="shared" si="322"/>
        <v/>
      </c>
      <c r="V2622" s="59" t="str">
        <f t="shared" si="323"/>
        <v/>
      </c>
      <c r="W2622" s="59" t="str">
        <f t="shared" si="320"/>
        <v/>
      </c>
      <c r="X2622" s="59" t="str">
        <f t="shared" si="324"/>
        <v/>
      </c>
      <c r="AC2622" s="50">
        <f t="shared" si="325"/>
        <v>0</v>
      </c>
      <c r="AD2622" s="43">
        <f t="shared" si="326"/>
        <v>0</v>
      </c>
      <c r="AE2622" s="50">
        <f t="shared" si="327"/>
        <v>0</v>
      </c>
    </row>
    <row r="2623" spans="1:31">
      <c r="A2623" s="59" t="str">
        <f t="shared" si="321"/>
        <v/>
      </c>
      <c r="B2623" s="59" t="str">
        <f t="shared" si="322"/>
        <v/>
      </c>
      <c r="V2623" s="59" t="str">
        <f t="shared" si="323"/>
        <v/>
      </c>
      <c r="W2623" s="59" t="str">
        <f t="shared" si="320"/>
        <v/>
      </c>
      <c r="X2623" s="59" t="str">
        <f t="shared" si="324"/>
        <v/>
      </c>
      <c r="AC2623" s="50">
        <f t="shared" si="325"/>
        <v>0</v>
      </c>
      <c r="AD2623" s="43">
        <f t="shared" si="326"/>
        <v>0</v>
      </c>
      <c r="AE2623" s="50">
        <f t="shared" si="327"/>
        <v>0</v>
      </c>
    </row>
    <row r="2624" spans="1:31">
      <c r="A2624" s="59" t="str">
        <f t="shared" si="321"/>
        <v/>
      </c>
      <c r="B2624" s="59" t="str">
        <f t="shared" si="322"/>
        <v/>
      </c>
      <c r="V2624" s="59" t="str">
        <f t="shared" si="323"/>
        <v/>
      </c>
      <c r="W2624" s="59" t="str">
        <f t="shared" si="320"/>
        <v/>
      </c>
      <c r="X2624" s="59" t="str">
        <f t="shared" si="324"/>
        <v/>
      </c>
      <c r="AC2624" s="50">
        <f t="shared" si="325"/>
        <v>0</v>
      </c>
      <c r="AD2624" s="43">
        <f t="shared" si="326"/>
        <v>0</v>
      </c>
      <c r="AE2624" s="50">
        <f t="shared" si="327"/>
        <v>0</v>
      </c>
    </row>
    <row r="2625" spans="1:31">
      <c r="A2625" s="59" t="str">
        <f t="shared" si="321"/>
        <v/>
      </c>
      <c r="B2625" s="59" t="str">
        <f t="shared" si="322"/>
        <v/>
      </c>
      <c r="V2625" s="59" t="str">
        <f t="shared" si="323"/>
        <v/>
      </c>
      <c r="W2625" s="59" t="str">
        <f t="shared" si="320"/>
        <v/>
      </c>
      <c r="X2625" s="59" t="str">
        <f t="shared" si="324"/>
        <v/>
      </c>
      <c r="AC2625" s="50">
        <f t="shared" si="325"/>
        <v>0</v>
      </c>
      <c r="AD2625" s="43">
        <f t="shared" si="326"/>
        <v>0</v>
      </c>
      <c r="AE2625" s="50">
        <f t="shared" si="327"/>
        <v>0</v>
      </c>
    </row>
    <row r="2626" spans="1:31">
      <c r="A2626" s="59" t="str">
        <f t="shared" si="321"/>
        <v/>
      </c>
      <c r="B2626" s="59" t="str">
        <f t="shared" si="322"/>
        <v/>
      </c>
      <c r="V2626" s="59" t="str">
        <f t="shared" si="323"/>
        <v/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59" t="str">
        <f t="shared" si="324"/>
        <v/>
      </c>
      <c r="AC2626" s="50">
        <f t="shared" si="325"/>
        <v>0</v>
      </c>
      <c r="AD2626" s="43">
        <f t="shared" si="326"/>
        <v>0</v>
      </c>
      <c r="AE2626" s="50">
        <f t="shared" si="327"/>
        <v>0</v>
      </c>
    </row>
    <row r="2627" spans="1:31">
      <c r="A2627" s="59" t="str">
        <f t="shared" ref="A2627:A2690" si="329">IF(G2627&amp;Q2627&lt;&gt;"",W2627&amp;Q2627,"")</f>
        <v/>
      </c>
      <c r="B2627" s="59" t="str">
        <f t="shared" ref="B2627:B2690" si="330">IF(C2627&lt;&gt;"",LEFT(C2627,9),"")</f>
        <v/>
      </c>
      <c r="V2627" s="59" t="str">
        <f t="shared" ref="V2627:V2690" si="331">W2627&amp;H2627</f>
        <v/>
      </c>
      <c r="W2627" s="59" t="str">
        <f t="shared" si="328"/>
        <v/>
      </c>
      <c r="X2627" s="59" t="str">
        <f t="shared" ref="X2627:X2690" si="332">IF(A2627&lt;&gt;"",IFERROR(IF(FIND(" ",G2627)&gt;=1,MID(G2627,FIND(" ",G2627)+1,LEN(G2627)),""),""),"")</f>
        <v/>
      </c>
      <c r="AC2627" s="50">
        <f t="shared" ref="AC2627:AC2690" si="333">IFERROR(VALUE(MID($C2627,1,2)),0)</f>
        <v>0</v>
      </c>
      <c r="AD2627" s="43">
        <f t="shared" ref="AD2627:AD2690" si="334">IFERROR(VALUE(MID($C2627,4,3)),0)</f>
        <v>0</v>
      </c>
      <c r="AE2627" s="50">
        <f t="shared" ref="AE2627:AE2690" si="335">VALUE(RIGHT("00"&amp;AC2627,2)&amp;RIGHT("000"&amp;AD2627,3))</f>
        <v>0</v>
      </c>
    </row>
    <row r="2628" spans="1:31">
      <c r="A2628" s="59" t="str">
        <f t="shared" si="329"/>
        <v/>
      </c>
      <c r="B2628" s="59" t="str">
        <f t="shared" si="330"/>
        <v/>
      </c>
      <c r="V2628" s="59" t="str">
        <f t="shared" si="331"/>
        <v/>
      </c>
      <c r="W2628" s="59" t="str">
        <f t="shared" si="328"/>
        <v/>
      </c>
      <c r="X2628" s="59" t="str">
        <f t="shared" si="332"/>
        <v/>
      </c>
      <c r="AC2628" s="50">
        <f t="shared" si="333"/>
        <v>0</v>
      </c>
      <c r="AD2628" s="43">
        <f t="shared" si="334"/>
        <v>0</v>
      </c>
      <c r="AE2628" s="50">
        <f t="shared" si="335"/>
        <v>0</v>
      </c>
    </row>
    <row r="2629" spans="1:31">
      <c r="A2629" s="59" t="str">
        <f t="shared" si="329"/>
        <v/>
      </c>
      <c r="B2629" s="59" t="str">
        <f t="shared" si="330"/>
        <v/>
      </c>
      <c r="V2629" s="59" t="str">
        <f t="shared" si="331"/>
        <v/>
      </c>
      <c r="W2629" s="59" t="str">
        <f t="shared" si="328"/>
        <v/>
      </c>
      <c r="X2629" s="59" t="str">
        <f t="shared" si="332"/>
        <v/>
      </c>
      <c r="AC2629" s="50">
        <f t="shared" si="333"/>
        <v>0</v>
      </c>
      <c r="AD2629" s="43">
        <f t="shared" si="334"/>
        <v>0</v>
      </c>
      <c r="AE2629" s="50">
        <f t="shared" si="335"/>
        <v>0</v>
      </c>
    </row>
    <row r="2630" spans="1:31">
      <c r="A2630" s="59" t="str">
        <f t="shared" si="329"/>
        <v/>
      </c>
      <c r="B2630" s="59" t="str">
        <f t="shared" si="330"/>
        <v/>
      </c>
      <c r="V2630" s="59" t="str">
        <f t="shared" si="331"/>
        <v/>
      </c>
      <c r="W2630" s="59" t="str">
        <f t="shared" si="328"/>
        <v/>
      </c>
      <c r="X2630" s="59" t="str">
        <f t="shared" si="332"/>
        <v/>
      </c>
      <c r="AC2630" s="50">
        <f t="shared" si="333"/>
        <v>0</v>
      </c>
      <c r="AD2630" s="43">
        <f t="shared" si="334"/>
        <v>0</v>
      </c>
      <c r="AE2630" s="50">
        <f t="shared" si="335"/>
        <v>0</v>
      </c>
    </row>
    <row r="2631" spans="1:31">
      <c r="A2631" s="59" t="str">
        <f t="shared" si="329"/>
        <v/>
      </c>
      <c r="B2631" s="59" t="str">
        <f t="shared" si="330"/>
        <v/>
      </c>
      <c r="V2631" s="59" t="str">
        <f t="shared" si="331"/>
        <v/>
      </c>
      <c r="W2631" s="59" t="str">
        <f t="shared" si="328"/>
        <v/>
      </c>
      <c r="X2631" s="59" t="str">
        <f t="shared" si="332"/>
        <v/>
      </c>
      <c r="AC2631" s="50">
        <f t="shared" si="333"/>
        <v>0</v>
      </c>
      <c r="AD2631" s="43">
        <f t="shared" si="334"/>
        <v>0</v>
      </c>
      <c r="AE2631" s="50">
        <f t="shared" si="335"/>
        <v>0</v>
      </c>
    </row>
    <row r="2632" spans="1:31">
      <c r="A2632" s="59" t="str">
        <f t="shared" si="329"/>
        <v/>
      </c>
      <c r="B2632" s="59" t="str">
        <f t="shared" si="330"/>
        <v/>
      </c>
      <c r="V2632" s="59" t="str">
        <f t="shared" si="331"/>
        <v/>
      </c>
      <c r="W2632" s="59" t="str">
        <f t="shared" si="328"/>
        <v/>
      </c>
      <c r="X2632" s="59" t="str">
        <f t="shared" si="332"/>
        <v/>
      </c>
      <c r="AC2632" s="50">
        <f t="shared" si="333"/>
        <v>0</v>
      </c>
      <c r="AD2632" s="43">
        <f t="shared" si="334"/>
        <v>0</v>
      </c>
      <c r="AE2632" s="50">
        <f t="shared" si="335"/>
        <v>0</v>
      </c>
    </row>
    <row r="2633" spans="1:31">
      <c r="A2633" s="59" t="str">
        <f t="shared" si="329"/>
        <v/>
      </c>
      <c r="B2633" s="59" t="str">
        <f t="shared" si="330"/>
        <v/>
      </c>
      <c r="V2633" s="59" t="str">
        <f t="shared" si="331"/>
        <v/>
      </c>
      <c r="W2633" s="59" t="str">
        <f t="shared" si="328"/>
        <v/>
      </c>
      <c r="X2633" s="59" t="str">
        <f t="shared" si="332"/>
        <v/>
      </c>
      <c r="AC2633" s="50">
        <f t="shared" si="333"/>
        <v>0</v>
      </c>
      <c r="AD2633" s="43">
        <f t="shared" si="334"/>
        <v>0</v>
      </c>
      <c r="AE2633" s="50">
        <f t="shared" si="335"/>
        <v>0</v>
      </c>
    </row>
    <row r="2634" spans="1:31">
      <c r="A2634" s="59" t="str">
        <f t="shared" si="329"/>
        <v/>
      </c>
      <c r="B2634" s="59" t="str">
        <f t="shared" si="330"/>
        <v/>
      </c>
      <c r="V2634" s="59" t="str">
        <f t="shared" si="331"/>
        <v/>
      </c>
      <c r="W2634" s="59" t="str">
        <f t="shared" si="328"/>
        <v/>
      </c>
      <c r="X2634" s="59" t="str">
        <f t="shared" si="332"/>
        <v/>
      </c>
      <c r="AC2634" s="50">
        <f t="shared" si="333"/>
        <v>0</v>
      </c>
      <c r="AD2634" s="43">
        <f t="shared" si="334"/>
        <v>0</v>
      </c>
      <c r="AE2634" s="50">
        <f t="shared" si="335"/>
        <v>0</v>
      </c>
    </row>
    <row r="2635" spans="1:31">
      <c r="A2635" s="59" t="str">
        <f t="shared" si="329"/>
        <v/>
      </c>
      <c r="B2635" s="59" t="str">
        <f t="shared" si="330"/>
        <v/>
      </c>
      <c r="V2635" s="59" t="str">
        <f t="shared" si="331"/>
        <v/>
      </c>
      <c r="W2635" s="59" t="str">
        <f t="shared" si="328"/>
        <v/>
      </c>
      <c r="X2635" s="59" t="str">
        <f t="shared" si="332"/>
        <v/>
      </c>
      <c r="AC2635" s="50">
        <f t="shared" si="333"/>
        <v>0</v>
      </c>
      <c r="AD2635" s="43">
        <f t="shared" si="334"/>
        <v>0</v>
      </c>
      <c r="AE2635" s="50">
        <f t="shared" si="335"/>
        <v>0</v>
      </c>
    </row>
    <row r="2636" spans="1:31">
      <c r="A2636" s="59" t="str">
        <f t="shared" si="329"/>
        <v/>
      </c>
      <c r="B2636" s="59" t="str">
        <f t="shared" si="330"/>
        <v/>
      </c>
      <c r="V2636" s="59" t="str">
        <f t="shared" si="331"/>
        <v/>
      </c>
      <c r="W2636" s="59" t="str">
        <f t="shared" si="328"/>
        <v/>
      </c>
      <c r="X2636" s="59" t="str">
        <f t="shared" si="332"/>
        <v/>
      </c>
      <c r="AC2636" s="50">
        <f t="shared" si="333"/>
        <v>0</v>
      </c>
      <c r="AD2636" s="43">
        <f t="shared" si="334"/>
        <v>0</v>
      </c>
      <c r="AE2636" s="50">
        <f t="shared" si="335"/>
        <v>0</v>
      </c>
    </row>
    <row r="2637" spans="1:31">
      <c r="A2637" s="59" t="str">
        <f t="shared" si="329"/>
        <v/>
      </c>
      <c r="B2637" s="59" t="str">
        <f t="shared" si="330"/>
        <v/>
      </c>
      <c r="V2637" s="59" t="str">
        <f t="shared" si="331"/>
        <v/>
      </c>
      <c r="W2637" s="59" t="str">
        <f t="shared" si="328"/>
        <v/>
      </c>
      <c r="X2637" s="59" t="str">
        <f t="shared" si="332"/>
        <v/>
      </c>
      <c r="AC2637" s="50">
        <f t="shared" si="333"/>
        <v>0</v>
      </c>
      <c r="AD2637" s="43">
        <f t="shared" si="334"/>
        <v>0</v>
      </c>
      <c r="AE2637" s="50">
        <f t="shared" si="335"/>
        <v>0</v>
      </c>
    </row>
    <row r="2638" spans="1:31">
      <c r="A2638" s="59" t="str">
        <f t="shared" si="329"/>
        <v/>
      </c>
      <c r="B2638" s="59" t="str">
        <f t="shared" si="330"/>
        <v/>
      </c>
      <c r="V2638" s="59" t="str">
        <f t="shared" si="331"/>
        <v/>
      </c>
      <c r="W2638" s="59" t="str">
        <f t="shared" si="328"/>
        <v/>
      </c>
      <c r="X2638" s="59" t="str">
        <f t="shared" si="332"/>
        <v/>
      </c>
      <c r="AC2638" s="50">
        <f t="shared" si="333"/>
        <v>0</v>
      </c>
      <c r="AD2638" s="43">
        <f t="shared" si="334"/>
        <v>0</v>
      </c>
      <c r="AE2638" s="50">
        <f t="shared" si="335"/>
        <v>0</v>
      </c>
    </row>
    <row r="2639" spans="1:31">
      <c r="A2639" s="59" t="str">
        <f t="shared" si="329"/>
        <v/>
      </c>
      <c r="B2639" s="59" t="str">
        <f t="shared" si="330"/>
        <v/>
      </c>
      <c r="V2639" s="59" t="str">
        <f t="shared" si="331"/>
        <v/>
      </c>
      <c r="W2639" s="59" t="str">
        <f t="shared" si="328"/>
        <v/>
      </c>
      <c r="X2639" s="59" t="str">
        <f t="shared" si="332"/>
        <v/>
      </c>
      <c r="AC2639" s="50">
        <f t="shared" si="333"/>
        <v>0</v>
      </c>
      <c r="AD2639" s="43">
        <f t="shared" si="334"/>
        <v>0</v>
      </c>
      <c r="AE2639" s="50">
        <f t="shared" si="335"/>
        <v>0</v>
      </c>
    </row>
    <row r="2640" spans="1:31">
      <c r="A2640" s="59" t="str">
        <f t="shared" si="329"/>
        <v/>
      </c>
      <c r="B2640" s="59" t="str">
        <f t="shared" si="330"/>
        <v/>
      </c>
      <c r="V2640" s="59" t="str">
        <f t="shared" si="331"/>
        <v/>
      </c>
      <c r="W2640" s="59" t="str">
        <f t="shared" si="328"/>
        <v/>
      </c>
      <c r="X2640" s="59" t="str">
        <f t="shared" si="332"/>
        <v/>
      </c>
      <c r="AC2640" s="50">
        <f t="shared" si="333"/>
        <v>0</v>
      </c>
      <c r="AD2640" s="43">
        <f t="shared" si="334"/>
        <v>0</v>
      </c>
      <c r="AE2640" s="50">
        <f t="shared" si="335"/>
        <v>0</v>
      </c>
    </row>
    <row r="2641" spans="1:31">
      <c r="A2641" s="59" t="str">
        <f t="shared" si="329"/>
        <v/>
      </c>
      <c r="B2641" s="59" t="str">
        <f t="shared" si="330"/>
        <v/>
      </c>
      <c r="V2641" s="59" t="str">
        <f t="shared" si="331"/>
        <v/>
      </c>
      <c r="W2641" s="59" t="str">
        <f t="shared" si="328"/>
        <v/>
      </c>
      <c r="X2641" s="59" t="str">
        <f t="shared" si="332"/>
        <v/>
      </c>
      <c r="AC2641" s="50">
        <f t="shared" si="333"/>
        <v>0</v>
      </c>
      <c r="AD2641" s="43">
        <f t="shared" si="334"/>
        <v>0</v>
      </c>
      <c r="AE2641" s="50">
        <f t="shared" si="335"/>
        <v>0</v>
      </c>
    </row>
    <row r="2642" spans="1:31">
      <c r="A2642" s="59" t="str">
        <f t="shared" si="329"/>
        <v/>
      </c>
      <c r="B2642" s="59" t="str">
        <f t="shared" si="330"/>
        <v/>
      </c>
      <c r="V2642" s="59" t="str">
        <f t="shared" si="331"/>
        <v/>
      </c>
      <c r="W2642" s="59" t="str">
        <f t="shared" si="328"/>
        <v/>
      </c>
      <c r="X2642" s="59" t="str">
        <f t="shared" si="332"/>
        <v/>
      </c>
      <c r="AC2642" s="50">
        <f t="shared" si="333"/>
        <v>0</v>
      </c>
      <c r="AD2642" s="43">
        <f t="shared" si="334"/>
        <v>0</v>
      </c>
      <c r="AE2642" s="50">
        <f t="shared" si="335"/>
        <v>0</v>
      </c>
    </row>
    <row r="2643" spans="1:31">
      <c r="A2643" s="59" t="str">
        <f t="shared" si="329"/>
        <v/>
      </c>
      <c r="B2643" s="59" t="str">
        <f t="shared" si="330"/>
        <v/>
      </c>
      <c r="V2643" s="59" t="str">
        <f t="shared" si="331"/>
        <v/>
      </c>
      <c r="W2643" s="59" t="str">
        <f t="shared" si="328"/>
        <v/>
      </c>
      <c r="X2643" s="59" t="str">
        <f t="shared" si="332"/>
        <v/>
      </c>
      <c r="AC2643" s="50">
        <f t="shared" si="333"/>
        <v>0</v>
      </c>
      <c r="AD2643" s="43">
        <f t="shared" si="334"/>
        <v>0</v>
      </c>
      <c r="AE2643" s="50">
        <f t="shared" si="335"/>
        <v>0</v>
      </c>
    </row>
    <row r="2644" spans="1:31">
      <c r="A2644" s="59" t="str">
        <f t="shared" si="329"/>
        <v/>
      </c>
      <c r="B2644" s="59" t="str">
        <f t="shared" si="330"/>
        <v/>
      </c>
      <c r="V2644" s="59" t="str">
        <f t="shared" si="331"/>
        <v/>
      </c>
      <c r="W2644" s="59" t="str">
        <f t="shared" si="328"/>
        <v/>
      </c>
      <c r="X2644" s="59" t="str">
        <f t="shared" si="332"/>
        <v/>
      </c>
      <c r="AC2644" s="50">
        <f t="shared" si="333"/>
        <v>0</v>
      </c>
      <c r="AD2644" s="43">
        <f t="shared" si="334"/>
        <v>0</v>
      </c>
      <c r="AE2644" s="50">
        <f t="shared" si="335"/>
        <v>0</v>
      </c>
    </row>
    <row r="2645" spans="1:31">
      <c r="A2645" s="59" t="str">
        <f t="shared" si="329"/>
        <v/>
      </c>
      <c r="B2645" s="59" t="str">
        <f t="shared" si="330"/>
        <v/>
      </c>
      <c r="V2645" s="59" t="str">
        <f t="shared" si="331"/>
        <v/>
      </c>
      <c r="W2645" s="59" t="str">
        <f t="shared" si="328"/>
        <v/>
      </c>
      <c r="X2645" s="59" t="str">
        <f t="shared" si="332"/>
        <v/>
      </c>
      <c r="AC2645" s="50">
        <f t="shared" si="333"/>
        <v>0</v>
      </c>
      <c r="AD2645" s="43">
        <f t="shared" si="334"/>
        <v>0</v>
      </c>
      <c r="AE2645" s="50">
        <f t="shared" si="335"/>
        <v>0</v>
      </c>
    </row>
    <row r="2646" spans="1:31">
      <c r="A2646" s="59" t="str">
        <f t="shared" si="329"/>
        <v/>
      </c>
      <c r="B2646" s="59" t="str">
        <f t="shared" si="330"/>
        <v/>
      </c>
      <c r="V2646" s="59" t="str">
        <f t="shared" si="331"/>
        <v/>
      </c>
      <c r="W2646" s="59" t="str">
        <f t="shared" si="328"/>
        <v/>
      </c>
      <c r="X2646" s="59" t="str">
        <f t="shared" si="332"/>
        <v/>
      </c>
      <c r="AC2646" s="50">
        <f t="shared" si="333"/>
        <v>0</v>
      </c>
      <c r="AD2646" s="43">
        <f t="shared" si="334"/>
        <v>0</v>
      </c>
      <c r="AE2646" s="50">
        <f t="shared" si="335"/>
        <v>0</v>
      </c>
    </row>
    <row r="2647" spans="1:31">
      <c r="A2647" s="59" t="str">
        <f t="shared" si="329"/>
        <v/>
      </c>
      <c r="B2647" s="59" t="str">
        <f t="shared" si="330"/>
        <v/>
      </c>
      <c r="V2647" s="59" t="str">
        <f t="shared" si="331"/>
        <v/>
      </c>
      <c r="W2647" s="59" t="str">
        <f t="shared" si="328"/>
        <v/>
      </c>
      <c r="X2647" s="59" t="str">
        <f t="shared" si="332"/>
        <v/>
      </c>
      <c r="AC2647" s="50">
        <f t="shared" si="333"/>
        <v>0</v>
      </c>
      <c r="AD2647" s="43">
        <f t="shared" si="334"/>
        <v>0</v>
      </c>
      <c r="AE2647" s="50">
        <f t="shared" si="335"/>
        <v>0</v>
      </c>
    </row>
    <row r="2648" spans="1:31">
      <c r="A2648" s="59" t="str">
        <f t="shared" si="329"/>
        <v/>
      </c>
      <c r="B2648" s="59" t="str">
        <f t="shared" si="330"/>
        <v/>
      </c>
      <c r="V2648" s="59" t="str">
        <f t="shared" si="331"/>
        <v/>
      </c>
      <c r="W2648" s="59" t="str">
        <f t="shared" si="328"/>
        <v/>
      </c>
      <c r="X2648" s="59" t="str">
        <f t="shared" si="332"/>
        <v/>
      </c>
      <c r="AC2648" s="50">
        <f t="shared" si="333"/>
        <v>0</v>
      </c>
      <c r="AD2648" s="43">
        <f t="shared" si="334"/>
        <v>0</v>
      </c>
      <c r="AE2648" s="50">
        <f t="shared" si="335"/>
        <v>0</v>
      </c>
    </row>
    <row r="2649" spans="1:31">
      <c r="A2649" s="59" t="str">
        <f t="shared" si="329"/>
        <v/>
      </c>
      <c r="B2649" s="59" t="str">
        <f t="shared" si="330"/>
        <v/>
      </c>
      <c r="V2649" s="59" t="str">
        <f t="shared" si="331"/>
        <v/>
      </c>
      <c r="W2649" s="59" t="str">
        <f t="shared" si="328"/>
        <v/>
      </c>
      <c r="X2649" s="59" t="str">
        <f t="shared" si="332"/>
        <v/>
      </c>
      <c r="AC2649" s="50">
        <f t="shared" si="333"/>
        <v>0</v>
      </c>
      <c r="AD2649" s="43">
        <f t="shared" si="334"/>
        <v>0</v>
      </c>
      <c r="AE2649" s="50">
        <f t="shared" si="335"/>
        <v>0</v>
      </c>
    </row>
    <row r="2650" spans="1:31">
      <c r="A2650" s="59" t="str">
        <f t="shared" si="329"/>
        <v/>
      </c>
      <c r="B2650" s="59" t="str">
        <f t="shared" si="330"/>
        <v/>
      </c>
      <c r="V2650" s="59" t="str">
        <f t="shared" si="331"/>
        <v/>
      </c>
      <c r="W2650" s="59" t="str">
        <f t="shared" si="328"/>
        <v/>
      </c>
      <c r="X2650" s="59" t="str">
        <f t="shared" si="332"/>
        <v/>
      </c>
      <c r="AC2650" s="50">
        <f t="shared" si="333"/>
        <v>0</v>
      </c>
      <c r="AD2650" s="43">
        <f t="shared" si="334"/>
        <v>0</v>
      </c>
      <c r="AE2650" s="50">
        <f t="shared" si="335"/>
        <v>0</v>
      </c>
    </row>
    <row r="2651" spans="1:31">
      <c r="A2651" s="59" t="str">
        <f t="shared" si="329"/>
        <v/>
      </c>
      <c r="B2651" s="59" t="str">
        <f t="shared" si="330"/>
        <v/>
      </c>
      <c r="V2651" s="59" t="str">
        <f t="shared" si="331"/>
        <v/>
      </c>
      <c r="W2651" s="59" t="str">
        <f t="shared" si="328"/>
        <v/>
      </c>
      <c r="X2651" s="59" t="str">
        <f t="shared" si="332"/>
        <v/>
      </c>
      <c r="AC2651" s="50">
        <f t="shared" si="333"/>
        <v>0</v>
      </c>
      <c r="AD2651" s="43">
        <f t="shared" si="334"/>
        <v>0</v>
      </c>
      <c r="AE2651" s="50">
        <f t="shared" si="335"/>
        <v>0</v>
      </c>
    </row>
    <row r="2652" spans="1:31">
      <c r="A2652" s="59" t="str">
        <f t="shared" si="329"/>
        <v/>
      </c>
      <c r="B2652" s="59" t="str">
        <f t="shared" si="330"/>
        <v/>
      </c>
      <c r="V2652" s="59" t="str">
        <f t="shared" si="331"/>
        <v/>
      </c>
      <c r="W2652" s="59" t="str">
        <f t="shared" si="328"/>
        <v/>
      </c>
      <c r="X2652" s="59" t="str">
        <f t="shared" si="332"/>
        <v/>
      </c>
      <c r="AC2652" s="50">
        <f t="shared" si="333"/>
        <v>0</v>
      </c>
      <c r="AD2652" s="43">
        <f t="shared" si="334"/>
        <v>0</v>
      </c>
      <c r="AE2652" s="50">
        <f t="shared" si="335"/>
        <v>0</v>
      </c>
    </row>
    <row r="2653" spans="1:31">
      <c r="A2653" s="59" t="str">
        <f t="shared" si="329"/>
        <v/>
      </c>
      <c r="B2653" s="59" t="str">
        <f t="shared" si="330"/>
        <v/>
      </c>
      <c r="V2653" s="59" t="str">
        <f t="shared" si="331"/>
        <v/>
      </c>
      <c r="W2653" s="59" t="str">
        <f t="shared" si="328"/>
        <v/>
      </c>
      <c r="X2653" s="59" t="str">
        <f t="shared" si="332"/>
        <v/>
      </c>
      <c r="AC2653" s="50">
        <f t="shared" si="333"/>
        <v>0</v>
      </c>
      <c r="AD2653" s="43">
        <f t="shared" si="334"/>
        <v>0</v>
      </c>
      <c r="AE2653" s="50">
        <f t="shared" si="335"/>
        <v>0</v>
      </c>
    </row>
    <row r="2654" spans="1:31">
      <c r="A2654" s="59" t="str">
        <f t="shared" si="329"/>
        <v/>
      </c>
      <c r="B2654" s="59" t="str">
        <f t="shared" si="330"/>
        <v/>
      </c>
      <c r="V2654" s="59" t="str">
        <f t="shared" si="331"/>
        <v/>
      </c>
      <c r="W2654" s="59" t="str">
        <f t="shared" si="328"/>
        <v/>
      </c>
      <c r="X2654" s="59" t="str">
        <f t="shared" si="332"/>
        <v/>
      </c>
      <c r="AC2654" s="50">
        <f t="shared" si="333"/>
        <v>0</v>
      </c>
      <c r="AD2654" s="43">
        <f t="shared" si="334"/>
        <v>0</v>
      </c>
      <c r="AE2654" s="50">
        <f t="shared" si="335"/>
        <v>0</v>
      </c>
    </row>
    <row r="2655" spans="1:31">
      <c r="A2655" s="59" t="str">
        <f t="shared" si="329"/>
        <v/>
      </c>
      <c r="B2655" s="59" t="str">
        <f t="shared" si="330"/>
        <v/>
      </c>
      <c r="V2655" s="59" t="str">
        <f t="shared" si="331"/>
        <v/>
      </c>
      <c r="W2655" s="59" t="str">
        <f t="shared" si="328"/>
        <v/>
      </c>
      <c r="X2655" s="59" t="str">
        <f t="shared" si="332"/>
        <v/>
      </c>
      <c r="AC2655" s="50">
        <f t="shared" si="333"/>
        <v>0</v>
      </c>
      <c r="AD2655" s="43">
        <f t="shared" si="334"/>
        <v>0</v>
      </c>
      <c r="AE2655" s="50">
        <f t="shared" si="335"/>
        <v>0</v>
      </c>
    </row>
    <row r="2656" spans="1:31">
      <c r="A2656" s="59" t="str">
        <f t="shared" si="329"/>
        <v/>
      </c>
      <c r="B2656" s="59" t="str">
        <f t="shared" si="330"/>
        <v/>
      </c>
      <c r="V2656" s="59" t="str">
        <f t="shared" si="331"/>
        <v/>
      </c>
      <c r="W2656" s="59" t="str">
        <f t="shared" si="328"/>
        <v/>
      </c>
      <c r="X2656" s="59" t="str">
        <f t="shared" si="332"/>
        <v/>
      </c>
      <c r="AC2656" s="50">
        <f t="shared" si="333"/>
        <v>0</v>
      </c>
      <c r="AD2656" s="43">
        <f t="shared" si="334"/>
        <v>0</v>
      </c>
      <c r="AE2656" s="50">
        <f t="shared" si="335"/>
        <v>0</v>
      </c>
    </row>
    <row r="2657" spans="1:31">
      <c r="A2657" s="59" t="str">
        <f t="shared" si="329"/>
        <v/>
      </c>
      <c r="B2657" s="59" t="str">
        <f t="shared" si="330"/>
        <v/>
      </c>
      <c r="V2657" s="59" t="str">
        <f t="shared" si="331"/>
        <v/>
      </c>
      <c r="W2657" s="59" t="str">
        <f t="shared" si="328"/>
        <v/>
      </c>
      <c r="X2657" s="59" t="str">
        <f t="shared" si="332"/>
        <v/>
      </c>
      <c r="AC2657" s="50">
        <f t="shared" si="333"/>
        <v>0</v>
      </c>
      <c r="AD2657" s="43">
        <f t="shared" si="334"/>
        <v>0</v>
      </c>
      <c r="AE2657" s="50">
        <f t="shared" si="335"/>
        <v>0</v>
      </c>
    </row>
    <row r="2658" spans="1:31">
      <c r="A2658" s="59" t="str">
        <f t="shared" si="329"/>
        <v/>
      </c>
      <c r="B2658" s="59" t="str">
        <f t="shared" si="330"/>
        <v/>
      </c>
      <c r="V2658" s="59" t="str">
        <f t="shared" si="331"/>
        <v/>
      </c>
      <c r="W2658" s="59" t="str">
        <f t="shared" si="328"/>
        <v/>
      </c>
      <c r="X2658" s="59" t="str">
        <f t="shared" si="332"/>
        <v/>
      </c>
      <c r="AC2658" s="50">
        <f t="shared" si="333"/>
        <v>0</v>
      </c>
      <c r="AD2658" s="43">
        <f t="shared" si="334"/>
        <v>0</v>
      </c>
      <c r="AE2658" s="50">
        <f t="shared" si="335"/>
        <v>0</v>
      </c>
    </row>
    <row r="2659" spans="1:31">
      <c r="A2659" s="59" t="str">
        <f t="shared" si="329"/>
        <v/>
      </c>
      <c r="B2659" s="59" t="str">
        <f t="shared" si="330"/>
        <v/>
      </c>
      <c r="V2659" s="59" t="str">
        <f t="shared" si="331"/>
        <v/>
      </c>
      <c r="W2659" s="59" t="str">
        <f t="shared" si="328"/>
        <v/>
      </c>
      <c r="X2659" s="59" t="str">
        <f t="shared" si="332"/>
        <v/>
      </c>
      <c r="AC2659" s="50">
        <f t="shared" si="333"/>
        <v>0</v>
      </c>
      <c r="AD2659" s="43">
        <f t="shared" si="334"/>
        <v>0</v>
      </c>
      <c r="AE2659" s="50">
        <f t="shared" si="335"/>
        <v>0</v>
      </c>
    </row>
    <row r="2660" spans="1:31">
      <c r="A2660" s="59" t="str">
        <f t="shared" si="329"/>
        <v/>
      </c>
      <c r="B2660" s="59" t="str">
        <f t="shared" si="330"/>
        <v/>
      </c>
      <c r="V2660" s="59" t="str">
        <f t="shared" si="331"/>
        <v/>
      </c>
      <c r="W2660" s="59" t="str">
        <f t="shared" si="328"/>
        <v/>
      </c>
      <c r="X2660" s="59" t="str">
        <f t="shared" si="332"/>
        <v/>
      </c>
      <c r="AC2660" s="50">
        <f t="shared" si="333"/>
        <v>0</v>
      </c>
      <c r="AD2660" s="43">
        <f t="shared" si="334"/>
        <v>0</v>
      </c>
      <c r="AE2660" s="50">
        <f t="shared" si="335"/>
        <v>0</v>
      </c>
    </row>
    <row r="2661" spans="1:31">
      <c r="A2661" s="59" t="str">
        <f t="shared" si="329"/>
        <v/>
      </c>
      <c r="B2661" s="59" t="str">
        <f t="shared" si="330"/>
        <v/>
      </c>
      <c r="V2661" s="59" t="str">
        <f t="shared" si="331"/>
        <v/>
      </c>
      <c r="W2661" s="59" t="str">
        <f t="shared" si="328"/>
        <v/>
      </c>
      <c r="X2661" s="59" t="str">
        <f t="shared" si="332"/>
        <v/>
      </c>
      <c r="AC2661" s="50">
        <f t="shared" si="333"/>
        <v>0</v>
      </c>
      <c r="AD2661" s="43">
        <f t="shared" si="334"/>
        <v>0</v>
      </c>
      <c r="AE2661" s="50">
        <f t="shared" si="335"/>
        <v>0</v>
      </c>
    </row>
    <row r="2662" spans="1:31">
      <c r="A2662" s="59" t="str">
        <f t="shared" si="329"/>
        <v/>
      </c>
      <c r="B2662" s="59" t="str">
        <f t="shared" si="330"/>
        <v/>
      </c>
      <c r="V2662" s="59" t="str">
        <f t="shared" si="331"/>
        <v/>
      </c>
      <c r="W2662" s="59" t="str">
        <f t="shared" si="328"/>
        <v/>
      </c>
      <c r="X2662" s="59" t="str">
        <f t="shared" si="332"/>
        <v/>
      </c>
      <c r="AC2662" s="50">
        <f t="shared" si="333"/>
        <v>0</v>
      </c>
      <c r="AD2662" s="43">
        <f t="shared" si="334"/>
        <v>0</v>
      </c>
      <c r="AE2662" s="50">
        <f t="shared" si="335"/>
        <v>0</v>
      </c>
    </row>
    <row r="2663" spans="1:31">
      <c r="A2663" s="59" t="str">
        <f t="shared" si="329"/>
        <v/>
      </c>
      <c r="B2663" s="59" t="str">
        <f t="shared" si="330"/>
        <v/>
      </c>
      <c r="V2663" s="59" t="str">
        <f t="shared" si="331"/>
        <v/>
      </c>
      <c r="W2663" s="59" t="str">
        <f t="shared" si="328"/>
        <v/>
      </c>
      <c r="X2663" s="59" t="str">
        <f t="shared" si="332"/>
        <v/>
      </c>
      <c r="AC2663" s="50">
        <f t="shared" si="333"/>
        <v>0</v>
      </c>
      <c r="AD2663" s="43">
        <f t="shared" si="334"/>
        <v>0</v>
      </c>
      <c r="AE2663" s="50">
        <f t="shared" si="335"/>
        <v>0</v>
      </c>
    </row>
    <row r="2664" spans="1:31">
      <c r="A2664" s="59" t="str">
        <f t="shared" si="329"/>
        <v/>
      </c>
      <c r="B2664" s="59" t="str">
        <f t="shared" si="330"/>
        <v/>
      </c>
      <c r="V2664" s="59" t="str">
        <f t="shared" si="331"/>
        <v/>
      </c>
      <c r="W2664" s="59" t="str">
        <f t="shared" si="328"/>
        <v/>
      </c>
      <c r="X2664" s="59" t="str">
        <f t="shared" si="332"/>
        <v/>
      </c>
      <c r="AC2664" s="50">
        <f t="shared" si="333"/>
        <v>0</v>
      </c>
      <c r="AD2664" s="43">
        <f t="shared" si="334"/>
        <v>0</v>
      </c>
      <c r="AE2664" s="50">
        <f t="shared" si="335"/>
        <v>0</v>
      </c>
    </row>
    <row r="2665" spans="1:31">
      <c r="A2665" s="59" t="str">
        <f t="shared" si="329"/>
        <v/>
      </c>
      <c r="B2665" s="59" t="str">
        <f t="shared" si="330"/>
        <v/>
      </c>
      <c r="V2665" s="59" t="str">
        <f t="shared" si="331"/>
        <v/>
      </c>
      <c r="W2665" s="59" t="str">
        <f t="shared" si="328"/>
        <v/>
      </c>
      <c r="X2665" s="59" t="str">
        <f t="shared" si="332"/>
        <v/>
      </c>
      <c r="AC2665" s="50">
        <f t="shared" si="333"/>
        <v>0</v>
      </c>
      <c r="AD2665" s="43">
        <f t="shared" si="334"/>
        <v>0</v>
      </c>
      <c r="AE2665" s="50">
        <f t="shared" si="335"/>
        <v>0</v>
      </c>
    </row>
    <row r="2666" spans="1:31">
      <c r="A2666" s="59" t="str">
        <f t="shared" si="329"/>
        <v/>
      </c>
      <c r="B2666" s="59" t="str">
        <f t="shared" si="330"/>
        <v/>
      </c>
      <c r="V2666" s="59" t="str">
        <f t="shared" si="331"/>
        <v/>
      </c>
      <c r="W2666" s="59" t="str">
        <f t="shared" si="328"/>
        <v/>
      </c>
      <c r="X2666" s="59" t="str">
        <f t="shared" si="332"/>
        <v/>
      </c>
      <c r="AC2666" s="50">
        <f t="shared" si="333"/>
        <v>0</v>
      </c>
      <c r="AD2666" s="43">
        <f t="shared" si="334"/>
        <v>0</v>
      </c>
      <c r="AE2666" s="50">
        <f t="shared" si="335"/>
        <v>0</v>
      </c>
    </row>
    <row r="2667" spans="1:31">
      <c r="A2667" s="59" t="str">
        <f t="shared" si="329"/>
        <v/>
      </c>
      <c r="B2667" s="59" t="str">
        <f t="shared" si="330"/>
        <v/>
      </c>
      <c r="V2667" s="59" t="str">
        <f t="shared" si="331"/>
        <v/>
      </c>
      <c r="W2667" s="59" t="str">
        <f t="shared" si="328"/>
        <v/>
      </c>
      <c r="X2667" s="59" t="str">
        <f t="shared" si="332"/>
        <v/>
      </c>
      <c r="AC2667" s="50">
        <f t="shared" si="333"/>
        <v>0</v>
      </c>
      <c r="AD2667" s="43">
        <f t="shared" si="334"/>
        <v>0</v>
      </c>
      <c r="AE2667" s="50">
        <f t="shared" si="335"/>
        <v>0</v>
      </c>
    </row>
    <row r="2668" spans="1:31">
      <c r="A2668" s="59" t="str">
        <f t="shared" si="329"/>
        <v/>
      </c>
      <c r="B2668" s="59" t="str">
        <f t="shared" si="330"/>
        <v/>
      </c>
      <c r="V2668" s="59" t="str">
        <f t="shared" si="331"/>
        <v/>
      </c>
      <c r="W2668" s="59" t="str">
        <f t="shared" si="328"/>
        <v/>
      </c>
      <c r="X2668" s="59" t="str">
        <f t="shared" si="332"/>
        <v/>
      </c>
      <c r="AC2668" s="50">
        <f t="shared" si="333"/>
        <v>0</v>
      </c>
      <c r="AD2668" s="43">
        <f t="shared" si="334"/>
        <v>0</v>
      </c>
      <c r="AE2668" s="50">
        <f t="shared" si="335"/>
        <v>0</v>
      </c>
    </row>
    <row r="2669" spans="1:31">
      <c r="A2669" s="59" t="str">
        <f t="shared" si="329"/>
        <v/>
      </c>
      <c r="B2669" s="59" t="str">
        <f t="shared" si="330"/>
        <v/>
      </c>
      <c r="V2669" s="59" t="str">
        <f t="shared" si="331"/>
        <v/>
      </c>
      <c r="W2669" s="59" t="str">
        <f t="shared" si="328"/>
        <v/>
      </c>
      <c r="X2669" s="59" t="str">
        <f t="shared" si="332"/>
        <v/>
      </c>
      <c r="AC2669" s="50">
        <f t="shared" si="333"/>
        <v>0</v>
      </c>
      <c r="AD2669" s="43">
        <f t="shared" si="334"/>
        <v>0</v>
      </c>
      <c r="AE2669" s="50">
        <f t="shared" si="335"/>
        <v>0</v>
      </c>
    </row>
    <row r="2670" spans="1:31">
      <c r="A2670" s="59" t="str">
        <f t="shared" si="329"/>
        <v/>
      </c>
      <c r="B2670" s="59" t="str">
        <f t="shared" si="330"/>
        <v/>
      </c>
      <c r="V2670" s="59" t="str">
        <f t="shared" si="331"/>
        <v/>
      </c>
      <c r="W2670" s="59" t="str">
        <f t="shared" si="328"/>
        <v/>
      </c>
      <c r="X2670" s="59" t="str">
        <f t="shared" si="332"/>
        <v/>
      </c>
      <c r="AC2670" s="50">
        <f t="shared" si="333"/>
        <v>0</v>
      </c>
      <c r="AD2670" s="43">
        <f t="shared" si="334"/>
        <v>0</v>
      </c>
      <c r="AE2670" s="50">
        <f t="shared" si="335"/>
        <v>0</v>
      </c>
    </row>
    <row r="2671" spans="1:31">
      <c r="A2671" s="59" t="str">
        <f t="shared" si="329"/>
        <v/>
      </c>
      <c r="B2671" s="59" t="str">
        <f t="shared" si="330"/>
        <v/>
      </c>
      <c r="V2671" s="59" t="str">
        <f t="shared" si="331"/>
        <v/>
      </c>
      <c r="W2671" s="59" t="str">
        <f t="shared" si="328"/>
        <v/>
      </c>
      <c r="X2671" s="59" t="str">
        <f t="shared" si="332"/>
        <v/>
      </c>
      <c r="AC2671" s="50">
        <f t="shared" si="333"/>
        <v>0</v>
      </c>
      <c r="AD2671" s="43">
        <f t="shared" si="334"/>
        <v>0</v>
      </c>
      <c r="AE2671" s="50">
        <f t="shared" si="335"/>
        <v>0</v>
      </c>
    </row>
    <row r="2672" spans="1:31">
      <c r="A2672" s="59" t="str">
        <f t="shared" si="329"/>
        <v/>
      </c>
      <c r="B2672" s="59" t="str">
        <f t="shared" si="330"/>
        <v/>
      </c>
      <c r="V2672" s="59" t="str">
        <f t="shared" si="331"/>
        <v/>
      </c>
      <c r="W2672" s="59" t="str">
        <f t="shared" si="328"/>
        <v/>
      </c>
      <c r="X2672" s="59" t="str">
        <f t="shared" si="332"/>
        <v/>
      </c>
      <c r="AC2672" s="50">
        <f t="shared" si="333"/>
        <v>0</v>
      </c>
      <c r="AD2672" s="43">
        <f t="shared" si="334"/>
        <v>0</v>
      </c>
      <c r="AE2672" s="50">
        <f t="shared" si="335"/>
        <v>0</v>
      </c>
    </row>
    <row r="2673" spans="1:31">
      <c r="A2673" s="59" t="str">
        <f t="shared" si="329"/>
        <v/>
      </c>
      <c r="B2673" s="59" t="str">
        <f t="shared" si="330"/>
        <v/>
      </c>
      <c r="V2673" s="59" t="str">
        <f t="shared" si="331"/>
        <v/>
      </c>
      <c r="W2673" s="59" t="str">
        <f t="shared" si="328"/>
        <v/>
      </c>
      <c r="X2673" s="59" t="str">
        <f t="shared" si="332"/>
        <v/>
      </c>
      <c r="AC2673" s="50">
        <f t="shared" si="333"/>
        <v>0</v>
      </c>
      <c r="AD2673" s="43">
        <f t="shared" si="334"/>
        <v>0</v>
      </c>
      <c r="AE2673" s="50">
        <f t="shared" si="335"/>
        <v>0</v>
      </c>
    </row>
    <row r="2674" spans="1:31">
      <c r="A2674" s="59" t="str">
        <f t="shared" si="329"/>
        <v/>
      </c>
      <c r="B2674" s="59" t="str">
        <f t="shared" si="330"/>
        <v/>
      </c>
      <c r="V2674" s="59" t="str">
        <f t="shared" si="331"/>
        <v/>
      </c>
      <c r="W2674" s="59" t="str">
        <f t="shared" si="328"/>
        <v/>
      </c>
      <c r="X2674" s="59" t="str">
        <f t="shared" si="332"/>
        <v/>
      </c>
      <c r="AC2674" s="50">
        <f t="shared" si="333"/>
        <v>0</v>
      </c>
      <c r="AD2674" s="43">
        <f t="shared" si="334"/>
        <v>0</v>
      </c>
      <c r="AE2674" s="50">
        <f t="shared" si="335"/>
        <v>0</v>
      </c>
    </row>
    <row r="2675" spans="1:31">
      <c r="A2675" s="59" t="str">
        <f t="shared" si="329"/>
        <v/>
      </c>
      <c r="B2675" s="59" t="str">
        <f t="shared" si="330"/>
        <v/>
      </c>
      <c r="V2675" s="59" t="str">
        <f t="shared" si="331"/>
        <v/>
      </c>
      <c r="W2675" s="59" t="str">
        <f t="shared" si="328"/>
        <v/>
      </c>
      <c r="X2675" s="59" t="str">
        <f t="shared" si="332"/>
        <v/>
      </c>
      <c r="AC2675" s="50">
        <f t="shared" si="333"/>
        <v>0</v>
      </c>
      <c r="AD2675" s="43">
        <f t="shared" si="334"/>
        <v>0</v>
      </c>
      <c r="AE2675" s="50">
        <f t="shared" si="335"/>
        <v>0</v>
      </c>
    </row>
    <row r="2676" spans="1:31">
      <c r="A2676" s="59" t="str">
        <f t="shared" si="329"/>
        <v/>
      </c>
      <c r="B2676" s="59" t="str">
        <f t="shared" si="330"/>
        <v/>
      </c>
      <c r="V2676" s="59" t="str">
        <f t="shared" si="331"/>
        <v/>
      </c>
      <c r="W2676" s="59" t="str">
        <f t="shared" si="328"/>
        <v/>
      </c>
      <c r="X2676" s="59" t="str">
        <f t="shared" si="332"/>
        <v/>
      </c>
      <c r="AC2676" s="50">
        <f t="shared" si="333"/>
        <v>0</v>
      </c>
      <c r="AD2676" s="43">
        <f t="shared" si="334"/>
        <v>0</v>
      </c>
      <c r="AE2676" s="50">
        <f t="shared" si="335"/>
        <v>0</v>
      </c>
    </row>
    <row r="2677" spans="1:31">
      <c r="A2677" s="59" t="str">
        <f t="shared" si="329"/>
        <v/>
      </c>
      <c r="B2677" s="59" t="str">
        <f t="shared" si="330"/>
        <v/>
      </c>
      <c r="V2677" s="59" t="str">
        <f t="shared" si="331"/>
        <v/>
      </c>
      <c r="W2677" s="59" t="str">
        <f t="shared" si="328"/>
        <v/>
      </c>
      <c r="X2677" s="59" t="str">
        <f t="shared" si="332"/>
        <v/>
      </c>
      <c r="AC2677" s="50">
        <f t="shared" si="333"/>
        <v>0</v>
      </c>
      <c r="AD2677" s="43">
        <f t="shared" si="334"/>
        <v>0</v>
      </c>
      <c r="AE2677" s="50">
        <f t="shared" si="335"/>
        <v>0</v>
      </c>
    </row>
    <row r="2678" spans="1:31">
      <c r="A2678" s="59" t="str">
        <f t="shared" si="329"/>
        <v/>
      </c>
      <c r="B2678" s="59" t="str">
        <f t="shared" si="330"/>
        <v/>
      </c>
      <c r="V2678" s="59" t="str">
        <f t="shared" si="331"/>
        <v/>
      </c>
      <c r="W2678" s="59" t="str">
        <f t="shared" si="328"/>
        <v/>
      </c>
      <c r="X2678" s="59" t="str">
        <f t="shared" si="332"/>
        <v/>
      </c>
      <c r="AC2678" s="50">
        <f t="shared" si="333"/>
        <v>0</v>
      </c>
      <c r="AD2678" s="43">
        <f t="shared" si="334"/>
        <v>0</v>
      </c>
      <c r="AE2678" s="50">
        <f t="shared" si="335"/>
        <v>0</v>
      </c>
    </row>
    <row r="2679" spans="1:31">
      <c r="A2679" s="59" t="str">
        <f t="shared" si="329"/>
        <v/>
      </c>
      <c r="B2679" s="59" t="str">
        <f t="shared" si="330"/>
        <v/>
      </c>
      <c r="V2679" s="59" t="str">
        <f t="shared" si="331"/>
        <v/>
      </c>
      <c r="W2679" s="59" t="str">
        <f t="shared" si="328"/>
        <v/>
      </c>
      <c r="X2679" s="59" t="str">
        <f t="shared" si="332"/>
        <v/>
      </c>
      <c r="AC2679" s="50">
        <f t="shared" si="333"/>
        <v>0</v>
      </c>
      <c r="AD2679" s="43">
        <f t="shared" si="334"/>
        <v>0</v>
      </c>
      <c r="AE2679" s="50">
        <f t="shared" si="335"/>
        <v>0</v>
      </c>
    </row>
    <row r="2680" spans="1:31">
      <c r="A2680" s="59" t="str">
        <f t="shared" si="329"/>
        <v/>
      </c>
      <c r="B2680" s="59" t="str">
        <f t="shared" si="330"/>
        <v/>
      </c>
      <c r="V2680" s="59" t="str">
        <f t="shared" si="331"/>
        <v/>
      </c>
      <c r="W2680" s="59" t="str">
        <f t="shared" si="328"/>
        <v/>
      </c>
      <c r="X2680" s="59" t="str">
        <f t="shared" si="332"/>
        <v/>
      </c>
      <c r="AC2680" s="50">
        <f t="shared" si="333"/>
        <v>0</v>
      </c>
      <c r="AD2680" s="43">
        <f t="shared" si="334"/>
        <v>0</v>
      </c>
      <c r="AE2680" s="50">
        <f t="shared" si="335"/>
        <v>0</v>
      </c>
    </row>
    <row r="2681" spans="1:31">
      <c r="A2681" s="59" t="str">
        <f t="shared" si="329"/>
        <v/>
      </c>
      <c r="B2681" s="59" t="str">
        <f t="shared" si="330"/>
        <v/>
      </c>
      <c r="V2681" s="59" t="str">
        <f t="shared" si="331"/>
        <v/>
      </c>
      <c r="W2681" s="59" t="str">
        <f t="shared" si="328"/>
        <v/>
      </c>
      <c r="X2681" s="59" t="str">
        <f t="shared" si="332"/>
        <v/>
      </c>
      <c r="AC2681" s="50">
        <f t="shared" si="333"/>
        <v>0</v>
      </c>
      <c r="AD2681" s="43">
        <f t="shared" si="334"/>
        <v>0</v>
      </c>
      <c r="AE2681" s="50">
        <f t="shared" si="335"/>
        <v>0</v>
      </c>
    </row>
    <row r="2682" spans="1:31">
      <c r="A2682" s="59" t="str">
        <f t="shared" si="329"/>
        <v/>
      </c>
      <c r="B2682" s="59" t="str">
        <f t="shared" si="330"/>
        <v/>
      </c>
      <c r="V2682" s="59" t="str">
        <f t="shared" si="331"/>
        <v/>
      </c>
      <c r="W2682" s="59" t="str">
        <f t="shared" si="328"/>
        <v/>
      </c>
      <c r="X2682" s="59" t="str">
        <f t="shared" si="332"/>
        <v/>
      </c>
      <c r="AC2682" s="50">
        <f t="shared" si="333"/>
        <v>0</v>
      </c>
      <c r="AD2682" s="43">
        <f t="shared" si="334"/>
        <v>0</v>
      </c>
      <c r="AE2682" s="50">
        <f t="shared" si="335"/>
        <v>0</v>
      </c>
    </row>
    <row r="2683" spans="1:31">
      <c r="A2683" s="59" t="str">
        <f t="shared" si="329"/>
        <v/>
      </c>
      <c r="B2683" s="59" t="str">
        <f t="shared" si="330"/>
        <v/>
      </c>
      <c r="V2683" s="59" t="str">
        <f t="shared" si="331"/>
        <v/>
      </c>
      <c r="W2683" s="59" t="str">
        <f t="shared" si="328"/>
        <v/>
      </c>
      <c r="X2683" s="59" t="str">
        <f t="shared" si="332"/>
        <v/>
      </c>
      <c r="AC2683" s="50">
        <f t="shared" si="333"/>
        <v>0</v>
      </c>
      <c r="AD2683" s="43">
        <f t="shared" si="334"/>
        <v>0</v>
      </c>
      <c r="AE2683" s="50">
        <f t="shared" si="335"/>
        <v>0</v>
      </c>
    </row>
    <row r="2684" spans="1:31">
      <c r="A2684" s="59" t="str">
        <f t="shared" si="329"/>
        <v/>
      </c>
      <c r="B2684" s="59" t="str">
        <f t="shared" si="330"/>
        <v/>
      </c>
      <c r="V2684" s="59" t="str">
        <f t="shared" si="331"/>
        <v/>
      </c>
      <c r="W2684" s="59" t="str">
        <f t="shared" si="328"/>
        <v/>
      </c>
      <c r="X2684" s="59" t="str">
        <f t="shared" si="332"/>
        <v/>
      </c>
      <c r="AC2684" s="50">
        <f t="shared" si="333"/>
        <v>0</v>
      </c>
      <c r="AD2684" s="43">
        <f t="shared" si="334"/>
        <v>0</v>
      </c>
      <c r="AE2684" s="50">
        <f t="shared" si="335"/>
        <v>0</v>
      </c>
    </row>
    <row r="2685" spans="1:31">
      <c r="A2685" s="59" t="str">
        <f t="shared" si="329"/>
        <v/>
      </c>
      <c r="B2685" s="59" t="str">
        <f t="shared" si="330"/>
        <v/>
      </c>
      <c r="V2685" s="59" t="str">
        <f t="shared" si="331"/>
        <v/>
      </c>
      <c r="W2685" s="59" t="str">
        <f t="shared" si="328"/>
        <v/>
      </c>
      <c r="X2685" s="59" t="str">
        <f t="shared" si="332"/>
        <v/>
      </c>
      <c r="AC2685" s="50">
        <f t="shared" si="333"/>
        <v>0</v>
      </c>
      <c r="AD2685" s="43">
        <f t="shared" si="334"/>
        <v>0</v>
      </c>
      <c r="AE2685" s="50">
        <f t="shared" si="335"/>
        <v>0</v>
      </c>
    </row>
    <row r="2686" spans="1:31">
      <c r="A2686" s="59" t="str">
        <f t="shared" si="329"/>
        <v/>
      </c>
      <c r="B2686" s="59" t="str">
        <f t="shared" si="330"/>
        <v/>
      </c>
      <c r="V2686" s="59" t="str">
        <f t="shared" si="331"/>
        <v/>
      </c>
      <c r="W2686" s="59" t="str">
        <f t="shared" si="328"/>
        <v/>
      </c>
      <c r="X2686" s="59" t="str">
        <f t="shared" si="332"/>
        <v/>
      </c>
      <c r="AC2686" s="50">
        <f t="shared" si="333"/>
        <v>0</v>
      </c>
      <c r="AD2686" s="43">
        <f t="shared" si="334"/>
        <v>0</v>
      </c>
      <c r="AE2686" s="50">
        <f t="shared" si="335"/>
        <v>0</v>
      </c>
    </row>
    <row r="2687" spans="1:31">
      <c r="A2687" s="59" t="str">
        <f t="shared" si="329"/>
        <v/>
      </c>
      <c r="B2687" s="59" t="str">
        <f t="shared" si="330"/>
        <v/>
      </c>
      <c r="V2687" s="59" t="str">
        <f t="shared" si="331"/>
        <v/>
      </c>
      <c r="W2687" s="59" t="str">
        <f t="shared" si="328"/>
        <v/>
      </c>
      <c r="X2687" s="59" t="str">
        <f t="shared" si="332"/>
        <v/>
      </c>
      <c r="AC2687" s="50">
        <f t="shared" si="333"/>
        <v>0</v>
      </c>
      <c r="AD2687" s="43">
        <f t="shared" si="334"/>
        <v>0</v>
      </c>
      <c r="AE2687" s="50">
        <f t="shared" si="335"/>
        <v>0</v>
      </c>
    </row>
    <row r="2688" spans="1:31">
      <c r="A2688" s="59" t="str">
        <f t="shared" si="329"/>
        <v/>
      </c>
      <c r="B2688" s="59" t="str">
        <f t="shared" si="330"/>
        <v/>
      </c>
      <c r="V2688" s="59" t="str">
        <f t="shared" si="331"/>
        <v/>
      </c>
      <c r="W2688" s="59" t="str">
        <f t="shared" si="328"/>
        <v/>
      </c>
      <c r="X2688" s="59" t="str">
        <f t="shared" si="332"/>
        <v/>
      </c>
      <c r="AC2688" s="50">
        <f t="shared" si="333"/>
        <v>0</v>
      </c>
      <c r="AD2688" s="43">
        <f t="shared" si="334"/>
        <v>0</v>
      </c>
      <c r="AE2688" s="50">
        <f t="shared" si="335"/>
        <v>0</v>
      </c>
    </row>
    <row r="2689" spans="1:31">
      <c r="A2689" s="59" t="str">
        <f t="shared" si="329"/>
        <v/>
      </c>
      <c r="B2689" s="59" t="str">
        <f t="shared" si="330"/>
        <v/>
      </c>
      <c r="V2689" s="59" t="str">
        <f t="shared" si="331"/>
        <v/>
      </c>
      <c r="W2689" s="59" t="str">
        <f t="shared" si="328"/>
        <v/>
      </c>
      <c r="X2689" s="59" t="str">
        <f t="shared" si="332"/>
        <v/>
      </c>
      <c r="AC2689" s="50">
        <f t="shared" si="333"/>
        <v>0</v>
      </c>
      <c r="AD2689" s="43">
        <f t="shared" si="334"/>
        <v>0</v>
      </c>
      <c r="AE2689" s="50">
        <f t="shared" si="335"/>
        <v>0</v>
      </c>
    </row>
    <row r="2690" spans="1:31">
      <c r="A2690" s="59" t="str">
        <f t="shared" si="329"/>
        <v/>
      </c>
      <c r="B2690" s="59" t="str">
        <f t="shared" si="330"/>
        <v/>
      </c>
      <c r="V2690" s="59" t="str">
        <f t="shared" si="331"/>
        <v/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59" t="str">
        <f t="shared" si="332"/>
        <v/>
      </c>
      <c r="AC2690" s="50">
        <f t="shared" si="333"/>
        <v>0</v>
      </c>
      <c r="AD2690" s="43">
        <f t="shared" si="334"/>
        <v>0</v>
      </c>
      <c r="AE2690" s="50">
        <f t="shared" si="335"/>
        <v>0</v>
      </c>
    </row>
    <row r="2691" spans="1:31">
      <c r="A2691" s="59" t="str">
        <f t="shared" ref="A2691:A2754" si="337">IF(G2691&amp;Q2691&lt;&gt;"",W2691&amp;Q2691,"")</f>
        <v/>
      </c>
      <c r="B2691" s="59" t="str">
        <f t="shared" ref="B2691:B2754" si="338">IF(C2691&lt;&gt;"",LEFT(C2691,9),"")</f>
        <v/>
      </c>
      <c r="V2691" s="59" t="str">
        <f t="shared" ref="V2691:V2754" si="339">W2691&amp;H2691</f>
        <v/>
      </c>
      <c r="W2691" s="59" t="str">
        <f t="shared" si="336"/>
        <v/>
      </c>
      <c r="X2691" s="59" t="str">
        <f t="shared" ref="X2691:X2754" si="340">IF(A2691&lt;&gt;"",IFERROR(IF(FIND(" ",G2691)&gt;=1,MID(G2691,FIND(" ",G2691)+1,LEN(G2691)),""),""),"")</f>
        <v/>
      </c>
      <c r="AC2691" s="50">
        <f t="shared" ref="AC2691:AC2754" si="341">IFERROR(VALUE(MID($C2691,1,2)),0)</f>
        <v>0</v>
      </c>
      <c r="AD2691" s="43">
        <f t="shared" ref="AD2691:AD2754" si="342">IFERROR(VALUE(MID($C2691,4,3)),0)</f>
        <v>0</v>
      </c>
      <c r="AE2691" s="50">
        <f t="shared" ref="AE2691:AE2754" si="343">VALUE(RIGHT("00"&amp;AC2691,2)&amp;RIGHT("000"&amp;AD2691,3))</f>
        <v>0</v>
      </c>
    </row>
    <row r="2692" spans="1:31">
      <c r="A2692" s="59" t="str">
        <f t="shared" si="337"/>
        <v/>
      </c>
      <c r="B2692" s="59" t="str">
        <f t="shared" si="338"/>
        <v/>
      </c>
      <c r="V2692" s="59" t="str">
        <f t="shared" si="339"/>
        <v/>
      </c>
      <c r="W2692" s="59" t="str">
        <f t="shared" si="336"/>
        <v/>
      </c>
      <c r="X2692" s="59" t="str">
        <f t="shared" si="340"/>
        <v/>
      </c>
      <c r="AC2692" s="50">
        <f t="shared" si="341"/>
        <v>0</v>
      </c>
      <c r="AD2692" s="43">
        <f t="shared" si="342"/>
        <v>0</v>
      </c>
      <c r="AE2692" s="50">
        <f t="shared" si="343"/>
        <v>0</v>
      </c>
    </row>
    <row r="2693" spans="1:31">
      <c r="A2693" s="59" t="str">
        <f t="shared" si="337"/>
        <v/>
      </c>
      <c r="B2693" s="59" t="str">
        <f t="shared" si="338"/>
        <v/>
      </c>
      <c r="V2693" s="59" t="str">
        <f t="shared" si="339"/>
        <v/>
      </c>
      <c r="W2693" s="59" t="str">
        <f t="shared" si="336"/>
        <v/>
      </c>
      <c r="X2693" s="59" t="str">
        <f t="shared" si="340"/>
        <v/>
      </c>
      <c r="AC2693" s="50">
        <f t="shared" si="341"/>
        <v>0</v>
      </c>
      <c r="AD2693" s="43">
        <f t="shared" si="342"/>
        <v>0</v>
      </c>
      <c r="AE2693" s="50">
        <f t="shared" si="343"/>
        <v>0</v>
      </c>
    </row>
    <row r="2694" spans="1:31">
      <c r="A2694" s="59" t="str">
        <f t="shared" si="337"/>
        <v/>
      </c>
      <c r="B2694" s="59" t="str">
        <f t="shared" si="338"/>
        <v/>
      </c>
      <c r="V2694" s="59" t="str">
        <f t="shared" si="339"/>
        <v/>
      </c>
      <c r="W2694" s="59" t="str">
        <f t="shared" si="336"/>
        <v/>
      </c>
      <c r="X2694" s="59" t="str">
        <f t="shared" si="340"/>
        <v/>
      </c>
      <c r="AC2694" s="50">
        <f t="shared" si="341"/>
        <v>0</v>
      </c>
      <c r="AD2694" s="43">
        <f t="shared" si="342"/>
        <v>0</v>
      </c>
      <c r="AE2694" s="50">
        <f t="shared" si="343"/>
        <v>0</v>
      </c>
    </row>
    <row r="2695" spans="1:31">
      <c r="A2695" s="59" t="str">
        <f t="shared" si="337"/>
        <v/>
      </c>
      <c r="B2695" s="59" t="str">
        <f t="shared" si="338"/>
        <v/>
      </c>
      <c r="V2695" s="59" t="str">
        <f t="shared" si="339"/>
        <v/>
      </c>
      <c r="W2695" s="59" t="str">
        <f t="shared" si="336"/>
        <v/>
      </c>
      <c r="X2695" s="59" t="str">
        <f t="shared" si="340"/>
        <v/>
      </c>
      <c r="AC2695" s="50">
        <f t="shared" si="341"/>
        <v>0</v>
      </c>
      <c r="AD2695" s="43">
        <f t="shared" si="342"/>
        <v>0</v>
      </c>
      <c r="AE2695" s="50">
        <f t="shared" si="343"/>
        <v>0</v>
      </c>
    </row>
    <row r="2696" spans="1:31">
      <c r="A2696" s="59" t="str">
        <f t="shared" si="337"/>
        <v/>
      </c>
      <c r="B2696" s="59" t="str">
        <f t="shared" si="338"/>
        <v/>
      </c>
      <c r="V2696" s="59" t="str">
        <f t="shared" si="339"/>
        <v/>
      </c>
      <c r="W2696" s="59" t="str">
        <f t="shared" si="336"/>
        <v/>
      </c>
      <c r="X2696" s="59" t="str">
        <f t="shared" si="340"/>
        <v/>
      </c>
      <c r="AC2696" s="50">
        <f t="shared" si="341"/>
        <v>0</v>
      </c>
      <c r="AD2696" s="43">
        <f t="shared" si="342"/>
        <v>0</v>
      </c>
      <c r="AE2696" s="50">
        <f t="shared" si="343"/>
        <v>0</v>
      </c>
    </row>
    <row r="2697" spans="1:31">
      <c r="A2697" s="59" t="str">
        <f t="shared" si="337"/>
        <v/>
      </c>
      <c r="B2697" s="59" t="str">
        <f t="shared" si="338"/>
        <v/>
      </c>
      <c r="V2697" s="59" t="str">
        <f t="shared" si="339"/>
        <v/>
      </c>
      <c r="W2697" s="59" t="str">
        <f t="shared" si="336"/>
        <v/>
      </c>
      <c r="X2697" s="59" t="str">
        <f t="shared" si="340"/>
        <v/>
      </c>
      <c r="AC2697" s="50">
        <f t="shared" si="341"/>
        <v>0</v>
      </c>
      <c r="AD2697" s="43">
        <f t="shared" si="342"/>
        <v>0</v>
      </c>
      <c r="AE2697" s="50">
        <f t="shared" si="343"/>
        <v>0</v>
      </c>
    </row>
    <row r="2698" spans="1:31">
      <c r="A2698" s="59" t="str">
        <f t="shared" si="337"/>
        <v/>
      </c>
      <c r="B2698" s="59" t="str">
        <f t="shared" si="338"/>
        <v/>
      </c>
      <c r="V2698" s="59" t="str">
        <f t="shared" si="339"/>
        <v/>
      </c>
      <c r="W2698" s="59" t="str">
        <f t="shared" si="336"/>
        <v/>
      </c>
      <c r="X2698" s="59" t="str">
        <f t="shared" si="340"/>
        <v/>
      </c>
      <c r="AC2698" s="50">
        <f t="shared" si="341"/>
        <v>0</v>
      </c>
      <c r="AD2698" s="43">
        <f t="shared" si="342"/>
        <v>0</v>
      </c>
      <c r="AE2698" s="50">
        <f t="shared" si="343"/>
        <v>0</v>
      </c>
    </row>
    <row r="2699" spans="1:31">
      <c r="A2699" s="59" t="str">
        <f t="shared" si="337"/>
        <v/>
      </c>
      <c r="B2699" s="59" t="str">
        <f t="shared" si="338"/>
        <v/>
      </c>
      <c r="V2699" s="59" t="str">
        <f t="shared" si="339"/>
        <v/>
      </c>
      <c r="W2699" s="59" t="str">
        <f t="shared" si="336"/>
        <v/>
      </c>
      <c r="X2699" s="59" t="str">
        <f t="shared" si="340"/>
        <v/>
      </c>
      <c r="AC2699" s="50">
        <f t="shared" si="341"/>
        <v>0</v>
      </c>
      <c r="AD2699" s="43">
        <f t="shared" si="342"/>
        <v>0</v>
      </c>
      <c r="AE2699" s="50">
        <f t="shared" si="343"/>
        <v>0</v>
      </c>
    </row>
    <row r="2700" spans="1:31">
      <c r="A2700" s="59" t="str">
        <f t="shared" si="337"/>
        <v/>
      </c>
      <c r="B2700" s="59" t="str">
        <f t="shared" si="338"/>
        <v/>
      </c>
      <c r="V2700" s="59" t="str">
        <f t="shared" si="339"/>
        <v/>
      </c>
      <c r="W2700" s="59" t="str">
        <f t="shared" si="336"/>
        <v/>
      </c>
      <c r="X2700" s="59" t="str">
        <f t="shared" si="340"/>
        <v/>
      </c>
      <c r="AC2700" s="50">
        <f t="shared" si="341"/>
        <v>0</v>
      </c>
      <c r="AD2700" s="43">
        <f t="shared" si="342"/>
        <v>0</v>
      </c>
      <c r="AE2700" s="50">
        <f t="shared" si="343"/>
        <v>0</v>
      </c>
    </row>
    <row r="2701" spans="1:31">
      <c r="A2701" s="59" t="str">
        <f t="shared" si="337"/>
        <v/>
      </c>
      <c r="B2701" s="59" t="str">
        <f t="shared" si="338"/>
        <v/>
      </c>
      <c r="V2701" s="59" t="str">
        <f t="shared" si="339"/>
        <v/>
      </c>
      <c r="W2701" s="59" t="str">
        <f t="shared" si="336"/>
        <v/>
      </c>
      <c r="X2701" s="59" t="str">
        <f t="shared" si="340"/>
        <v/>
      </c>
      <c r="AC2701" s="50">
        <f t="shared" si="341"/>
        <v>0</v>
      </c>
      <c r="AD2701" s="43">
        <f t="shared" si="342"/>
        <v>0</v>
      </c>
      <c r="AE2701" s="50">
        <f t="shared" si="343"/>
        <v>0</v>
      </c>
    </row>
    <row r="2702" spans="1:31">
      <c r="A2702" s="59" t="str">
        <f t="shared" si="337"/>
        <v/>
      </c>
      <c r="B2702" s="59" t="str">
        <f t="shared" si="338"/>
        <v/>
      </c>
      <c r="V2702" s="59" t="str">
        <f t="shared" si="339"/>
        <v/>
      </c>
      <c r="W2702" s="59" t="str">
        <f t="shared" si="336"/>
        <v/>
      </c>
      <c r="X2702" s="59" t="str">
        <f t="shared" si="340"/>
        <v/>
      </c>
      <c r="AC2702" s="50">
        <f t="shared" si="341"/>
        <v>0</v>
      </c>
      <c r="AD2702" s="43">
        <f t="shared" si="342"/>
        <v>0</v>
      </c>
      <c r="AE2702" s="50">
        <f t="shared" si="343"/>
        <v>0</v>
      </c>
    </row>
    <row r="2703" spans="1:31">
      <c r="A2703" s="59" t="str">
        <f t="shared" si="337"/>
        <v/>
      </c>
      <c r="B2703" s="59" t="str">
        <f t="shared" si="338"/>
        <v/>
      </c>
      <c r="V2703" s="59" t="str">
        <f t="shared" si="339"/>
        <v/>
      </c>
      <c r="W2703" s="59" t="str">
        <f t="shared" si="336"/>
        <v/>
      </c>
      <c r="X2703" s="59" t="str">
        <f t="shared" si="340"/>
        <v/>
      </c>
      <c r="AC2703" s="50">
        <f t="shared" si="341"/>
        <v>0</v>
      </c>
      <c r="AD2703" s="43">
        <f t="shared" si="342"/>
        <v>0</v>
      </c>
      <c r="AE2703" s="50">
        <f t="shared" si="343"/>
        <v>0</v>
      </c>
    </row>
    <row r="2704" spans="1:31">
      <c r="A2704" s="59" t="str">
        <f t="shared" si="337"/>
        <v/>
      </c>
      <c r="B2704" s="59" t="str">
        <f t="shared" si="338"/>
        <v/>
      </c>
      <c r="V2704" s="59" t="str">
        <f t="shared" si="339"/>
        <v/>
      </c>
      <c r="W2704" s="59" t="str">
        <f t="shared" si="336"/>
        <v/>
      </c>
      <c r="X2704" s="59" t="str">
        <f t="shared" si="340"/>
        <v/>
      </c>
      <c r="AC2704" s="50">
        <f t="shared" si="341"/>
        <v>0</v>
      </c>
      <c r="AD2704" s="43">
        <f t="shared" si="342"/>
        <v>0</v>
      </c>
      <c r="AE2704" s="50">
        <f t="shared" si="343"/>
        <v>0</v>
      </c>
    </row>
    <row r="2705" spans="1:31">
      <c r="A2705" s="59" t="str">
        <f t="shared" si="337"/>
        <v/>
      </c>
      <c r="B2705" s="59" t="str">
        <f t="shared" si="338"/>
        <v/>
      </c>
      <c r="V2705" s="59" t="str">
        <f t="shared" si="339"/>
        <v/>
      </c>
      <c r="W2705" s="59" t="str">
        <f t="shared" si="336"/>
        <v/>
      </c>
      <c r="X2705" s="59" t="str">
        <f t="shared" si="340"/>
        <v/>
      </c>
      <c r="AC2705" s="50">
        <f t="shared" si="341"/>
        <v>0</v>
      </c>
      <c r="AD2705" s="43">
        <f t="shared" si="342"/>
        <v>0</v>
      </c>
      <c r="AE2705" s="50">
        <f t="shared" si="343"/>
        <v>0</v>
      </c>
    </row>
    <row r="2706" spans="1:31">
      <c r="A2706" s="59" t="str">
        <f t="shared" si="337"/>
        <v/>
      </c>
      <c r="B2706" s="59" t="str">
        <f t="shared" si="338"/>
        <v/>
      </c>
      <c r="V2706" s="59" t="str">
        <f t="shared" si="339"/>
        <v/>
      </c>
      <c r="W2706" s="59" t="str">
        <f t="shared" si="336"/>
        <v/>
      </c>
      <c r="X2706" s="59" t="str">
        <f t="shared" si="340"/>
        <v/>
      </c>
      <c r="AC2706" s="50">
        <f t="shared" si="341"/>
        <v>0</v>
      </c>
      <c r="AD2706" s="43">
        <f t="shared" si="342"/>
        <v>0</v>
      </c>
      <c r="AE2706" s="50">
        <f t="shared" si="343"/>
        <v>0</v>
      </c>
    </row>
    <row r="2707" spans="1:31">
      <c r="A2707" s="59" t="str">
        <f t="shared" si="337"/>
        <v/>
      </c>
      <c r="B2707" s="59" t="str">
        <f t="shared" si="338"/>
        <v/>
      </c>
      <c r="V2707" s="59" t="str">
        <f t="shared" si="339"/>
        <v/>
      </c>
      <c r="W2707" s="59" t="str">
        <f t="shared" si="336"/>
        <v/>
      </c>
      <c r="X2707" s="59" t="str">
        <f t="shared" si="340"/>
        <v/>
      </c>
      <c r="AC2707" s="50">
        <f t="shared" si="341"/>
        <v>0</v>
      </c>
      <c r="AD2707" s="43">
        <f t="shared" si="342"/>
        <v>0</v>
      </c>
      <c r="AE2707" s="50">
        <f t="shared" si="343"/>
        <v>0</v>
      </c>
    </row>
    <row r="2708" spans="1:31">
      <c r="A2708" s="59" t="str">
        <f t="shared" si="337"/>
        <v/>
      </c>
      <c r="B2708" s="59" t="str">
        <f t="shared" si="338"/>
        <v/>
      </c>
      <c r="V2708" s="59" t="str">
        <f t="shared" si="339"/>
        <v/>
      </c>
      <c r="W2708" s="59" t="str">
        <f t="shared" si="336"/>
        <v/>
      </c>
      <c r="X2708" s="59" t="str">
        <f t="shared" si="340"/>
        <v/>
      </c>
      <c r="AC2708" s="50">
        <f t="shared" si="341"/>
        <v>0</v>
      </c>
      <c r="AD2708" s="43">
        <f t="shared" si="342"/>
        <v>0</v>
      </c>
      <c r="AE2708" s="50">
        <f t="shared" si="343"/>
        <v>0</v>
      </c>
    </row>
    <row r="2709" spans="1:31">
      <c r="A2709" s="59" t="str">
        <f t="shared" si="337"/>
        <v/>
      </c>
      <c r="B2709" s="59" t="str">
        <f t="shared" si="338"/>
        <v/>
      </c>
      <c r="V2709" s="59" t="str">
        <f t="shared" si="339"/>
        <v/>
      </c>
      <c r="W2709" s="59" t="str">
        <f t="shared" si="336"/>
        <v/>
      </c>
      <c r="X2709" s="59" t="str">
        <f t="shared" si="340"/>
        <v/>
      </c>
      <c r="AC2709" s="50">
        <f t="shared" si="341"/>
        <v>0</v>
      </c>
      <c r="AD2709" s="43">
        <f t="shared" si="342"/>
        <v>0</v>
      </c>
      <c r="AE2709" s="50">
        <f t="shared" si="343"/>
        <v>0</v>
      </c>
    </row>
    <row r="2710" spans="1:31">
      <c r="A2710" s="59" t="str">
        <f t="shared" si="337"/>
        <v/>
      </c>
      <c r="B2710" s="59" t="str">
        <f t="shared" si="338"/>
        <v/>
      </c>
      <c r="V2710" s="59" t="str">
        <f t="shared" si="339"/>
        <v/>
      </c>
      <c r="W2710" s="59" t="str">
        <f t="shared" si="336"/>
        <v/>
      </c>
      <c r="X2710" s="59" t="str">
        <f t="shared" si="340"/>
        <v/>
      </c>
      <c r="AC2710" s="50">
        <f t="shared" si="341"/>
        <v>0</v>
      </c>
      <c r="AD2710" s="43">
        <f t="shared" si="342"/>
        <v>0</v>
      </c>
      <c r="AE2710" s="50">
        <f t="shared" si="343"/>
        <v>0</v>
      </c>
    </row>
    <row r="2711" spans="1:31">
      <c r="A2711" s="59" t="str">
        <f t="shared" si="337"/>
        <v/>
      </c>
      <c r="B2711" s="59" t="str">
        <f t="shared" si="338"/>
        <v/>
      </c>
      <c r="V2711" s="59" t="str">
        <f t="shared" si="339"/>
        <v/>
      </c>
      <c r="W2711" s="59" t="str">
        <f t="shared" si="336"/>
        <v/>
      </c>
      <c r="X2711" s="59" t="str">
        <f t="shared" si="340"/>
        <v/>
      </c>
      <c r="AC2711" s="50">
        <f t="shared" si="341"/>
        <v>0</v>
      </c>
      <c r="AD2711" s="43">
        <f t="shared" si="342"/>
        <v>0</v>
      </c>
      <c r="AE2711" s="50">
        <f t="shared" si="343"/>
        <v>0</v>
      </c>
    </row>
    <row r="2712" spans="1:31">
      <c r="A2712" s="59" t="str">
        <f t="shared" si="337"/>
        <v/>
      </c>
      <c r="B2712" s="59" t="str">
        <f t="shared" si="338"/>
        <v/>
      </c>
      <c r="V2712" s="59" t="str">
        <f t="shared" si="339"/>
        <v/>
      </c>
      <c r="W2712" s="59" t="str">
        <f t="shared" si="336"/>
        <v/>
      </c>
      <c r="X2712" s="59" t="str">
        <f t="shared" si="340"/>
        <v/>
      </c>
      <c r="AC2712" s="50">
        <f t="shared" si="341"/>
        <v>0</v>
      </c>
      <c r="AD2712" s="43">
        <f t="shared" si="342"/>
        <v>0</v>
      </c>
      <c r="AE2712" s="50">
        <f t="shared" si="343"/>
        <v>0</v>
      </c>
    </row>
    <row r="2713" spans="1:31">
      <c r="A2713" s="59" t="str">
        <f t="shared" si="337"/>
        <v/>
      </c>
      <c r="B2713" s="59" t="str">
        <f t="shared" si="338"/>
        <v/>
      </c>
      <c r="V2713" s="59" t="str">
        <f t="shared" si="339"/>
        <v/>
      </c>
      <c r="W2713" s="59" t="str">
        <f t="shared" si="336"/>
        <v/>
      </c>
      <c r="X2713" s="59" t="str">
        <f t="shared" si="340"/>
        <v/>
      </c>
      <c r="AC2713" s="50">
        <f t="shared" si="341"/>
        <v>0</v>
      </c>
      <c r="AD2713" s="43">
        <f t="shared" si="342"/>
        <v>0</v>
      </c>
      <c r="AE2713" s="50">
        <f t="shared" si="343"/>
        <v>0</v>
      </c>
    </row>
    <row r="2714" spans="1:31">
      <c r="A2714" s="59" t="str">
        <f t="shared" si="337"/>
        <v/>
      </c>
      <c r="B2714" s="59" t="str">
        <f t="shared" si="338"/>
        <v/>
      </c>
      <c r="V2714" s="59" t="str">
        <f t="shared" si="339"/>
        <v/>
      </c>
      <c r="W2714" s="59" t="str">
        <f t="shared" si="336"/>
        <v/>
      </c>
      <c r="X2714" s="59" t="str">
        <f t="shared" si="340"/>
        <v/>
      </c>
      <c r="AC2714" s="50">
        <f t="shared" si="341"/>
        <v>0</v>
      </c>
      <c r="AD2714" s="43">
        <f t="shared" si="342"/>
        <v>0</v>
      </c>
      <c r="AE2714" s="50">
        <f t="shared" si="343"/>
        <v>0</v>
      </c>
    </row>
    <row r="2715" spans="1:31">
      <c r="A2715" s="59" t="str">
        <f t="shared" si="337"/>
        <v/>
      </c>
      <c r="B2715" s="59" t="str">
        <f t="shared" si="338"/>
        <v/>
      </c>
      <c r="V2715" s="59" t="str">
        <f t="shared" si="339"/>
        <v/>
      </c>
      <c r="W2715" s="59" t="str">
        <f t="shared" si="336"/>
        <v/>
      </c>
      <c r="X2715" s="59" t="str">
        <f t="shared" si="340"/>
        <v/>
      </c>
      <c r="AC2715" s="50">
        <f t="shared" si="341"/>
        <v>0</v>
      </c>
      <c r="AD2715" s="43">
        <f t="shared" si="342"/>
        <v>0</v>
      </c>
      <c r="AE2715" s="50">
        <f t="shared" si="343"/>
        <v>0</v>
      </c>
    </row>
    <row r="2716" spans="1:31">
      <c r="A2716" s="59" t="str">
        <f t="shared" si="337"/>
        <v/>
      </c>
      <c r="B2716" s="59" t="str">
        <f t="shared" si="338"/>
        <v/>
      </c>
      <c r="V2716" s="59" t="str">
        <f t="shared" si="339"/>
        <v/>
      </c>
      <c r="W2716" s="59" t="str">
        <f t="shared" si="336"/>
        <v/>
      </c>
      <c r="X2716" s="59" t="str">
        <f t="shared" si="340"/>
        <v/>
      </c>
      <c r="AC2716" s="50">
        <f t="shared" si="341"/>
        <v>0</v>
      </c>
      <c r="AD2716" s="43">
        <f t="shared" si="342"/>
        <v>0</v>
      </c>
      <c r="AE2716" s="50">
        <f t="shared" si="343"/>
        <v>0</v>
      </c>
    </row>
    <row r="2717" spans="1:31">
      <c r="A2717" s="59" t="str">
        <f t="shared" si="337"/>
        <v/>
      </c>
      <c r="B2717" s="59" t="str">
        <f t="shared" si="338"/>
        <v/>
      </c>
      <c r="V2717" s="59" t="str">
        <f t="shared" si="339"/>
        <v/>
      </c>
      <c r="W2717" s="59" t="str">
        <f t="shared" si="336"/>
        <v/>
      </c>
      <c r="X2717" s="59" t="str">
        <f t="shared" si="340"/>
        <v/>
      </c>
      <c r="AC2717" s="50">
        <f t="shared" si="341"/>
        <v>0</v>
      </c>
      <c r="AD2717" s="43">
        <f t="shared" si="342"/>
        <v>0</v>
      </c>
      <c r="AE2717" s="50">
        <f t="shared" si="343"/>
        <v>0</v>
      </c>
    </row>
    <row r="2718" spans="1:31">
      <c r="A2718" s="59" t="str">
        <f t="shared" si="337"/>
        <v/>
      </c>
      <c r="B2718" s="59" t="str">
        <f t="shared" si="338"/>
        <v/>
      </c>
      <c r="V2718" s="59" t="str">
        <f t="shared" si="339"/>
        <v/>
      </c>
      <c r="W2718" s="59" t="str">
        <f t="shared" si="336"/>
        <v/>
      </c>
      <c r="X2718" s="59" t="str">
        <f t="shared" si="340"/>
        <v/>
      </c>
      <c r="AC2718" s="50">
        <f t="shared" si="341"/>
        <v>0</v>
      </c>
      <c r="AD2718" s="43">
        <f t="shared" si="342"/>
        <v>0</v>
      </c>
      <c r="AE2718" s="50">
        <f t="shared" si="343"/>
        <v>0</v>
      </c>
    </row>
    <row r="2719" spans="1:31">
      <c r="A2719" s="59" t="str">
        <f t="shared" si="337"/>
        <v/>
      </c>
      <c r="B2719" s="59" t="str">
        <f t="shared" si="338"/>
        <v/>
      </c>
      <c r="V2719" s="59" t="str">
        <f t="shared" si="339"/>
        <v/>
      </c>
      <c r="W2719" s="59" t="str">
        <f t="shared" si="336"/>
        <v/>
      </c>
      <c r="X2719" s="59" t="str">
        <f t="shared" si="340"/>
        <v/>
      </c>
      <c r="AC2719" s="50">
        <f t="shared" si="341"/>
        <v>0</v>
      </c>
      <c r="AD2719" s="43">
        <f t="shared" si="342"/>
        <v>0</v>
      </c>
      <c r="AE2719" s="50">
        <f t="shared" si="343"/>
        <v>0</v>
      </c>
    </row>
    <row r="2720" spans="1:31">
      <c r="A2720" s="59" t="str">
        <f t="shared" si="337"/>
        <v/>
      </c>
      <c r="B2720" s="59" t="str">
        <f t="shared" si="338"/>
        <v/>
      </c>
      <c r="V2720" s="59" t="str">
        <f t="shared" si="339"/>
        <v/>
      </c>
      <c r="W2720" s="59" t="str">
        <f t="shared" si="336"/>
        <v/>
      </c>
      <c r="X2720" s="59" t="str">
        <f t="shared" si="340"/>
        <v/>
      </c>
      <c r="AC2720" s="50">
        <f t="shared" si="341"/>
        <v>0</v>
      </c>
      <c r="AD2720" s="43">
        <f t="shared" si="342"/>
        <v>0</v>
      </c>
      <c r="AE2720" s="50">
        <f t="shared" si="343"/>
        <v>0</v>
      </c>
    </row>
    <row r="2721" spans="1:31">
      <c r="A2721" s="59" t="str">
        <f t="shared" si="337"/>
        <v/>
      </c>
      <c r="B2721" s="59" t="str">
        <f t="shared" si="338"/>
        <v/>
      </c>
      <c r="V2721" s="59" t="str">
        <f t="shared" si="339"/>
        <v/>
      </c>
      <c r="W2721" s="59" t="str">
        <f t="shared" si="336"/>
        <v/>
      </c>
      <c r="X2721" s="59" t="str">
        <f t="shared" si="340"/>
        <v/>
      </c>
      <c r="AC2721" s="50">
        <f t="shared" si="341"/>
        <v>0</v>
      </c>
      <c r="AD2721" s="43">
        <f t="shared" si="342"/>
        <v>0</v>
      </c>
      <c r="AE2721" s="50">
        <f t="shared" si="343"/>
        <v>0</v>
      </c>
    </row>
    <row r="2722" spans="1:31">
      <c r="A2722" s="59" t="str">
        <f t="shared" si="337"/>
        <v/>
      </c>
      <c r="B2722" s="59" t="str">
        <f t="shared" si="338"/>
        <v/>
      </c>
      <c r="V2722" s="59" t="str">
        <f t="shared" si="339"/>
        <v/>
      </c>
      <c r="W2722" s="59" t="str">
        <f t="shared" si="336"/>
        <v/>
      </c>
      <c r="X2722" s="59" t="str">
        <f t="shared" si="340"/>
        <v/>
      </c>
      <c r="AC2722" s="50">
        <f t="shared" si="341"/>
        <v>0</v>
      </c>
      <c r="AD2722" s="43">
        <f t="shared" si="342"/>
        <v>0</v>
      </c>
      <c r="AE2722" s="50">
        <f t="shared" si="343"/>
        <v>0</v>
      </c>
    </row>
    <row r="2723" spans="1:31">
      <c r="A2723" s="59" t="str">
        <f t="shared" si="337"/>
        <v/>
      </c>
      <c r="B2723" s="59" t="str">
        <f t="shared" si="338"/>
        <v/>
      </c>
      <c r="V2723" s="59" t="str">
        <f t="shared" si="339"/>
        <v/>
      </c>
      <c r="W2723" s="59" t="str">
        <f t="shared" si="336"/>
        <v/>
      </c>
      <c r="X2723" s="59" t="str">
        <f t="shared" si="340"/>
        <v/>
      </c>
      <c r="AC2723" s="50">
        <f t="shared" si="341"/>
        <v>0</v>
      </c>
      <c r="AD2723" s="43">
        <f t="shared" si="342"/>
        <v>0</v>
      </c>
      <c r="AE2723" s="50">
        <f t="shared" si="343"/>
        <v>0</v>
      </c>
    </row>
    <row r="2724" spans="1:31">
      <c r="A2724" s="59" t="str">
        <f t="shared" si="337"/>
        <v/>
      </c>
      <c r="B2724" s="59" t="str">
        <f t="shared" si="338"/>
        <v/>
      </c>
      <c r="V2724" s="59" t="str">
        <f t="shared" si="339"/>
        <v/>
      </c>
      <c r="W2724" s="59" t="str">
        <f t="shared" si="336"/>
        <v/>
      </c>
      <c r="X2724" s="59" t="str">
        <f t="shared" si="340"/>
        <v/>
      </c>
      <c r="AC2724" s="50">
        <f t="shared" si="341"/>
        <v>0</v>
      </c>
      <c r="AD2724" s="43">
        <f t="shared" si="342"/>
        <v>0</v>
      </c>
      <c r="AE2724" s="50">
        <f t="shared" si="343"/>
        <v>0</v>
      </c>
    </row>
    <row r="2725" spans="1:31">
      <c r="A2725" s="59" t="str">
        <f t="shared" si="337"/>
        <v/>
      </c>
      <c r="B2725" s="59" t="str">
        <f t="shared" si="338"/>
        <v/>
      </c>
      <c r="V2725" s="59" t="str">
        <f t="shared" si="339"/>
        <v/>
      </c>
      <c r="W2725" s="59" t="str">
        <f t="shared" si="336"/>
        <v/>
      </c>
      <c r="X2725" s="59" t="str">
        <f t="shared" si="340"/>
        <v/>
      </c>
      <c r="AC2725" s="50">
        <f t="shared" si="341"/>
        <v>0</v>
      </c>
      <c r="AD2725" s="43">
        <f t="shared" si="342"/>
        <v>0</v>
      </c>
      <c r="AE2725" s="50">
        <f t="shared" si="343"/>
        <v>0</v>
      </c>
    </row>
    <row r="2726" spans="1:31">
      <c r="A2726" s="59" t="str">
        <f t="shared" si="337"/>
        <v/>
      </c>
      <c r="B2726" s="59" t="str">
        <f t="shared" si="338"/>
        <v/>
      </c>
      <c r="V2726" s="59" t="str">
        <f t="shared" si="339"/>
        <v/>
      </c>
      <c r="W2726" s="59" t="str">
        <f t="shared" si="336"/>
        <v/>
      </c>
      <c r="X2726" s="59" t="str">
        <f t="shared" si="340"/>
        <v/>
      </c>
      <c r="AC2726" s="50">
        <f t="shared" si="341"/>
        <v>0</v>
      </c>
      <c r="AD2726" s="43">
        <f t="shared" si="342"/>
        <v>0</v>
      </c>
      <c r="AE2726" s="50">
        <f t="shared" si="343"/>
        <v>0</v>
      </c>
    </row>
    <row r="2727" spans="1:31">
      <c r="A2727" s="59" t="str">
        <f t="shared" si="337"/>
        <v/>
      </c>
      <c r="B2727" s="59" t="str">
        <f t="shared" si="338"/>
        <v/>
      </c>
      <c r="V2727" s="59" t="str">
        <f t="shared" si="339"/>
        <v/>
      </c>
      <c r="W2727" s="59" t="str">
        <f t="shared" si="336"/>
        <v/>
      </c>
      <c r="X2727" s="59" t="str">
        <f t="shared" si="340"/>
        <v/>
      </c>
      <c r="AC2727" s="50">
        <f t="shared" si="341"/>
        <v>0</v>
      </c>
      <c r="AD2727" s="43">
        <f t="shared" si="342"/>
        <v>0</v>
      </c>
      <c r="AE2727" s="50">
        <f t="shared" si="343"/>
        <v>0</v>
      </c>
    </row>
    <row r="2728" spans="1:31">
      <c r="A2728" s="59" t="str">
        <f t="shared" si="337"/>
        <v/>
      </c>
      <c r="B2728" s="59" t="str">
        <f t="shared" si="338"/>
        <v/>
      </c>
      <c r="V2728" s="59" t="str">
        <f t="shared" si="339"/>
        <v/>
      </c>
      <c r="W2728" s="59" t="str">
        <f t="shared" si="336"/>
        <v/>
      </c>
      <c r="X2728" s="59" t="str">
        <f t="shared" si="340"/>
        <v/>
      </c>
      <c r="AC2728" s="50">
        <f t="shared" si="341"/>
        <v>0</v>
      </c>
      <c r="AD2728" s="43">
        <f t="shared" si="342"/>
        <v>0</v>
      </c>
      <c r="AE2728" s="50">
        <f t="shared" si="343"/>
        <v>0</v>
      </c>
    </row>
    <row r="2729" spans="1:31">
      <c r="A2729" s="59" t="str">
        <f t="shared" si="337"/>
        <v/>
      </c>
      <c r="B2729" s="59" t="str">
        <f t="shared" si="338"/>
        <v/>
      </c>
      <c r="V2729" s="59" t="str">
        <f t="shared" si="339"/>
        <v/>
      </c>
      <c r="W2729" s="59" t="str">
        <f t="shared" si="336"/>
        <v/>
      </c>
      <c r="X2729" s="59" t="str">
        <f t="shared" si="340"/>
        <v/>
      </c>
      <c r="AC2729" s="50">
        <f t="shared" si="341"/>
        <v>0</v>
      </c>
      <c r="AD2729" s="43">
        <f t="shared" si="342"/>
        <v>0</v>
      </c>
      <c r="AE2729" s="50">
        <f t="shared" si="343"/>
        <v>0</v>
      </c>
    </row>
    <row r="2730" spans="1:31">
      <c r="A2730" s="59" t="str">
        <f t="shared" si="337"/>
        <v/>
      </c>
      <c r="B2730" s="59" t="str">
        <f t="shared" si="338"/>
        <v/>
      </c>
      <c r="V2730" s="59" t="str">
        <f t="shared" si="339"/>
        <v/>
      </c>
      <c r="W2730" s="59" t="str">
        <f t="shared" si="336"/>
        <v/>
      </c>
      <c r="X2730" s="59" t="str">
        <f t="shared" si="340"/>
        <v/>
      </c>
      <c r="AC2730" s="50">
        <f t="shared" si="341"/>
        <v>0</v>
      </c>
      <c r="AD2730" s="43">
        <f t="shared" si="342"/>
        <v>0</v>
      </c>
      <c r="AE2730" s="50">
        <f t="shared" si="343"/>
        <v>0</v>
      </c>
    </row>
    <row r="2731" spans="1:31">
      <c r="A2731" s="59" t="str">
        <f t="shared" si="337"/>
        <v/>
      </c>
      <c r="B2731" s="59" t="str">
        <f t="shared" si="338"/>
        <v/>
      </c>
      <c r="V2731" s="59" t="str">
        <f t="shared" si="339"/>
        <v/>
      </c>
      <c r="W2731" s="59" t="str">
        <f t="shared" si="336"/>
        <v/>
      </c>
      <c r="X2731" s="59" t="str">
        <f t="shared" si="340"/>
        <v/>
      </c>
      <c r="AC2731" s="50">
        <f t="shared" si="341"/>
        <v>0</v>
      </c>
      <c r="AD2731" s="43">
        <f t="shared" si="342"/>
        <v>0</v>
      </c>
      <c r="AE2731" s="50">
        <f t="shared" si="343"/>
        <v>0</v>
      </c>
    </row>
    <row r="2732" spans="1:31">
      <c r="A2732" s="59" t="str">
        <f t="shared" si="337"/>
        <v/>
      </c>
      <c r="B2732" s="59" t="str">
        <f t="shared" si="338"/>
        <v/>
      </c>
      <c r="V2732" s="59" t="str">
        <f t="shared" si="339"/>
        <v/>
      </c>
      <c r="W2732" s="59" t="str">
        <f t="shared" si="336"/>
        <v/>
      </c>
      <c r="X2732" s="59" t="str">
        <f t="shared" si="340"/>
        <v/>
      </c>
      <c r="AC2732" s="50">
        <f t="shared" si="341"/>
        <v>0</v>
      </c>
      <c r="AD2732" s="43">
        <f t="shared" si="342"/>
        <v>0</v>
      </c>
      <c r="AE2732" s="50">
        <f t="shared" si="343"/>
        <v>0</v>
      </c>
    </row>
    <row r="2733" spans="1:31">
      <c r="A2733" s="59" t="str">
        <f t="shared" si="337"/>
        <v/>
      </c>
      <c r="B2733" s="59" t="str">
        <f t="shared" si="338"/>
        <v/>
      </c>
      <c r="V2733" s="59" t="str">
        <f t="shared" si="339"/>
        <v/>
      </c>
      <c r="W2733" s="59" t="str">
        <f t="shared" si="336"/>
        <v/>
      </c>
      <c r="X2733" s="59" t="str">
        <f t="shared" si="340"/>
        <v/>
      </c>
      <c r="AC2733" s="50">
        <f t="shared" si="341"/>
        <v>0</v>
      </c>
      <c r="AD2733" s="43">
        <f t="shared" si="342"/>
        <v>0</v>
      </c>
      <c r="AE2733" s="50">
        <f t="shared" si="343"/>
        <v>0</v>
      </c>
    </row>
    <row r="2734" spans="1:31">
      <c r="A2734" s="59" t="str">
        <f t="shared" si="337"/>
        <v/>
      </c>
      <c r="B2734" s="59" t="str">
        <f t="shared" si="338"/>
        <v/>
      </c>
      <c r="V2734" s="59" t="str">
        <f t="shared" si="339"/>
        <v/>
      </c>
      <c r="W2734" s="59" t="str">
        <f t="shared" si="336"/>
        <v/>
      </c>
      <c r="X2734" s="59" t="str">
        <f t="shared" si="340"/>
        <v/>
      </c>
      <c r="AC2734" s="50">
        <f t="shared" si="341"/>
        <v>0</v>
      </c>
      <c r="AD2734" s="43">
        <f t="shared" si="342"/>
        <v>0</v>
      </c>
      <c r="AE2734" s="50">
        <f t="shared" si="343"/>
        <v>0</v>
      </c>
    </row>
    <row r="2735" spans="1:31">
      <c r="A2735" s="59" t="str">
        <f t="shared" si="337"/>
        <v/>
      </c>
      <c r="B2735" s="59" t="str">
        <f t="shared" si="338"/>
        <v/>
      </c>
      <c r="V2735" s="59" t="str">
        <f t="shared" si="339"/>
        <v/>
      </c>
      <c r="W2735" s="59" t="str">
        <f t="shared" si="336"/>
        <v/>
      </c>
      <c r="X2735" s="59" t="str">
        <f t="shared" si="340"/>
        <v/>
      </c>
      <c r="AC2735" s="50">
        <f t="shared" si="341"/>
        <v>0</v>
      </c>
      <c r="AD2735" s="43">
        <f t="shared" si="342"/>
        <v>0</v>
      </c>
      <c r="AE2735" s="50">
        <f t="shared" si="343"/>
        <v>0</v>
      </c>
    </row>
    <row r="2736" spans="1:31">
      <c r="A2736" s="59" t="str">
        <f t="shared" si="337"/>
        <v/>
      </c>
      <c r="B2736" s="59" t="str">
        <f t="shared" si="338"/>
        <v/>
      </c>
      <c r="V2736" s="59" t="str">
        <f t="shared" si="339"/>
        <v/>
      </c>
      <c r="W2736" s="59" t="str">
        <f t="shared" si="336"/>
        <v/>
      </c>
      <c r="X2736" s="59" t="str">
        <f t="shared" si="340"/>
        <v/>
      </c>
      <c r="AC2736" s="50">
        <f t="shared" si="341"/>
        <v>0</v>
      </c>
      <c r="AD2736" s="43">
        <f t="shared" si="342"/>
        <v>0</v>
      </c>
      <c r="AE2736" s="50">
        <f t="shared" si="343"/>
        <v>0</v>
      </c>
    </row>
    <row r="2737" spans="1:31">
      <c r="A2737" s="59" t="str">
        <f t="shared" si="337"/>
        <v/>
      </c>
      <c r="B2737" s="59" t="str">
        <f t="shared" si="338"/>
        <v/>
      </c>
      <c r="V2737" s="59" t="str">
        <f t="shared" si="339"/>
        <v/>
      </c>
      <c r="W2737" s="59" t="str">
        <f t="shared" si="336"/>
        <v/>
      </c>
      <c r="X2737" s="59" t="str">
        <f t="shared" si="340"/>
        <v/>
      </c>
      <c r="AC2737" s="50">
        <f t="shared" si="341"/>
        <v>0</v>
      </c>
      <c r="AD2737" s="43">
        <f t="shared" si="342"/>
        <v>0</v>
      </c>
      <c r="AE2737" s="50">
        <f t="shared" si="343"/>
        <v>0</v>
      </c>
    </row>
    <row r="2738" spans="1:31">
      <c r="A2738" s="59" t="str">
        <f t="shared" si="337"/>
        <v/>
      </c>
      <c r="B2738" s="59" t="str">
        <f t="shared" si="338"/>
        <v/>
      </c>
      <c r="V2738" s="59" t="str">
        <f t="shared" si="339"/>
        <v/>
      </c>
      <c r="W2738" s="59" t="str">
        <f t="shared" si="336"/>
        <v/>
      </c>
      <c r="X2738" s="59" t="str">
        <f t="shared" si="340"/>
        <v/>
      </c>
      <c r="AC2738" s="50">
        <f t="shared" si="341"/>
        <v>0</v>
      </c>
      <c r="AD2738" s="43">
        <f t="shared" si="342"/>
        <v>0</v>
      </c>
      <c r="AE2738" s="50">
        <f t="shared" si="343"/>
        <v>0</v>
      </c>
    </row>
    <row r="2739" spans="1:31">
      <c r="A2739" s="59" t="str">
        <f t="shared" si="337"/>
        <v/>
      </c>
      <c r="B2739" s="59" t="str">
        <f t="shared" si="338"/>
        <v/>
      </c>
      <c r="V2739" s="59" t="str">
        <f t="shared" si="339"/>
        <v/>
      </c>
      <c r="W2739" s="59" t="str">
        <f t="shared" si="336"/>
        <v/>
      </c>
      <c r="X2739" s="59" t="str">
        <f t="shared" si="340"/>
        <v/>
      </c>
      <c r="AC2739" s="50">
        <f t="shared" si="341"/>
        <v>0</v>
      </c>
      <c r="AD2739" s="43">
        <f t="shared" si="342"/>
        <v>0</v>
      </c>
      <c r="AE2739" s="50">
        <f t="shared" si="343"/>
        <v>0</v>
      </c>
    </row>
    <row r="2740" spans="1:31">
      <c r="A2740" s="59" t="str">
        <f t="shared" si="337"/>
        <v/>
      </c>
      <c r="B2740" s="59" t="str">
        <f t="shared" si="338"/>
        <v/>
      </c>
      <c r="V2740" s="59" t="str">
        <f t="shared" si="339"/>
        <v/>
      </c>
      <c r="W2740" s="59" t="str">
        <f t="shared" si="336"/>
        <v/>
      </c>
      <c r="X2740" s="59" t="str">
        <f t="shared" si="340"/>
        <v/>
      </c>
      <c r="AC2740" s="50">
        <f t="shared" si="341"/>
        <v>0</v>
      </c>
      <c r="AD2740" s="43">
        <f t="shared" si="342"/>
        <v>0</v>
      </c>
      <c r="AE2740" s="50">
        <f t="shared" si="343"/>
        <v>0</v>
      </c>
    </row>
    <row r="2741" spans="1:31">
      <c r="A2741" s="59" t="str">
        <f t="shared" si="337"/>
        <v/>
      </c>
      <c r="B2741" s="59" t="str">
        <f t="shared" si="338"/>
        <v/>
      </c>
      <c r="V2741" s="59" t="str">
        <f t="shared" si="339"/>
        <v/>
      </c>
      <c r="W2741" s="59" t="str">
        <f t="shared" si="336"/>
        <v/>
      </c>
      <c r="X2741" s="59" t="str">
        <f t="shared" si="340"/>
        <v/>
      </c>
      <c r="AC2741" s="50">
        <f t="shared" si="341"/>
        <v>0</v>
      </c>
      <c r="AD2741" s="43">
        <f t="shared" si="342"/>
        <v>0</v>
      </c>
      <c r="AE2741" s="50">
        <f t="shared" si="343"/>
        <v>0</v>
      </c>
    </row>
    <row r="2742" spans="1:31">
      <c r="A2742" s="59" t="str">
        <f t="shared" si="337"/>
        <v/>
      </c>
      <c r="B2742" s="59" t="str">
        <f t="shared" si="338"/>
        <v/>
      </c>
      <c r="V2742" s="59" t="str">
        <f t="shared" si="339"/>
        <v/>
      </c>
      <c r="W2742" s="59" t="str">
        <f t="shared" si="336"/>
        <v/>
      </c>
      <c r="X2742" s="59" t="str">
        <f t="shared" si="340"/>
        <v/>
      </c>
      <c r="AC2742" s="50">
        <f t="shared" si="341"/>
        <v>0</v>
      </c>
      <c r="AD2742" s="43">
        <f t="shared" si="342"/>
        <v>0</v>
      </c>
      <c r="AE2742" s="50">
        <f t="shared" si="343"/>
        <v>0</v>
      </c>
    </row>
    <row r="2743" spans="1:31">
      <c r="A2743" s="59" t="str">
        <f t="shared" si="337"/>
        <v/>
      </c>
      <c r="B2743" s="59" t="str">
        <f t="shared" si="338"/>
        <v/>
      </c>
      <c r="V2743" s="59" t="str">
        <f t="shared" si="339"/>
        <v/>
      </c>
      <c r="W2743" s="59" t="str">
        <f t="shared" si="336"/>
        <v/>
      </c>
      <c r="X2743" s="59" t="str">
        <f t="shared" si="340"/>
        <v/>
      </c>
      <c r="AC2743" s="50">
        <f t="shared" si="341"/>
        <v>0</v>
      </c>
      <c r="AD2743" s="43">
        <f t="shared" si="342"/>
        <v>0</v>
      </c>
      <c r="AE2743" s="50">
        <f t="shared" si="343"/>
        <v>0</v>
      </c>
    </row>
    <row r="2744" spans="1:31">
      <c r="A2744" s="59" t="str">
        <f t="shared" si="337"/>
        <v/>
      </c>
      <c r="B2744" s="59" t="str">
        <f t="shared" si="338"/>
        <v/>
      </c>
      <c r="V2744" s="59" t="str">
        <f t="shared" si="339"/>
        <v/>
      </c>
      <c r="W2744" s="59" t="str">
        <f t="shared" si="336"/>
        <v/>
      </c>
      <c r="X2744" s="59" t="str">
        <f t="shared" si="340"/>
        <v/>
      </c>
      <c r="AC2744" s="50">
        <f t="shared" si="341"/>
        <v>0</v>
      </c>
      <c r="AD2744" s="43">
        <f t="shared" si="342"/>
        <v>0</v>
      </c>
      <c r="AE2744" s="50">
        <f t="shared" si="343"/>
        <v>0</v>
      </c>
    </row>
    <row r="2745" spans="1:31">
      <c r="A2745" s="59" t="str">
        <f t="shared" si="337"/>
        <v/>
      </c>
      <c r="B2745" s="59" t="str">
        <f t="shared" si="338"/>
        <v/>
      </c>
      <c r="V2745" s="59" t="str">
        <f t="shared" si="339"/>
        <v/>
      </c>
      <c r="W2745" s="59" t="str">
        <f t="shared" si="336"/>
        <v/>
      </c>
      <c r="X2745" s="59" t="str">
        <f t="shared" si="340"/>
        <v/>
      </c>
      <c r="AC2745" s="50">
        <f t="shared" si="341"/>
        <v>0</v>
      </c>
      <c r="AD2745" s="43">
        <f t="shared" si="342"/>
        <v>0</v>
      </c>
      <c r="AE2745" s="50">
        <f t="shared" si="343"/>
        <v>0</v>
      </c>
    </row>
    <row r="2746" spans="1:31">
      <c r="A2746" s="59" t="str">
        <f t="shared" si="337"/>
        <v/>
      </c>
      <c r="B2746" s="59" t="str">
        <f t="shared" si="338"/>
        <v/>
      </c>
      <c r="V2746" s="59" t="str">
        <f t="shared" si="339"/>
        <v/>
      </c>
      <c r="W2746" s="59" t="str">
        <f t="shared" si="336"/>
        <v/>
      </c>
      <c r="X2746" s="59" t="str">
        <f t="shared" si="340"/>
        <v/>
      </c>
      <c r="AC2746" s="50">
        <f t="shared" si="341"/>
        <v>0</v>
      </c>
      <c r="AD2746" s="43">
        <f t="shared" si="342"/>
        <v>0</v>
      </c>
      <c r="AE2746" s="50">
        <f t="shared" si="343"/>
        <v>0</v>
      </c>
    </row>
    <row r="2747" spans="1:31">
      <c r="A2747" s="59" t="str">
        <f t="shared" si="337"/>
        <v/>
      </c>
      <c r="B2747" s="59" t="str">
        <f t="shared" si="338"/>
        <v/>
      </c>
      <c r="V2747" s="59" t="str">
        <f t="shared" si="339"/>
        <v/>
      </c>
      <c r="W2747" s="59" t="str">
        <f t="shared" si="336"/>
        <v/>
      </c>
      <c r="X2747" s="59" t="str">
        <f t="shared" si="340"/>
        <v/>
      </c>
      <c r="AC2747" s="50">
        <f t="shared" si="341"/>
        <v>0</v>
      </c>
      <c r="AD2747" s="43">
        <f t="shared" si="342"/>
        <v>0</v>
      </c>
      <c r="AE2747" s="50">
        <f t="shared" si="343"/>
        <v>0</v>
      </c>
    </row>
    <row r="2748" spans="1:31">
      <c r="A2748" s="59" t="str">
        <f t="shared" si="337"/>
        <v/>
      </c>
      <c r="B2748" s="59" t="str">
        <f t="shared" si="338"/>
        <v/>
      </c>
      <c r="V2748" s="59" t="str">
        <f t="shared" si="339"/>
        <v/>
      </c>
      <c r="W2748" s="59" t="str">
        <f t="shared" si="336"/>
        <v/>
      </c>
      <c r="X2748" s="59" t="str">
        <f t="shared" si="340"/>
        <v/>
      </c>
      <c r="AC2748" s="50">
        <f t="shared" si="341"/>
        <v>0</v>
      </c>
      <c r="AD2748" s="43">
        <f t="shared" si="342"/>
        <v>0</v>
      </c>
      <c r="AE2748" s="50">
        <f t="shared" si="343"/>
        <v>0</v>
      </c>
    </row>
    <row r="2749" spans="1:31">
      <c r="A2749" s="59" t="str">
        <f t="shared" si="337"/>
        <v/>
      </c>
      <c r="B2749" s="59" t="str">
        <f t="shared" si="338"/>
        <v/>
      </c>
      <c r="V2749" s="59" t="str">
        <f t="shared" si="339"/>
        <v/>
      </c>
      <c r="W2749" s="59" t="str">
        <f t="shared" si="336"/>
        <v/>
      </c>
      <c r="X2749" s="59" t="str">
        <f t="shared" si="340"/>
        <v/>
      </c>
      <c r="AC2749" s="50">
        <f t="shared" si="341"/>
        <v>0</v>
      </c>
      <c r="AD2749" s="43">
        <f t="shared" si="342"/>
        <v>0</v>
      </c>
      <c r="AE2749" s="50">
        <f t="shared" si="343"/>
        <v>0</v>
      </c>
    </row>
    <row r="2750" spans="1:31">
      <c r="A2750" s="59" t="str">
        <f t="shared" si="337"/>
        <v/>
      </c>
      <c r="B2750" s="59" t="str">
        <f t="shared" si="338"/>
        <v/>
      </c>
      <c r="V2750" s="59" t="str">
        <f t="shared" si="339"/>
        <v/>
      </c>
      <c r="W2750" s="59" t="str">
        <f t="shared" si="336"/>
        <v/>
      </c>
      <c r="X2750" s="59" t="str">
        <f t="shared" si="340"/>
        <v/>
      </c>
      <c r="AC2750" s="50">
        <f t="shared" si="341"/>
        <v>0</v>
      </c>
      <c r="AD2750" s="43">
        <f t="shared" si="342"/>
        <v>0</v>
      </c>
      <c r="AE2750" s="50">
        <f t="shared" si="343"/>
        <v>0</v>
      </c>
    </row>
    <row r="2751" spans="1:31">
      <c r="A2751" s="59" t="str">
        <f t="shared" si="337"/>
        <v/>
      </c>
      <c r="B2751" s="59" t="str">
        <f t="shared" si="338"/>
        <v/>
      </c>
      <c r="V2751" s="59" t="str">
        <f t="shared" si="339"/>
        <v/>
      </c>
      <c r="W2751" s="59" t="str">
        <f t="shared" si="336"/>
        <v/>
      </c>
      <c r="X2751" s="59" t="str">
        <f t="shared" si="340"/>
        <v/>
      </c>
      <c r="AC2751" s="50">
        <f t="shared" si="341"/>
        <v>0</v>
      </c>
      <c r="AD2751" s="43">
        <f t="shared" si="342"/>
        <v>0</v>
      </c>
      <c r="AE2751" s="50">
        <f t="shared" si="343"/>
        <v>0</v>
      </c>
    </row>
    <row r="2752" spans="1:31">
      <c r="A2752" s="59" t="str">
        <f t="shared" si="337"/>
        <v/>
      </c>
      <c r="B2752" s="59" t="str">
        <f t="shared" si="338"/>
        <v/>
      </c>
      <c r="V2752" s="59" t="str">
        <f t="shared" si="339"/>
        <v/>
      </c>
      <c r="W2752" s="59" t="str">
        <f t="shared" si="336"/>
        <v/>
      </c>
      <c r="X2752" s="59" t="str">
        <f t="shared" si="340"/>
        <v/>
      </c>
      <c r="AC2752" s="50">
        <f t="shared" si="341"/>
        <v>0</v>
      </c>
      <c r="AD2752" s="43">
        <f t="shared" si="342"/>
        <v>0</v>
      </c>
      <c r="AE2752" s="50">
        <f t="shared" si="343"/>
        <v>0</v>
      </c>
    </row>
    <row r="2753" spans="1:31">
      <c r="A2753" s="59" t="str">
        <f t="shared" si="337"/>
        <v/>
      </c>
      <c r="B2753" s="59" t="str">
        <f t="shared" si="338"/>
        <v/>
      </c>
      <c r="V2753" s="59" t="str">
        <f t="shared" si="339"/>
        <v/>
      </c>
      <c r="W2753" s="59" t="str">
        <f t="shared" si="336"/>
        <v/>
      </c>
      <c r="X2753" s="59" t="str">
        <f t="shared" si="340"/>
        <v/>
      </c>
      <c r="AC2753" s="50">
        <f t="shared" si="341"/>
        <v>0</v>
      </c>
      <c r="AD2753" s="43">
        <f t="shared" si="342"/>
        <v>0</v>
      </c>
      <c r="AE2753" s="50">
        <f t="shared" si="343"/>
        <v>0</v>
      </c>
    </row>
    <row r="2754" spans="1:31">
      <c r="A2754" s="59" t="str">
        <f t="shared" si="337"/>
        <v/>
      </c>
      <c r="B2754" s="59" t="str">
        <f t="shared" si="338"/>
        <v/>
      </c>
      <c r="V2754" s="59" t="str">
        <f t="shared" si="339"/>
        <v/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59" t="str">
        <f t="shared" si="340"/>
        <v/>
      </c>
      <c r="AC2754" s="50">
        <f t="shared" si="341"/>
        <v>0</v>
      </c>
      <c r="AD2754" s="43">
        <f t="shared" si="342"/>
        <v>0</v>
      </c>
      <c r="AE2754" s="50">
        <f t="shared" si="343"/>
        <v>0</v>
      </c>
    </row>
    <row r="2755" spans="1:31">
      <c r="A2755" s="59" t="str">
        <f t="shared" ref="A2755:A2818" si="345">IF(G2755&amp;Q2755&lt;&gt;"",W2755&amp;Q2755,"")</f>
        <v/>
      </c>
      <c r="B2755" s="59" t="str">
        <f t="shared" ref="B2755:B2818" si="346">IF(C2755&lt;&gt;"",LEFT(C2755,9),"")</f>
        <v/>
      </c>
      <c r="V2755" s="59" t="str">
        <f t="shared" ref="V2755:V2818" si="347">W2755&amp;H2755</f>
        <v/>
      </c>
      <c r="W2755" s="59" t="str">
        <f t="shared" si="344"/>
        <v/>
      </c>
      <c r="X2755" s="59" t="str">
        <f t="shared" ref="X2755:X2818" si="348">IF(A2755&lt;&gt;"",IFERROR(IF(FIND(" ",G2755)&gt;=1,MID(G2755,FIND(" ",G2755)+1,LEN(G2755)),""),""),"")</f>
        <v/>
      </c>
      <c r="AC2755" s="50">
        <f t="shared" ref="AC2755:AC2818" si="349">IFERROR(VALUE(MID($C2755,1,2)),0)</f>
        <v>0</v>
      </c>
      <c r="AD2755" s="43">
        <f t="shared" ref="AD2755:AD2818" si="350">IFERROR(VALUE(MID($C2755,4,3)),0)</f>
        <v>0</v>
      </c>
      <c r="AE2755" s="50">
        <f t="shared" ref="AE2755:AE2818" si="351">VALUE(RIGHT("00"&amp;AC2755,2)&amp;RIGHT("000"&amp;AD2755,3))</f>
        <v>0</v>
      </c>
    </row>
    <row r="2756" spans="1:31">
      <c r="A2756" s="59" t="str">
        <f t="shared" si="345"/>
        <v/>
      </c>
      <c r="B2756" s="59" t="str">
        <f t="shared" si="346"/>
        <v/>
      </c>
      <c r="V2756" s="59" t="str">
        <f t="shared" si="347"/>
        <v/>
      </c>
      <c r="W2756" s="59" t="str">
        <f t="shared" si="344"/>
        <v/>
      </c>
      <c r="X2756" s="59" t="str">
        <f t="shared" si="348"/>
        <v/>
      </c>
      <c r="AC2756" s="50">
        <f t="shared" si="349"/>
        <v>0</v>
      </c>
      <c r="AD2756" s="43">
        <f t="shared" si="350"/>
        <v>0</v>
      </c>
      <c r="AE2756" s="50">
        <f t="shared" si="351"/>
        <v>0</v>
      </c>
    </row>
    <row r="2757" spans="1:31">
      <c r="A2757" s="59" t="str">
        <f t="shared" si="345"/>
        <v/>
      </c>
      <c r="B2757" s="59" t="str">
        <f t="shared" si="346"/>
        <v/>
      </c>
      <c r="V2757" s="59" t="str">
        <f t="shared" si="347"/>
        <v/>
      </c>
      <c r="W2757" s="59" t="str">
        <f t="shared" si="344"/>
        <v/>
      </c>
      <c r="X2757" s="59" t="str">
        <f t="shared" si="348"/>
        <v/>
      </c>
      <c r="AC2757" s="50">
        <f t="shared" si="349"/>
        <v>0</v>
      </c>
      <c r="AD2757" s="43">
        <f t="shared" si="350"/>
        <v>0</v>
      </c>
      <c r="AE2757" s="50">
        <f t="shared" si="351"/>
        <v>0</v>
      </c>
    </row>
    <row r="2758" spans="1:31">
      <c r="A2758" s="59" t="str">
        <f t="shared" si="345"/>
        <v/>
      </c>
      <c r="B2758" s="59" t="str">
        <f t="shared" si="346"/>
        <v/>
      </c>
      <c r="V2758" s="59" t="str">
        <f t="shared" si="347"/>
        <v/>
      </c>
      <c r="W2758" s="59" t="str">
        <f t="shared" si="344"/>
        <v/>
      </c>
      <c r="X2758" s="59" t="str">
        <f t="shared" si="348"/>
        <v/>
      </c>
      <c r="AC2758" s="50">
        <f t="shared" si="349"/>
        <v>0</v>
      </c>
      <c r="AD2758" s="43">
        <f t="shared" si="350"/>
        <v>0</v>
      </c>
      <c r="AE2758" s="50">
        <f t="shared" si="351"/>
        <v>0</v>
      </c>
    </row>
    <row r="2759" spans="1:31">
      <c r="A2759" s="59" t="str">
        <f t="shared" si="345"/>
        <v/>
      </c>
      <c r="B2759" s="59" t="str">
        <f t="shared" si="346"/>
        <v/>
      </c>
      <c r="V2759" s="59" t="str">
        <f t="shared" si="347"/>
        <v/>
      </c>
      <c r="W2759" s="59" t="str">
        <f t="shared" si="344"/>
        <v/>
      </c>
      <c r="X2759" s="59" t="str">
        <f t="shared" si="348"/>
        <v/>
      </c>
      <c r="AC2759" s="50">
        <f t="shared" si="349"/>
        <v>0</v>
      </c>
      <c r="AD2759" s="43">
        <f t="shared" si="350"/>
        <v>0</v>
      </c>
      <c r="AE2759" s="50">
        <f t="shared" si="351"/>
        <v>0</v>
      </c>
    </row>
    <row r="2760" spans="1:31">
      <c r="A2760" s="59" t="str">
        <f t="shared" si="345"/>
        <v/>
      </c>
      <c r="B2760" s="59" t="str">
        <f t="shared" si="346"/>
        <v/>
      </c>
      <c r="V2760" s="59" t="str">
        <f t="shared" si="347"/>
        <v/>
      </c>
      <c r="W2760" s="59" t="str">
        <f t="shared" si="344"/>
        <v/>
      </c>
      <c r="X2760" s="59" t="str">
        <f t="shared" si="348"/>
        <v/>
      </c>
      <c r="AC2760" s="50">
        <f t="shared" si="349"/>
        <v>0</v>
      </c>
      <c r="AD2760" s="43">
        <f t="shared" si="350"/>
        <v>0</v>
      </c>
      <c r="AE2760" s="50">
        <f t="shared" si="351"/>
        <v>0</v>
      </c>
    </row>
    <row r="2761" spans="1:31">
      <c r="A2761" s="59" t="str">
        <f t="shared" si="345"/>
        <v/>
      </c>
      <c r="B2761" s="59" t="str">
        <f t="shared" si="346"/>
        <v/>
      </c>
      <c r="V2761" s="59" t="str">
        <f t="shared" si="347"/>
        <v/>
      </c>
      <c r="W2761" s="59" t="str">
        <f t="shared" si="344"/>
        <v/>
      </c>
      <c r="X2761" s="59" t="str">
        <f t="shared" si="348"/>
        <v/>
      </c>
      <c r="AC2761" s="50">
        <f t="shared" si="349"/>
        <v>0</v>
      </c>
      <c r="AD2761" s="43">
        <f t="shared" si="350"/>
        <v>0</v>
      </c>
      <c r="AE2761" s="50">
        <f t="shared" si="351"/>
        <v>0</v>
      </c>
    </row>
    <row r="2762" spans="1:31">
      <c r="A2762" s="59" t="str">
        <f t="shared" si="345"/>
        <v/>
      </c>
      <c r="B2762" s="59" t="str">
        <f t="shared" si="346"/>
        <v/>
      </c>
      <c r="V2762" s="59" t="str">
        <f t="shared" si="347"/>
        <v/>
      </c>
      <c r="W2762" s="59" t="str">
        <f t="shared" si="344"/>
        <v/>
      </c>
      <c r="X2762" s="59" t="str">
        <f t="shared" si="348"/>
        <v/>
      </c>
      <c r="AC2762" s="50">
        <f t="shared" si="349"/>
        <v>0</v>
      </c>
      <c r="AD2762" s="43">
        <f t="shared" si="350"/>
        <v>0</v>
      </c>
      <c r="AE2762" s="50">
        <f t="shared" si="351"/>
        <v>0</v>
      </c>
    </row>
    <row r="2763" spans="1:31">
      <c r="A2763" s="59" t="str">
        <f t="shared" si="345"/>
        <v/>
      </c>
      <c r="B2763" s="59" t="str">
        <f t="shared" si="346"/>
        <v/>
      </c>
      <c r="V2763" s="59" t="str">
        <f t="shared" si="347"/>
        <v/>
      </c>
      <c r="W2763" s="59" t="str">
        <f t="shared" si="344"/>
        <v/>
      </c>
      <c r="X2763" s="59" t="str">
        <f t="shared" si="348"/>
        <v/>
      </c>
      <c r="AC2763" s="50">
        <f t="shared" si="349"/>
        <v>0</v>
      </c>
      <c r="AD2763" s="43">
        <f t="shared" si="350"/>
        <v>0</v>
      </c>
      <c r="AE2763" s="50">
        <f t="shared" si="351"/>
        <v>0</v>
      </c>
    </row>
    <row r="2764" spans="1:31">
      <c r="A2764" s="59" t="str">
        <f t="shared" si="345"/>
        <v/>
      </c>
      <c r="B2764" s="59" t="str">
        <f t="shared" si="346"/>
        <v/>
      </c>
      <c r="V2764" s="59" t="str">
        <f t="shared" si="347"/>
        <v/>
      </c>
      <c r="W2764" s="59" t="str">
        <f t="shared" si="344"/>
        <v/>
      </c>
      <c r="X2764" s="59" t="str">
        <f t="shared" si="348"/>
        <v/>
      </c>
      <c r="AC2764" s="50">
        <f t="shared" si="349"/>
        <v>0</v>
      </c>
      <c r="AD2764" s="43">
        <f t="shared" si="350"/>
        <v>0</v>
      </c>
      <c r="AE2764" s="50">
        <f t="shared" si="351"/>
        <v>0</v>
      </c>
    </row>
    <row r="2765" spans="1:31">
      <c r="A2765" s="59" t="str">
        <f t="shared" si="345"/>
        <v/>
      </c>
      <c r="B2765" s="59" t="str">
        <f t="shared" si="346"/>
        <v/>
      </c>
      <c r="V2765" s="59" t="str">
        <f t="shared" si="347"/>
        <v/>
      </c>
      <c r="W2765" s="59" t="str">
        <f t="shared" si="344"/>
        <v/>
      </c>
      <c r="X2765" s="59" t="str">
        <f t="shared" si="348"/>
        <v/>
      </c>
      <c r="AC2765" s="50">
        <f t="shared" si="349"/>
        <v>0</v>
      </c>
      <c r="AD2765" s="43">
        <f t="shared" si="350"/>
        <v>0</v>
      </c>
      <c r="AE2765" s="50">
        <f t="shared" si="351"/>
        <v>0</v>
      </c>
    </row>
    <row r="2766" spans="1:31">
      <c r="A2766" s="59" t="str">
        <f t="shared" si="345"/>
        <v/>
      </c>
      <c r="B2766" s="59" t="str">
        <f t="shared" si="346"/>
        <v/>
      </c>
      <c r="V2766" s="59" t="str">
        <f t="shared" si="347"/>
        <v/>
      </c>
      <c r="W2766" s="59" t="str">
        <f t="shared" si="344"/>
        <v/>
      </c>
      <c r="X2766" s="59" t="str">
        <f t="shared" si="348"/>
        <v/>
      </c>
      <c r="AC2766" s="50">
        <f t="shared" si="349"/>
        <v>0</v>
      </c>
      <c r="AD2766" s="43">
        <f t="shared" si="350"/>
        <v>0</v>
      </c>
      <c r="AE2766" s="50">
        <f t="shared" si="351"/>
        <v>0</v>
      </c>
    </row>
    <row r="2767" spans="1:31">
      <c r="A2767" s="59" t="str">
        <f t="shared" si="345"/>
        <v/>
      </c>
      <c r="B2767" s="59" t="str">
        <f t="shared" si="346"/>
        <v/>
      </c>
      <c r="V2767" s="59" t="str">
        <f t="shared" si="347"/>
        <v/>
      </c>
      <c r="W2767" s="59" t="str">
        <f t="shared" si="344"/>
        <v/>
      </c>
      <c r="X2767" s="59" t="str">
        <f t="shared" si="348"/>
        <v/>
      </c>
      <c r="AC2767" s="50">
        <f t="shared" si="349"/>
        <v>0</v>
      </c>
      <c r="AD2767" s="43">
        <f t="shared" si="350"/>
        <v>0</v>
      </c>
      <c r="AE2767" s="50">
        <f t="shared" si="351"/>
        <v>0</v>
      </c>
    </row>
    <row r="2768" spans="1:31">
      <c r="A2768" s="59" t="str">
        <f t="shared" si="345"/>
        <v/>
      </c>
      <c r="B2768" s="59" t="str">
        <f t="shared" si="346"/>
        <v/>
      </c>
      <c r="V2768" s="59" t="str">
        <f t="shared" si="347"/>
        <v/>
      </c>
      <c r="W2768" s="59" t="str">
        <f t="shared" si="344"/>
        <v/>
      </c>
      <c r="X2768" s="59" t="str">
        <f t="shared" si="348"/>
        <v/>
      </c>
      <c r="AC2768" s="50">
        <f t="shared" si="349"/>
        <v>0</v>
      </c>
      <c r="AD2768" s="43">
        <f t="shared" si="350"/>
        <v>0</v>
      </c>
      <c r="AE2768" s="50">
        <f t="shared" si="351"/>
        <v>0</v>
      </c>
    </row>
    <row r="2769" spans="1:31">
      <c r="A2769" s="59" t="str">
        <f t="shared" si="345"/>
        <v/>
      </c>
      <c r="B2769" s="59" t="str">
        <f t="shared" si="346"/>
        <v/>
      </c>
      <c r="V2769" s="59" t="str">
        <f t="shared" si="347"/>
        <v/>
      </c>
      <c r="W2769" s="59" t="str">
        <f t="shared" si="344"/>
        <v/>
      </c>
      <c r="X2769" s="59" t="str">
        <f t="shared" si="348"/>
        <v/>
      </c>
      <c r="AC2769" s="50">
        <f t="shared" si="349"/>
        <v>0</v>
      </c>
      <c r="AD2769" s="43">
        <f t="shared" si="350"/>
        <v>0</v>
      </c>
      <c r="AE2769" s="50">
        <f t="shared" si="351"/>
        <v>0</v>
      </c>
    </row>
    <row r="2770" spans="1:31">
      <c r="A2770" s="59" t="str">
        <f t="shared" si="345"/>
        <v/>
      </c>
      <c r="B2770" s="59" t="str">
        <f t="shared" si="346"/>
        <v/>
      </c>
      <c r="V2770" s="59" t="str">
        <f t="shared" si="347"/>
        <v/>
      </c>
      <c r="W2770" s="59" t="str">
        <f t="shared" si="344"/>
        <v/>
      </c>
      <c r="X2770" s="59" t="str">
        <f t="shared" si="348"/>
        <v/>
      </c>
      <c r="AC2770" s="50">
        <f t="shared" si="349"/>
        <v>0</v>
      </c>
      <c r="AD2770" s="43">
        <f t="shared" si="350"/>
        <v>0</v>
      </c>
      <c r="AE2770" s="50">
        <f t="shared" si="351"/>
        <v>0</v>
      </c>
    </row>
    <row r="2771" spans="1:31">
      <c r="A2771" s="59" t="str">
        <f t="shared" si="345"/>
        <v/>
      </c>
      <c r="B2771" s="59" t="str">
        <f t="shared" si="346"/>
        <v/>
      </c>
      <c r="V2771" s="59" t="str">
        <f t="shared" si="347"/>
        <v/>
      </c>
      <c r="W2771" s="59" t="str">
        <f t="shared" si="344"/>
        <v/>
      </c>
      <c r="X2771" s="59" t="str">
        <f t="shared" si="348"/>
        <v/>
      </c>
      <c r="AC2771" s="50">
        <f t="shared" si="349"/>
        <v>0</v>
      </c>
      <c r="AD2771" s="43">
        <f t="shared" si="350"/>
        <v>0</v>
      </c>
      <c r="AE2771" s="50">
        <f t="shared" si="351"/>
        <v>0</v>
      </c>
    </row>
    <row r="2772" spans="1:31">
      <c r="A2772" s="59" t="str">
        <f t="shared" si="345"/>
        <v/>
      </c>
      <c r="B2772" s="59" t="str">
        <f t="shared" si="346"/>
        <v/>
      </c>
      <c r="V2772" s="59" t="str">
        <f t="shared" si="347"/>
        <v/>
      </c>
      <c r="W2772" s="59" t="str">
        <f t="shared" si="344"/>
        <v/>
      </c>
      <c r="X2772" s="59" t="str">
        <f t="shared" si="348"/>
        <v/>
      </c>
      <c r="AC2772" s="50">
        <f t="shared" si="349"/>
        <v>0</v>
      </c>
      <c r="AD2772" s="43">
        <f t="shared" si="350"/>
        <v>0</v>
      </c>
      <c r="AE2772" s="50">
        <f t="shared" si="351"/>
        <v>0</v>
      </c>
    </row>
    <row r="2773" spans="1:31">
      <c r="A2773" s="59" t="str">
        <f t="shared" si="345"/>
        <v/>
      </c>
      <c r="B2773" s="59" t="str">
        <f t="shared" si="346"/>
        <v/>
      </c>
      <c r="V2773" s="59" t="str">
        <f t="shared" si="347"/>
        <v/>
      </c>
      <c r="W2773" s="59" t="str">
        <f t="shared" si="344"/>
        <v/>
      </c>
      <c r="X2773" s="59" t="str">
        <f t="shared" si="348"/>
        <v/>
      </c>
      <c r="AC2773" s="50">
        <f t="shared" si="349"/>
        <v>0</v>
      </c>
      <c r="AD2773" s="43">
        <f t="shared" si="350"/>
        <v>0</v>
      </c>
      <c r="AE2773" s="50">
        <f t="shared" si="351"/>
        <v>0</v>
      </c>
    </row>
    <row r="2774" spans="1:31">
      <c r="A2774" s="59" t="str">
        <f t="shared" si="345"/>
        <v/>
      </c>
      <c r="B2774" s="59" t="str">
        <f t="shared" si="346"/>
        <v/>
      </c>
      <c r="V2774" s="59" t="str">
        <f t="shared" si="347"/>
        <v/>
      </c>
      <c r="W2774" s="59" t="str">
        <f t="shared" si="344"/>
        <v/>
      </c>
      <c r="X2774" s="59" t="str">
        <f t="shared" si="348"/>
        <v/>
      </c>
      <c r="AC2774" s="50">
        <f t="shared" si="349"/>
        <v>0</v>
      </c>
      <c r="AD2774" s="43">
        <f t="shared" si="350"/>
        <v>0</v>
      </c>
      <c r="AE2774" s="50">
        <f t="shared" si="351"/>
        <v>0</v>
      </c>
    </row>
    <row r="2775" spans="1:31">
      <c r="A2775" s="59" t="str">
        <f t="shared" si="345"/>
        <v/>
      </c>
      <c r="B2775" s="59" t="str">
        <f t="shared" si="346"/>
        <v/>
      </c>
      <c r="V2775" s="59" t="str">
        <f t="shared" si="347"/>
        <v/>
      </c>
      <c r="W2775" s="59" t="str">
        <f t="shared" si="344"/>
        <v/>
      </c>
      <c r="X2775" s="59" t="str">
        <f t="shared" si="348"/>
        <v/>
      </c>
      <c r="AC2775" s="50">
        <f t="shared" si="349"/>
        <v>0</v>
      </c>
      <c r="AD2775" s="43">
        <f t="shared" si="350"/>
        <v>0</v>
      </c>
      <c r="AE2775" s="50">
        <f t="shared" si="351"/>
        <v>0</v>
      </c>
    </row>
    <row r="2776" spans="1:31">
      <c r="A2776" s="59" t="str">
        <f t="shared" si="345"/>
        <v/>
      </c>
      <c r="B2776" s="59" t="str">
        <f t="shared" si="346"/>
        <v/>
      </c>
      <c r="V2776" s="59" t="str">
        <f t="shared" si="347"/>
        <v/>
      </c>
      <c r="W2776" s="59" t="str">
        <f t="shared" si="344"/>
        <v/>
      </c>
      <c r="X2776" s="59" t="str">
        <f t="shared" si="348"/>
        <v/>
      </c>
      <c r="AC2776" s="50">
        <f t="shared" si="349"/>
        <v>0</v>
      </c>
      <c r="AD2776" s="43">
        <f t="shared" si="350"/>
        <v>0</v>
      </c>
      <c r="AE2776" s="50">
        <f t="shared" si="351"/>
        <v>0</v>
      </c>
    </row>
    <row r="2777" spans="1:31">
      <c r="A2777" s="59" t="str">
        <f t="shared" si="345"/>
        <v/>
      </c>
      <c r="B2777" s="59" t="str">
        <f t="shared" si="346"/>
        <v/>
      </c>
      <c r="V2777" s="59" t="str">
        <f t="shared" si="347"/>
        <v/>
      </c>
      <c r="W2777" s="59" t="str">
        <f t="shared" si="344"/>
        <v/>
      </c>
      <c r="X2777" s="59" t="str">
        <f t="shared" si="348"/>
        <v/>
      </c>
      <c r="AC2777" s="50">
        <f t="shared" si="349"/>
        <v>0</v>
      </c>
      <c r="AD2777" s="43">
        <f t="shared" si="350"/>
        <v>0</v>
      </c>
      <c r="AE2777" s="50">
        <f t="shared" si="351"/>
        <v>0</v>
      </c>
    </row>
    <row r="2778" spans="1:31">
      <c r="A2778" s="59" t="str">
        <f t="shared" si="345"/>
        <v/>
      </c>
      <c r="B2778" s="59" t="str">
        <f t="shared" si="346"/>
        <v/>
      </c>
      <c r="V2778" s="59" t="str">
        <f t="shared" si="347"/>
        <v/>
      </c>
      <c r="W2778" s="59" t="str">
        <f t="shared" si="344"/>
        <v/>
      </c>
      <c r="X2778" s="59" t="str">
        <f t="shared" si="348"/>
        <v/>
      </c>
      <c r="AC2778" s="50">
        <f t="shared" si="349"/>
        <v>0</v>
      </c>
      <c r="AD2778" s="43">
        <f t="shared" si="350"/>
        <v>0</v>
      </c>
      <c r="AE2778" s="50">
        <f t="shared" si="351"/>
        <v>0</v>
      </c>
    </row>
    <row r="2779" spans="1:31">
      <c r="A2779" s="59" t="str">
        <f t="shared" si="345"/>
        <v/>
      </c>
      <c r="B2779" s="59" t="str">
        <f t="shared" si="346"/>
        <v/>
      </c>
      <c r="V2779" s="59" t="str">
        <f t="shared" si="347"/>
        <v/>
      </c>
      <c r="W2779" s="59" t="str">
        <f t="shared" si="344"/>
        <v/>
      </c>
      <c r="X2779" s="59" t="str">
        <f t="shared" si="348"/>
        <v/>
      </c>
      <c r="AC2779" s="50">
        <f t="shared" si="349"/>
        <v>0</v>
      </c>
      <c r="AD2779" s="43">
        <f t="shared" si="350"/>
        <v>0</v>
      </c>
      <c r="AE2779" s="50">
        <f t="shared" si="351"/>
        <v>0</v>
      </c>
    </row>
    <row r="2780" spans="1:31">
      <c r="A2780" s="59" t="str">
        <f t="shared" si="345"/>
        <v/>
      </c>
      <c r="B2780" s="59" t="str">
        <f t="shared" si="346"/>
        <v/>
      </c>
      <c r="V2780" s="59" t="str">
        <f t="shared" si="347"/>
        <v/>
      </c>
      <c r="W2780" s="59" t="str">
        <f t="shared" si="344"/>
        <v/>
      </c>
      <c r="X2780" s="59" t="str">
        <f t="shared" si="348"/>
        <v/>
      </c>
      <c r="AC2780" s="50">
        <f t="shared" si="349"/>
        <v>0</v>
      </c>
      <c r="AD2780" s="43">
        <f t="shared" si="350"/>
        <v>0</v>
      </c>
      <c r="AE2780" s="50">
        <f t="shared" si="351"/>
        <v>0</v>
      </c>
    </row>
    <row r="2781" spans="1:31">
      <c r="A2781" s="59" t="str">
        <f t="shared" si="345"/>
        <v/>
      </c>
      <c r="B2781" s="59" t="str">
        <f t="shared" si="346"/>
        <v/>
      </c>
      <c r="V2781" s="59" t="str">
        <f t="shared" si="347"/>
        <v/>
      </c>
      <c r="W2781" s="59" t="str">
        <f t="shared" si="344"/>
        <v/>
      </c>
      <c r="X2781" s="59" t="str">
        <f t="shared" si="348"/>
        <v/>
      </c>
      <c r="AC2781" s="50">
        <f t="shared" si="349"/>
        <v>0</v>
      </c>
      <c r="AD2781" s="43">
        <f t="shared" si="350"/>
        <v>0</v>
      </c>
      <c r="AE2781" s="50">
        <f t="shared" si="351"/>
        <v>0</v>
      </c>
    </row>
    <row r="2782" spans="1:31">
      <c r="A2782" s="59" t="str">
        <f t="shared" si="345"/>
        <v/>
      </c>
      <c r="B2782" s="59" t="str">
        <f t="shared" si="346"/>
        <v/>
      </c>
      <c r="V2782" s="59" t="str">
        <f t="shared" si="347"/>
        <v/>
      </c>
      <c r="W2782" s="59" t="str">
        <f t="shared" si="344"/>
        <v/>
      </c>
      <c r="X2782" s="59" t="str">
        <f t="shared" si="348"/>
        <v/>
      </c>
      <c r="AC2782" s="50">
        <f t="shared" si="349"/>
        <v>0</v>
      </c>
      <c r="AD2782" s="43">
        <f t="shared" si="350"/>
        <v>0</v>
      </c>
      <c r="AE2782" s="50">
        <f t="shared" si="351"/>
        <v>0</v>
      </c>
    </row>
    <row r="2783" spans="1:31">
      <c r="A2783" s="59" t="str">
        <f t="shared" si="345"/>
        <v/>
      </c>
      <c r="B2783" s="59" t="str">
        <f t="shared" si="346"/>
        <v/>
      </c>
      <c r="V2783" s="59" t="str">
        <f t="shared" si="347"/>
        <v/>
      </c>
      <c r="W2783" s="59" t="str">
        <f t="shared" si="344"/>
        <v/>
      </c>
      <c r="X2783" s="59" t="str">
        <f t="shared" si="348"/>
        <v/>
      </c>
      <c r="AC2783" s="50">
        <f t="shared" si="349"/>
        <v>0</v>
      </c>
      <c r="AD2783" s="43">
        <f t="shared" si="350"/>
        <v>0</v>
      </c>
      <c r="AE2783" s="50">
        <f t="shared" si="351"/>
        <v>0</v>
      </c>
    </row>
    <row r="2784" spans="1:31">
      <c r="A2784" s="59" t="str">
        <f t="shared" si="345"/>
        <v/>
      </c>
      <c r="B2784" s="59" t="str">
        <f t="shared" si="346"/>
        <v/>
      </c>
      <c r="V2784" s="59" t="str">
        <f t="shared" si="347"/>
        <v/>
      </c>
      <c r="W2784" s="59" t="str">
        <f t="shared" si="344"/>
        <v/>
      </c>
      <c r="X2784" s="59" t="str">
        <f t="shared" si="348"/>
        <v/>
      </c>
      <c r="AC2784" s="50">
        <f t="shared" si="349"/>
        <v>0</v>
      </c>
      <c r="AD2784" s="43">
        <f t="shared" si="350"/>
        <v>0</v>
      </c>
      <c r="AE2784" s="50">
        <f t="shared" si="351"/>
        <v>0</v>
      </c>
    </row>
    <row r="2785" spans="1:31">
      <c r="A2785" s="59" t="str">
        <f t="shared" si="345"/>
        <v/>
      </c>
      <c r="B2785" s="59" t="str">
        <f t="shared" si="346"/>
        <v/>
      </c>
      <c r="V2785" s="59" t="str">
        <f t="shared" si="347"/>
        <v/>
      </c>
      <c r="W2785" s="59" t="str">
        <f t="shared" si="344"/>
        <v/>
      </c>
      <c r="X2785" s="59" t="str">
        <f t="shared" si="348"/>
        <v/>
      </c>
      <c r="AC2785" s="50">
        <f t="shared" si="349"/>
        <v>0</v>
      </c>
      <c r="AD2785" s="43">
        <f t="shared" si="350"/>
        <v>0</v>
      </c>
      <c r="AE2785" s="50">
        <f t="shared" si="351"/>
        <v>0</v>
      </c>
    </row>
    <row r="2786" spans="1:31">
      <c r="A2786" s="59" t="str">
        <f t="shared" si="345"/>
        <v/>
      </c>
      <c r="B2786" s="59" t="str">
        <f t="shared" si="346"/>
        <v/>
      </c>
      <c r="V2786" s="59" t="str">
        <f t="shared" si="347"/>
        <v/>
      </c>
      <c r="W2786" s="59" t="str">
        <f t="shared" si="344"/>
        <v/>
      </c>
      <c r="X2786" s="59" t="str">
        <f t="shared" si="348"/>
        <v/>
      </c>
      <c r="AC2786" s="50">
        <f t="shared" si="349"/>
        <v>0</v>
      </c>
      <c r="AD2786" s="43">
        <f t="shared" si="350"/>
        <v>0</v>
      </c>
      <c r="AE2786" s="50">
        <f t="shared" si="351"/>
        <v>0</v>
      </c>
    </row>
    <row r="2787" spans="1:31">
      <c r="A2787" s="59" t="str">
        <f t="shared" si="345"/>
        <v/>
      </c>
      <c r="B2787" s="59" t="str">
        <f t="shared" si="346"/>
        <v/>
      </c>
      <c r="V2787" s="59" t="str">
        <f t="shared" si="347"/>
        <v/>
      </c>
      <c r="W2787" s="59" t="str">
        <f t="shared" si="344"/>
        <v/>
      </c>
      <c r="X2787" s="59" t="str">
        <f t="shared" si="348"/>
        <v/>
      </c>
      <c r="AC2787" s="50">
        <f t="shared" si="349"/>
        <v>0</v>
      </c>
      <c r="AD2787" s="43">
        <f t="shared" si="350"/>
        <v>0</v>
      </c>
      <c r="AE2787" s="50">
        <f t="shared" si="351"/>
        <v>0</v>
      </c>
    </row>
    <row r="2788" spans="1:31">
      <c r="A2788" s="59" t="str">
        <f t="shared" si="345"/>
        <v/>
      </c>
      <c r="B2788" s="59" t="str">
        <f t="shared" si="346"/>
        <v/>
      </c>
      <c r="V2788" s="59" t="str">
        <f t="shared" si="347"/>
        <v/>
      </c>
      <c r="W2788" s="59" t="str">
        <f t="shared" si="344"/>
        <v/>
      </c>
      <c r="X2788" s="59" t="str">
        <f t="shared" si="348"/>
        <v/>
      </c>
      <c r="AC2788" s="50">
        <f t="shared" si="349"/>
        <v>0</v>
      </c>
      <c r="AD2788" s="43">
        <f t="shared" si="350"/>
        <v>0</v>
      </c>
      <c r="AE2788" s="50">
        <f t="shared" si="351"/>
        <v>0</v>
      </c>
    </row>
    <row r="2789" spans="1:31">
      <c r="A2789" s="59" t="str">
        <f t="shared" si="345"/>
        <v/>
      </c>
      <c r="B2789" s="59" t="str">
        <f t="shared" si="346"/>
        <v/>
      </c>
      <c r="V2789" s="59" t="str">
        <f t="shared" si="347"/>
        <v/>
      </c>
      <c r="W2789" s="59" t="str">
        <f t="shared" si="344"/>
        <v/>
      </c>
      <c r="X2789" s="59" t="str">
        <f t="shared" si="348"/>
        <v/>
      </c>
      <c r="AC2789" s="50">
        <f t="shared" si="349"/>
        <v>0</v>
      </c>
      <c r="AD2789" s="43">
        <f t="shared" si="350"/>
        <v>0</v>
      </c>
      <c r="AE2789" s="50">
        <f t="shared" si="351"/>
        <v>0</v>
      </c>
    </row>
    <row r="2790" spans="1:31">
      <c r="A2790" s="59" t="str">
        <f t="shared" si="345"/>
        <v/>
      </c>
      <c r="B2790" s="59" t="str">
        <f t="shared" si="346"/>
        <v/>
      </c>
      <c r="V2790" s="59" t="str">
        <f t="shared" si="347"/>
        <v/>
      </c>
      <c r="W2790" s="59" t="str">
        <f t="shared" si="344"/>
        <v/>
      </c>
      <c r="X2790" s="59" t="str">
        <f t="shared" si="348"/>
        <v/>
      </c>
      <c r="AC2790" s="50">
        <f t="shared" si="349"/>
        <v>0</v>
      </c>
      <c r="AD2790" s="43">
        <f t="shared" si="350"/>
        <v>0</v>
      </c>
      <c r="AE2790" s="50">
        <f t="shared" si="351"/>
        <v>0</v>
      </c>
    </row>
    <row r="2791" spans="1:31">
      <c r="A2791" s="59" t="str">
        <f t="shared" si="345"/>
        <v/>
      </c>
      <c r="B2791" s="59" t="str">
        <f t="shared" si="346"/>
        <v/>
      </c>
      <c r="V2791" s="59" t="str">
        <f t="shared" si="347"/>
        <v/>
      </c>
      <c r="W2791" s="59" t="str">
        <f t="shared" si="344"/>
        <v/>
      </c>
      <c r="X2791" s="59" t="str">
        <f t="shared" si="348"/>
        <v/>
      </c>
      <c r="AC2791" s="50">
        <f t="shared" si="349"/>
        <v>0</v>
      </c>
      <c r="AD2791" s="43">
        <f t="shared" si="350"/>
        <v>0</v>
      </c>
      <c r="AE2791" s="50">
        <f t="shared" si="351"/>
        <v>0</v>
      </c>
    </row>
    <row r="2792" spans="1:31">
      <c r="A2792" s="59" t="str">
        <f t="shared" si="345"/>
        <v/>
      </c>
      <c r="B2792" s="59" t="str">
        <f t="shared" si="346"/>
        <v/>
      </c>
      <c r="V2792" s="59" t="str">
        <f t="shared" si="347"/>
        <v/>
      </c>
      <c r="W2792" s="59" t="str">
        <f t="shared" si="344"/>
        <v/>
      </c>
      <c r="X2792" s="59" t="str">
        <f t="shared" si="348"/>
        <v/>
      </c>
      <c r="AC2792" s="50">
        <f t="shared" si="349"/>
        <v>0</v>
      </c>
      <c r="AD2792" s="43">
        <f t="shared" si="350"/>
        <v>0</v>
      </c>
      <c r="AE2792" s="50">
        <f t="shared" si="351"/>
        <v>0</v>
      </c>
    </row>
    <row r="2793" spans="1:31">
      <c r="A2793" s="59" t="str">
        <f t="shared" si="345"/>
        <v/>
      </c>
      <c r="B2793" s="59" t="str">
        <f t="shared" si="346"/>
        <v/>
      </c>
      <c r="V2793" s="59" t="str">
        <f t="shared" si="347"/>
        <v/>
      </c>
      <c r="W2793" s="59" t="str">
        <f t="shared" si="344"/>
        <v/>
      </c>
      <c r="X2793" s="59" t="str">
        <f t="shared" si="348"/>
        <v/>
      </c>
      <c r="AC2793" s="50">
        <f t="shared" si="349"/>
        <v>0</v>
      </c>
      <c r="AD2793" s="43">
        <f t="shared" si="350"/>
        <v>0</v>
      </c>
      <c r="AE2793" s="50">
        <f t="shared" si="351"/>
        <v>0</v>
      </c>
    </row>
    <row r="2794" spans="1:31">
      <c r="A2794" s="59" t="str">
        <f t="shared" si="345"/>
        <v/>
      </c>
      <c r="B2794" s="59" t="str">
        <f t="shared" si="346"/>
        <v/>
      </c>
      <c r="V2794" s="59" t="str">
        <f t="shared" si="347"/>
        <v/>
      </c>
      <c r="W2794" s="59" t="str">
        <f t="shared" si="344"/>
        <v/>
      </c>
      <c r="X2794" s="59" t="str">
        <f t="shared" si="348"/>
        <v/>
      </c>
      <c r="AC2794" s="50">
        <f t="shared" si="349"/>
        <v>0</v>
      </c>
      <c r="AD2794" s="43">
        <f t="shared" si="350"/>
        <v>0</v>
      </c>
      <c r="AE2794" s="50">
        <f t="shared" si="351"/>
        <v>0</v>
      </c>
    </row>
    <row r="2795" spans="1:31">
      <c r="A2795" s="59" t="str">
        <f t="shared" si="345"/>
        <v/>
      </c>
      <c r="B2795" s="59" t="str">
        <f t="shared" si="346"/>
        <v/>
      </c>
      <c r="V2795" s="59" t="str">
        <f t="shared" si="347"/>
        <v/>
      </c>
      <c r="W2795" s="59" t="str">
        <f t="shared" si="344"/>
        <v/>
      </c>
      <c r="X2795" s="59" t="str">
        <f t="shared" si="348"/>
        <v/>
      </c>
      <c r="AC2795" s="50">
        <f t="shared" si="349"/>
        <v>0</v>
      </c>
      <c r="AD2795" s="43">
        <f t="shared" si="350"/>
        <v>0</v>
      </c>
      <c r="AE2795" s="50">
        <f t="shared" si="351"/>
        <v>0</v>
      </c>
    </row>
    <row r="2796" spans="1:31">
      <c r="A2796" s="59" t="str">
        <f t="shared" si="345"/>
        <v/>
      </c>
      <c r="B2796" s="59" t="str">
        <f t="shared" si="346"/>
        <v/>
      </c>
      <c r="V2796" s="59" t="str">
        <f t="shared" si="347"/>
        <v/>
      </c>
      <c r="W2796" s="59" t="str">
        <f t="shared" si="344"/>
        <v/>
      </c>
      <c r="X2796" s="59" t="str">
        <f t="shared" si="348"/>
        <v/>
      </c>
      <c r="AC2796" s="50">
        <f t="shared" si="349"/>
        <v>0</v>
      </c>
      <c r="AD2796" s="43">
        <f t="shared" si="350"/>
        <v>0</v>
      </c>
      <c r="AE2796" s="50">
        <f t="shared" si="351"/>
        <v>0</v>
      </c>
    </row>
    <row r="2797" spans="1:31">
      <c r="A2797" s="59" t="str">
        <f t="shared" si="345"/>
        <v/>
      </c>
      <c r="B2797" s="59" t="str">
        <f t="shared" si="346"/>
        <v/>
      </c>
      <c r="V2797" s="59" t="str">
        <f t="shared" si="347"/>
        <v/>
      </c>
      <c r="W2797" s="59" t="str">
        <f t="shared" si="344"/>
        <v/>
      </c>
      <c r="X2797" s="59" t="str">
        <f t="shared" si="348"/>
        <v/>
      </c>
      <c r="AC2797" s="50">
        <f t="shared" si="349"/>
        <v>0</v>
      </c>
      <c r="AD2797" s="43">
        <f t="shared" si="350"/>
        <v>0</v>
      </c>
      <c r="AE2797" s="50">
        <f t="shared" si="351"/>
        <v>0</v>
      </c>
    </row>
    <row r="2798" spans="1:31">
      <c r="A2798" s="59" t="str">
        <f t="shared" si="345"/>
        <v/>
      </c>
      <c r="B2798" s="59" t="str">
        <f t="shared" si="346"/>
        <v/>
      </c>
      <c r="V2798" s="59" t="str">
        <f t="shared" si="347"/>
        <v/>
      </c>
      <c r="W2798" s="59" t="str">
        <f t="shared" si="344"/>
        <v/>
      </c>
      <c r="X2798" s="59" t="str">
        <f t="shared" si="348"/>
        <v/>
      </c>
      <c r="AC2798" s="50">
        <f t="shared" si="349"/>
        <v>0</v>
      </c>
      <c r="AD2798" s="43">
        <f t="shared" si="350"/>
        <v>0</v>
      </c>
      <c r="AE2798" s="50">
        <f t="shared" si="351"/>
        <v>0</v>
      </c>
    </row>
    <row r="2799" spans="1:31">
      <c r="A2799" s="59" t="str">
        <f t="shared" si="345"/>
        <v/>
      </c>
      <c r="B2799" s="59" t="str">
        <f t="shared" si="346"/>
        <v/>
      </c>
      <c r="V2799" s="59" t="str">
        <f t="shared" si="347"/>
        <v/>
      </c>
      <c r="W2799" s="59" t="str">
        <f t="shared" si="344"/>
        <v/>
      </c>
      <c r="X2799" s="59" t="str">
        <f t="shared" si="348"/>
        <v/>
      </c>
      <c r="AC2799" s="50">
        <f t="shared" si="349"/>
        <v>0</v>
      </c>
      <c r="AD2799" s="43">
        <f t="shared" si="350"/>
        <v>0</v>
      </c>
      <c r="AE2799" s="50">
        <f t="shared" si="351"/>
        <v>0</v>
      </c>
    </row>
    <row r="2800" spans="1:31">
      <c r="A2800" s="59" t="str">
        <f t="shared" si="345"/>
        <v/>
      </c>
      <c r="B2800" s="59" t="str">
        <f t="shared" si="346"/>
        <v/>
      </c>
      <c r="V2800" s="59" t="str">
        <f t="shared" si="347"/>
        <v/>
      </c>
      <c r="W2800" s="59" t="str">
        <f t="shared" si="344"/>
        <v/>
      </c>
      <c r="X2800" s="59" t="str">
        <f t="shared" si="348"/>
        <v/>
      </c>
      <c r="AC2800" s="50">
        <f t="shared" si="349"/>
        <v>0</v>
      </c>
      <c r="AD2800" s="43">
        <f t="shared" si="350"/>
        <v>0</v>
      </c>
      <c r="AE2800" s="50">
        <f t="shared" si="351"/>
        <v>0</v>
      </c>
    </row>
    <row r="2801" spans="1:31">
      <c r="A2801" s="59" t="str">
        <f t="shared" si="345"/>
        <v/>
      </c>
      <c r="B2801" s="59" t="str">
        <f t="shared" si="346"/>
        <v/>
      </c>
      <c r="V2801" s="59" t="str">
        <f t="shared" si="347"/>
        <v/>
      </c>
      <c r="W2801" s="59" t="str">
        <f t="shared" si="344"/>
        <v/>
      </c>
      <c r="X2801" s="59" t="str">
        <f t="shared" si="348"/>
        <v/>
      </c>
      <c r="AC2801" s="50">
        <f t="shared" si="349"/>
        <v>0</v>
      </c>
      <c r="AD2801" s="43">
        <f t="shared" si="350"/>
        <v>0</v>
      </c>
      <c r="AE2801" s="50">
        <f t="shared" si="351"/>
        <v>0</v>
      </c>
    </row>
    <row r="2802" spans="1:31">
      <c r="A2802" s="59" t="str">
        <f t="shared" si="345"/>
        <v/>
      </c>
      <c r="B2802" s="59" t="str">
        <f t="shared" si="346"/>
        <v/>
      </c>
      <c r="V2802" s="59" t="str">
        <f t="shared" si="347"/>
        <v/>
      </c>
      <c r="W2802" s="59" t="str">
        <f t="shared" si="344"/>
        <v/>
      </c>
      <c r="X2802" s="59" t="str">
        <f t="shared" si="348"/>
        <v/>
      </c>
      <c r="AC2802" s="50">
        <f t="shared" si="349"/>
        <v>0</v>
      </c>
      <c r="AD2802" s="43">
        <f t="shared" si="350"/>
        <v>0</v>
      </c>
      <c r="AE2802" s="50">
        <f t="shared" si="351"/>
        <v>0</v>
      </c>
    </row>
    <row r="2803" spans="1:31">
      <c r="A2803" s="59" t="str">
        <f t="shared" si="345"/>
        <v/>
      </c>
      <c r="B2803" s="59" t="str">
        <f t="shared" si="346"/>
        <v/>
      </c>
      <c r="V2803" s="59" t="str">
        <f t="shared" si="347"/>
        <v/>
      </c>
      <c r="W2803" s="59" t="str">
        <f t="shared" si="344"/>
        <v/>
      </c>
      <c r="X2803" s="59" t="str">
        <f t="shared" si="348"/>
        <v/>
      </c>
      <c r="AC2803" s="50">
        <f t="shared" si="349"/>
        <v>0</v>
      </c>
      <c r="AD2803" s="43">
        <f t="shared" si="350"/>
        <v>0</v>
      </c>
      <c r="AE2803" s="50">
        <f t="shared" si="351"/>
        <v>0</v>
      </c>
    </row>
    <row r="2804" spans="1:31">
      <c r="A2804" s="59" t="str">
        <f t="shared" si="345"/>
        <v/>
      </c>
      <c r="B2804" s="59" t="str">
        <f t="shared" si="346"/>
        <v/>
      </c>
      <c r="V2804" s="59" t="str">
        <f t="shared" si="347"/>
        <v/>
      </c>
      <c r="W2804" s="59" t="str">
        <f t="shared" si="344"/>
        <v/>
      </c>
      <c r="X2804" s="59" t="str">
        <f t="shared" si="348"/>
        <v/>
      </c>
      <c r="AC2804" s="50">
        <f t="shared" si="349"/>
        <v>0</v>
      </c>
      <c r="AD2804" s="43">
        <f t="shared" si="350"/>
        <v>0</v>
      </c>
      <c r="AE2804" s="50">
        <f t="shared" si="351"/>
        <v>0</v>
      </c>
    </row>
    <row r="2805" spans="1:31">
      <c r="A2805" s="59" t="str">
        <f t="shared" si="345"/>
        <v/>
      </c>
      <c r="B2805" s="59" t="str">
        <f t="shared" si="346"/>
        <v/>
      </c>
      <c r="V2805" s="59" t="str">
        <f t="shared" si="347"/>
        <v/>
      </c>
      <c r="W2805" s="59" t="str">
        <f t="shared" si="344"/>
        <v/>
      </c>
      <c r="X2805" s="59" t="str">
        <f t="shared" si="348"/>
        <v/>
      </c>
      <c r="AC2805" s="50">
        <f t="shared" si="349"/>
        <v>0</v>
      </c>
      <c r="AD2805" s="43">
        <f t="shared" si="350"/>
        <v>0</v>
      </c>
      <c r="AE2805" s="50">
        <f t="shared" si="351"/>
        <v>0</v>
      </c>
    </row>
    <row r="2806" spans="1:31">
      <c r="A2806" s="59" t="str">
        <f t="shared" si="345"/>
        <v/>
      </c>
      <c r="B2806" s="59" t="str">
        <f t="shared" si="346"/>
        <v/>
      </c>
      <c r="V2806" s="59" t="str">
        <f t="shared" si="347"/>
        <v/>
      </c>
      <c r="W2806" s="59" t="str">
        <f t="shared" si="344"/>
        <v/>
      </c>
      <c r="X2806" s="59" t="str">
        <f t="shared" si="348"/>
        <v/>
      </c>
      <c r="AC2806" s="50">
        <f t="shared" si="349"/>
        <v>0</v>
      </c>
      <c r="AD2806" s="43">
        <f t="shared" si="350"/>
        <v>0</v>
      </c>
      <c r="AE2806" s="50">
        <f t="shared" si="351"/>
        <v>0</v>
      </c>
    </row>
    <row r="2807" spans="1:31">
      <c r="A2807" s="59" t="str">
        <f t="shared" si="345"/>
        <v/>
      </c>
      <c r="B2807" s="59" t="str">
        <f t="shared" si="346"/>
        <v/>
      </c>
      <c r="V2807" s="59" t="str">
        <f t="shared" si="347"/>
        <v/>
      </c>
      <c r="W2807" s="59" t="str">
        <f t="shared" si="344"/>
        <v/>
      </c>
      <c r="X2807" s="59" t="str">
        <f t="shared" si="348"/>
        <v/>
      </c>
      <c r="AC2807" s="50">
        <f t="shared" si="349"/>
        <v>0</v>
      </c>
      <c r="AD2807" s="43">
        <f t="shared" si="350"/>
        <v>0</v>
      </c>
      <c r="AE2807" s="50">
        <f t="shared" si="351"/>
        <v>0</v>
      </c>
    </row>
    <row r="2808" spans="1:31">
      <c r="A2808" s="59" t="str">
        <f t="shared" si="345"/>
        <v/>
      </c>
      <c r="B2808" s="59" t="str">
        <f t="shared" si="346"/>
        <v/>
      </c>
      <c r="V2808" s="59" t="str">
        <f t="shared" si="347"/>
        <v/>
      </c>
      <c r="W2808" s="59" t="str">
        <f t="shared" si="344"/>
        <v/>
      </c>
      <c r="X2808" s="59" t="str">
        <f t="shared" si="348"/>
        <v/>
      </c>
      <c r="AC2808" s="50">
        <f t="shared" si="349"/>
        <v>0</v>
      </c>
      <c r="AD2808" s="43">
        <f t="shared" si="350"/>
        <v>0</v>
      </c>
      <c r="AE2808" s="50">
        <f t="shared" si="351"/>
        <v>0</v>
      </c>
    </row>
    <row r="2809" spans="1:31">
      <c r="A2809" s="59" t="str">
        <f t="shared" si="345"/>
        <v/>
      </c>
      <c r="B2809" s="59" t="str">
        <f t="shared" si="346"/>
        <v/>
      </c>
      <c r="V2809" s="59" t="str">
        <f t="shared" si="347"/>
        <v/>
      </c>
      <c r="W2809" s="59" t="str">
        <f t="shared" si="344"/>
        <v/>
      </c>
      <c r="X2809" s="59" t="str">
        <f t="shared" si="348"/>
        <v/>
      </c>
      <c r="AC2809" s="50">
        <f t="shared" si="349"/>
        <v>0</v>
      </c>
      <c r="AD2809" s="43">
        <f t="shared" si="350"/>
        <v>0</v>
      </c>
      <c r="AE2809" s="50">
        <f t="shared" si="351"/>
        <v>0</v>
      </c>
    </row>
    <row r="2810" spans="1:31">
      <c r="A2810" s="59" t="str">
        <f t="shared" si="345"/>
        <v/>
      </c>
      <c r="B2810" s="59" t="str">
        <f t="shared" si="346"/>
        <v/>
      </c>
      <c r="V2810" s="59" t="str">
        <f t="shared" si="347"/>
        <v/>
      </c>
      <c r="W2810" s="59" t="str">
        <f t="shared" si="344"/>
        <v/>
      </c>
      <c r="X2810" s="59" t="str">
        <f t="shared" si="348"/>
        <v/>
      </c>
      <c r="AC2810" s="50">
        <f t="shared" si="349"/>
        <v>0</v>
      </c>
      <c r="AD2810" s="43">
        <f t="shared" si="350"/>
        <v>0</v>
      </c>
      <c r="AE2810" s="50">
        <f t="shared" si="351"/>
        <v>0</v>
      </c>
    </row>
    <row r="2811" spans="1:31">
      <c r="A2811" s="59" t="str">
        <f t="shared" si="345"/>
        <v/>
      </c>
      <c r="B2811" s="59" t="str">
        <f t="shared" si="346"/>
        <v/>
      </c>
      <c r="V2811" s="59" t="str">
        <f t="shared" si="347"/>
        <v/>
      </c>
      <c r="W2811" s="59" t="str">
        <f t="shared" si="344"/>
        <v/>
      </c>
      <c r="X2811" s="59" t="str">
        <f t="shared" si="348"/>
        <v/>
      </c>
      <c r="AC2811" s="50">
        <f t="shared" si="349"/>
        <v>0</v>
      </c>
      <c r="AD2811" s="43">
        <f t="shared" si="350"/>
        <v>0</v>
      </c>
      <c r="AE2811" s="50">
        <f t="shared" si="351"/>
        <v>0</v>
      </c>
    </row>
    <row r="2812" spans="1:31">
      <c r="A2812" s="59" t="str">
        <f t="shared" si="345"/>
        <v/>
      </c>
      <c r="B2812" s="59" t="str">
        <f t="shared" si="346"/>
        <v/>
      </c>
      <c r="V2812" s="59" t="str">
        <f t="shared" si="347"/>
        <v/>
      </c>
      <c r="W2812" s="59" t="str">
        <f t="shared" si="344"/>
        <v/>
      </c>
      <c r="X2812" s="59" t="str">
        <f t="shared" si="348"/>
        <v/>
      </c>
      <c r="AC2812" s="50">
        <f t="shared" si="349"/>
        <v>0</v>
      </c>
      <c r="AD2812" s="43">
        <f t="shared" si="350"/>
        <v>0</v>
      </c>
      <c r="AE2812" s="50">
        <f t="shared" si="351"/>
        <v>0</v>
      </c>
    </row>
    <row r="2813" spans="1:31">
      <c r="A2813" s="59" t="str">
        <f t="shared" si="345"/>
        <v/>
      </c>
      <c r="B2813" s="59" t="str">
        <f t="shared" si="346"/>
        <v/>
      </c>
      <c r="V2813" s="59" t="str">
        <f t="shared" si="347"/>
        <v/>
      </c>
      <c r="W2813" s="59" t="str">
        <f t="shared" si="344"/>
        <v/>
      </c>
      <c r="X2813" s="59" t="str">
        <f t="shared" si="348"/>
        <v/>
      </c>
      <c r="AC2813" s="50">
        <f t="shared" si="349"/>
        <v>0</v>
      </c>
      <c r="AD2813" s="43">
        <f t="shared" si="350"/>
        <v>0</v>
      </c>
      <c r="AE2813" s="50">
        <f t="shared" si="351"/>
        <v>0</v>
      </c>
    </row>
    <row r="2814" spans="1:31">
      <c r="A2814" s="59" t="str">
        <f t="shared" si="345"/>
        <v/>
      </c>
      <c r="B2814" s="59" t="str">
        <f t="shared" si="346"/>
        <v/>
      </c>
      <c r="V2814" s="59" t="str">
        <f t="shared" si="347"/>
        <v/>
      </c>
      <c r="W2814" s="59" t="str">
        <f t="shared" si="344"/>
        <v/>
      </c>
      <c r="X2814" s="59" t="str">
        <f t="shared" si="348"/>
        <v/>
      </c>
      <c r="AC2814" s="50">
        <f t="shared" si="349"/>
        <v>0</v>
      </c>
      <c r="AD2814" s="43">
        <f t="shared" si="350"/>
        <v>0</v>
      </c>
      <c r="AE2814" s="50">
        <f t="shared" si="351"/>
        <v>0</v>
      </c>
    </row>
    <row r="2815" spans="1:31">
      <c r="A2815" s="59" t="str">
        <f t="shared" si="345"/>
        <v/>
      </c>
      <c r="B2815" s="59" t="str">
        <f t="shared" si="346"/>
        <v/>
      </c>
      <c r="V2815" s="59" t="str">
        <f t="shared" si="347"/>
        <v/>
      </c>
      <c r="W2815" s="59" t="str">
        <f t="shared" si="344"/>
        <v/>
      </c>
      <c r="X2815" s="59" t="str">
        <f t="shared" si="348"/>
        <v/>
      </c>
      <c r="AC2815" s="50">
        <f t="shared" si="349"/>
        <v>0</v>
      </c>
      <c r="AD2815" s="43">
        <f t="shared" si="350"/>
        <v>0</v>
      </c>
      <c r="AE2815" s="50">
        <f t="shared" si="351"/>
        <v>0</v>
      </c>
    </row>
    <row r="2816" spans="1:31">
      <c r="A2816" s="59" t="str">
        <f t="shared" si="345"/>
        <v/>
      </c>
      <c r="B2816" s="59" t="str">
        <f t="shared" si="346"/>
        <v/>
      </c>
      <c r="V2816" s="59" t="str">
        <f t="shared" si="347"/>
        <v/>
      </c>
      <c r="W2816" s="59" t="str">
        <f t="shared" si="344"/>
        <v/>
      </c>
      <c r="X2816" s="59" t="str">
        <f t="shared" si="348"/>
        <v/>
      </c>
      <c r="AC2816" s="50">
        <f t="shared" si="349"/>
        <v>0</v>
      </c>
      <c r="AD2816" s="43">
        <f t="shared" si="350"/>
        <v>0</v>
      </c>
      <c r="AE2816" s="50">
        <f t="shared" si="351"/>
        <v>0</v>
      </c>
    </row>
    <row r="2817" spans="1:31">
      <c r="A2817" s="59" t="str">
        <f t="shared" si="345"/>
        <v/>
      </c>
      <c r="B2817" s="59" t="str">
        <f t="shared" si="346"/>
        <v/>
      </c>
      <c r="V2817" s="59" t="str">
        <f t="shared" si="347"/>
        <v/>
      </c>
      <c r="W2817" s="59" t="str">
        <f t="shared" si="344"/>
        <v/>
      </c>
      <c r="X2817" s="59" t="str">
        <f t="shared" si="348"/>
        <v/>
      </c>
      <c r="AC2817" s="50">
        <f t="shared" si="349"/>
        <v>0</v>
      </c>
      <c r="AD2817" s="43">
        <f t="shared" si="350"/>
        <v>0</v>
      </c>
      <c r="AE2817" s="50">
        <f t="shared" si="351"/>
        <v>0</v>
      </c>
    </row>
    <row r="2818" spans="1:31">
      <c r="A2818" s="59" t="str">
        <f t="shared" si="345"/>
        <v/>
      </c>
      <c r="B2818" s="59" t="str">
        <f t="shared" si="346"/>
        <v/>
      </c>
      <c r="V2818" s="59" t="str">
        <f t="shared" si="347"/>
        <v/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59" t="str">
        <f t="shared" si="348"/>
        <v/>
      </c>
      <c r="AC2818" s="50">
        <f t="shared" si="349"/>
        <v>0</v>
      </c>
      <c r="AD2818" s="43">
        <f t="shared" si="350"/>
        <v>0</v>
      </c>
      <c r="AE2818" s="50">
        <f t="shared" si="351"/>
        <v>0</v>
      </c>
    </row>
    <row r="2819" spans="1:31">
      <c r="A2819" s="59" t="str">
        <f t="shared" ref="A2819:A2882" si="353">IF(G2819&amp;Q2819&lt;&gt;"",W2819&amp;Q2819,"")</f>
        <v/>
      </c>
      <c r="B2819" s="59" t="str">
        <f t="shared" ref="B2819:B2882" si="354">IF(C2819&lt;&gt;"",LEFT(C2819,9),"")</f>
        <v/>
      </c>
      <c r="V2819" s="59" t="str">
        <f t="shared" ref="V2819:V2882" si="355">W2819&amp;H2819</f>
        <v/>
      </c>
      <c r="W2819" s="59" t="str">
        <f t="shared" si="352"/>
        <v/>
      </c>
      <c r="X2819" s="59" t="str">
        <f t="shared" ref="X2819:X2882" si="356">IF(A2819&lt;&gt;"",IFERROR(IF(FIND(" ",G2819)&gt;=1,MID(G2819,FIND(" ",G2819)+1,LEN(G2819)),""),""),"")</f>
        <v/>
      </c>
      <c r="AC2819" s="50">
        <f t="shared" ref="AC2819:AC2882" si="357">IFERROR(VALUE(MID($C2819,1,2)),0)</f>
        <v>0</v>
      </c>
      <c r="AD2819" s="43">
        <f t="shared" ref="AD2819:AD2882" si="358">IFERROR(VALUE(MID($C2819,4,3)),0)</f>
        <v>0</v>
      </c>
      <c r="AE2819" s="50">
        <f t="shared" ref="AE2819:AE2882" si="359">VALUE(RIGHT("00"&amp;AC2819,2)&amp;RIGHT("000"&amp;AD2819,3))</f>
        <v>0</v>
      </c>
    </row>
    <row r="2820" spans="1:31">
      <c r="A2820" s="59" t="str">
        <f t="shared" si="353"/>
        <v/>
      </c>
      <c r="B2820" s="59" t="str">
        <f t="shared" si="354"/>
        <v/>
      </c>
      <c r="V2820" s="59" t="str">
        <f t="shared" si="355"/>
        <v/>
      </c>
      <c r="W2820" s="59" t="str">
        <f t="shared" si="352"/>
        <v/>
      </c>
      <c r="X2820" s="59" t="str">
        <f t="shared" si="356"/>
        <v/>
      </c>
      <c r="AC2820" s="50">
        <f t="shared" si="357"/>
        <v>0</v>
      </c>
      <c r="AD2820" s="43">
        <f t="shared" si="358"/>
        <v>0</v>
      </c>
      <c r="AE2820" s="50">
        <f t="shared" si="359"/>
        <v>0</v>
      </c>
    </row>
    <row r="2821" spans="1:31">
      <c r="A2821" s="59" t="str">
        <f t="shared" si="353"/>
        <v/>
      </c>
      <c r="B2821" s="59" t="str">
        <f t="shared" si="354"/>
        <v/>
      </c>
      <c r="V2821" s="59" t="str">
        <f t="shared" si="355"/>
        <v/>
      </c>
      <c r="W2821" s="59" t="str">
        <f t="shared" si="352"/>
        <v/>
      </c>
      <c r="X2821" s="59" t="str">
        <f t="shared" si="356"/>
        <v/>
      </c>
      <c r="AC2821" s="50">
        <f t="shared" si="357"/>
        <v>0</v>
      </c>
      <c r="AD2821" s="43">
        <f t="shared" si="358"/>
        <v>0</v>
      </c>
      <c r="AE2821" s="50">
        <f t="shared" si="359"/>
        <v>0</v>
      </c>
    </row>
    <row r="2822" spans="1:31">
      <c r="A2822" s="59" t="str">
        <f t="shared" si="353"/>
        <v/>
      </c>
      <c r="B2822" s="59" t="str">
        <f t="shared" si="354"/>
        <v/>
      </c>
      <c r="V2822" s="59" t="str">
        <f t="shared" si="355"/>
        <v/>
      </c>
      <c r="W2822" s="59" t="str">
        <f t="shared" si="352"/>
        <v/>
      </c>
      <c r="X2822" s="59" t="str">
        <f t="shared" si="356"/>
        <v/>
      </c>
      <c r="AC2822" s="50">
        <f t="shared" si="357"/>
        <v>0</v>
      </c>
      <c r="AD2822" s="43">
        <f t="shared" si="358"/>
        <v>0</v>
      </c>
      <c r="AE2822" s="50">
        <f t="shared" si="359"/>
        <v>0</v>
      </c>
    </row>
    <row r="2823" spans="1:31">
      <c r="A2823" s="59" t="str">
        <f t="shared" si="353"/>
        <v/>
      </c>
      <c r="B2823" s="59" t="str">
        <f t="shared" si="354"/>
        <v/>
      </c>
      <c r="V2823" s="59" t="str">
        <f t="shared" si="355"/>
        <v/>
      </c>
      <c r="W2823" s="59" t="str">
        <f t="shared" si="352"/>
        <v/>
      </c>
      <c r="X2823" s="59" t="str">
        <f t="shared" si="356"/>
        <v/>
      </c>
      <c r="AC2823" s="50">
        <f t="shared" si="357"/>
        <v>0</v>
      </c>
      <c r="AD2823" s="43">
        <f t="shared" si="358"/>
        <v>0</v>
      </c>
      <c r="AE2823" s="50">
        <f t="shared" si="359"/>
        <v>0</v>
      </c>
    </row>
    <row r="2824" spans="1:31">
      <c r="A2824" s="59" t="str">
        <f t="shared" si="353"/>
        <v/>
      </c>
      <c r="B2824" s="59" t="str">
        <f t="shared" si="354"/>
        <v/>
      </c>
      <c r="V2824" s="59" t="str">
        <f t="shared" si="355"/>
        <v/>
      </c>
      <c r="W2824" s="59" t="str">
        <f t="shared" si="352"/>
        <v/>
      </c>
      <c r="X2824" s="59" t="str">
        <f t="shared" si="356"/>
        <v/>
      </c>
      <c r="AC2824" s="50">
        <f t="shared" si="357"/>
        <v>0</v>
      </c>
      <c r="AD2824" s="43">
        <f t="shared" si="358"/>
        <v>0</v>
      </c>
      <c r="AE2824" s="50">
        <f t="shared" si="359"/>
        <v>0</v>
      </c>
    </row>
    <row r="2825" spans="1:31">
      <c r="A2825" s="59" t="str">
        <f t="shared" si="353"/>
        <v/>
      </c>
      <c r="B2825" s="59" t="str">
        <f t="shared" si="354"/>
        <v/>
      </c>
      <c r="V2825" s="59" t="str">
        <f t="shared" si="355"/>
        <v/>
      </c>
      <c r="W2825" s="59" t="str">
        <f t="shared" si="352"/>
        <v/>
      </c>
      <c r="X2825" s="59" t="str">
        <f t="shared" si="356"/>
        <v/>
      </c>
      <c r="AC2825" s="50">
        <f t="shared" si="357"/>
        <v>0</v>
      </c>
      <c r="AD2825" s="43">
        <f t="shared" si="358"/>
        <v>0</v>
      </c>
      <c r="AE2825" s="50">
        <f t="shared" si="359"/>
        <v>0</v>
      </c>
    </row>
    <row r="2826" spans="1:31">
      <c r="A2826" s="59" t="str">
        <f t="shared" si="353"/>
        <v/>
      </c>
      <c r="B2826" s="59" t="str">
        <f t="shared" si="354"/>
        <v/>
      </c>
      <c r="V2826" s="59" t="str">
        <f t="shared" si="355"/>
        <v/>
      </c>
      <c r="W2826" s="59" t="str">
        <f t="shared" si="352"/>
        <v/>
      </c>
      <c r="X2826" s="59" t="str">
        <f t="shared" si="356"/>
        <v/>
      </c>
      <c r="AC2826" s="50">
        <f t="shared" si="357"/>
        <v>0</v>
      </c>
      <c r="AD2826" s="43">
        <f t="shared" si="358"/>
        <v>0</v>
      </c>
      <c r="AE2826" s="50">
        <f t="shared" si="359"/>
        <v>0</v>
      </c>
    </row>
    <row r="2827" spans="1:31">
      <c r="A2827" s="59" t="str">
        <f t="shared" si="353"/>
        <v/>
      </c>
      <c r="B2827" s="59" t="str">
        <f t="shared" si="354"/>
        <v/>
      </c>
      <c r="V2827" s="59" t="str">
        <f t="shared" si="355"/>
        <v/>
      </c>
      <c r="W2827" s="59" t="str">
        <f t="shared" si="352"/>
        <v/>
      </c>
      <c r="X2827" s="59" t="str">
        <f t="shared" si="356"/>
        <v/>
      </c>
      <c r="AC2827" s="50">
        <f t="shared" si="357"/>
        <v>0</v>
      </c>
      <c r="AD2827" s="43">
        <f t="shared" si="358"/>
        <v>0</v>
      </c>
      <c r="AE2827" s="50">
        <f t="shared" si="359"/>
        <v>0</v>
      </c>
    </row>
    <row r="2828" spans="1:31">
      <c r="A2828" s="59" t="str">
        <f t="shared" si="353"/>
        <v/>
      </c>
      <c r="B2828" s="59" t="str">
        <f t="shared" si="354"/>
        <v/>
      </c>
      <c r="V2828" s="59" t="str">
        <f t="shared" si="355"/>
        <v/>
      </c>
      <c r="W2828" s="59" t="str">
        <f t="shared" si="352"/>
        <v/>
      </c>
      <c r="X2828" s="59" t="str">
        <f t="shared" si="356"/>
        <v/>
      </c>
      <c r="AC2828" s="50">
        <f t="shared" si="357"/>
        <v>0</v>
      </c>
      <c r="AD2828" s="43">
        <f t="shared" si="358"/>
        <v>0</v>
      </c>
      <c r="AE2828" s="50">
        <f t="shared" si="359"/>
        <v>0</v>
      </c>
    </row>
    <row r="2829" spans="1:31">
      <c r="A2829" s="59" t="str">
        <f t="shared" si="353"/>
        <v/>
      </c>
      <c r="B2829" s="59" t="str">
        <f t="shared" si="354"/>
        <v/>
      </c>
      <c r="V2829" s="59" t="str">
        <f t="shared" si="355"/>
        <v/>
      </c>
      <c r="W2829" s="59" t="str">
        <f t="shared" si="352"/>
        <v/>
      </c>
      <c r="X2829" s="59" t="str">
        <f t="shared" si="356"/>
        <v/>
      </c>
      <c r="AC2829" s="50">
        <f t="shared" si="357"/>
        <v>0</v>
      </c>
      <c r="AD2829" s="43">
        <f t="shared" si="358"/>
        <v>0</v>
      </c>
      <c r="AE2829" s="50">
        <f t="shared" si="359"/>
        <v>0</v>
      </c>
    </row>
    <row r="2830" spans="1:31">
      <c r="A2830" s="59" t="str">
        <f t="shared" si="353"/>
        <v/>
      </c>
      <c r="B2830" s="59" t="str">
        <f t="shared" si="354"/>
        <v/>
      </c>
      <c r="V2830" s="59" t="str">
        <f t="shared" si="355"/>
        <v/>
      </c>
      <c r="W2830" s="59" t="str">
        <f t="shared" si="352"/>
        <v/>
      </c>
      <c r="X2830" s="59" t="str">
        <f t="shared" si="356"/>
        <v/>
      </c>
      <c r="AC2830" s="50">
        <f t="shared" si="357"/>
        <v>0</v>
      </c>
      <c r="AD2830" s="43">
        <f t="shared" si="358"/>
        <v>0</v>
      </c>
      <c r="AE2830" s="50">
        <f t="shared" si="359"/>
        <v>0</v>
      </c>
    </row>
    <row r="2831" spans="1:31">
      <c r="A2831" s="59" t="str">
        <f t="shared" si="353"/>
        <v/>
      </c>
      <c r="B2831" s="59" t="str">
        <f t="shared" si="354"/>
        <v/>
      </c>
      <c r="V2831" s="59" t="str">
        <f t="shared" si="355"/>
        <v/>
      </c>
      <c r="W2831" s="59" t="str">
        <f t="shared" si="352"/>
        <v/>
      </c>
      <c r="X2831" s="59" t="str">
        <f t="shared" si="356"/>
        <v/>
      </c>
      <c r="AC2831" s="50">
        <f t="shared" si="357"/>
        <v>0</v>
      </c>
      <c r="AD2831" s="43">
        <f t="shared" si="358"/>
        <v>0</v>
      </c>
      <c r="AE2831" s="50">
        <f t="shared" si="359"/>
        <v>0</v>
      </c>
    </row>
    <row r="2832" spans="1:31">
      <c r="A2832" s="59" t="str">
        <f t="shared" si="353"/>
        <v/>
      </c>
      <c r="B2832" s="59" t="str">
        <f t="shared" si="354"/>
        <v/>
      </c>
      <c r="V2832" s="59" t="str">
        <f t="shared" si="355"/>
        <v/>
      </c>
      <c r="W2832" s="59" t="str">
        <f t="shared" si="352"/>
        <v/>
      </c>
      <c r="X2832" s="59" t="str">
        <f t="shared" si="356"/>
        <v/>
      </c>
      <c r="AC2832" s="50">
        <f t="shared" si="357"/>
        <v>0</v>
      </c>
      <c r="AD2832" s="43">
        <f t="shared" si="358"/>
        <v>0</v>
      </c>
      <c r="AE2832" s="50">
        <f t="shared" si="359"/>
        <v>0</v>
      </c>
    </row>
    <row r="2833" spans="1:31">
      <c r="A2833" s="59" t="str">
        <f t="shared" si="353"/>
        <v/>
      </c>
      <c r="B2833" s="59" t="str">
        <f t="shared" si="354"/>
        <v/>
      </c>
      <c r="V2833" s="59" t="str">
        <f t="shared" si="355"/>
        <v/>
      </c>
      <c r="W2833" s="59" t="str">
        <f t="shared" si="352"/>
        <v/>
      </c>
      <c r="X2833" s="59" t="str">
        <f t="shared" si="356"/>
        <v/>
      </c>
      <c r="AC2833" s="50">
        <f t="shared" si="357"/>
        <v>0</v>
      </c>
      <c r="AD2833" s="43">
        <f t="shared" si="358"/>
        <v>0</v>
      </c>
      <c r="AE2833" s="50">
        <f t="shared" si="359"/>
        <v>0</v>
      </c>
    </row>
    <row r="2834" spans="1:31">
      <c r="A2834" s="59" t="str">
        <f t="shared" si="353"/>
        <v/>
      </c>
      <c r="B2834" s="59" t="str">
        <f t="shared" si="354"/>
        <v/>
      </c>
      <c r="V2834" s="59" t="str">
        <f t="shared" si="355"/>
        <v/>
      </c>
      <c r="W2834" s="59" t="str">
        <f t="shared" si="352"/>
        <v/>
      </c>
      <c r="X2834" s="59" t="str">
        <f t="shared" si="356"/>
        <v/>
      </c>
      <c r="AC2834" s="50">
        <f t="shared" si="357"/>
        <v>0</v>
      </c>
      <c r="AD2834" s="43">
        <f t="shared" si="358"/>
        <v>0</v>
      </c>
      <c r="AE2834" s="50">
        <f t="shared" si="359"/>
        <v>0</v>
      </c>
    </row>
    <row r="2835" spans="1:31">
      <c r="A2835" s="59" t="str">
        <f t="shared" si="353"/>
        <v/>
      </c>
      <c r="B2835" s="59" t="str">
        <f t="shared" si="354"/>
        <v/>
      </c>
      <c r="V2835" s="59" t="str">
        <f t="shared" si="355"/>
        <v/>
      </c>
      <c r="W2835" s="59" t="str">
        <f t="shared" si="352"/>
        <v/>
      </c>
      <c r="X2835" s="59" t="str">
        <f t="shared" si="356"/>
        <v/>
      </c>
      <c r="AC2835" s="50">
        <f t="shared" si="357"/>
        <v>0</v>
      </c>
      <c r="AD2835" s="43">
        <f t="shared" si="358"/>
        <v>0</v>
      </c>
      <c r="AE2835" s="50">
        <f t="shared" si="359"/>
        <v>0</v>
      </c>
    </row>
    <row r="2836" spans="1:31">
      <c r="A2836" s="59" t="str">
        <f t="shared" si="353"/>
        <v/>
      </c>
      <c r="B2836" s="59" t="str">
        <f t="shared" si="354"/>
        <v/>
      </c>
      <c r="V2836" s="59" t="str">
        <f t="shared" si="355"/>
        <v/>
      </c>
      <c r="W2836" s="59" t="str">
        <f t="shared" si="352"/>
        <v/>
      </c>
      <c r="X2836" s="59" t="str">
        <f t="shared" si="356"/>
        <v/>
      </c>
      <c r="AC2836" s="50">
        <f t="shared" si="357"/>
        <v>0</v>
      </c>
      <c r="AD2836" s="43">
        <f t="shared" si="358"/>
        <v>0</v>
      </c>
      <c r="AE2836" s="50">
        <f t="shared" si="359"/>
        <v>0</v>
      </c>
    </row>
    <row r="2837" spans="1:31">
      <c r="A2837" s="59" t="str">
        <f t="shared" si="353"/>
        <v/>
      </c>
      <c r="B2837" s="59" t="str">
        <f t="shared" si="354"/>
        <v/>
      </c>
      <c r="V2837" s="59" t="str">
        <f t="shared" si="355"/>
        <v/>
      </c>
      <c r="W2837" s="59" t="str">
        <f t="shared" si="352"/>
        <v/>
      </c>
      <c r="X2837" s="59" t="str">
        <f t="shared" si="356"/>
        <v/>
      </c>
      <c r="AC2837" s="50">
        <f t="shared" si="357"/>
        <v>0</v>
      </c>
      <c r="AD2837" s="43">
        <f t="shared" si="358"/>
        <v>0</v>
      </c>
      <c r="AE2837" s="50">
        <f t="shared" si="359"/>
        <v>0</v>
      </c>
    </row>
    <row r="2838" spans="1:31">
      <c r="A2838" s="59" t="str">
        <f t="shared" si="353"/>
        <v/>
      </c>
      <c r="B2838" s="59" t="str">
        <f t="shared" si="354"/>
        <v/>
      </c>
      <c r="V2838" s="59" t="str">
        <f t="shared" si="355"/>
        <v/>
      </c>
      <c r="W2838" s="59" t="str">
        <f t="shared" si="352"/>
        <v/>
      </c>
      <c r="X2838" s="59" t="str">
        <f t="shared" si="356"/>
        <v/>
      </c>
      <c r="AC2838" s="50">
        <f t="shared" si="357"/>
        <v>0</v>
      </c>
      <c r="AD2838" s="43">
        <f t="shared" si="358"/>
        <v>0</v>
      </c>
      <c r="AE2838" s="50">
        <f t="shared" si="359"/>
        <v>0</v>
      </c>
    </row>
    <row r="2839" spans="1:31">
      <c r="A2839" s="59" t="str">
        <f t="shared" si="353"/>
        <v/>
      </c>
      <c r="B2839" s="59" t="str">
        <f t="shared" si="354"/>
        <v/>
      </c>
      <c r="V2839" s="59" t="str">
        <f t="shared" si="355"/>
        <v/>
      </c>
      <c r="W2839" s="59" t="str">
        <f t="shared" si="352"/>
        <v/>
      </c>
      <c r="X2839" s="59" t="str">
        <f t="shared" si="356"/>
        <v/>
      </c>
      <c r="AC2839" s="50">
        <f t="shared" si="357"/>
        <v>0</v>
      </c>
      <c r="AD2839" s="43">
        <f t="shared" si="358"/>
        <v>0</v>
      </c>
      <c r="AE2839" s="50">
        <f t="shared" si="359"/>
        <v>0</v>
      </c>
    </row>
    <row r="2840" spans="1:31">
      <c r="A2840" s="59" t="str">
        <f t="shared" si="353"/>
        <v/>
      </c>
      <c r="B2840" s="59" t="str">
        <f t="shared" si="354"/>
        <v/>
      </c>
      <c r="V2840" s="59" t="str">
        <f t="shared" si="355"/>
        <v/>
      </c>
      <c r="W2840" s="59" t="str">
        <f t="shared" si="352"/>
        <v/>
      </c>
      <c r="X2840" s="59" t="str">
        <f t="shared" si="356"/>
        <v/>
      </c>
      <c r="AC2840" s="50">
        <f t="shared" si="357"/>
        <v>0</v>
      </c>
      <c r="AD2840" s="43">
        <f t="shared" si="358"/>
        <v>0</v>
      </c>
      <c r="AE2840" s="50">
        <f t="shared" si="359"/>
        <v>0</v>
      </c>
    </row>
    <row r="2841" spans="1:31">
      <c r="A2841" s="59" t="str">
        <f t="shared" si="353"/>
        <v/>
      </c>
      <c r="B2841" s="59" t="str">
        <f t="shared" si="354"/>
        <v/>
      </c>
      <c r="V2841" s="59" t="str">
        <f t="shared" si="355"/>
        <v/>
      </c>
      <c r="W2841" s="59" t="str">
        <f t="shared" si="352"/>
        <v/>
      </c>
      <c r="X2841" s="59" t="str">
        <f t="shared" si="356"/>
        <v/>
      </c>
      <c r="AC2841" s="50">
        <f t="shared" si="357"/>
        <v>0</v>
      </c>
      <c r="AD2841" s="43">
        <f t="shared" si="358"/>
        <v>0</v>
      </c>
      <c r="AE2841" s="50">
        <f t="shared" si="359"/>
        <v>0</v>
      </c>
    </row>
    <row r="2842" spans="1:31">
      <c r="A2842" s="59" t="str">
        <f t="shared" si="353"/>
        <v/>
      </c>
      <c r="B2842" s="59" t="str">
        <f t="shared" si="354"/>
        <v/>
      </c>
      <c r="V2842" s="59" t="str">
        <f t="shared" si="355"/>
        <v/>
      </c>
      <c r="W2842" s="59" t="str">
        <f t="shared" si="352"/>
        <v/>
      </c>
      <c r="X2842" s="59" t="str">
        <f t="shared" si="356"/>
        <v/>
      </c>
      <c r="AC2842" s="50">
        <f t="shared" si="357"/>
        <v>0</v>
      </c>
      <c r="AD2842" s="43">
        <f t="shared" si="358"/>
        <v>0</v>
      </c>
      <c r="AE2842" s="50">
        <f t="shared" si="359"/>
        <v>0</v>
      </c>
    </row>
    <row r="2843" spans="1:31">
      <c r="A2843" s="59" t="str">
        <f t="shared" si="353"/>
        <v/>
      </c>
      <c r="B2843" s="59" t="str">
        <f t="shared" si="354"/>
        <v/>
      </c>
      <c r="V2843" s="59" t="str">
        <f t="shared" si="355"/>
        <v/>
      </c>
      <c r="W2843" s="59" t="str">
        <f t="shared" si="352"/>
        <v/>
      </c>
      <c r="X2843" s="59" t="str">
        <f t="shared" si="356"/>
        <v/>
      </c>
      <c r="AC2843" s="50">
        <f t="shared" si="357"/>
        <v>0</v>
      </c>
      <c r="AD2843" s="43">
        <f t="shared" si="358"/>
        <v>0</v>
      </c>
      <c r="AE2843" s="50">
        <f t="shared" si="359"/>
        <v>0</v>
      </c>
    </row>
    <row r="2844" spans="1:31">
      <c r="A2844" s="59" t="str">
        <f t="shared" si="353"/>
        <v/>
      </c>
      <c r="B2844" s="59" t="str">
        <f t="shared" si="354"/>
        <v/>
      </c>
      <c r="V2844" s="59" t="str">
        <f t="shared" si="355"/>
        <v/>
      </c>
      <c r="W2844" s="59" t="str">
        <f t="shared" si="352"/>
        <v/>
      </c>
      <c r="X2844" s="59" t="str">
        <f t="shared" si="356"/>
        <v/>
      </c>
      <c r="AC2844" s="50">
        <f t="shared" si="357"/>
        <v>0</v>
      </c>
      <c r="AD2844" s="43">
        <f t="shared" si="358"/>
        <v>0</v>
      </c>
      <c r="AE2844" s="50">
        <f t="shared" si="359"/>
        <v>0</v>
      </c>
    </row>
    <row r="2845" spans="1:31">
      <c r="A2845" s="59" t="str">
        <f t="shared" si="353"/>
        <v/>
      </c>
      <c r="B2845" s="59" t="str">
        <f t="shared" si="354"/>
        <v/>
      </c>
      <c r="V2845" s="59" t="str">
        <f t="shared" si="355"/>
        <v/>
      </c>
      <c r="W2845" s="59" t="str">
        <f t="shared" si="352"/>
        <v/>
      </c>
      <c r="X2845" s="59" t="str">
        <f t="shared" si="356"/>
        <v/>
      </c>
      <c r="AC2845" s="50">
        <f t="shared" si="357"/>
        <v>0</v>
      </c>
      <c r="AD2845" s="43">
        <f t="shared" si="358"/>
        <v>0</v>
      </c>
      <c r="AE2845" s="50">
        <f t="shared" si="359"/>
        <v>0</v>
      </c>
    </row>
    <row r="2846" spans="1:31">
      <c r="A2846" s="59" t="str">
        <f t="shared" si="353"/>
        <v/>
      </c>
      <c r="B2846" s="59" t="str">
        <f t="shared" si="354"/>
        <v/>
      </c>
      <c r="V2846" s="59" t="str">
        <f t="shared" si="355"/>
        <v/>
      </c>
      <c r="W2846" s="59" t="str">
        <f t="shared" si="352"/>
        <v/>
      </c>
      <c r="X2846" s="59" t="str">
        <f t="shared" si="356"/>
        <v/>
      </c>
      <c r="AC2846" s="50">
        <f t="shared" si="357"/>
        <v>0</v>
      </c>
      <c r="AD2846" s="43">
        <f t="shared" si="358"/>
        <v>0</v>
      </c>
      <c r="AE2846" s="50">
        <f t="shared" si="359"/>
        <v>0</v>
      </c>
    </row>
    <row r="2847" spans="1:31">
      <c r="A2847" s="59" t="str">
        <f t="shared" si="353"/>
        <v/>
      </c>
      <c r="B2847" s="59" t="str">
        <f t="shared" si="354"/>
        <v/>
      </c>
      <c r="V2847" s="59" t="str">
        <f t="shared" si="355"/>
        <v/>
      </c>
      <c r="W2847" s="59" t="str">
        <f t="shared" si="352"/>
        <v/>
      </c>
      <c r="X2847" s="59" t="str">
        <f t="shared" si="356"/>
        <v/>
      </c>
      <c r="AC2847" s="50">
        <f t="shared" si="357"/>
        <v>0</v>
      </c>
      <c r="AD2847" s="43">
        <f t="shared" si="358"/>
        <v>0</v>
      </c>
      <c r="AE2847" s="50">
        <f t="shared" si="359"/>
        <v>0</v>
      </c>
    </row>
    <row r="2848" spans="1:31">
      <c r="A2848" s="59" t="str">
        <f t="shared" si="353"/>
        <v/>
      </c>
      <c r="B2848" s="59" t="str">
        <f t="shared" si="354"/>
        <v/>
      </c>
      <c r="V2848" s="59" t="str">
        <f t="shared" si="355"/>
        <v/>
      </c>
      <c r="W2848" s="59" t="str">
        <f t="shared" si="352"/>
        <v/>
      </c>
      <c r="X2848" s="59" t="str">
        <f t="shared" si="356"/>
        <v/>
      </c>
      <c r="AC2848" s="50">
        <f t="shared" si="357"/>
        <v>0</v>
      </c>
      <c r="AD2848" s="43">
        <f t="shared" si="358"/>
        <v>0</v>
      </c>
      <c r="AE2848" s="50">
        <f t="shared" si="359"/>
        <v>0</v>
      </c>
    </row>
    <row r="2849" spans="1:31">
      <c r="A2849" s="59" t="str">
        <f t="shared" si="353"/>
        <v/>
      </c>
      <c r="B2849" s="59" t="str">
        <f t="shared" si="354"/>
        <v/>
      </c>
      <c r="V2849" s="59" t="str">
        <f t="shared" si="355"/>
        <v/>
      </c>
      <c r="W2849" s="59" t="str">
        <f t="shared" si="352"/>
        <v/>
      </c>
      <c r="X2849" s="59" t="str">
        <f t="shared" si="356"/>
        <v/>
      </c>
      <c r="AC2849" s="50">
        <f t="shared" si="357"/>
        <v>0</v>
      </c>
      <c r="AD2849" s="43">
        <f t="shared" si="358"/>
        <v>0</v>
      </c>
      <c r="AE2849" s="50">
        <f t="shared" si="359"/>
        <v>0</v>
      </c>
    </row>
    <row r="2850" spans="1:31">
      <c r="A2850" s="59" t="str">
        <f t="shared" si="353"/>
        <v/>
      </c>
      <c r="B2850" s="59" t="str">
        <f t="shared" si="354"/>
        <v/>
      </c>
      <c r="V2850" s="59" t="str">
        <f t="shared" si="355"/>
        <v/>
      </c>
      <c r="W2850" s="59" t="str">
        <f t="shared" si="352"/>
        <v/>
      </c>
      <c r="X2850" s="59" t="str">
        <f t="shared" si="356"/>
        <v/>
      </c>
      <c r="AC2850" s="50">
        <f t="shared" si="357"/>
        <v>0</v>
      </c>
      <c r="AD2850" s="43">
        <f t="shared" si="358"/>
        <v>0</v>
      </c>
      <c r="AE2850" s="50">
        <f t="shared" si="359"/>
        <v>0</v>
      </c>
    </row>
    <row r="2851" spans="1:31">
      <c r="A2851" s="59" t="str">
        <f t="shared" si="353"/>
        <v/>
      </c>
      <c r="B2851" s="59" t="str">
        <f t="shared" si="354"/>
        <v/>
      </c>
      <c r="V2851" s="59" t="str">
        <f t="shared" si="355"/>
        <v/>
      </c>
      <c r="W2851" s="59" t="str">
        <f t="shared" si="352"/>
        <v/>
      </c>
      <c r="X2851" s="59" t="str">
        <f t="shared" si="356"/>
        <v/>
      </c>
      <c r="AC2851" s="50">
        <f t="shared" si="357"/>
        <v>0</v>
      </c>
      <c r="AD2851" s="43">
        <f t="shared" si="358"/>
        <v>0</v>
      </c>
      <c r="AE2851" s="50">
        <f t="shared" si="359"/>
        <v>0</v>
      </c>
    </row>
    <row r="2852" spans="1:31">
      <c r="A2852" s="59" t="str">
        <f t="shared" si="353"/>
        <v/>
      </c>
      <c r="B2852" s="59" t="str">
        <f t="shared" si="354"/>
        <v/>
      </c>
      <c r="V2852" s="59" t="str">
        <f t="shared" si="355"/>
        <v/>
      </c>
      <c r="W2852" s="59" t="str">
        <f t="shared" si="352"/>
        <v/>
      </c>
      <c r="X2852" s="59" t="str">
        <f t="shared" si="356"/>
        <v/>
      </c>
      <c r="AC2852" s="50">
        <f t="shared" si="357"/>
        <v>0</v>
      </c>
      <c r="AD2852" s="43">
        <f t="shared" si="358"/>
        <v>0</v>
      </c>
      <c r="AE2852" s="50">
        <f t="shared" si="359"/>
        <v>0</v>
      </c>
    </row>
    <row r="2853" spans="1:31">
      <c r="A2853" s="59" t="str">
        <f t="shared" si="353"/>
        <v/>
      </c>
      <c r="B2853" s="59" t="str">
        <f t="shared" si="354"/>
        <v/>
      </c>
      <c r="V2853" s="59" t="str">
        <f t="shared" si="355"/>
        <v/>
      </c>
      <c r="W2853" s="59" t="str">
        <f t="shared" si="352"/>
        <v/>
      </c>
      <c r="X2853" s="59" t="str">
        <f t="shared" si="356"/>
        <v/>
      </c>
      <c r="AC2853" s="50">
        <f t="shared" si="357"/>
        <v>0</v>
      </c>
      <c r="AD2853" s="43">
        <f t="shared" si="358"/>
        <v>0</v>
      </c>
      <c r="AE2853" s="50">
        <f t="shared" si="359"/>
        <v>0</v>
      </c>
    </row>
    <row r="2854" spans="1:31">
      <c r="A2854" s="59" t="str">
        <f t="shared" si="353"/>
        <v/>
      </c>
      <c r="B2854" s="59" t="str">
        <f t="shared" si="354"/>
        <v/>
      </c>
      <c r="V2854" s="59" t="str">
        <f t="shared" si="355"/>
        <v/>
      </c>
      <c r="W2854" s="59" t="str">
        <f t="shared" si="352"/>
        <v/>
      </c>
      <c r="X2854" s="59" t="str">
        <f t="shared" si="356"/>
        <v/>
      </c>
      <c r="AC2854" s="50">
        <f t="shared" si="357"/>
        <v>0</v>
      </c>
      <c r="AD2854" s="43">
        <f t="shared" si="358"/>
        <v>0</v>
      </c>
      <c r="AE2854" s="50">
        <f t="shared" si="359"/>
        <v>0</v>
      </c>
    </row>
    <row r="2855" spans="1:31">
      <c r="A2855" s="59" t="str">
        <f t="shared" si="353"/>
        <v/>
      </c>
      <c r="B2855" s="59" t="str">
        <f t="shared" si="354"/>
        <v/>
      </c>
      <c r="V2855" s="59" t="str">
        <f t="shared" si="355"/>
        <v/>
      </c>
      <c r="W2855" s="59" t="str">
        <f t="shared" si="352"/>
        <v/>
      </c>
      <c r="X2855" s="59" t="str">
        <f t="shared" si="356"/>
        <v/>
      </c>
      <c r="AC2855" s="50">
        <f t="shared" si="357"/>
        <v>0</v>
      </c>
      <c r="AD2855" s="43">
        <f t="shared" si="358"/>
        <v>0</v>
      </c>
      <c r="AE2855" s="50">
        <f t="shared" si="359"/>
        <v>0</v>
      </c>
    </row>
    <row r="2856" spans="1:31">
      <c r="A2856" s="59" t="str">
        <f t="shared" si="353"/>
        <v/>
      </c>
      <c r="B2856" s="59" t="str">
        <f t="shared" si="354"/>
        <v/>
      </c>
      <c r="V2856" s="59" t="str">
        <f t="shared" si="355"/>
        <v/>
      </c>
      <c r="W2856" s="59" t="str">
        <f t="shared" si="352"/>
        <v/>
      </c>
      <c r="X2856" s="59" t="str">
        <f t="shared" si="356"/>
        <v/>
      </c>
      <c r="AC2856" s="50">
        <f t="shared" si="357"/>
        <v>0</v>
      </c>
      <c r="AD2856" s="43">
        <f t="shared" si="358"/>
        <v>0</v>
      </c>
      <c r="AE2856" s="50">
        <f t="shared" si="359"/>
        <v>0</v>
      </c>
    </row>
    <row r="2857" spans="1:31">
      <c r="A2857" s="59" t="str">
        <f t="shared" si="353"/>
        <v/>
      </c>
      <c r="B2857" s="59" t="str">
        <f t="shared" si="354"/>
        <v/>
      </c>
      <c r="V2857" s="59" t="str">
        <f t="shared" si="355"/>
        <v/>
      </c>
      <c r="W2857" s="59" t="str">
        <f t="shared" si="352"/>
        <v/>
      </c>
      <c r="X2857" s="59" t="str">
        <f t="shared" si="356"/>
        <v/>
      </c>
      <c r="AC2857" s="50">
        <f t="shared" si="357"/>
        <v>0</v>
      </c>
      <c r="AD2857" s="43">
        <f t="shared" si="358"/>
        <v>0</v>
      </c>
      <c r="AE2857" s="50">
        <f t="shared" si="359"/>
        <v>0</v>
      </c>
    </row>
    <row r="2858" spans="1:31">
      <c r="A2858" s="59" t="str">
        <f t="shared" si="353"/>
        <v/>
      </c>
      <c r="B2858" s="59" t="str">
        <f t="shared" si="354"/>
        <v/>
      </c>
      <c r="V2858" s="59" t="str">
        <f t="shared" si="355"/>
        <v/>
      </c>
      <c r="W2858" s="59" t="str">
        <f t="shared" si="352"/>
        <v/>
      </c>
      <c r="X2858" s="59" t="str">
        <f t="shared" si="356"/>
        <v/>
      </c>
      <c r="AC2858" s="50">
        <f t="shared" si="357"/>
        <v>0</v>
      </c>
      <c r="AD2858" s="43">
        <f t="shared" si="358"/>
        <v>0</v>
      </c>
      <c r="AE2858" s="50">
        <f t="shared" si="359"/>
        <v>0</v>
      </c>
    </row>
    <row r="2859" spans="1:31">
      <c r="A2859" s="59" t="str">
        <f t="shared" si="353"/>
        <v/>
      </c>
      <c r="B2859" s="59" t="str">
        <f t="shared" si="354"/>
        <v/>
      </c>
      <c r="V2859" s="59" t="str">
        <f t="shared" si="355"/>
        <v/>
      </c>
      <c r="W2859" s="59" t="str">
        <f t="shared" si="352"/>
        <v/>
      </c>
      <c r="X2859" s="59" t="str">
        <f t="shared" si="356"/>
        <v/>
      </c>
      <c r="AC2859" s="50">
        <f t="shared" si="357"/>
        <v>0</v>
      </c>
      <c r="AD2859" s="43">
        <f t="shared" si="358"/>
        <v>0</v>
      </c>
      <c r="AE2859" s="50">
        <f t="shared" si="359"/>
        <v>0</v>
      </c>
    </row>
    <row r="2860" spans="1:31">
      <c r="A2860" s="59" t="str">
        <f t="shared" si="353"/>
        <v/>
      </c>
      <c r="B2860" s="59" t="str">
        <f t="shared" si="354"/>
        <v/>
      </c>
      <c r="V2860" s="59" t="str">
        <f t="shared" si="355"/>
        <v/>
      </c>
      <c r="W2860" s="59" t="str">
        <f t="shared" si="352"/>
        <v/>
      </c>
      <c r="X2860" s="59" t="str">
        <f t="shared" si="356"/>
        <v/>
      </c>
      <c r="AC2860" s="50">
        <f t="shared" si="357"/>
        <v>0</v>
      </c>
      <c r="AD2860" s="43">
        <f t="shared" si="358"/>
        <v>0</v>
      </c>
      <c r="AE2860" s="50">
        <f t="shared" si="359"/>
        <v>0</v>
      </c>
    </row>
    <row r="2861" spans="1:31">
      <c r="A2861" s="59" t="str">
        <f t="shared" si="353"/>
        <v/>
      </c>
      <c r="B2861" s="59" t="str">
        <f t="shared" si="354"/>
        <v/>
      </c>
      <c r="V2861" s="59" t="str">
        <f t="shared" si="355"/>
        <v/>
      </c>
      <c r="W2861" s="59" t="str">
        <f t="shared" si="352"/>
        <v/>
      </c>
      <c r="X2861" s="59" t="str">
        <f t="shared" si="356"/>
        <v/>
      </c>
      <c r="AC2861" s="50">
        <f t="shared" si="357"/>
        <v>0</v>
      </c>
      <c r="AD2861" s="43">
        <f t="shared" si="358"/>
        <v>0</v>
      </c>
      <c r="AE2861" s="50">
        <f t="shared" si="359"/>
        <v>0</v>
      </c>
    </row>
    <row r="2862" spans="1:31">
      <c r="A2862" s="59" t="str">
        <f t="shared" si="353"/>
        <v/>
      </c>
      <c r="B2862" s="59" t="str">
        <f t="shared" si="354"/>
        <v/>
      </c>
      <c r="V2862" s="59" t="str">
        <f t="shared" si="355"/>
        <v/>
      </c>
      <c r="W2862" s="59" t="str">
        <f t="shared" si="352"/>
        <v/>
      </c>
      <c r="X2862" s="59" t="str">
        <f t="shared" si="356"/>
        <v/>
      </c>
      <c r="AC2862" s="50">
        <f t="shared" si="357"/>
        <v>0</v>
      </c>
      <c r="AD2862" s="43">
        <f t="shared" si="358"/>
        <v>0</v>
      </c>
      <c r="AE2862" s="50">
        <f t="shared" si="359"/>
        <v>0</v>
      </c>
    </row>
    <row r="2863" spans="1:31">
      <c r="A2863" s="59" t="str">
        <f t="shared" si="353"/>
        <v/>
      </c>
      <c r="B2863" s="59" t="str">
        <f t="shared" si="354"/>
        <v/>
      </c>
      <c r="V2863" s="59" t="str">
        <f t="shared" si="355"/>
        <v/>
      </c>
      <c r="W2863" s="59" t="str">
        <f t="shared" si="352"/>
        <v/>
      </c>
      <c r="X2863" s="59" t="str">
        <f t="shared" si="356"/>
        <v/>
      </c>
      <c r="AC2863" s="50">
        <f t="shared" si="357"/>
        <v>0</v>
      </c>
      <c r="AD2863" s="43">
        <f t="shared" si="358"/>
        <v>0</v>
      </c>
      <c r="AE2863" s="50">
        <f t="shared" si="359"/>
        <v>0</v>
      </c>
    </row>
    <row r="2864" spans="1:31">
      <c r="A2864" s="59" t="str">
        <f t="shared" si="353"/>
        <v/>
      </c>
      <c r="B2864" s="59" t="str">
        <f t="shared" si="354"/>
        <v/>
      </c>
      <c r="V2864" s="59" t="str">
        <f t="shared" si="355"/>
        <v/>
      </c>
      <c r="W2864" s="59" t="str">
        <f t="shared" si="352"/>
        <v/>
      </c>
      <c r="X2864" s="59" t="str">
        <f t="shared" si="356"/>
        <v/>
      </c>
      <c r="AC2864" s="50">
        <f t="shared" si="357"/>
        <v>0</v>
      </c>
      <c r="AD2864" s="43">
        <f t="shared" si="358"/>
        <v>0</v>
      </c>
      <c r="AE2864" s="50">
        <f t="shared" si="359"/>
        <v>0</v>
      </c>
    </row>
    <row r="2865" spans="1:31">
      <c r="A2865" s="59" t="str">
        <f t="shared" si="353"/>
        <v/>
      </c>
      <c r="B2865" s="59" t="str">
        <f t="shared" si="354"/>
        <v/>
      </c>
      <c r="V2865" s="59" t="str">
        <f t="shared" si="355"/>
        <v/>
      </c>
      <c r="W2865" s="59" t="str">
        <f t="shared" si="352"/>
        <v/>
      </c>
      <c r="X2865" s="59" t="str">
        <f t="shared" si="356"/>
        <v/>
      </c>
      <c r="AC2865" s="50">
        <f t="shared" si="357"/>
        <v>0</v>
      </c>
      <c r="AD2865" s="43">
        <f t="shared" si="358"/>
        <v>0</v>
      </c>
      <c r="AE2865" s="50">
        <f t="shared" si="359"/>
        <v>0</v>
      </c>
    </row>
    <row r="2866" spans="1:31">
      <c r="A2866" s="59" t="str">
        <f t="shared" si="353"/>
        <v/>
      </c>
      <c r="B2866" s="59" t="str">
        <f t="shared" si="354"/>
        <v/>
      </c>
      <c r="V2866" s="59" t="str">
        <f t="shared" si="355"/>
        <v/>
      </c>
      <c r="W2866" s="59" t="str">
        <f t="shared" si="352"/>
        <v/>
      </c>
      <c r="X2866" s="59" t="str">
        <f t="shared" si="356"/>
        <v/>
      </c>
      <c r="AC2866" s="50">
        <f t="shared" si="357"/>
        <v>0</v>
      </c>
      <c r="AD2866" s="43">
        <f t="shared" si="358"/>
        <v>0</v>
      </c>
      <c r="AE2866" s="50">
        <f t="shared" si="359"/>
        <v>0</v>
      </c>
    </row>
    <row r="2867" spans="1:31">
      <c r="A2867" s="59" t="str">
        <f t="shared" si="353"/>
        <v/>
      </c>
      <c r="B2867" s="59" t="str">
        <f t="shared" si="354"/>
        <v/>
      </c>
      <c r="V2867" s="59" t="str">
        <f t="shared" si="355"/>
        <v/>
      </c>
      <c r="W2867" s="59" t="str">
        <f t="shared" si="352"/>
        <v/>
      </c>
      <c r="X2867" s="59" t="str">
        <f t="shared" si="356"/>
        <v/>
      </c>
      <c r="AC2867" s="50">
        <f t="shared" si="357"/>
        <v>0</v>
      </c>
      <c r="AD2867" s="43">
        <f t="shared" si="358"/>
        <v>0</v>
      </c>
      <c r="AE2867" s="50">
        <f t="shared" si="359"/>
        <v>0</v>
      </c>
    </row>
    <row r="2868" spans="1:31">
      <c r="A2868" s="59" t="str">
        <f t="shared" si="353"/>
        <v/>
      </c>
      <c r="B2868" s="59" t="str">
        <f t="shared" si="354"/>
        <v/>
      </c>
      <c r="V2868" s="59" t="str">
        <f t="shared" si="355"/>
        <v/>
      </c>
      <c r="W2868" s="59" t="str">
        <f t="shared" si="352"/>
        <v/>
      </c>
      <c r="X2868" s="59" t="str">
        <f t="shared" si="356"/>
        <v/>
      </c>
      <c r="AC2868" s="50">
        <f t="shared" si="357"/>
        <v>0</v>
      </c>
      <c r="AD2868" s="43">
        <f t="shared" si="358"/>
        <v>0</v>
      </c>
      <c r="AE2868" s="50">
        <f t="shared" si="359"/>
        <v>0</v>
      </c>
    </row>
    <row r="2869" spans="1:31">
      <c r="A2869" s="59" t="str">
        <f t="shared" si="353"/>
        <v/>
      </c>
      <c r="B2869" s="59" t="str">
        <f t="shared" si="354"/>
        <v/>
      </c>
      <c r="V2869" s="59" t="str">
        <f t="shared" si="355"/>
        <v/>
      </c>
      <c r="W2869" s="59" t="str">
        <f t="shared" si="352"/>
        <v/>
      </c>
      <c r="X2869" s="59" t="str">
        <f t="shared" si="356"/>
        <v/>
      </c>
      <c r="AC2869" s="50">
        <f t="shared" si="357"/>
        <v>0</v>
      </c>
      <c r="AD2869" s="43">
        <f t="shared" si="358"/>
        <v>0</v>
      </c>
      <c r="AE2869" s="50">
        <f t="shared" si="359"/>
        <v>0</v>
      </c>
    </row>
    <row r="2870" spans="1:31">
      <c r="A2870" s="59" t="str">
        <f t="shared" si="353"/>
        <v/>
      </c>
      <c r="B2870" s="59" t="str">
        <f t="shared" si="354"/>
        <v/>
      </c>
      <c r="V2870" s="59" t="str">
        <f t="shared" si="355"/>
        <v/>
      </c>
      <c r="W2870" s="59" t="str">
        <f t="shared" si="352"/>
        <v/>
      </c>
      <c r="X2870" s="59" t="str">
        <f t="shared" si="356"/>
        <v/>
      </c>
      <c r="AC2870" s="50">
        <f t="shared" si="357"/>
        <v>0</v>
      </c>
      <c r="AD2870" s="43">
        <f t="shared" si="358"/>
        <v>0</v>
      </c>
      <c r="AE2870" s="50">
        <f t="shared" si="359"/>
        <v>0</v>
      </c>
    </row>
    <row r="2871" spans="1:31">
      <c r="A2871" s="59" t="str">
        <f t="shared" si="353"/>
        <v/>
      </c>
      <c r="B2871" s="59" t="str">
        <f t="shared" si="354"/>
        <v/>
      </c>
      <c r="V2871" s="59" t="str">
        <f t="shared" si="355"/>
        <v/>
      </c>
      <c r="W2871" s="59" t="str">
        <f t="shared" si="352"/>
        <v/>
      </c>
      <c r="X2871" s="59" t="str">
        <f t="shared" si="356"/>
        <v/>
      </c>
      <c r="AC2871" s="50">
        <f t="shared" si="357"/>
        <v>0</v>
      </c>
      <c r="AD2871" s="43">
        <f t="shared" si="358"/>
        <v>0</v>
      </c>
      <c r="AE2871" s="50">
        <f t="shared" si="359"/>
        <v>0</v>
      </c>
    </row>
    <row r="2872" spans="1:31">
      <c r="A2872" s="59" t="str">
        <f t="shared" si="353"/>
        <v/>
      </c>
      <c r="B2872" s="59" t="str">
        <f t="shared" si="354"/>
        <v/>
      </c>
      <c r="V2872" s="59" t="str">
        <f t="shared" si="355"/>
        <v/>
      </c>
      <c r="W2872" s="59" t="str">
        <f t="shared" si="352"/>
        <v/>
      </c>
      <c r="X2872" s="59" t="str">
        <f t="shared" si="356"/>
        <v/>
      </c>
      <c r="AC2872" s="50">
        <f t="shared" si="357"/>
        <v>0</v>
      </c>
      <c r="AD2872" s="43">
        <f t="shared" si="358"/>
        <v>0</v>
      </c>
      <c r="AE2872" s="50">
        <f t="shared" si="359"/>
        <v>0</v>
      </c>
    </row>
    <row r="2873" spans="1:31">
      <c r="A2873" s="59" t="str">
        <f t="shared" si="353"/>
        <v/>
      </c>
      <c r="B2873" s="59" t="str">
        <f t="shared" si="354"/>
        <v/>
      </c>
      <c r="V2873" s="59" t="str">
        <f t="shared" si="355"/>
        <v/>
      </c>
      <c r="W2873" s="59" t="str">
        <f t="shared" si="352"/>
        <v/>
      </c>
      <c r="X2873" s="59" t="str">
        <f t="shared" si="356"/>
        <v/>
      </c>
      <c r="AC2873" s="50">
        <f t="shared" si="357"/>
        <v>0</v>
      </c>
      <c r="AD2873" s="43">
        <f t="shared" si="358"/>
        <v>0</v>
      </c>
      <c r="AE2873" s="50">
        <f t="shared" si="359"/>
        <v>0</v>
      </c>
    </row>
    <row r="2874" spans="1:31">
      <c r="A2874" s="59" t="str">
        <f t="shared" si="353"/>
        <v/>
      </c>
      <c r="B2874" s="59" t="str">
        <f t="shared" si="354"/>
        <v/>
      </c>
      <c r="V2874" s="59" t="str">
        <f t="shared" si="355"/>
        <v/>
      </c>
      <c r="W2874" s="59" t="str">
        <f t="shared" si="352"/>
        <v/>
      </c>
      <c r="X2874" s="59" t="str">
        <f t="shared" si="356"/>
        <v/>
      </c>
      <c r="AC2874" s="50">
        <f t="shared" si="357"/>
        <v>0</v>
      </c>
      <c r="AD2874" s="43">
        <f t="shared" si="358"/>
        <v>0</v>
      </c>
      <c r="AE2874" s="50">
        <f t="shared" si="359"/>
        <v>0</v>
      </c>
    </row>
    <row r="2875" spans="1:31">
      <c r="A2875" s="59" t="str">
        <f t="shared" si="353"/>
        <v/>
      </c>
      <c r="B2875" s="59" t="str">
        <f t="shared" si="354"/>
        <v/>
      </c>
      <c r="V2875" s="59" t="str">
        <f t="shared" si="355"/>
        <v/>
      </c>
      <c r="W2875" s="59" t="str">
        <f t="shared" si="352"/>
        <v/>
      </c>
      <c r="X2875" s="59" t="str">
        <f t="shared" si="356"/>
        <v/>
      </c>
      <c r="AC2875" s="50">
        <f t="shared" si="357"/>
        <v>0</v>
      </c>
      <c r="AD2875" s="43">
        <f t="shared" si="358"/>
        <v>0</v>
      </c>
      <c r="AE2875" s="50">
        <f t="shared" si="359"/>
        <v>0</v>
      </c>
    </row>
    <row r="2876" spans="1:31">
      <c r="A2876" s="59" t="str">
        <f t="shared" si="353"/>
        <v/>
      </c>
      <c r="B2876" s="59" t="str">
        <f t="shared" si="354"/>
        <v/>
      </c>
      <c r="V2876" s="59" t="str">
        <f t="shared" si="355"/>
        <v/>
      </c>
      <c r="W2876" s="59" t="str">
        <f t="shared" si="352"/>
        <v/>
      </c>
      <c r="X2876" s="59" t="str">
        <f t="shared" si="356"/>
        <v/>
      </c>
      <c r="AC2876" s="50">
        <f t="shared" si="357"/>
        <v>0</v>
      </c>
      <c r="AD2876" s="43">
        <f t="shared" si="358"/>
        <v>0</v>
      </c>
      <c r="AE2876" s="50">
        <f t="shared" si="359"/>
        <v>0</v>
      </c>
    </row>
    <row r="2877" spans="1:31">
      <c r="A2877" s="59" t="str">
        <f t="shared" si="353"/>
        <v/>
      </c>
      <c r="B2877" s="59" t="str">
        <f t="shared" si="354"/>
        <v/>
      </c>
      <c r="V2877" s="59" t="str">
        <f t="shared" si="355"/>
        <v/>
      </c>
      <c r="W2877" s="59" t="str">
        <f t="shared" si="352"/>
        <v/>
      </c>
      <c r="X2877" s="59" t="str">
        <f t="shared" si="356"/>
        <v/>
      </c>
      <c r="AC2877" s="50">
        <f t="shared" si="357"/>
        <v>0</v>
      </c>
      <c r="AD2877" s="43">
        <f t="shared" si="358"/>
        <v>0</v>
      </c>
      <c r="AE2877" s="50">
        <f t="shared" si="359"/>
        <v>0</v>
      </c>
    </row>
    <row r="2878" spans="1:31">
      <c r="A2878" s="59" t="str">
        <f t="shared" si="353"/>
        <v/>
      </c>
      <c r="B2878" s="59" t="str">
        <f t="shared" si="354"/>
        <v/>
      </c>
      <c r="V2878" s="59" t="str">
        <f t="shared" si="355"/>
        <v/>
      </c>
      <c r="W2878" s="59" t="str">
        <f t="shared" si="352"/>
        <v/>
      </c>
      <c r="X2878" s="59" t="str">
        <f t="shared" si="356"/>
        <v/>
      </c>
      <c r="AC2878" s="50">
        <f t="shared" si="357"/>
        <v>0</v>
      </c>
      <c r="AD2878" s="43">
        <f t="shared" si="358"/>
        <v>0</v>
      </c>
      <c r="AE2878" s="50">
        <f t="shared" si="359"/>
        <v>0</v>
      </c>
    </row>
    <row r="2879" spans="1:31">
      <c r="A2879" s="59" t="str">
        <f t="shared" si="353"/>
        <v/>
      </c>
      <c r="B2879" s="59" t="str">
        <f t="shared" si="354"/>
        <v/>
      </c>
      <c r="V2879" s="59" t="str">
        <f t="shared" si="355"/>
        <v/>
      </c>
      <c r="W2879" s="59" t="str">
        <f t="shared" si="352"/>
        <v/>
      </c>
      <c r="X2879" s="59" t="str">
        <f t="shared" si="356"/>
        <v/>
      </c>
      <c r="AC2879" s="50">
        <f t="shared" si="357"/>
        <v>0</v>
      </c>
      <c r="AD2879" s="43">
        <f t="shared" si="358"/>
        <v>0</v>
      </c>
      <c r="AE2879" s="50">
        <f t="shared" si="359"/>
        <v>0</v>
      </c>
    </row>
    <row r="2880" spans="1:31">
      <c r="A2880" s="59" t="str">
        <f t="shared" si="353"/>
        <v/>
      </c>
      <c r="B2880" s="59" t="str">
        <f t="shared" si="354"/>
        <v/>
      </c>
      <c r="V2880" s="59" t="str">
        <f t="shared" si="355"/>
        <v/>
      </c>
      <c r="W2880" s="59" t="str">
        <f t="shared" si="352"/>
        <v/>
      </c>
      <c r="X2880" s="59" t="str">
        <f t="shared" si="356"/>
        <v/>
      </c>
      <c r="AC2880" s="50">
        <f t="shared" si="357"/>
        <v>0</v>
      </c>
      <c r="AD2880" s="43">
        <f t="shared" si="358"/>
        <v>0</v>
      </c>
      <c r="AE2880" s="50">
        <f t="shared" si="359"/>
        <v>0</v>
      </c>
    </row>
    <row r="2881" spans="1:31">
      <c r="A2881" s="59" t="str">
        <f t="shared" si="353"/>
        <v/>
      </c>
      <c r="B2881" s="59" t="str">
        <f t="shared" si="354"/>
        <v/>
      </c>
      <c r="V2881" s="59" t="str">
        <f t="shared" si="355"/>
        <v/>
      </c>
      <c r="W2881" s="59" t="str">
        <f t="shared" si="352"/>
        <v/>
      </c>
      <c r="X2881" s="59" t="str">
        <f t="shared" si="356"/>
        <v/>
      </c>
      <c r="AC2881" s="50">
        <f t="shared" si="357"/>
        <v>0</v>
      </c>
      <c r="AD2881" s="43">
        <f t="shared" si="358"/>
        <v>0</v>
      </c>
      <c r="AE2881" s="50">
        <f t="shared" si="359"/>
        <v>0</v>
      </c>
    </row>
    <row r="2882" spans="1:31">
      <c r="A2882" s="59" t="str">
        <f t="shared" si="353"/>
        <v/>
      </c>
      <c r="B2882" s="59" t="str">
        <f t="shared" si="354"/>
        <v/>
      </c>
      <c r="V2882" s="59" t="str">
        <f t="shared" si="355"/>
        <v/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59" t="str">
        <f t="shared" si="356"/>
        <v/>
      </c>
      <c r="AC2882" s="50">
        <f t="shared" si="357"/>
        <v>0</v>
      </c>
      <c r="AD2882" s="43">
        <f t="shared" si="358"/>
        <v>0</v>
      </c>
      <c r="AE2882" s="50">
        <f t="shared" si="359"/>
        <v>0</v>
      </c>
    </row>
    <row r="2883" spans="1:31">
      <c r="A2883" s="59" t="str">
        <f t="shared" ref="A2883:A2946" si="361">IF(G2883&amp;Q2883&lt;&gt;"",W2883&amp;Q2883,"")</f>
        <v/>
      </c>
      <c r="B2883" s="59" t="str">
        <f t="shared" ref="B2883:B2946" si="362">IF(C2883&lt;&gt;"",LEFT(C2883,9),"")</f>
        <v/>
      </c>
      <c r="V2883" s="59" t="str">
        <f t="shared" ref="V2883:V2946" si="363">W2883&amp;H2883</f>
        <v/>
      </c>
      <c r="W2883" s="59" t="str">
        <f t="shared" si="360"/>
        <v/>
      </c>
      <c r="X2883" s="59" t="str">
        <f t="shared" ref="X2883:X2946" si="364">IF(A2883&lt;&gt;"",IFERROR(IF(FIND(" ",G2883)&gt;=1,MID(G2883,FIND(" ",G2883)+1,LEN(G2883)),""),""),"")</f>
        <v/>
      </c>
      <c r="AC2883" s="50">
        <f t="shared" ref="AC2883:AC2946" si="365">IFERROR(VALUE(MID($C2883,1,2)),0)</f>
        <v>0</v>
      </c>
      <c r="AD2883" s="43">
        <f t="shared" ref="AD2883:AD2946" si="366">IFERROR(VALUE(MID($C2883,4,3)),0)</f>
        <v>0</v>
      </c>
      <c r="AE2883" s="50">
        <f t="shared" ref="AE2883:AE2946" si="367">VALUE(RIGHT("00"&amp;AC2883,2)&amp;RIGHT("000"&amp;AD2883,3))</f>
        <v>0</v>
      </c>
    </row>
    <row r="2884" spans="1:31">
      <c r="A2884" s="59" t="str">
        <f t="shared" si="361"/>
        <v/>
      </c>
      <c r="B2884" s="59" t="str">
        <f t="shared" si="362"/>
        <v/>
      </c>
      <c r="V2884" s="59" t="str">
        <f t="shared" si="363"/>
        <v/>
      </c>
      <c r="W2884" s="59" t="str">
        <f t="shared" si="360"/>
        <v/>
      </c>
      <c r="X2884" s="59" t="str">
        <f t="shared" si="364"/>
        <v/>
      </c>
      <c r="AC2884" s="50">
        <f t="shared" si="365"/>
        <v>0</v>
      </c>
      <c r="AD2884" s="43">
        <f t="shared" si="366"/>
        <v>0</v>
      </c>
      <c r="AE2884" s="50">
        <f t="shared" si="367"/>
        <v>0</v>
      </c>
    </row>
    <row r="2885" spans="1:31">
      <c r="A2885" s="59" t="str">
        <f t="shared" si="361"/>
        <v/>
      </c>
      <c r="B2885" s="59" t="str">
        <f t="shared" si="362"/>
        <v/>
      </c>
      <c r="V2885" s="59" t="str">
        <f t="shared" si="363"/>
        <v/>
      </c>
      <c r="W2885" s="59" t="str">
        <f t="shared" si="360"/>
        <v/>
      </c>
      <c r="X2885" s="59" t="str">
        <f t="shared" si="364"/>
        <v/>
      </c>
      <c r="AC2885" s="50">
        <f t="shared" si="365"/>
        <v>0</v>
      </c>
      <c r="AD2885" s="43">
        <f t="shared" si="366"/>
        <v>0</v>
      </c>
      <c r="AE2885" s="50">
        <f t="shared" si="367"/>
        <v>0</v>
      </c>
    </row>
    <row r="2886" spans="1:31">
      <c r="A2886" s="59" t="str">
        <f t="shared" si="361"/>
        <v/>
      </c>
      <c r="B2886" s="59" t="str">
        <f t="shared" si="362"/>
        <v/>
      </c>
      <c r="V2886" s="59" t="str">
        <f t="shared" si="363"/>
        <v/>
      </c>
      <c r="W2886" s="59" t="str">
        <f t="shared" si="360"/>
        <v/>
      </c>
      <c r="X2886" s="59" t="str">
        <f t="shared" si="364"/>
        <v/>
      </c>
      <c r="AC2886" s="50">
        <f t="shared" si="365"/>
        <v>0</v>
      </c>
      <c r="AD2886" s="43">
        <f t="shared" si="366"/>
        <v>0</v>
      </c>
      <c r="AE2886" s="50">
        <f t="shared" si="367"/>
        <v>0</v>
      </c>
    </row>
    <row r="2887" spans="1:31">
      <c r="A2887" s="59" t="str">
        <f t="shared" si="361"/>
        <v/>
      </c>
      <c r="B2887" s="59" t="str">
        <f t="shared" si="362"/>
        <v/>
      </c>
      <c r="V2887" s="59" t="str">
        <f t="shared" si="363"/>
        <v/>
      </c>
      <c r="W2887" s="59" t="str">
        <f t="shared" si="360"/>
        <v/>
      </c>
      <c r="X2887" s="59" t="str">
        <f t="shared" si="364"/>
        <v/>
      </c>
      <c r="AC2887" s="50">
        <f t="shared" si="365"/>
        <v>0</v>
      </c>
      <c r="AD2887" s="43">
        <f t="shared" si="366"/>
        <v>0</v>
      </c>
      <c r="AE2887" s="50">
        <f t="shared" si="367"/>
        <v>0</v>
      </c>
    </row>
    <row r="2888" spans="1:31">
      <c r="A2888" s="59" t="str">
        <f t="shared" si="361"/>
        <v/>
      </c>
      <c r="B2888" s="59" t="str">
        <f t="shared" si="362"/>
        <v/>
      </c>
      <c r="V2888" s="59" t="str">
        <f t="shared" si="363"/>
        <v/>
      </c>
      <c r="W2888" s="59" t="str">
        <f t="shared" si="360"/>
        <v/>
      </c>
      <c r="X2888" s="59" t="str">
        <f t="shared" si="364"/>
        <v/>
      </c>
      <c r="AC2888" s="50">
        <f t="shared" si="365"/>
        <v>0</v>
      </c>
      <c r="AD2888" s="43">
        <f t="shared" si="366"/>
        <v>0</v>
      </c>
      <c r="AE2888" s="50">
        <f t="shared" si="367"/>
        <v>0</v>
      </c>
    </row>
    <row r="2889" spans="1:31">
      <c r="A2889" s="59" t="str">
        <f t="shared" si="361"/>
        <v/>
      </c>
      <c r="B2889" s="59" t="str">
        <f t="shared" si="362"/>
        <v/>
      </c>
      <c r="V2889" s="59" t="str">
        <f t="shared" si="363"/>
        <v/>
      </c>
      <c r="W2889" s="59" t="str">
        <f t="shared" si="360"/>
        <v/>
      </c>
      <c r="X2889" s="59" t="str">
        <f t="shared" si="364"/>
        <v/>
      </c>
      <c r="AC2889" s="50">
        <f t="shared" si="365"/>
        <v>0</v>
      </c>
      <c r="AD2889" s="43">
        <f t="shared" si="366"/>
        <v>0</v>
      </c>
      <c r="AE2889" s="50">
        <f t="shared" si="367"/>
        <v>0</v>
      </c>
    </row>
    <row r="2890" spans="1:31">
      <c r="A2890" s="59" t="str">
        <f t="shared" si="361"/>
        <v/>
      </c>
      <c r="B2890" s="59" t="str">
        <f t="shared" si="362"/>
        <v/>
      </c>
      <c r="V2890" s="59" t="str">
        <f t="shared" si="363"/>
        <v/>
      </c>
      <c r="W2890" s="59" t="str">
        <f t="shared" si="360"/>
        <v/>
      </c>
      <c r="X2890" s="59" t="str">
        <f t="shared" si="364"/>
        <v/>
      </c>
      <c r="AC2890" s="50">
        <f t="shared" si="365"/>
        <v>0</v>
      </c>
      <c r="AD2890" s="43">
        <f t="shared" si="366"/>
        <v>0</v>
      </c>
      <c r="AE2890" s="50">
        <f t="shared" si="367"/>
        <v>0</v>
      </c>
    </row>
    <row r="2891" spans="1:31">
      <c r="A2891" s="59" t="str">
        <f t="shared" si="361"/>
        <v/>
      </c>
      <c r="B2891" s="59" t="str">
        <f t="shared" si="362"/>
        <v/>
      </c>
      <c r="V2891" s="59" t="str">
        <f t="shared" si="363"/>
        <v/>
      </c>
      <c r="W2891" s="59" t="str">
        <f t="shared" si="360"/>
        <v/>
      </c>
      <c r="X2891" s="59" t="str">
        <f t="shared" si="364"/>
        <v/>
      </c>
      <c r="AC2891" s="50">
        <f t="shared" si="365"/>
        <v>0</v>
      </c>
      <c r="AD2891" s="43">
        <f t="shared" si="366"/>
        <v>0</v>
      </c>
      <c r="AE2891" s="50">
        <f t="shared" si="367"/>
        <v>0</v>
      </c>
    </row>
    <row r="2892" spans="1:31">
      <c r="A2892" s="59" t="str">
        <f t="shared" si="361"/>
        <v/>
      </c>
      <c r="B2892" s="59" t="str">
        <f t="shared" si="362"/>
        <v/>
      </c>
      <c r="V2892" s="59" t="str">
        <f t="shared" si="363"/>
        <v/>
      </c>
      <c r="W2892" s="59" t="str">
        <f t="shared" si="360"/>
        <v/>
      </c>
      <c r="X2892" s="59" t="str">
        <f t="shared" si="364"/>
        <v/>
      </c>
      <c r="AC2892" s="50">
        <f t="shared" si="365"/>
        <v>0</v>
      </c>
      <c r="AD2892" s="43">
        <f t="shared" si="366"/>
        <v>0</v>
      </c>
      <c r="AE2892" s="50">
        <f t="shared" si="367"/>
        <v>0</v>
      </c>
    </row>
    <row r="2893" spans="1:31">
      <c r="A2893" s="59" t="str">
        <f t="shared" si="361"/>
        <v/>
      </c>
      <c r="B2893" s="59" t="str">
        <f t="shared" si="362"/>
        <v/>
      </c>
      <c r="V2893" s="59" t="str">
        <f t="shared" si="363"/>
        <v/>
      </c>
      <c r="W2893" s="59" t="str">
        <f t="shared" si="360"/>
        <v/>
      </c>
      <c r="X2893" s="59" t="str">
        <f t="shared" si="364"/>
        <v/>
      </c>
      <c r="AC2893" s="50">
        <f t="shared" si="365"/>
        <v>0</v>
      </c>
      <c r="AD2893" s="43">
        <f t="shared" si="366"/>
        <v>0</v>
      </c>
      <c r="AE2893" s="50">
        <f t="shared" si="367"/>
        <v>0</v>
      </c>
    </row>
    <row r="2894" spans="1:31">
      <c r="A2894" s="59" t="str">
        <f t="shared" si="361"/>
        <v/>
      </c>
      <c r="B2894" s="59" t="str">
        <f t="shared" si="362"/>
        <v/>
      </c>
      <c r="V2894" s="59" t="str">
        <f t="shared" si="363"/>
        <v/>
      </c>
      <c r="W2894" s="59" t="str">
        <f t="shared" si="360"/>
        <v/>
      </c>
      <c r="X2894" s="59" t="str">
        <f t="shared" si="364"/>
        <v/>
      </c>
      <c r="AC2894" s="50">
        <f t="shared" si="365"/>
        <v>0</v>
      </c>
      <c r="AD2894" s="43">
        <f t="shared" si="366"/>
        <v>0</v>
      </c>
      <c r="AE2894" s="50">
        <f t="shared" si="367"/>
        <v>0</v>
      </c>
    </row>
    <row r="2895" spans="1:31">
      <c r="A2895" s="59" t="str">
        <f t="shared" si="361"/>
        <v/>
      </c>
      <c r="B2895" s="59" t="str">
        <f t="shared" si="362"/>
        <v/>
      </c>
      <c r="V2895" s="59" t="str">
        <f t="shared" si="363"/>
        <v/>
      </c>
      <c r="W2895" s="59" t="str">
        <f t="shared" si="360"/>
        <v/>
      </c>
      <c r="X2895" s="59" t="str">
        <f t="shared" si="364"/>
        <v/>
      </c>
      <c r="AC2895" s="50">
        <f t="shared" si="365"/>
        <v>0</v>
      </c>
      <c r="AD2895" s="43">
        <f t="shared" si="366"/>
        <v>0</v>
      </c>
      <c r="AE2895" s="50">
        <f t="shared" si="367"/>
        <v>0</v>
      </c>
    </row>
    <row r="2896" spans="1:31">
      <c r="A2896" s="59" t="str">
        <f t="shared" si="361"/>
        <v/>
      </c>
      <c r="B2896" s="59" t="str">
        <f t="shared" si="362"/>
        <v/>
      </c>
      <c r="V2896" s="59" t="str">
        <f t="shared" si="363"/>
        <v/>
      </c>
      <c r="W2896" s="59" t="str">
        <f t="shared" si="360"/>
        <v/>
      </c>
      <c r="X2896" s="59" t="str">
        <f t="shared" si="364"/>
        <v/>
      </c>
      <c r="AC2896" s="50">
        <f t="shared" si="365"/>
        <v>0</v>
      </c>
      <c r="AD2896" s="43">
        <f t="shared" si="366"/>
        <v>0</v>
      </c>
      <c r="AE2896" s="50">
        <f t="shared" si="367"/>
        <v>0</v>
      </c>
    </row>
    <row r="2897" spans="1:31">
      <c r="A2897" s="59" t="str">
        <f t="shared" si="361"/>
        <v/>
      </c>
      <c r="B2897" s="59" t="str">
        <f t="shared" si="362"/>
        <v/>
      </c>
      <c r="V2897" s="59" t="str">
        <f t="shared" si="363"/>
        <v/>
      </c>
      <c r="W2897" s="59" t="str">
        <f t="shared" si="360"/>
        <v/>
      </c>
      <c r="X2897" s="59" t="str">
        <f t="shared" si="364"/>
        <v/>
      </c>
      <c r="AC2897" s="50">
        <f t="shared" si="365"/>
        <v>0</v>
      </c>
      <c r="AD2897" s="43">
        <f t="shared" si="366"/>
        <v>0</v>
      </c>
      <c r="AE2897" s="50">
        <f t="shared" si="367"/>
        <v>0</v>
      </c>
    </row>
    <row r="2898" spans="1:31">
      <c r="A2898" s="59" t="str">
        <f t="shared" si="361"/>
        <v/>
      </c>
      <c r="B2898" s="59" t="str">
        <f t="shared" si="362"/>
        <v/>
      </c>
      <c r="V2898" s="59" t="str">
        <f t="shared" si="363"/>
        <v/>
      </c>
      <c r="W2898" s="59" t="str">
        <f t="shared" si="360"/>
        <v/>
      </c>
      <c r="X2898" s="59" t="str">
        <f t="shared" si="364"/>
        <v/>
      </c>
      <c r="AC2898" s="50">
        <f t="shared" si="365"/>
        <v>0</v>
      </c>
      <c r="AD2898" s="43">
        <f t="shared" si="366"/>
        <v>0</v>
      </c>
      <c r="AE2898" s="50">
        <f t="shared" si="367"/>
        <v>0</v>
      </c>
    </row>
    <row r="2899" spans="1:31">
      <c r="A2899" s="59" t="str">
        <f t="shared" si="361"/>
        <v/>
      </c>
      <c r="B2899" s="59" t="str">
        <f t="shared" si="362"/>
        <v/>
      </c>
      <c r="V2899" s="59" t="str">
        <f t="shared" si="363"/>
        <v/>
      </c>
      <c r="W2899" s="59" t="str">
        <f t="shared" si="360"/>
        <v/>
      </c>
      <c r="X2899" s="59" t="str">
        <f t="shared" si="364"/>
        <v/>
      </c>
      <c r="AC2899" s="50">
        <f t="shared" si="365"/>
        <v>0</v>
      </c>
      <c r="AD2899" s="43">
        <f t="shared" si="366"/>
        <v>0</v>
      </c>
      <c r="AE2899" s="50">
        <f t="shared" si="367"/>
        <v>0</v>
      </c>
    </row>
    <row r="2900" spans="1:31">
      <c r="A2900" s="59" t="str">
        <f t="shared" si="361"/>
        <v/>
      </c>
      <c r="B2900" s="59" t="str">
        <f t="shared" si="362"/>
        <v/>
      </c>
      <c r="V2900" s="59" t="str">
        <f t="shared" si="363"/>
        <v/>
      </c>
      <c r="W2900" s="59" t="str">
        <f t="shared" si="360"/>
        <v/>
      </c>
      <c r="X2900" s="59" t="str">
        <f t="shared" si="364"/>
        <v/>
      </c>
      <c r="AC2900" s="50">
        <f t="shared" si="365"/>
        <v>0</v>
      </c>
      <c r="AD2900" s="43">
        <f t="shared" si="366"/>
        <v>0</v>
      </c>
      <c r="AE2900" s="50">
        <f t="shared" si="367"/>
        <v>0</v>
      </c>
    </row>
    <row r="2901" spans="1:31">
      <c r="A2901" s="59" t="str">
        <f t="shared" si="361"/>
        <v/>
      </c>
      <c r="B2901" s="59" t="str">
        <f t="shared" si="362"/>
        <v/>
      </c>
      <c r="V2901" s="59" t="str">
        <f t="shared" si="363"/>
        <v/>
      </c>
      <c r="W2901" s="59" t="str">
        <f t="shared" si="360"/>
        <v/>
      </c>
      <c r="X2901" s="59" t="str">
        <f t="shared" si="364"/>
        <v/>
      </c>
      <c r="AC2901" s="50">
        <f t="shared" si="365"/>
        <v>0</v>
      </c>
      <c r="AD2901" s="43">
        <f t="shared" si="366"/>
        <v>0</v>
      </c>
      <c r="AE2901" s="50">
        <f t="shared" si="367"/>
        <v>0</v>
      </c>
    </row>
    <row r="2902" spans="1:31">
      <c r="A2902" s="59" t="str">
        <f t="shared" si="361"/>
        <v/>
      </c>
      <c r="B2902" s="59" t="str">
        <f t="shared" si="362"/>
        <v/>
      </c>
      <c r="V2902" s="59" t="str">
        <f t="shared" si="363"/>
        <v/>
      </c>
      <c r="W2902" s="59" t="str">
        <f t="shared" si="360"/>
        <v/>
      </c>
      <c r="X2902" s="59" t="str">
        <f t="shared" si="364"/>
        <v/>
      </c>
      <c r="AC2902" s="50">
        <f t="shared" si="365"/>
        <v>0</v>
      </c>
      <c r="AD2902" s="43">
        <f t="shared" si="366"/>
        <v>0</v>
      </c>
      <c r="AE2902" s="50">
        <f t="shared" si="367"/>
        <v>0</v>
      </c>
    </row>
    <row r="2903" spans="1:31">
      <c r="A2903" s="59" t="str">
        <f t="shared" si="361"/>
        <v/>
      </c>
      <c r="B2903" s="59" t="str">
        <f t="shared" si="362"/>
        <v/>
      </c>
      <c r="V2903" s="59" t="str">
        <f t="shared" si="363"/>
        <v/>
      </c>
      <c r="W2903" s="59" t="str">
        <f t="shared" si="360"/>
        <v/>
      </c>
      <c r="X2903" s="59" t="str">
        <f t="shared" si="364"/>
        <v/>
      </c>
      <c r="AC2903" s="50">
        <f t="shared" si="365"/>
        <v>0</v>
      </c>
      <c r="AD2903" s="43">
        <f t="shared" si="366"/>
        <v>0</v>
      </c>
      <c r="AE2903" s="50">
        <f t="shared" si="367"/>
        <v>0</v>
      </c>
    </row>
    <row r="2904" spans="1:31">
      <c r="A2904" s="59" t="str">
        <f t="shared" si="361"/>
        <v/>
      </c>
      <c r="B2904" s="59" t="str">
        <f t="shared" si="362"/>
        <v/>
      </c>
      <c r="V2904" s="59" t="str">
        <f t="shared" si="363"/>
        <v/>
      </c>
      <c r="W2904" s="59" t="str">
        <f t="shared" si="360"/>
        <v/>
      </c>
      <c r="X2904" s="59" t="str">
        <f t="shared" si="364"/>
        <v/>
      </c>
      <c r="AC2904" s="50">
        <f t="shared" si="365"/>
        <v>0</v>
      </c>
      <c r="AD2904" s="43">
        <f t="shared" si="366"/>
        <v>0</v>
      </c>
      <c r="AE2904" s="50">
        <f t="shared" si="367"/>
        <v>0</v>
      </c>
    </row>
    <row r="2905" spans="1:31">
      <c r="A2905" s="59" t="str">
        <f t="shared" si="361"/>
        <v/>
      </c>
      <c r="B2905" s="59" t="str">
        <f t="shared" si="362"/>
        <v/>
      </c>
      <c r="V2905" s="59" t="str">
        <f t="shared" si="363"/>
        <v/>
      </c>
      <c r="W2905" s="59" t="str">
        <f t="shared" si="360"/>
        <v/>
      </c>
      <c r="X2905" s="59" t="str">
        <f t="shared" si="364"/>
        <v/>
      </c>
      <c r="AC2905" s="50">
        <f t="shared" si="365"/>
        <v>0</v>
      </c>
      <c r="AD2905" s="43">
        <f t="shared" si="366"/>
        <v>0</v>
      </c>
      <c r="AE2905" s="50">
        <f t="shared" si="367"/>
        <v>0</v>
      </c>
    </row>
    <row r="2906" spans="1:31">
      <c r="A2906" s="59" t="str">
        <f t="shared" si="361"/>
        <v/>
      </c>
      <c r="B2906" s="59" t="str">
        <f t="shared" si="362"/>
        <v/>
      </c>
      <c r="V2906" s="59" t="str">
        <f t="shared" si="363"/>
        <v/>
      </c>
      <c r="W2906" s="59" t="str">
        <f t="shared" si="360"/>
        <v/>
      </c>
      <c r="X2906" s="59" t="str">
        <f t="shared" si="364"/>
        <v/>
      </c>
      <c r="AC2906" s="50">
        <f t="shared" si="365"/>
        <v>0</v>
      </c>
      <c r="AD2906" s="43">
        <f t="shared" si="366"/>
        <v>0</v>
      </c>
      <c r="AE2906" s="50">
        <f t="shared" si="367"/>
        <v>0</v>
      </c>
    </row>
    <row r="2907" spans="1:31">
      <c r="A2907" s="59" t="str">
        <f t="shared" si="361"/>
        <v/>
      </c>
      <c r="B2907" s="59" t="str">
        <f t="shared" si="362"/>
        <v/>
      </c>
      <c r="V2907" s="59" t="str">
        <f t="shared" si="363"/>
        <v/>
      </c>
      <c r="W2907" s="59" t="str">
        <f t="shared" si="360"/>
        <v/>
      </c>
      <c r="X2907" s="59" t="str">
        <f t="shared" si="364"/>
        <v/>
      </c>
      <c r="AC2907" s="50">
        <f t="shared" si="365"/>
        <v>0</v>
      </c>
      <c r="AD2907" s="43">
        <f t="shared" si="366"/>
        <v>0</v>
      </c>
      <c r="AE2907" s="50">
        <f t="shared" si="367"/>
        <v>0</v>
      </c>
    </row>
    <row r="2908" spans="1:31">
      <c r="A2908" s="59" t="str">
        <f t="shared" si="361"/>
        <v/>
      </c>
      <c r="B2908" s="59" t="str">
        <f t="shared" si="362"/>
        <v/>
      </c>
      <c r="V2908" s="59" t="str">
        <f t="shared" si="363"/>
        <v/>
      </c>
      <c r="W2908" s="59" t="str">
        <f t="shared" si="360"/>
        <v/>
      </c>
      <c r="X2908" s="59" t="str">
        <f t="shared" si="364"/>
        <v/>
      </c>
      <c r="AC2908" s="50">
        <f t="shared" si="365"/>
        <v>0</v>
      </c>
      <c r="AD2908" s="43">
        <f t="shared" si="366"/>
        <v>0</v>
      </c>
      <c r="AE2908" s="50">
        <f t="shared" si="367"/>
        <v>0</v>
      </c>
    </row>
    <row r="2909" spans="1:31">
      <c r="A2909" s="59" t="str">
        <f t="shared" si="361"/>
        <v/>
      </c>
      <c r="B2909" s="59" t="str">
        <f t="shared" si="362"/>
        <v/>
      </c>
      <c r="V2909" s="59" t="str">
        <f t="shared" si="363"/>
        <v/>
      </c>
      <c r="W2909" s="59" t="str">
        <f t="shared" si="360"/>
        <v/>
      </c>
      <c r="X2909" s="59" t="str">
        <f t="shared" si="364"/>
        <v/>
      </c>
      <c r="AC2909" s="50">
        <f t="shared" si="365"/>
        <v>0</v>
      </c>
      <c r="AD2909" s="43">
        <f t="shared" si="366"/>
        <v>0</v>
      </c>
      <c r="AE2909" s="50">
        <f t="shared" si="367"/>
        <v>0</v>
      </c>
    </row>
    <row r="2910" spans="1:31">
      <c r="A2910" s="59" t="str">
        <f t="shared" si="361"/>
        <v/>
      </c>
      <c r="B2910" s="59" t="str">
        <f t="shared" si="362"/>
        <v/>
      </c>
      <c r="V2910" s="59" t="str">
        <f t="shared" si="363"/>
        <v/>
      </c>
      <c r="W2910" s="59" t="str">
        <f t="shared" si="360"/>
        <v/>
      </c>
      <c r="X2910" s="59" t="str">
        <f t="shared" si="364"/>
        <v/>
      </c>
      <c r="AC2910" s="50">
        <f t="shared" si="365"/>
        <v>0</v>
      </c>
      <c r="AD2910" s="43">
        <f t="shared" si="366"/>
        <v>0</v>
      </c>
      <c r="AE2910" s="50">
        <f t="shared" si="367"/>
        <v>0</v>
      </c>
    </row>
    <row r="2911" spans="1:31">
      <c r="A2911" s="59" t="str">
        <f t="shared" si="361"/>
        <v/>
      </c>
      <c r="B2911" s="59" t="str">
        <f t="shared" si="362"/>
        <v/>
      </c>
      <c r="V2911" s="59" t="str">
        <f t="shared" si="363"/>
        <v/>
      </c>
      <c r="W2911" s="59" t="str">
        <f t="shared" si="360"/>
        <v/>
      </c>
      <c r="X2911" s="59" t="str">
        <f t="shared" si="364"/>
        <v/>
      </c>
      <c r="AC2911" s="50">
        <f t="shared" si="365"/>
        <v>0</v>
      </c>
      <c r="AD2911" s="43">
        <f t="shared" si="366"/>
        <v>0</v>
      </c>
      <c r="AE2911" s="50">
        <f t="shared" si="367"/>
        <v>0</v>
      </c>
    </row>
    <row r="2912" spans="1:31">
      <c r="A2912" s="59" t="str">
        <f t="shared" si="361"/>
        <v/>
      </c>
      <c r="B2912" s="59" t="str">
        <f t="shared" si="362"/>
        <v/>
      </c>
      <c r="V2912" s="59" t="str">
        <f t="shared" si="363"/>
        <v/>
      </c>
      <c r="W2912" s="59" t="str">
        <f t="shared" si="360"/>
        <v/>
      </c>
      <c r="X2912" s="59" t="str">
        <f t="shared" si="364"/>
        <v/>
      </c>
      <c r="AC2912" s="50">
        <f t="shared" si="365"/>
        <v>0</v>
      </c>
      <c r="AD2912" s="43">
        <f t="shared" si="366"/>
        <v>0</v>
      </c>
      <c r="AE2912" s="50">
        <f t="shared" si="367"/>
        <v>0</v>
      </c>
    </row>
    <row r="2913" spans="1:31">
      <c r="A2913" s="59" t="str">
        <f t="shared" si="361"/>
        <v/>
      </c>
      <c r="B2913" s="59" t="str">
        <f t="shared" si="362"/>
        <v/>
      </c>
      <c r="V2913" s="59" t="str">
        <f t="shared" si="363"/>
        <v/>
      </c>
      <c r="W2913" s="59" t="str">
        <f t="shared" si="360"/>
        <v/>
      </c>
      <c r="X2913" s="59" t="str">
        <f t="shared" si="364"/>
        <v/>
      </c>
      <c r="AC2913" s="50">
        <f t="shared" si="365"/>
        <v>0</v>
      </c>
      <c r="AD2913" s="43">
        <f t="shared" si="366"/>
        <v>0</v>
      </c>
      <c r="AE2913" s="50">
        <f t="shared" si="367"/>
        <v>0</v>
      </c>
    </row>
    <row r="2914" spans="1:31">
      <c r="A2914" s="59" t="str">
        <f t="shared" si="361"/>
        <v/>
      </c>
      <c r="B2914" s="59" t="str">
        <f t="shared" si="362"/>
        <v/>
      </c>
      <c r="V2914" s="59" t="str">
        <f t="shared" si="363"/>
        <v/>
      </c>
      <c r="W2914" s="59" t="str">
        <f t="shared" si="360"/>
        <v/>
      </c>
      <c r="X2914" s="59" t="str">
        <f t="shared" si="364"/>
        <v/>
      </c>
      <c r="AC2914" s="50">
        <f t="shared" si="365"/>
        <v>0</v>
      </c>
      <c r="AD2914" s="43">
        <f t="shared" si="366"/>
        <v>0</v>
      </c>
      <c r="AE2914" s="50">
        <f t="shared" si="367"/>
        <v>0</v>
      </c>
    </row>
    <row r="2915" spans="1:31">
      <c r="A2915" s="59" t="str">
        <f t="shared" si="361"/>
        <v/>
      </c>
      <c r="B2915" s="59" t="str">
        <f t="shared" si="362"/>
        <v/>
      </c>
      <c r="V2915" s="59" t="str">
        <f t="shared" si="363"/>
        <v/>
      </c>
      <c r="W2915" s="59" t="str">
        <f t="shared" si="360"/>
        <v/>
      </c>
      <c r="X2915" s="59" t="str">
        <f t="shared" si="364"/>
        <v/>
      </c>
      <c r="AC2915" s="50">
        <f t="shared" si="365"/>
        <v>0</v>
      </c>
      <c r="AD2915" s="43">
        <f t="shared" si="366"/>
        <v>0</v>
      </c>
      <c r="AE2915" s="50">
        <f t="shared" si="367"/>
        <v>0</v>
      </c>
    </row>
    <row r="2916" spans="1:31">
      <c r="A2916" s="59" t="str">
        <f t="shared" si="361"/>
        <v/>
      </c>
      <c r="B2916" s="59" t="str">
        <f t="shared" si="362"/>
        <v/>
      </c>
      <c r="V2916" s="59" t="str">
        <f t="shared" si="363"/>
        <v/>
      </c>
      <c r="W2916" s="59" t="str">
        <f t="shared" si="360"/>
        <v/>
      </c>
      <c r="X2916" s="59" t="str">
        <f t="shared" si="364"/>
        <v/>
      </c>
      <c r="AC2916" s="50">
        <f t="shared" si="365"/>
        <v>0</v>
      </c>
      <c r="AD2916" s="43">
        <f t="shared" si="366"/>
        <v>0</v>
      </c>
      <c r="AE2916" s="50">
        <f t="shared" si="367"/>
        <v>0</v>
      </c>
    </row>
    <row r="2917" spans="1:31">
      <c r="A2917" s="59" t="str">
        <f t="shared" si="361"/>
        <v/>
      </c>
      <c r="B2917" s="59" t="str">
        <f t="shared" si="362"/>
        <v/>
      </c>
      <c r="V2917" s="59" t="str">
        <f t="shared" si="363"/>
        <v/>
      </c>
      <c r="W2917" s="59" t="str">
        <f t="shared" si="360"/>
        <v/>
      </c>
      <c r="X2917" s="59" t="str">
        <f t="shared" si="364"/>
        <v/>
      </c>
      <c r="AC2917" s="50">
        <f t="shared" si="365"/>
        <v>0</v>
      </c>
      <c r="AD2917" s="43">
        <f t="shared" si="366"/>
        <v>0</v>
      </c>
      <c r="AE2917" s="50">
        <f t="shared" si="367"/>
        <v>0</v>
      </c>
    </row>
    <row r="2918" spans="1:31">
      <c r="A2918" s="59" t="str">
        <f t="shared" si="361"/>
        <v/>
      </c>
      <c r="B2918" s="59" t="str">
        <f t="shared" si="362"/>
        <v/>
      </c>
      <c r="V2918" s="59" t="str">
        <f t="shared" si="363"/>
        <v/>
      </c>
      <c r="W2918" s="59" t="str">
        <f t="shared" si="360"/>
        <v/>
      </c>
      <c r="X2918" s="59" t="str">
        <f t="shared" si="364"/>
        <v/>
      </c>
      <c r="AC2918" s="50">
        <f t="shared" si="365"/>
        <v>0</v>
      </c>
      <c r="AD2918" s="43">
        <f t="shared" si="366"/>
        <v>0</v>
      </c>
      <c r="AE2918" s="50">
        <f t="shared" si="367"/>
        <v>0</v>
      </c>
    </row>
    <row r="2919" spans="1:31">
      <c r="A2919" s="59" t="str">
        <f t="shared" si="361"/>
        <v/>
      </c>
      <c r="B2919" s="59" t="str">
        <f t="shared" si="362"/>
        <v/>
      </c>
      <c r="V2919" s="59" t="str">
        <f t="shared" si="363"/>
        <v/>
      </c>
      <c r="W2919" s="59" t="str">
        <f t="shared" si="360"/>
        <v/>
      </c>
      <c r="X2919" s="59" t="str">
        <f t="shared" si="364"/>
        <v/>
      </c>
      <c r="AC2919" s="50">
        <f t="shared" si="365"/>
        <v>0</v>
      </c>
      <c r="AD2919" s="43">
        <f t="shared" si="366"/>
        <v>0</v>
      </c>
      <c r="AE2919" s="50">
        <f t="shared" si="367"/>
        <v>0</v>
      </c>
    </row>
    <row r="2920" spans="1:31">
      <c r="A2920" s="59" t="str">
        <f t="shared" si="361"/>
        <v/>
      </c>
      <c r="B2920" s="59" t="str">
        <f t="shared" si="362"/>
        <v/>
      </c>
      <c r="V2920" s="59" t="str">
        <f t="shared" si="363"/>
        <v/>
      </c>
      <c r="W2920" s="59" t="str">
        <f t="shared" si="360"/>
        <v/>
      </c>
      <c r="X2920" s="59" t="str">
        <f t="shared" si="364"/>
        <v/>
      </c>
      <c r="AC2920" s="50">
        <f t="shared" si="365"/>
        <v>0</v>
      </c>
      <c r="AD2920" s="43">
        <f t="shared" si="366"/>
        <v>0</v>
      </c>
      <c r="AE2920" s="50">
        <f t="shared" si="367"/>
        <v>0</v>
      </c>
    </row>
    <row r="2921" spans="1:31">
      <c r="A2921" s="59" t="str">
        <f t="shared" si="361"/>
        <v/>
      </c>
      <c r="B2921" s="59" t="str">
        <f t="shared" si="362"/>
        <v/>
      </c>
      <c r="V2921" s="59" t="str">
        <f t="shared" si="363"/>
        <v/>
      </c>
      <c r="W2921" s="59" t="str">
        <f t="shared" si="360"/>
        <v/>
      </c>
      <c r="X2921" s="59" t="str">
        <f t="shared" si="364"/>
        <v/>
      </c>
      <c r="AC2921" s="50">
        <f t="shared" si="365"/>
        <v>0</v>
      </c>
      <c r="AD2921" s="43">
        <f t="shared" si="366"/>
        <v>0</v>
      </c>
      <c r="AE2921" s="50">
        <f t="shared" si="367"/>
        <v>0</v>
      </c>
    </row>
    <row r="2922" spans="1:31">
      <c r="A2922" s="59" t="str">
        <f t="shared" si="361"/>
        <v/>
      </c>
      <c r="B2922" s="59" t="str">
        <f t="shared" si="362"/>
        <v/>
      </c>
      <c r="V2922" s="59" t="str">
        <f t="shared" si="363"/>
        <v/>
      </c>
      <c r="W2922" s="59" t="str">
        <f t="shared" si="360"/>
        <v/>
      </c>
      <c r="X2922" s="59" t="str">
        <f t="shared" si="364"/>
        <v/>
      </c>
      <c r="AC2922" s="50">
        <f t="shared" si="365"/>
        <v>0</v>
      </c>
      <c r="AD2922" s="43">
        <f t="shared" si="366"/>
        <v>0</v>
      </c>
      <c r="AE2922" s="50">
        <f t="shared" si="367"/>
        <v>0</v>
      </c>
    </row>
    <row r="2923" spans="1:31">
      <c r="A2923" s="59" t="str">
        <f t="shared" si="361"/>
        <v/>
      </c>
      <c r="B2923" s="59" t="str">
        <f t="shared" si="362"/>
        <v/>
      </c>
      <c r="V2923" s="59" t="str">
        <f t="shared" si="363"/>
        <v/>
      </c>
      <c r="W2923" s="59" t="str">
        <f t="shared" si="360"/>
        <v/>
      </c>
      <c r="X2923" s="59" t="str">
        <f t="shared" si="364"/>
        <v/>
      </c>
      <c r="AC2923" s="50">
        <f t="shared" si="365"/>
        <v>0</v>
      </c>
      <c r="AD2923" s="43">
        <f t="shared" si="366"/>
        <v>0</v>
      </c>
      <c r="AE2923" s="50">
        <f t="shared" si="367"/>
        <v>0</v>
      </c>
    </row>
    <row r="2924" spans="1:31">
      <c r="A2924" s="59" t="str">
        <f t="shared" si="361"/>
        <v/>
      </c>
      <c r="B2924" s="59" t="str">
        <f t="shared" si="362"/>
        <v/>
      </c>
      <c r="V2924" s="59" t="str">
        <f t="shared" si="363"/>
        <v/>
      </c>
      <c r="W2924" s="59" t="str">
        <f t="shared" si="360"/>
        <v/>
      </c>
      <c r="X2924" s="59" t="str">
        <f t="shared" si="364"/>
        <v/>
      </c>
      <c r="AC2924" s="50">
        <f t="shared" si="365"/>
        <v>0</v>
      </c>
      <c r="AD2924" s="43">
        <f t="shared" si="366"/>
        <v>0</v>
      </c>
      <c r="AE2924" s="50">
        <f t="shared" si="367"/>
        <v>0</v>
      </c>
    </row>
    <row r="2925" spans="1:31">
      <c r="A2925" s="59" t="str">
        <f t="shared" si="361"/>
        <v/>
      </c>
      <c r="B2925" s="59" t="str">
        <f t="shared" si="362"/>
        <v/>
      </c>
      <c r="V2925" s="59" t="str">
        <f t="shared" si="363"/>
        <v/>
      </c>
      <c r="W2925" s="59" t="str">
        <f t="shared" si="360"/>
        <v/>
      </c>
      <c r="X2925" s="59" t="str">
        <f t="shared" si="364"/>
        <v/>
      </c>
      <c r="AC2925" s="50">
        <f t="shared" si="365"/>
        <v>0</v>
      </c>
      <c r="AD2925" s="43">
        <f t="shared" si="366"/>
        <v>0</v>
      </c>
      <c r="AE2925" s="50">
        <f t="shared" si="367"/>
        <v>0</v>
      </c>
    </row>
    <row r="2926" spans="1:31">
      <c r="A2926" s="59" t="str">
        <f t="shared" si="361"/>
        <v/>
      </c>
      <c r="B2926" s="59" t="str">
        <f t="shared" si="362"/>
        <v/>
      </c>
      <c r="V2926" s="59" t="str">
        <f t="shared" si="363"/>
        <v/>
      </c>
      <c r="W2926" s="59" t="str">
        <f t="shared" si="360"/>
        <v/>
      </c>
      <c r="X2926" s="59" t="str">
        <f t="shared" si="364"/>
        <v/>
      </c>
      <c r="AC2926" s="50">
        <f t="shared" si="365"/>
        <v>0</v>
      </c>
      <c r="AD2926" s="43">
        <f t="shared" si="366"/>
        <v>0</v>
      </c>
      <c r="AE2926" s="50">
        <f t="shared" si="367"/>
        <v>0</v>
      </c>
    </row>
    <row r="2927" spans="1:31">
      <c r="A2927" s="59" t="str">
        <f t="shared" si="361"/>
        <v/>
      </c>
      <c r="B2927" s="59" t="str">
        <f t="shared" si="362"/>
        <v/>
      </c>
      <c r="V2927" s="59" t="str">
        <f t="shared" si="363"/>
        <v/>
      </c>
      <c r="W2927" s="59" t="str">
        <f t="shared" si="360"/>
        <v/>
      </c>
      <c r="X2927" s="59" t="str">
        <f t="shared" si="364"/>
        <v/>
      </c>
      <c r="AC2927" s="50">
        <f t="shared" si="365"/>
        <v>0</v>
      </c>
      <c r="AD2927" s="43">
        <f t="shared" si="366"/>
        <v>0</v>
      </c>
      <c r="AE2927" s="50">
        <f t="shared" si="367"/>
        <v>0</v>
      </c>
    </row>
    <row r="2928" spans="1:31">
      <c r="A2928" s="59" t="str">
        <f t="shared" si="361"/>
        <v/>
      </c>
      <c r="B2928" s="59" t="str">
        <f t="shared" si="362"/>
        <v/>
      </c>
      <c r="V2928" s="59" t="str">
        <f t="shared" si="363"/>
        <v/>
      </c>
      <c r="W2928" s="59" t="str">
        <f t="shared" si="360"/>
        <v/>
      </c>
      <c r="X2928" s="59" t="str">
        <f t="shared" si="364"/>
        <v/>
      </c>
      <c r="AC2928" s="50">
        <f t="shared" si="365"/>
        <v>0</v>
      </c>
      <c r="AD2928" s="43">
        <f t="shared" si="366"/>
        <v>0</v>
      </c>
      <c r="AE2928" s="50">
        <f t="shared" si="367"/>
        <v>0</v>
      </c>
    </row>
    <row r="2929" spans="1:31">
      <c r="A2929" s="59" t="str">
        <f t="shared" si="361"/>
        <v/>
      </c>
      <c r="B2929" s="59" t="str">
        <f t="shared" si="362"/>
        <v/>
      </c>
      <c r="V2929" s="59" t="str">
        <f t="shared" si="363"/>
        <v/>
      </c>
      <c r="W2929" s="59" t="str">
        <f t="shared" si="360"/>
        <v/>
      </c>
      <c r="X2929" s="59" t="str">
        <f t="shared" si="364"/>
        <v/>
      </c>
      <c r="AC2929" s="50">
        <f t="shared" si="365"/>
        <v>0</v>
      </c>
      <c r="AD2929" s="43">
        <f t="shared" si="366"/>
        <v>0</v>
      </c>
      <c r="AE2929" s="50">
        <f t="shared" si="367"/>
        <v>0</v>
      </c>
    </row>
    <row r="2930" spans="1:31">
      <c r="A2930" s="59" t="str">
        <f t="shared" si="361"/>
        <v/>
      </c>
      <c r="B2930" s="59" t="str">
        <f t="shared" si="362"/>
        <v/>
      </c>
      <c r="V2930" s="59" t="str">
        <f t="shared" si="363"/>
        <v/>
      </c>
      <c r="W2930" s="59" t="str">
        <f t="shared" si="360"/>
        <v/>
      </c>
      <c r="X2930" s="59" t="str">
        <f t="shared" si="364"/>
        <v/>
      </c>
      <c r="AC2930" s="50">
        <f t="shared" si="365"/>
        <v>0</v>
      </c>
      <c r="AD2930" s="43">
        <f t="shared" si="366"/>
        <v>0</v>
      </c>
      <c r="AE2930" s="50">
        <f t="shared" si="367"/>
        <v>0</v>
      </c>
    </row>
    <row r="2931" spans="1:31">
      <c r="A2931" s="59" t="str">
        <f t="shared" si="361"/>
        <v/>
      </c>
      <c r="B2931" s="59" t="str">
        <f t="shared" si="362"/>
        <v/>
      </c>
      <c r="V2931" s="59" t="str">
        <f t="shared" si="363"/>
        <v/>
      </c>
      <c r="W2931" s="59" t="str">
        <f t="shared" si="360"/>
        <v/>
      </c>
      <c r="X2931" s="59" t="str">
        <f t="shared" si="364"/>
        <v/>
      </c>
      <c r="AC2931" s="50">
        <f t="shared" si="365"/>
        <v>0</v>
      </c>
      <c r="AD2931" s="43">
        <f t="shared" si="366"/>
        <v>0</v>
      </c>
      <c r="AE2931" s="50">
        <f t="shared" si="367"/>
        <v>0</v>
      </c>
    </row>
    <row r="2932" spans="1:31">
      <c r="A2932" s="59" t="str">
        <f t="shared" si="361"/>
        <v/>
      </c>
      <c r="B2932" s="59" t="str">
        <f t="shared" si="362"/>
        <v/>
      </c>
      <c r="V2932" s="59" t="str">
        <f t="shared" si="363"/>
        <v/>
      </c>
      <c r="W2932" s="59" t="str">
        <f t="shared" si="360"/>
        <v/>
      </c>
      <c r="X2932" s="59" t="str">
        <f t="shared" si="364"/>
        <v/>
      </c>
      <c r="AC2932" s="50">
        <f t="shared" si="365"/>
        <v>0</v>
      </c>
      <c r="AD2932" s="43">
        <f t="shared" si="366"/>
        <v>0</v>
      </c>
      <c r="AE2932" s="50">
        <f t="shared" si="367"/>
        <v>0</v>
      </c>
    </row>
    <row r="2933" spans="1:31">
      <c r="A2933" s="59" t="str">
        <f t="shared" si="361"/>
        <v/>
      </c>
      <c r="B2933" s="59" t="str">
        <f t="shared" si="362"/>
        <v/>
      </c>
      <c r="V2933" s="59" t="str">
        <f t="shared" si="363"/>
        <v/>
      </c>
      <c r="W2933" s="59" t="str">
        <f t="shared" si="360"/>
        <v/>
      </c>
      <c r="X2933" s="59" t="str">
        <f t="shared" si="364"/>
        <v/>
      </c>
      <c r="AC2933" s="50">
        <f t="shared" si="365"/>
        <v>0</v>
      </c>
      <c r="AD2933" s="43">
        <f t="shared" si="366"/>
        <v>0</v>
      </c>
      <c r="AE2933" s="50">
        <f t="shared" si="367"/>
        <v>0</v>
      </c>
    </row>
    <row r="2934" spans="1:31">
      <c r="A2934" s="59" t="str">
        <f t="shared" si="361"/>
        <v/>
      </c>
      <c r="B2934" s="59" t="str">
        <f t="shared" si="362"/>
        <v/>
      </c>
      <c r="V2934" s="59" t="str">
        <f t="shared" si="363"/>
        <v/>
      </c>
      <c r="W2934" s="59" t="str">
        <f t="shared" si="360"/>
        <v/>
      </c>
      <c r="X2934" s="59" t="str">
        <f t="shared" si="364"/>
        <v/>
      </c>
      <c r="AC2934" s="50">
        <f t="shared" si="365"/>
        <v>0</v>
      </c>
      <c r="AD2934" s="43">
        <f t="shared" si="366"/>
        <v>0</v>
      </c>
      <c r="AE2934" s="50">
        <f t="shared" si="367"/>
        <v>0</v>
      </c>
    </row>
    <row r="2935" spans="1:31">
      <c r="A2935" s="59" t="str">
        <f t="shared" si="361"/>
        <v/>
      </c>
      <c r="B2935" s="59" t="str">
        <f t="shared" si="362"/>
        <v/>
      </c>
      <c r="V2935" s="59" t="str">
        <f t="shared" si="363"/>
        <v/>
      </c>
      <c r="W2935" s="59" t="str">
        <f t="shared" si="360"/>
        <v/>
      </c>
      <c r="X2935" s="59" t="str">
        <f t="shared" si="364"/>
        <v/>
      </c>
      <c r="AC2935" s="50">
        <f t="shared" si="365"/>
        <v>0</v>
      </c>
      <c r="AD2935" s="43">
        <f t="shared" si="366"/>
        <v>0</v>
      </c>
      <c r="AE2935" s="50">
        <f t="shared" si="367"/>
        <v>0</v>
      </c>
    </row>
    <row r="2936" spans="1:31">
      <c r="A2936" s="59" t="str">
        <f t="shared" si="361"/>
        <v/>
      </c>
      <c r="B2936" s="59" t="str">
        <f t="shared" si="362"/>
        <v/>
      </c>
      <c r="V2936" s="59" t="str">
        <f t="shared" si="363"/>
        <v/>
      </c>
      <c r="W2936" s="59" t="str">
        <f t="shared" si="360"/>
        <v/>
      </c>
      <c r="X2936" s="59" t="str">
        <f t="shared" si="364"/>
        <v/>
      </c>
      <c r="AC2936" s="50">
        <f t="shared" si="365"/>
        <v>0</v>
      </c>
      <c r="AD2936" s="43">
        <f t="shared" si="366"/>
        <v>0</v>
      </c>
      <c r="AE2936" s="50">
        <f t="shared" si="367"/>
        <v>0</v>
      </c>
    </row>
    <row r="2937" spans="1:31">
      <c r="A2937" s="59" t="str">
        <f t="shared" si="361"/>
        <v/>
      </c>
      <c r="B2937" s="59" t="str">
        <f t="shared" si="362"/>
        <v/>
      </c>
      <c r="V2937" s="59" t="str">
        <f t="shared" si="363"/>
        <v/>
      </c>
      <c r="W2937" s="59" t="str">
        <f t="shared" si="360"/>
        <v/>
      </c>
      <c r="X2937" s="59" t="str">
        <f t="shared" si="364"/>
        <v/>
      </c>
      <c r="AC2937" s="50">
        <f t="shared" si="365"/>
        <v>0</v>
      </c>
      <c r="AD2937" s="43">
        <f t="shared" si="366"/>
        <v>0</v>
      </c>
      <c r="AE2937" s="50">
        <f t="shared" si="367"/>
        <v>0</v>
      </c>
    </row>
    <row r="2938" spans="1:31">
      <c r="A2938" s="59" t="str">
        <f t="shared" si="361"/>
        <v/>
      </c>
      <c r="B2938" s="59" t="str">
        <f t="shared" si="362"/>
        <v/>
      </c>
      <c r="V2938" s="59" t="str">
        <f t="shared" si="363"/>
        <v/>
      </c>
      <c r="W2938" s="59" t="str">
        <f t="shared" si="360"/>
        <v/>
      </c>
      <c r="X2938" s="59" t="str">
        <f t="shared" si="364"/>
        <v/>
      </c>
      <c r="AC2938" s="50">
        <f t="shared" si="365"/>
        <v>0</v>
      </c>
      <c r="AD2938" s="43">
        <f t="shared" si="366"/>
        <v>0</v>
      </c>
      <c r="AE2938" s="50">
        <f t="shared" si="367"/>
        <v>0</v>
      </c>
    </row>
    <row r="2939" spans="1:31">
      <c r="A2939" s="59" t="str">
        <f t="shared" si="361"/>
        <v/>
      </c>
      <c r="B2939" s="59" t="str">
        <f t="shared" si="362"/>
        <v/>
      </c>
      <c r="V2939" s="59" t="str">
        <f t="shared" si="363"/>
        <v/>
      </c>
      <c r="W2939" s="59" t="str">
        <f t="shared" si="360"/>
        <v/>
      </c>
      <c r="X2939" s="59" t="str">
        <f t="shared" si="364"/>
        <v/>
      </c>
      <c r="AC2939" s="50">
        <f t="shared" si="365"/>
        <v>0</v>
      </c>
      <c r="AD2939" s="43">
        <f t="shared" si="366"/>
        <v>0</v>
      </c>
      <c r="AE2939" s="50">
        <f t="shared" si="367"/>
        <v>0</v>
      </c>
    </row>
    <row r="2940" spans="1:31">
      <c r="A2940" s="59" t="str">
        <f t="shared" si="361"/>
        <v/>
      </c>
      <c r="B2940" s="59" t="str">
        <f t="shared" si="362"/>
        <v/>
      </c>
      <c r="V2940" s="59" t="str">
        <f t="shared" si="363"/>
        <v/>
      </c>
      <c r="W2940" s="59" t="str">
        <f t="shared" si="360"/>
        <v/>
      </c>
      <c r="X2940" s="59" t="str">
        <f t="shared" si="364"/>
        <v/>
      </c>
      <c r="AC2940" s="50">
        <f t="shared" si="365"/>
        <v>0</v>
      </c>
      <c r="AD2940" s="43">
        <f t="shared" si="366"/>
        <v>0</v>
      </c>
      <c r="AE2940" s="50">
        <f t="shared" si="367"/>
        <v>0</v>
      </c>
    </row>
    <row r="2941" spans="1:31">
      <c r="A2941" s="59" t="str">
        <f t="shared" si="361"/>
        <v/>
      </c>
      <c r="B2941" s="59" t="str">
        <f t="shared" si="362"/>
        <v/>
      </c>
      <c r="V2941" s="59" t="str">
        <f t="shared" si="363"/>
        <v/>
      </c>
      <c r="W2941" s="59" t="str">
        <f t="shared" si="360"/>
        <v/>
      </c>
      <c r="X2941" s="59" t="str">
        <f t="shared" si="364"/>
        <v/>
      </c>
      <c r="AC2941" s="50">
        <f t="shared" si="365"/>
        <v>0</v>
      </c>
      <c r="AD2941" s="43">
        <f t="shared" si="366"/>
        <v>0</v>
      </c>
      <c r="AE2941" s="50">
        <f t="shared" si="367"/>
        <v>0</v>
      </c>
    </row>
    <row r="2942" spans="1:31">
      <c r="A2942" s="59" t="str">
        <f t="shared" si="361"/>
        <v/>
      </c>
      <c r="B2942" s="59" t="str">
        <f t="shared" si="362"/>
        <v/>
      </c>
      <c r="V2942" s="59" t="str">
        <f t="shared" si="363"/>
        <v/>
      </c>
      <c r="W2942" s="59" t="str">
        <f t="shared" si="360"/>
        <v/>
      </c>
      <c r="X2942" s="59" t="str">
        <f t="shared" si="364"/>
        <v/>
      </c>
      <c r="AC2942" s="50">
        <f t="shared" si="365"/>
        <v>0</v>
      </c>
      <c r="AD2942" s="43">
        <f t="shared" si="366"/>
        <v>0</v>
      </c>
      <c r="AE2942" s="50">
        <f t="shared" si="367"/>
        <v>0</v>
      </c>
    </row>
    <row r="2943" spans="1:31">
      <c r="A2943" s="59" t="str">
        <f t="shared" si="361"/>
        <v/>
      </c>
      <c r="B2943" s="59" t="str">
        <f t="shared" si="362"/>
        <v/>
      </c>
      <c r="V2943" s="59" t="str">
        <f t="shared" si="363"/>
        <v/>
      </c>
      <c r="W2943" s="59" t="str">
        <f t="shared" si="360"/>
        <v/>
      </c>
      <c r="X2943" s="59" t="str">
        <f t="shared" si="364"/>
        <v/>
      </c>
      <c r="AC2943" s="50">
        <f t="shared" si="365"/>
        <v>0</v>
      </c>
      <c r="AD2943" s="43">
        <f t="shared" si="366"/>
        <v>0</v>
      </c>
      <c r="AE2943" s="50">
        <f t="shared" si="367"/>
        <v>0</v>
      </c>
    </row>
    <row r="2944" spans="1:31">
      <c r="A2944" s="59" t="str">
        <f t="shared" si="361"/>
        <v/>
      </c>
      <c r="B2944" s="59" t="str">
        <f t="shared" si="362"/>
        <v/>
      </c>
      <c r="V2944" s="59" t="str">
        <f t="shared" si="363"/>
        <v/>
      </c>
      <c r="W2944" s="59" t="str">
        <f t="shared" si="360"/>
        <v/>
      </c>
      <c r="X2944" s="59" t="str">
        <f t="shared" si="364"/>
        <v/>
      </c>
      <c r="AC2944" s="50">
        <f t="shared" si="365"/>
        <v>0</v>
      </c>
      <c r="AD2944" s="43">
        <f t="shared" si="366"/>
        <v>0</v>
      </c>
      <c r="AE2944" s="50">
        <f t="shared" si="367"/>
        <v>0</v>
      </c>
    </row>
    <row r="2945" spans="1:31">
      <c r="A2945" s="59" t="str">
        <f t="shared" si="361"/>
        <v/>
      </c>
      <c r="B2945" s="59" t="str">
        <f t="shared" si="362"/>
        <v/>
      </c>
      <c r="V2945" s="59" t="str">
        <f t="shared" si="363"/>
        <v/>
      </c>
      <c r="W2945" s="59" t="str">
        <f t="shared" si="360"/>
        <v/>
      </c>
      <c r="X2945" s="59" t="str">
        <f t="shared" si="364"/>
        <v/>
      </c>
      <c r="AC2945" s="50">
        <f t="shared" si="365"/>
        <v>0</v>
      </c>
      <c r="AD2945" s="43">
        <f t="shared" si="366"/>
        <v>0</v>
      </c>
      <c r="AE2945" s="50">
        <f t="shared" si="367"/>
        <v>0</v>
      </c>
    </row>
    <row r="2946" spans="1:31">
      <c r="A2946" s="59" t="str">
        <f t="shared" si="361"/>
        <v/>
      </c>
      <c r="B2946" s="59" t="str">
        <f t="shared" si="362"/>
        <v/>
      </c>
      <c r="V2946" s="59" t="str">
        <f t="shared" si="363"/>
        <v/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59" t="str">
        <f t="shared" si="364"/>
        <v/>
      </c>
      <c r="AC2946" s="50">
        <f t="shared" si="365"/>
        <v>0</v>
      </c>
      <c r="AD2946" s="43">
        <f t="shared" si="366"/>
        <v>0</v>
      </c>
      <c r="AE2946" s="50">
        <f t="shared" si="367"/>
        <v>0</v>
      </c>
    </row>
    <row r="2947" spans="1:31">
      <c r="A2947" s="59" t="str">
        <f t="shared" ref="A2947:A3010" si="369">IF(G2947&amp;Q2947&lt;&gt;"",W2947&amp;Q2947,"")</f>
        <v/>
      </c>
      <c r="B2947" s="59" t="str">
        <f t="shared" ref="B2947:B3010" si="370">IF(C2947&lt;&gt;"",LEFT(C2947,9),"")</f>
        <v/>
      </c>
      <c r="V2947" s="59" t="str">
        <f t="shared" ref="V2947:V3010" si="371">W2947&amp;H2947</f>
        <v/>
      </c>
      <c r="W2947" s="59" t="str">
        <f t="shared" si="368"/>
        <v/>
      </c>
      <c r="X2947" s="59" t="str">
        <f t="shared" ref="X2947:X3010" si="372">IF(A2947&lt;&gt;"",IFERROR(IF(FIND(" ",G2947)&gt;=1,MID(G2947,FIND(" ",G2947)+1,LEN(G2947)),""),""),"")</f>
        <v/>
      </c>
      <c r="AC2947" s="50">
        <f t="shared" ref="AC2947:AC3010" si="373">IFERROR(VALUE(MID($C2947,1,2)),0)</f>
        <v>0</v>
      </c>
      <c r="AD2947" s="43">
        <f t="shared" ref="AD2947:AD3010" si="374">IFERROR(VALUE(MID($C2947,4,3)),0)</f>
        <v>0</v>
      </c>
      <c r="AE2947" s="50">
        <f t="shared" ref="AE2947:AE3010" si="375">VALUE(RIGHT("00"&amp;AC2947,2)&amp;RIGHT("000"&amp;AD2947,3))</f>
        <v>0</v>
      </c>
    </row>
    <row r="2948" spans="1:31">
      <c r="A2948" s="59" t="str">
        <f t="shared" si="369"/>
        <v/>
      </c>
      <c r="B2948" s="59" t="str">
        <f t="shared" si="370"/>
        <v/>
      </c>
      <c r="V2948" s="59" t="str">
        <f t="shared" si="371"/>
        <v/>
      </c>
      <c r="W2948" s="59" t="str">
        <f t="shared" si="368"/>
        <v/>
      </c>
      <c r="X2948" s="59" t="str">
        <f t="shared" si="372"/>
        <v/>
      </c>
      <c r="AC2948" s="50">
        <f t="shared" si="373"/>
        <v>0</v>
      </c>
      <c r="AD2948" s="43">
        <f t="shared" si="374"/>
        <v>0</v>
      </c>
      <c r="AE2948" s="50">
        <f t="shared" si="375"/>
        <v>0</v>
      </c>
    </row>
    <row r="2949" spans="1:31">
      <c r="A2949" s="59" t="str">
        <f t="shared" si="369"/>
        <v/>
      </c>
      <c r="B2949" s="59" t="str">
        <f t="shared" si="370"/>
        <v/>
      </c>
      <c r="V2949" s="59" t="str">
        <f t="shared" si="371"/>
        <v/>
      </c>
      <c r="W2949" s="59" t="str">
        <f t="shared" si="368"/>
        <v/>
      </c>
      <c r="X2949" s="59" t="str">
        <f t="shared" si="372"/>
        <v/>
      </c>
      <c r="AC2949" s="50">
        <f t="shared" si="373"/>
        <v>0</v>
      </c>
      <c r="AD2949" s="43">
        <f t="shared" si="374"/>
        <v>0</v>
      </c>
      <c r="AE2949" s="50">
        <f t="shared" si="375"/>
        <v>0</v>
      </c>
    </row>
    <row r="2950" spans="1:31">
      <c r="A2950" s="59" t="str">
        <f t="shared" si="369"/>
        <v/>
      </c>
      <c r="B2950" s="59" t="str">
        <f t="shared" si="370"/>
        <v/>
      </c>
      <c r="V2950" s="59" t="str">
        <f t="shared" si="371"/>
        <v/>
      </c>
      <c r="W2950" s="59" t="str">
        <f t="shared" si="368"/>
        <v/>
      </c>
      <c r="X2950" s="59" t="str">
        <f t="shared" si="372"/>
        <v/>
      </c>
      <c r="AC2950" s="50">
        <f t="shared" si="373"/>
        <v>0</v>
      </c>
      <c r="AD2950" s="43">
        <f t="shared" si="374"/>
        <v>0</v>
      </c>
      <c r="AE2950" s="50">
        <f t="shared" si="375"/>
        <v>0</v>
      </c>
    </row>
    <row r="2951" spans="1:31">
      <c r="A2951" s="59" t="str">
        <f t="shared" si="369"/>
        <v/>
      </c>
      <c r="B2951" s="59" t="str">
        <f t="shared" si="370"/>
        <v/>
      </c>
      <c r="V2951" s="59" t="str">
        <f t="shared" si="371"/>
        <v/>
      </c>
      <c r="W2951" s="59" t="str">
        <f t="shared" si="368"/>
        <v/>
      </c>
      <c r="X2951" s="59" t="str">
        <f t="shared" si="372"/>
        <v/>
      </c>
      <c r="AC2951" s="50">
        <f t="shared" si="373"/>
        <v>0</v>
      </c>
      <c r="AD2951" s="43">
        <f t="shared" si="374"/>
        <v>0</v>
      </c>
      <c r="AE2951" s="50">
        <f t="shared" si="375"/>
        <v>0</v>
      </c>
    </row>
    <row r="2952" spans="1:31">
      <c r="A2952" s="59" t="str">
        <f t="shared" si="369"/>
        <v/>
      </c>
      <c r="B2952" s="59" t="str">
        <f t="shared" si="370"/>
        <v/>
      </c>
      <c r="V2952" s="59" t="str">
        <f t="shared" si="371"/>
        <v/>
      </c>
      <c r="W2952" s="59" t="str">
        <f t="shared" si="368"/>
        <v/>
      </c>
      <c r="X2952" s="59" t="str">
        <f t="shared" si="372"/>
        <v/>
      </c>
      <c r="AC2952" s="50">
        <f t="shared" si="373"/>
        <v>0</v>
      </c>
      <c r="AD2952" s="43">
        <f t="shared" si="374"/>
        <v>0</v>
      </c>
      <c r="AE2952" s="50">
        <f t="shared" si="375"/>
        <v>0</v>
      </c>
    </row>
    <row r="2953" spans="1:31">
      <c r="A2953" s="59" t="str">
        <f t="shared" si="369"/>
        <v/>
      </c>
      <c r="B2953" s="59" t="str">
        <f t="shared" si="370"/>
        <v/>
      </c>
      <c r="V2953" s="59" t="str">
        <f t="shared" si="371"/>
        <v/>
      </c>
      <c r="W2953" s="59" t="str">
        <f t="shared" si="368"/>
        <v/>
      </c>
      <c r="X2953" s="59" t="str">
        <f t="shared" si="372"/>
        <v/>
      </c>
      <c r="AC2953" s="50">
        <f t="shared" si="373"/>
        <v>0</v>
      </c>
      <c r="AD2953" s="43">
        <f t="shared" si="374"/>
        <v>0</v>
      </c>
      <c r="AE2953" s="50">
        <f t="shared" si="375"/>
        <v>0</v>
      </c>
    </row>
    <row r="2954" spans="1:31">
      <c r="A2954" s="59" t="str">
        <f t="shared" si="369"/>
        <v/>
      </c>
      <c r="B2954" s="59" t="str">
        <f t="shared" si="370"/>
        <v/>
      </c>
      <c r="V2954" s="59" t="str">
        <f t="shared" si="371"/>
        <v/>
      </c>
      <c r="W2954" s="59" t="str">
        <f t="shared" si="368"/>
        <v/>
      </c>
      <c r="X2954" s="59" t="str">
        <f t="shared" si="372"/>
        <v/>
      </c>
      <c r="AC2954" s="50">
        <f t="shared" si="373"/>
        <v>0</v>
      </c>
      <c r="AD2954" s="43">
        <f t="shared" si="374"/>
        <v>0</v>
      </c>
      <c r="AE2954" s="50">
        <f t="shared" si="375"/>
        <v>0</v>
      </c>
    </row>
    <row r="2955" spans="1:31">
      <c r="A2955" s="59" t="str">
        <f t="shared" si="369"/>
        <v/>
      </c>
      <c r="B2955" s="59" t="str">
        <f t="shared" si="370"/>
        <v/>
      </c>
      <c r="V2955" s="59" t="str">
        <f t="shared" si="371"/>
        <v/>
      </c>
      <c r="W2955" s="59" t="str">
        <f t="shared" si="368"/>
        <v/>
      </c>
      <c r="X2955" s="59" t="str">
        <f t="shared" si="372"/>
        <v/>
      </c>
      <c r="AC2955" s="50">
        <f t="shared" si="373"/>
        <v>0</v>
      </c>
      <c r="AD2955" s="43">
        <f t="shared" si="374"/>
        <v>0</v>
      </c>
      <c r="AE2955" s="50">
        <f t="shared" si="375"/>
        <v>0</v>
      </c>
    </row>
    <row r="2956" spans="1:31">
      <c r="A2956" s="59" t="str">
        <f t="shared" si="369"/>
        <v/>
      </c>
      <c r="B2956" s="59" t="str">
        <f t="shared" si="370"/>
        <v/>
      </c>
      <c r="V2956" s="59" t="str">
        <f t="shared" si="371"/>
        <v/>
      </c>
      <c r="W2956" s="59" t="str">
        <f t="shared" si="368"/>
        <v/>
      </c>
      <c r="X2956" s="59" t="str">
        <f t="shared" si="372"/>
        <v/>
      </c>
      <c r="AC2956" s="50">
        <f t="shared" si="373"/>
        <v>0</v>
      </c>
      <c r="AD2956" s="43">
        <f t="shared" si="374"/>
        <v>0</v>
      </c>
      <c r="AE2956" s="50">
        <f t="shared" si="375"/>
        <v>0</v>
      </c>
    </row>
    <row r="2957" spans="1:31">
      <c r="A2957" s="59" t="str">
        <f t="shared" si="369"/>
        <v/>
      </c>
      <c r="B2957" s="59" t="str">
        <f t="shared" si="370"/>
        <v/>
      </c>
      <c r="V2957" s="59" t="str">
        <f t="shared" si="371"/>
        <v/>
      </c>
      <c r="W2957" s="59" t="str">
        <f t="shared" si="368"/>
        <v/>
      </c>
      <c r="X2957" s="59" t="str">
        <f t="shared" si="372"/>
        <v/>
      </c>
      <c r="AC2957" s="50">
        <f t="shared" si="373"/>
        <v>0</v>
      </c>
      <c r="AD2957" s="43">
        <f t="shared" si="374"/>
        <v>0</v>
      </c>
      <c r="AE2957" s="50">
        <f t="shared" si="375"/>
        <v>0</v>
      </c>
    </row>
    <row r="2958" spans="1:31">
      <c r="A2958" s="59" t="str">
        <f t="shared" si="369"/>
        <v/>
      </c>
      <c r="B2958" s="59" t="str">
        <f t="shared" si="370"/>
        <v/>
      </c>
      <c r="V2958" s="59" t="str">
        <f t="shared" si="371"/>
        <v/>
      </c>
      <c r="W2958" s="59" t="str">
        <f t="shared" si="368"/>
        <v/>
      </c>
      <c r="X2958" s="59" t="str">
        <f t="shared" si="372"/>
        <v/>
      </c>
      <c r="AC2958" s="50">
        <f t="shared" si="373"/>
        <v>0</v>
      </c>
      <c r="AD2958" s="43">
        <f t="shared" si="374"/>
        <v>0</v>
      </c>
      <c r="AE2958" s="50">
        <f t="shared" si="375"/>
        <v>0</v>
      </c>
    </row>
    <row r="2959" spans="1:31">
      <c r="A2959" s="59" t="str">
        <f t="shared" si="369"/>
        <v/>
      </c>
      <c r="B2959" s="59" t="str">
        <f t="shared" si="370"/>
        <v/>
      </c>
      <c r="V2959" s="59" t="str">
        <f t="shared" si="371"/>
        <v/>
      </c>
      <c r="W2959" s="59" t="str">
        <f t="shared" si="368"/>
        <v/>
      </c>
      <c r="X2959" s="59" t="str">
        <f t="shared" si="372"/>
        <v/>
      </c>
      <c r="AC2959" s="50">
        <f t="shared" si="373"/>
        <v>0</v>
      </c>
      <c r="AD2959" s="43">
        <f t="shared" si="374"/>
        <v>0</v>
      </c>
      <c r="AE2959" s="50">
        <f t="shared" si="375"/>
        <v>0</v>
      </c>
    </row>
    <row r="2960" spans="1:31">
      <c r="A2960" s="59" t="str">
        <f t="shared" si="369"/>
        <v/>
      </c>
      <c r="B2960" s="59" t="str">
        <f t="shared" si="370"/>
        <v/>
      </c>
      <c r="V2960" s="59" t="str">
        <f t="shared" si="371"/>
        <v/>
      </c>
      <c r="W2960" s="59" t="str">
        <f t="shared" si="368"/>
        <v/>
      </c>
      <c r="X2960" s="59" t="str">
        <f t="shared" si="372"/>
        <v/>
      </c>
      <c r="AC2960" s="50">
        <f t="shared" si="373"/>
        <v>0</v>
      </c>
      <c r="AD2960" s="43">
        <f t="shared" si="374"/>
        <v>0</v>
      </c>
      <c r="AE2960" s="50">
        <f t="shared" si="375"/>
        <v>0</v>
      </c>
    </row>
    <row r="2961" spans="1:31">
      <c r="A2961" s="59" t="str">
        <f t="shared" si="369"/>
        <v/>
      </c>
      <c r="B2961" s="59" t="str">
        <f t="shared" si="370"/>
        <v/>
      </c>
      <c r="V2961" s="59" t="str">
        <f t="shared" si="371"/>
        <v/>
      </c>
      <c r="W2961" s="59" t="str">
        <f t="shared" si="368"/>
        <v/>
      </c>
      <c r="X2961" s="59" t="str">
        <f t="shared" si="372"/>
        <v/>
      </c>
      <c r="AC2961" s="50">
        <f t="shared" si="373"/>
        <v>0</v>
      </c>
      <c r="AD2961" s="43">
        <f t="shared" si="374"/>
        <v>0</v>
      </c>
      <c r="AE2961" s="50">
        <f t="shared" si="375"/>
        <v>0</v>
      </c>
    </row>
    <row r="2962" spans="1:31">
      <c r="A2962" s="59" t="str">
        <f t="shared" si="369"/>
        <v/>
      </c>
      <c r="B2962" s="59" t="str">
        <f t="shared" si="370"/>
        <v/>
      </c>
      <c r="V2962" s="59" t="str">
        <f t="shared" si="371"/>
        <v/>
      </c>
      <c r="W2962" s="59" t="str">
        <f t="shared" si="368"/>
        <v/>
      </c>
      <c r="X2962" s="59" t="str">
        <f t="shared" si="372"/>
        <v/>
      </c>
      <c r="AC2962" s="50">
        <f t="shared" si="373"/>
        <v>0</v>
      </c>
      <c r="AD2962" s="43">
        <f t="shared" si="374"/>
        <v>0</v>
      </c>
      <c r="AE2962" s="50">
        <f t="shared" si="375"/>
        <v>0</v>
      </c>
    </row>
    <row r="2963" spans="1:31">
      <c r="A2963" s="59" t="str">
        <f t="shared" si="369"/>
        <v/>
      </c>
      <c r="B2963" s="59" t="str">
        <f t="shared" si="370"/>
        <v/>
      </c>
      <c r="V2963" s="59" t="str">
        <f t="shared" si="371"/>
        <v/>
      </c>
      <c r="W2963" s="59" t="str">
        <f t="shared" si="368"/>
        <v/>
      </c>
      <c r="X2963" s="59" t="str">
        <f t="shared" si="372"/>
        <v/>
      </c>
      <c r="AC2963" s="50">
        <f t="shared" si="373"/>
        <v>0</v>
      </c>
      <c r="AD2963" s="43">
        <f t="shared" si="374"/>
        <v>0</v>
      </c>
      <c r="AE2963" s="50">
        <f t="shared" si="375"/>
        <v>0</v>
      </c>
    </row>
    <row r="2964" spans="1:31">
      <c r="A2964" s="59" t="str">
        <f t="shared" si="369"/>
        <v/>
      </c>
      <c r="B2964" s="59" t="str">
        <f t="shared" si="370"/>
        <v/>
      </c>
      <c r="V2964" s="59" t="str">
        <f t="shared" si="371"/>
        <v/>
      </c>
      <c r="W2964" s="59" t="str">
        <f t="shared" si="368"/>
        <v/>
      </c>
      <c r="X2964" s="59" t="str">
        <f t="shared" si="372"/>
        <v/>
      </c>
      <c r="AC2964" s="50">
        <f t="shared" si="373"/>
        <v>0</v>
      </c>
      <c r="AD2964" s="43">
        <f t="shared" si="374"/>
        <v>0</v>
      </c>
      <c r="AE2964" s="50">
        <f t="shared" si="375"/>
        <v>0</v>
      </c>
    </row>
    <row r="2965" spans="1:31">
      <c r="A2965" s="59" t="str">
        <f t="shared" si="369"/>
        <v/>
      </c>
      <c r="B2965" s="59" t="str">
        <f t="shared" si="370"/>
        <v/>
      </c>
      <c r="V2965" s="59" t="str">
        <f t="shared" si="371"/>
        <v/>
      </c>
      <c r="W2965" s="59" t="str">
        <f t="shared" si="368"/>
        <v/>
      </c>
      <c r="X2965" s="59" t="str">
        <f t="shared" si="372"/>
        <v/>
      </c>
      <c r="AC2965" s="50">
        <f t="shared" si="373"/>
        <v>0</v>
      </c>
      <c r="AD2965" s="43">
        <f t="shared" si="374"/>
        <v>0</v>
      </c>
      <c r="AE2965" s="50">
        <f t="shared" si="375"/>
        <v>0</v>
      </c>
    </row>
    <row r="2966" spans="1:31">
      <c r="A2966" s="59" t="str">
        <f t="shared" si="369"/>
        <v/>
      </c>
      <c r="B2966" s="59" t="str">
        <f t="shared" si="370"/>
        <v/>
      </c>
      <c r="V2966" s="59" t="str">
        <f t="shared" si="371"/>
        <v/>
      </c>
      <c r="W2966" s="59" t="str">
        <f t="shared" si="368"/>
        <v/>
      </c>
      <c r="X2966" s="59" t="str">
        <f t="shared" si="372"/>
        <v/>
      </c>
      <c r="AC2966" s="50">
        <f t="shared" si="373"/>
        <v>0</v>
      </c>
      <c r="AD2966" s="43">
        <f t="shared" si="374"/>
        <v>0</v>
      </c>
      <c r="AE2966" s="50">
        <f t="shared" si="375"/>
        <v>0</v>
      </c>
    </row>
    <row r="2967" spans="1:31">
      <c r="A2967" s="59" t="str">
        <f t="shared" si="369"/>
        <v/>
      </c>
      <c r="B2967" s="59" t="str">
        <f t="shared" si="370"/>
        <v/>
      </c>
      <c r="V2967" s="59" t="str">
        <f t="shared" si="371"/>
        <v/>
      </c>
      <c r="W2967" s="59" t="str">
        <f t="shared" si="368"/>
        <v/>
      </c>
      <c r="X2967" s="59" t="str">
        <f t="shared" si="372"/>
        <v/>
      </c>
      <c r="AC2967" s="50">
        <f t="shared" si="373"/>
        <v>0</v>
      </c>
      <c r="AD2967" s="43">
        <f t="shared" si="374"/>
        <v>0</v>
      </c>
      <c r="AE2967" s="50">
        <f t="shared" si="375"/>
        <v>0</v>
      </c>
    </row>
    <row r="2968" spans="1:31">
      <c r="A2968" s="59" t="str">
        <f t="shared" si="369"/>
        <v/>
      </c>
      <c r="B2968" s="59" t="str">
        <f t="shared" si="370"/>
        <v/>
      </c>
      <c r="V2968" s="59" t="str">
        <f t="shared" si="371"/>
        <v/>
      </c>
      <c r="W2968" s="59" t="str">
        <f t="shared" si="368"/>
        <v/>
      </c>
      <c r="X2968" s="59" t="str">
        <f t="shared" si="372"/>
        <v/>
      </c>
      <c r="AC2968" s="50">
        <f t="shared" si="373"/>
        <v>0</v>
      </c>
      <c r="AD2968" s="43">
        <f t="shared" si="374"/>
        <v>0</v>
      </c>
      <c r="AE2968" s="50">
        <f t="shared" si="375"/>
        <v>0</v>
      </c>
    </row>
    <row r="2969" spans="1:31">
      <c r="A2969" s="59" t="str">
        <f t="shared" si="369"/>
        <v/>
      </c>
      <c r="B2969" s="59" t="str">
        <f t="shared" si="370"/>
        <v/>
      </c>
      <c r="V2969" s="59" t="str">
        <f t="shared" si="371"/>
        <v/>
      </c>
      <c r="W2969" s="59" t="str">
        <f t="shared" si="368"/>
        <v/>
      </c>
      <c r="X2969" s="59" t="str">
        <f t="shared" si="372"/>
        <v/>
      </c>
      <c r="AC2969" s="50">
        <f t="shared" si="373"/>
        <v>0</v>
      </c>
      <c r="AD2969" s="43">
        <f t="shared" si="374"/>
        <v>0</v>
      </c>
      <c r="AE2969" s="50">
        <f t="shared" si="375"/>
        <v>0</v>
      </c>
    </row>
    <row r="2970" spans="1:31">
      <c r="A2970" s="59" t="str">
        <f t="shared" si="369"/>
        <v/>
      </c>
      <c r="B2970" s="59" t="str">
        <f t="shared" si="370"/>
        <v/>
      </c>
      <c r="V2970" s="59" t="str">
        <f t="shared" si="371"/>
        <v/>
      </c>
      <c r="W2970" s="59" t="str">
        <f t="shared" si="368"/>
        <v/>
      </c>
      <c r="X2970" s="59" t="str">
        <f t="shared" si="372"/>
        <v/>
      </c>
      <c r="AC2970" s="50">
        <f t="shared" si="373"/>
        <v>0</v>
      </c>
      <c r="AD2970" s="43">
        <f t="shared" si="374"/>
        <v>0</v>
      </c>
      <c r="AE2970" s="50">
        <f t="shared" si="375"/>
        <v>0</v>
      </c>
    </row>
    <row r="2971" spans="1:31">
      <c r="A2971" s="59" t="str">
        <f t="shared" si="369"/>
        <v/>
      </c>
      <c r="B2971" s="59" t="str">
        <f t="shared" si="370"/>
        <v/>
      </c>
      <c r="V2971" s="59" t="str">
        <f t="shared" si="371"/>
        <v/>
      </c>
      <c r="W2971" s="59" t="str">
        <f t="shared" si="368"/>
        <v/>
      </c>
      <c r="X2971" s="59" t="str">
        <f t="shared" si="372"/>
        <v/>
      </c>
      <c r="AC2971" s="50">
        <f t="shared" si="373"/>
        <v>0</v>
      </c>
      <c r="AD2971" s="43">
        <f t="shared" si="374"/>
        <v>0</v>
      </c>
      <c r="AE2971" s="50">
        <f t="shared" si="375"/>
        <v>0</v>
      </c>
    </row>
    <row r="2972" spans="1:31">
      <c r="A2972" s="59" t="str">
        <f t="shared" si="369"/>
        <v/>
      </c>
      <c r="B2972" s="59" t="str">
        <f t="shared" si="370"/>
        <v/>
      </c>
      <c r="V2972" s="59" t="str">
        <f t="shared" si="371"/>
        <v/>
      </c>
      <c r="W2972" s="59" t="str">
        <f t="shared" si="368"/>
        <v/>
      </c>
      <c r="X2972" s="59" t="str">
        <f t="shared" si="372"/>
        <v/>
      </c>
      <c r="AC2972" s="50">
        <f t="shared" si="373"/>
        <v>0</v>
      </c>
      <c r="AD2972" s="43">
        <f t="shared" si="374"/>
        <v>0</v>
      </c>
      <c r="AE2972" s="50">
        <f t="shared" si="375"/>
        <v>0</v>
      </c>
    </row>
    <row r="2973" spans="1:31">
      <c r="A2973" s="59" t="str">
        <f t="shared" si="369"/>
        <v/>
      </c>
      <c r="B2973" s="59" t="str">
        <f t="shared" si="370"/>
        <v/>
      </c>
      <c r="V2973" s="59" t="str">
        <f t="shared" si="371"/>
        <v/>
      </c>
      <c r="W2973" s="59" t="str">
        <f t="shared" si="368"/>
        <v/>
      </c>
      <c r="X2973" s="59" t="str">
        <f t="shared" si="372"/>
        <v/>
      </c>
      <c r="AC2973" s="50">
        <f t="shared" si="373"/>
        <v>0</v>
      </c>
      <c r="AD2973" s="43">
        <f t="shared" si="374"/>
        <v>0</v>
      </c>
      <c r="AE2973" s="50">
        <f t="shared" si="375"/>
        <v>0</v>
      </c>
    </row>
    <row r="2974" spans="1:31">
      <c r="A2974" s="59" t="str">
        <f t="shared" si="369"/>
        <v/>
      </c>
      <c r="B2974" s="59" t="str">
        <f t="shared" si="370"/>
        <v/>
      </c>
      <c r="V2974" s="59" t="str">
        <f t="shared" si="371"/>
        <v/>
      </c>
      <c r="W2974" s="59" t="str">
        <f t="shared" si="368"/>
        <v/>
      </c>
      <c r="X2974" s="59" t="str">
        <f t="shared" si="372"/>
        <v/>
      </c>
      <c r="AC2974" s="50">
        <f t="shared" si="373"/>
        <v>0</v>
      </c>
      <c r="AD2974" s="43">
        <f t="shared" si="374"/>
        <v>0</v>
      </c>
      <c r="AE2974" s="50">
        <f t="shared" si="375"/>
        <v>0</v>
      </c>
    </row>
    <row r="2975" spans="1:31">
      <c r="A2975" s="59" t="str">
        <f t="shared" si="369"/>
        <v/>
      </c>
      <c r="B2975" s="59" t="str">
        <f t="shared" si="370"/>
        <v/>
      </c>
      <c r="V2975" s="59" t="str">
        <f t="shared" si="371"/>
        <v/>
      </c>
      <c r="W2975" s="59" t="str">
        <f t="shared" si="368"/>
        <v/>
      </c>
      <c r="X2975" s="59" t="str">
        <f t="shared" si="372"/>
        <v/>
      </c>
      <c r="AC2975" s="50">
        <f t="shared" si="373"/>
        <v>0</v>
      </c>
      <c r="AD2975" s="43">
        <f t="shared" si="374"/>
        <v>0</v>
      </c>
      <c r="AE2975" s="50">
        <f t="shared" si="375"/>
        <v>0</v>
      </c>
    </row>
    <row r="2976" spans="1:31">
      <c r="A2976" s="59" t="str">
        <f t="shared" si="369"/>
        <v/>
      </c>
      <c r="B2976" s="59" t="str">
        <f t="shared" si="370"/>
        <v/>
      </c>
      <c r="V2976" s="59" t="str">
        <f t="shared" si="371"/>
        <v/>
      </c>
      <c r="W2976" s="59" t="str">
        <f t="shared" si="368"/>
        <v/>
      </c>
      <c r="X2976" s="59" t="str">
        <f t="shared" si="372"/>
        <v/>
      </c>
      <c r="AC2976" s="50">
        <f t="shared" si="373"/>
        <v>0</v>
      </c>
      <c r="AD2976" s="43">
        <f t="shared" si="374"/>
        <v>0</v>
      </c>
      <c r="AE2976" s="50">
        <f t="shared" si="375"/>
        <v>0</v>
      </c>
    </row>
    <row r="2977" spans="1:31">
      <c r="A2977" s="59" t="str">
        <f t="shared" si="369"/>
        <v/>
      </c>
      <c r="B2977" s="59" t="str">
        <f t="shared" si="370"/>
        <v/>
      </c>
      <c r="V2977" s="59" t="str">
        <f t="shared" si="371"/>
        <v/>
      </c>
      <c r="W2977" s="59" t="str">
        <f t="shared" si="368"/>
        <v/>
      </c>
      <c r="X2977" s="59" t="str">
        <f t="shared" si="372"/>
        <v/>
      </c>
      <c r="AC2977" s="50">
        <f t="shared" si="373"/>
        <v>0</v>
      </c>
      <c r="AD2977" s="43">
        <f t="shared" si="374"/>
        <v>0</v>
      </c>
      <c r="AE2977" s="50">
        <f t="shared" si="375"/>
        <v>0</v>
      </c>
    </row>
    <row r="2978" spans="1:31">
      <c r="A2978" s="59" t="str">
        <f t="shared" si="369"/>
        <v/>
      </c>
      <c r="B2978" s="59" t="str">
        <f t="shared" si="370"/>
        <v/>
      </c>
      <c r="V2978" s="59" t="str">
        <f t="shared" si="371"/>
        <v/>
      </c>
      <c r="W2978" s="59" t="str">
        <f t="shared" si="368"/>
        <v/>
      </c>
      <c r="X2978" s="59" t="str">
        <f t="shared" si="372"/>
        <v/>
      </c>
      <c r="AC2978" s="50">
        <f t="shared" si="373"/>
        <v>0</v>
      </c>
      <c r="AD2978" s="43">
        <f t="shared" si="374"/>
        <v>0</v>
      </c>
      <c r="AE2978" s="50">
        <f t="shared" si="375"/>
        <v>0</v>
      </c>
    </row>
    <row r="2979" spans="1:31">
      <c r="A2979" s="59" t="str">
        <f t="shared" si="369"/>
        <v/>
      </c>
      <c r="B2979" s="59" t="str">
        <f t="shared" si="370"/>
        <v/>
      </c>
      <c r="V2979" s="59" t="str">
        <f t="shared" si="371"/>
        <v/>
      </c>
      <c r="W2979" s="59" t="str">
        <f t="shared" si="368"/>
        <v/>
      </c>
      <c r="X2979" s="59" t="str">
        <f t="shared" si="372"/>
        <v/>
      </c>
      <c r="AC2979" s="50">
        <f t="shared" si="373"/>
        <v>0</v>
      </c>
      <c r="AD2979" s="43">
        <f t="shared" si="374"/>
        <v>0</v>
      </c>
      <c r="AE2979" s="50">
        <f t="shared" si="375"/>
        <v>0</v>
      </c>
    </row>
    <row r="2980" spans="1:31">
      <c r="A2980" s="59" t="str">
        <f t="shared" si="369"/>
        <v/>
      </c>
      <c r="B2980" s="59" t="str">
        <f t="shared" si="370"/>
        <v/>
      </c>
      <c r="V2980" s="59" t="str">
        <f t="shared" si="371"/>
        <v/>
      </c>
      <c r="W2980" s="59" t="str">
        <f t="shared" si="368"/>
        <v/>
      </c>
      <c r="X2980" s="59" t="str">
        <f t="shared" si="372"/>
        <v/>
      </c>
      <c r="AC2980" s="50">
        <f t="shared" si="373"/>
        <v>0</v>
      </c>
      <c r="AD2980" s="43">
        <f t="shared" si="374"/>
        <v>0</v>
      </c>
      <c r="AE2980" s="50">
        <f t="shared" si="375"/>
        <v>0</v>
      </c>
    </row>
    <row r="2981" spans="1:31">
      <c r="A2981" s="59" t="str">
        <f t="shared" si="369"/>
        <v/>
      </c>
      <c r="B2981" s="59" t="str">
        <f t="shared" si="370"/>
        <v/>
      </c>
      <c r="V2981" s="59" t="str">
        <f t="shared" si="371"/>
        <v/>
      </c>
      <c r="W2981" s="59" t="str">
        <f t="shared" si="368"/>
        <v/>
      </c>
      <c r="X2981" s="59" t="str">
        <f t="shared" si="372"/>
        <v/>
      </c>
      <c r="AC2981" s="50">
        <f t="shared" si="373"/>
        <v>0</v>
      </c>
      <c r="AD2981" s="43">
        <f t="shared" si="374"/>
        <v>0</v>
      </c>
      <c r="AE2981" s="50">
        <f t="shared" si="375"/>
        <v>0</v>
      </c>
    </row>
    <row r="2982" spans="1:31">
      <c r="A2982" s="59" t="str">
        <f t="shared" si="369"/>
        <v/>
      </c>
      <c r="B2982" s="59" t="str">
        <f t="shared" si="370"/>
        <v/>
      </c>
      <c r="V2982" s="59" t="str">
        <f t="shared" si="371"/>
        <v/>
      </c>
      <c r="W2982" s="59" t="str">
        <f t="shared" si="368"/>
        <v/>
      </c>
      <c r="X2982" s="59" t="str">
        <f t="shared" si="372"/>
        <v/>
      </c>
      <c r="AC2982" s="50">
        <f t="shared" si="373"/>
        <v>0</v>
      </c>
      <c r="AD2982" s="43">
        <f t="shared" si="374"/>
        <v>0</v>
      </c>
      <c r="AE2982" s="50">
        <f t="shared" si="375"/>
        <v>0</v>
      </c>
    </row>
    <row r="2983" spans="1:31">
      <c r="A2983" s="59" t="str">
        <f t="shared" si="369"/>
        <v/>
      </c>
      <c r="B2983" s="59" t="str">
        <f t="shared" si="370"/>
        <v/>
      </c>
      <c r="V2983" s="59" t="str">
        <f t="shared" si="371"/>
        <v/>
      </c>
      <c r="W2983" s="59" t="str">
        <f t="shared" si="368"/>
        <v/>
      </c>
      <c r="X2983" s="59" t="str">
        <f t="shared" si="372"/>
        <v/>
      </c>
      <c r="AC2983" s="50">
        <f t="shared" si="373"/>
        <v>0</v>
      </c>
      <c r="AD2983" s="43">
        <f t="shared" si="374"/>
        <v>0</v>
      </c>
      <c r="AE2983" s="50">
        <f t="shared" si="375"/>
        <v>0</v>
      </c>
    </row>
    <row r="2984" spans="1:31">
      <c r="A2984" s="59" t="str">
        <f t="shared" si="369"/>
        <v/>
      </c>
      <c r="B2984" s="59" t="str">
        <f t="shared" si="370"/>
        <v/>
      </c>
      <c r="V2984" s="59" t="str">
        <f t="shared" si="371"/>
        <v/>
      </c>
      <c r="W2984" s="59" t="str">
        <f t="shared" si="368"/>
        <v/>
      </c>
      <c r="X2984" s="59" t="str">
        <f t="shared" si="372"/>
        <v/>
      </c>
      <c r="AC2984" s="50">
        <f t="shared" si="373"/>
        <v>0</v>
      </c>
      <c r="AD2984" s="43">
        <f t="shared" si="374"/>
        <v>0</v>
      </c>
      <c r="AE2984" s="50">
        <f t="shared" si="375"/>
        <v>0</v>
      </c>
    </row>
    <row r="2985" spans="1:31">
      <c r="A2985" s="59" t="str">
        <f t="shared" si="369"/>
        <v/>
      </c>
      <c r="B2985" s="59" t="str">
        <f t="shared" si="370"/>
        <v/>
      </c>
      <c r="V2985" s="59" t="str">
        <f t="shared" si="371"/>
        <v/>
      </c>
      <c r="W2985" s="59" t="str">
        <f t="shared" si="368"/>
        <v/>
      </c>
      <c r="X2985" s="59" t="str">
        <f t="shared" si="372"/>
        <v/>
      </c>
      <c r="AC2985" s="50">
        <f t="shared" si="373"/>
        <v>0</v>
      </c>
      <c r="AD2985" s="43">
        <f t="shared" si="374"/>
        <v>0</v>
      </c>
      <c r="AE2985" s="50">
        <f t="shared" si="375"/>
        <v>0</v>
      </c>
    </row>
    <row r="2986" spans="1:31">
      <c r="A2986" s="59" t="str">
        <f t="shared" si="369"/>
        <v/>
      </c>
      <c r="B2986" s="59" t="str">
        <f t="shared" si="370"/>
        <v/>
      </c>
      <c r="V2986" s="59" t="str">
        <f t="shared" si="371"/>
        <v/>
      </c>
      <c r="W2986" s="59" t="str">
        <f t="shared" si="368"/>
        <v/>
      </c>
      <c r="X2986" s="59" t="str">
        <f t="shared" si="372"/>
        <v/>
      </c>
      <c r="AC2986" s="50">
        <f t="shared" si="373"/>
        <v>0</v>
      </c>
      <c r="AD2986" s="43">
        <f t="shared" si="374"/>
        <v>0</v>
      </c>
      <c r="AE2986" s="50">
        <f t="shared" si="375"/>
        <v>0</v>
      </c>
    </row>
    <row r="2987" spans="1:31">
      <c r="A2987" s="59" t="str">
        <f t="shared" si="369"/>
        <v/>
      </c>
      <c r="B2987" s="59" t="str">
        <f t="shared" si="370"/>
        <v/>
      </c>
      <c r="V2987" s="59" t="str">
        <f t="shared" si="371"/>
        <v/>
      </c>
      <c r="W2987" s="59" t="str">
        <f t="shared" si="368"/>
        <v/>
      </c>
      <c r="X2987" s="59" t="str">
        <f t="shared" si="372"/>
        <v/>
      </c>
      <c r="AC2987" s="50">
        <f t="shared" si="373"/>
        <v>0</v>
      </c>
      <c r="AD2987" s="43">
        <f t="shared" si="374"/>
        <v>0</v>
      </c>
      <c r="AE2987" s="50">
        <f t="shared" si="375"/>
        <v>0</v>
      </c>
    </row>
    <row r="2988" spans="1:31">
      <c r="A2988" s="59" t="str">
        <f t="shared" si="369"/>
        <v/>
      </c>
      <c r="B2988" s="59" t="str">
        <f t="shared" si="370"/>
        <v/>
      </c>
      <c r="V2988" s="59" t="str">
        <f t="shared" si="371"/>
        <v/>
      </c>
      <c r="W2988" s="59" t="str">
        <f t="shared" si="368"/>
        <v/>
      </c>
      <c r="X2988" s="59" t="str">
        <f t="shared" si="372"/>
        <v/>
      </c>
      <c r="AC2988" s="50">
        <f t="shared" si="373"/>
        <v>0</v>
      </c>
      <c r="AD2988" s="43">
        <f t="shared" si="374"/>
        <v>0</v>
      </c>
      <c r="AE2988" s="50">
        <f t="shared" si="375"/>
        <v>0</v>
      </c>
    </row>
    <row r="2989" spans="1:31">
      <c r="A2989" s="59" t="str">
        <f t="shared" si="369"/>
        <v/>
      </c>
      <c r="B2989" s="59" t="str">
        <f t="shared" si="370"/>
        <v/>
      </c>
      <c r="V2989" s="59" t="str">
        <f t="shared" si="371"/>
        <v/>
      </c>
      <c r="W2989" s="59" t="str">
        <f t="shared" si="368"/>
        <v/>
      </c>
      <c r="X2989" s="59" t="str">
        <f t="shared" si="372"/>
        <v/>
      </c>
      <c r="AC2989" s="50">
        <f t="shared" si="373"/>
        <v>0</v>
      </c>
      <c r="AD2989" s="43">
        <f t="shared" si="374"/>
        <v>0</v>
      </c>
      <c r="AE2989" s="50">
        <f t="shared" si="375"/>
        <v>0</v>
      </c>
    </row>
    <row r="2990" spans="1:31">
      <c r="A2990" s="59" t="str">
        <f t="shared" si="369"/>
        <v/>
      </c>
      <c r="B2990" s="59" t="str">
        <f t="shared" si="370"/>
        <v/>
      </c>
      <c r="V2990" s="59" t="str">
        <f t="shared" si="371"/>
        <v/>
      </c>
      <c r="W2990" s="59" t="str">
        <f t="shared" si="368"/>
        <v/>
      </c>
      <c r="X2990" s="59" t="str">
        <f t="shared" si="372"/>
        <v/>
      </c>
      <c r="AC2990" s="50">
        <f t="shared" si="373"/>
        <v>0</v>
      </c>
      <c r="AD2990" s="43">
        <f t="shared" si="374"/>
        <v>0</v>
      </c>
      <c r="AE2990" s="50">
        <f t="shared" si="375"/>
        <v>0</v>
      </c>
    </row>
    <row r="2991" spans="1:31">
      <c r="A2991" s="59" t="str">
        <f t="shared" si="369"/>
        <v/>
      </c>
      <c r="B2991" s="59" t="str">
        <f t="shared" si="370"/>
        <v/>
      </c>
      <c r="V2991" s="59" t="str">
        <f t="shared" si="371"/>
        <v/>
      </c>
      <c r="W2991" s="59" t="str">
        <f t="shared" si="368"/>
        <v/>
      </c>
      <c r="X2991" s="59" t="str">
        <f t="shared" si="372"/>
        <v/>
      </c>
      <c r="AC2991" s="50">
        <f t="shared" si="373"/>
        <v>0</v>
      </c>
      <c r="AD2991" s="43">
        <f t="shared" si="374"/>
        <v>0</v>
      </c>
      <c r="AE2991" s="50">
        <f t="shared" si="375"/>
        <v>0</v>
      </c>
    </row>
    <row r="2992" spans="1:31">
      <c r="A2992" s="59" t="str">
        <f t="shared" si="369"/>
        <v/>
      </c>
      <c r="B2992" s="59" t="str">
        <f t="shared" si="370"/>
        <v/>
      </c>
      <c r="V2992" s="59" t="str">
        <f t="shared" si="371"/>
        <v/>
      </c>
      <c r="W2992" s="59" t="str">
        <f t="shared" si="368"/>
        <v/>
      </c>
      <c r="X2992" s="59" t="str">
        <f t="shared" si="372"/>
        <v/>
      </c>
      <c r="AC2992" s="50">
        <f t="shared" si="373"/>
        <v>0</v>
      </c>
      <c r="AD2992" s="43">
        <f t="shared" si="374"/>
        <v>0</v>
      </c>
      <c r="AE2992" s="50">
        <f t="shared" si="375"/>
        <v>0</v>
      </c>
    </row>
    <row r="2993" spans="1:31">
      <c r="A2993" s="59" t="str">
        <f t="shared" si="369"/>
        <v/>
      </c>
      <c r="B2993" s="59" t="str">
        <f t="shared" si="370"/>
        <v/>
      </c>
      <c r="V2993" s="59" t="str">
        <f t="shared" si="371"/>
        <v/>
      </c>
      <c r="W2993" s="59" t="str">
        <f t="shared" si="368"/>
        <v/>
      </c>
      <c r="X2993" s="59" t="str">
        <f t="shared" si="372"/>
        <v/>
      </c>
      <c r="AC2993" s="50">
        <f t="shared" si="373"/>
        <v>0</v>
      </c>
      <c r="AD2993" s="43">
        <f t="shared" si="374"/>
        <v>0</v>
      </c>
      <c r="AE2993" s="50">
        <f t="shared" si="375"/>
        <v>0</v>
      </c>
    </row>
    <row r="2994" spans="1:31">
      <c r="A2994" s="59" t="str">
        <f t="shared" si="369"/>
        <v/>
      </c>
      <c r="B2994" s="59" t="str">
        <f t="shared" si="370"/>
        <v/>
      </c>
      <c r="V2994" s="59" t="str">
        <f t="shared" si="371"/>
        <v/>
      </c>
      <c r="W2994" s="59" t="str">
        <f t="shared" si="368"/>
        <v/>
      </c>
      <c r="X2994" s="59" t="str">
        <f t="shared" si="372"/>
        <v/>
      </c>
      <c r="AC2994" s="50">
        <f t="shared" si="373"/>
        <v>0</v>
      </c>
      <c r="AD2994" s="43">
        <f t="shared" si="374"/>
        <v>0</v>
      </c>
      <c r="AE2994" s="50">
        <f t="shared" si="375"/>
        <v>0</v>
      </c>
    </row>
    <row r="2995" spans="1:31">
      <c r="A2995" s="59" t="str">
        <f t="shared" si="369"/>
        <v/>
      </c>
      <c r="B2995" s="59" t="str">
        <f t="shared" si="370"/>
        <v/>
      </c>
      <c r="V2995" s="59" t="str">
        <f t="shared" si="371"/>
        <v/>
      </c>
      <c r="W2995" s="59" t="str">
        <f t="shared" si="368"/>
        <v/>
      </c>
      <c r="X2995" s="59" t="str">
        <f t="shared" si="372"/>
        <v/>
      </c>
      <c r="AC2995" s="50">
        <f t="shared" si="373"/>
        <v>0</v>
      </c>
      <c r="AD2995" s="43">
        <f t="shared" si="374"/>
        <v>0</v>
      </c>
      <c r="AE2995" s="50">
        <f t="shared" si="375"/>
        <v>0</v>
      </c>
    </row>
    <row r="2996" spans="1:31">
      <c r="A2996" s="59" t="str">
        <f t="shared" si="369"/>
        <v/>
      </c>
      <c r="B2996" s="59" t="str">
        <f t="shared" si="370"/>
        <v/>
      </c>
      <c r="V2996" s="59" t="str">
        <f t="shared" si="371"/>
        <v/>
      </c>
      <c r="W2996" s="59" t="str">
        <f t="shared" si="368"/>
        <v/>
      </c>
      <c r="X2996" s="59" t="str">
        <f t="shared" si="372"/>
        <v/>
      </c>
      <c r="AC2996" s="50">
        <f t="shared" si="373"/>
        <v>0</v>
      </c>
      <c r="AD2996" s="43">
        <f t="shared" si="374"/>
        <v>0</v>
      </c>
      <c r="AE2996" s="50">
        <f t="shared" si="375"/>
        <v>0</v>
      </c>
    </row>
    <row r="2997" spans="1:31">
      <c r="A2997" s="59" t="str">
        <f t="shared" si="369"/>
        <v/>
      </c>
      <c r="B2997" s="59" t="str">
        <f t="shared" si="370"/>
        <v/>
      </c>
      <c r="V2997" s="59" t="str">
        <f t="shared" si="371"/>
        <v/>
      </c>
      <c r="W2997" s="59" t="str">
        <f t="shared" si="368"/>
        <v/>
      </c>
      <c r="X2997" s="59" t="str">
        <f t="shared" si="372"/>
        <v/>
      </c>
      <c r="AC2997" s="50">
        <f t="shared" si="373"/>
        <v>0</v>
      </c>
      <c r="AD2997" s="43">
        <f t="shared" si="374"/>
        <v>0</v>
      </c>
      <c r="AE2997" s="50">
        <f t="shared" si="375"/>
        <v>0</v>
      </c>
    </row>
    <row r="2998" spans="1:31">
      <c r="A2998" s="59" t="str">
        <f t="shared" si="369"/>
        <v/>
      </c>
      <c r="B2998" s="59" t="str">
        <f t="shared" si="370"/>
        <v/>
      </c>
      <c r="V2998" s="59" t="str">
        <f t="shared" si="371"/>
        <v/>
      </c>
      <c r="W2998" s="59" t="str">
        <f t="shared" si="368"/>
        <v/>
      </c>
      <c r="X2998" s="59" t="str">
        <f t="shared" si="372"/>
        <v/>
      </c>
      <c r="AC2998" s="50">
        <f t="shared" si="373"/>
        <v>0</v>
      </c>
      <c r="AD2998" s="43">
        <f t="shared" si="374"/>
        <v>0</v>
      </c>
      <c r="AE2998" s="50">
        <f t="shared" si="375"/>
        <v>0</v>
      </c>
    </row>
    <row r="2999" spans="1:31">
      <c r="A2999" s="59" t="str">
        <f t="shared" si="369"/>
        <v/>
      </c>
      <c r="B2999" s="59" t="str">
        <f t="shared" si="370"/>
        <v/>
      </c>
      <c r="V2999" s="59" t="str">
        <f t="shared" si="371"/>
        <v/>
      </c>
      <c r="W2999" s="59" t="str">
        <f t="shared" si="368"/>
        <v/>
      </c>
      <c r="X2999" s="59" t="str">
        <f t="shared" si="372"/>
        <v/>
      </c>
      <c r="AC2999" s="50">
        <f t="shared" si="373"/>
        <v>0</v>
      </c>
      <c r="AD2999" s="43">
        <f t="shared" si="374"/>
        <v>0</v>
      </c>
      <c r="AE2999" s="50">
        <f t="shared" si="375"/>
        <v>0</v>
      </c>
    </row>
    <row r="3000" spans="1:31">
      <c r="A3000" s="59" t="str">
        <f t="shared" si="369"/>
        <v/>
      </c>
      <c r="B3000" s="59" t="str">
        <f t="shared" si="370"/>
        <v/>
      </c>
      <c r="V3000" s="59" t="str">
        <f t="shared" si="371"/>
        <v/>
      </c>
      <c r="W3000" s="59" t="str">
        <f t="shared" si="368"/>
        <v/>
      </c>
      <c r="X3000" s="59" t="str">
        <f t="shared" si="372"/>
        <v/>
      </c>
      <c r="AC3000" s="50">
        <f t="shared" si="373"/>
        <v>0</v>
      </c>
      <c r="AD3000" s="43">
        <f t="shared" si="374"/>
        <v>0</v>
      </c>
      <c r="AE3000" s="50">
        <f t="shared" si="375"/>
        <v>0</v>
      </c>
    </row>
    <row r="3001" spans="1:31">
      <c r="A3001" s="59" t="str">
        <f t="shared" si="369"/>
        <v/>
      </c>
      <c r="B3001" s="59" t="str">
        <f t="shared" si="370"/>
        <v/>
      </c>
      <c r="V3001" s="59" t="str">
        <f t="shared" si="371"/>
        <v/>
      </c>
      <c r="W3001" s="59" t="str">
        <f t="shared" si="368"/>
        <v/>
      </c>
      <c r="X3001" s="59" t="str">
        <f t="shared" si="372"/>
        <v/>
      </c>
      <c r="AC3001" s="50">
        <f t="shared" si="373"/>
        <v>0</v>
      </c>
      <c r="AD3001" s="43">
        <f t="shared" si="374"/>
        <v>0</v>
      </c>
      <c r="AE3001" s="50">
        <f t="shared" si="375"/>
        <v>0</v>
      </c>
    </row>
    <row r="3002" spans="1:31">
      <c r="A3002" s="59" t="str">
        <f t="shared" si="369"/>
        <v/>
      </c>
      <c r="B3002" s="59" t="str">
        <f t="shared" si="370"/>
        <v/>
      </c>
      <c r="V3002" s="59" t="str">
        <f t="shared" si="371"/>
        <v/>
      </c>
      <c r="W3002" s="59" t="str">
        <f t="shared" si="368"/>
        <v/>
      </c>
      <c r="X3002" s="59" t="str">
        <f t="shared" si="372"/>
        <v/>
      </c>
      <c r="AC3002" s="50">
        <f t="shared" si="373"/>
        <v>0</v>
      </c>
      <c r="AD3002" s="43">
        <f t="shared" si="374"/>
        <v>0</v>
      </c>
      <c r="AE3002" s="50">
        <f t="shared" si="375"/>
        <v>0</v>
      </c>
    </row>
    <row r="3003" spans="1:31">
      <c r="A3003" s="59" t="str">
        <f t="shared" si="369"/>
        <v/>
      </c>
      <c r="B3003" s="59" t="str">
        <f t="shared" si="370"/>
        <v/>
      </c>
      <c r="V3003" s="59" t="str">
        <f t="shared" si="371"/>
        <v/>
      </c>
      <c r="W3003" s="59" t="str">
        <f t="shared" si="368"/>
        <v/>
      </c>
      <c r="X3003" s="59" t="str">
        <f t="shared" si="372"/>
        <v/>
      </c>
      <c r="AC3003" s="50">
        <f t="shared" si="373"/>
        <v>0</v>
      </c>
      <c r="AD3003" s="43">
        <f t="shared" si="374"/>
        <v>0</v>
      </c>
      <c r="AE3003" s="50">
        <f t="shared" si="375"/>
        <v>0</v>
      </c>
    </row>
    <row r="3004" spans="1:31">
      <c r="A3004" s="59" t="str">
        <f t="shared" si="369"/>
        <v/>
      </c>
      <c r="B3004" s="59" t="str">
        <f t="shared" si="370"/>
        <v/>
      </c>
      <c r="V3004" s="59" t="str">
        <f t="shared" si="371"/>
        <v/>
      </c>
      <c r="W3004" s="59" t="str">
        <f t="shared" si="368"/>
        <v/>
      </c>
      <c r="X3004" s="59" t="str">
        <f t="shared" si="372"/>
        <v/>
      </c>
      <c r="AC3004" s="50">
        <f t="shared" si="373"/>
        <v>0</v>
      </c>
      <c r="AD3004" s="43">
        <f t="shared" si="374"/>
        <v>0</v>
      </c>
      <c r="AE3004" s="50">
        <f t="shared" si="375"/>
        <v>0</v>
      </c>
    </row>
    <row r="3005" spans="1:31">
      <c r="A3005" s="59" t="str">
        <f t="shared" si="369"/>
        <v/>
      </c>
      <c r="B3005" s="59" t="str">
        <f t="shared" si="370"/>
        <v/>
      </c>
      <c r="V3005" s="59" t="str">
        <f t="shared" si="371"/>
        <v/>
      </c>
      <c r="W3005" s="59" t="str">
        <f t="shared" si="368"/>
        <v/>
      </c>
      <c r="X3005" s="59" t="str">
        <f t="shared" si="372"/>
        <v/>
      </c>
      <c r="AC3005" s="50">
        <f t="shared" si="373"/>
        <v>0</v>
      </c>
      <c r="AD3005" s="43">
        <f t="shared" si="374"/>
        <v>0</v>
      </c>
      <c r="AE3005" s="50">
        <f t="shared" si="375"/>
        <v>0</v>
      </c>
    </row>
    <row r="3006" spans="1:31">
      <c r="A3006" s="59" t="str">
        <f t="shared" si="369"/>
        <v/>
      </c>
      <c r="B3006" s="59" t="str">
        <f t="shared" si="370"/>
        <v/>
      </c>
      <c r="V3006" s="59" t="str">
        <f t="shared" si="371"/>
        <v/>
      </c>
      <c r="W3006" s="59" t="str">
        <f t="shared" si="368"/>
        <v/>
      </c>
      <c r="X3006" s="59" t="str">
        <f t="shared" si="372"/>
        <v/>
      </c>
      <c r="AC3006" s="50">
        <f t="shared" si="373"/>
        <v>0</v>
      </c>
      <c r="AD3006" s="43">
        <f t="shared" si="374"/>
        <v>0</v>
      </c>
      <c r="AE3006" s="50">
        <f t="shared" si="375"/>
        <v>0</v>
      </c>
    </row>
    <row r="3007" spans="1:31">
      <c r="A3007" s="59" t="str">
        <f t="shared" si="369"/>
        <v/>
      </c>
      <c r="B3007" s="59" t="str">
        <f t="shared" si="370"/>
        <v/>
      </c>
      <c r="V3007" s="59" t="str">
        <f t="shared" si="371"/>
        <v/>
      </c>
      <c r="W3007" s="59" t="str">
        <f t="shared" si="368"/>
        <v/>
      </c>
      <c r="X3007" s="59" t="str">
        <f t="shared" si="372"/>
        <v/>
      </c>
      <c r="AC3007" s="50">
        <f t="shared" si="373"/>
        <v>0</v>
      </c>
      <c r="AD3007" s="43">
        <f t="shared" si="374"/>
        <v>0</v>
      </c>
      <c r="AE3007" s="50">
        <f t="shared" si="375"/>
        <v>0</v>
      </c>
    </row>
    <row r="3008" spans="1:31">
      <c r="A3008" s="59" t="str">
        <f t="shared" si="369"/>
        <v/>
      </c>
      <c r="B3008" s="59" t="str">
        <f t="shared" si="370"/>
        <v/>
      </c>
      <c r="V3008" s="59" t="str">
        <f t="shared" si="371"/>
        <v/>
      </c>
      <c r="W3008" s="59" t="str">
        <f t="shared" si="368"/>
        <v/>
      </c>
      <c r="X3008" s="59" t="str">
        <f t="shared" si="372"/>
        <v/>
      </c>
      <c r="AC3008" s="50">
        <f t="shared" si="373"/>
        <v>0</v>
      </c>
      <c r="AD3008" s="43">
        <f t="shared" si="374"/>
        <v>0</v>
      </c>
      <c r="AE3008" s="50">
        <f t="shared" si="375"/>
        <v>0</v>
      </c>
    </row>
    <row r="3009" spans="1:31">
      <c r="A3009" s="59" t="str">
        <f t="shared" si="369"/>
        <v/>
      </c>
      <c r="B3009" s="59" t="str">
        <f t="shared" si="370"/>
        <v/>
      </c>
      <c r="V3009" s="59" t="str">
        <f t="shared" si="371"/>
        <v/>
      </c>
      <c r="W3009" s="59" t="str">
        <f t="shared" si="368"/>
        <v/>
      </c>
      <c r="X3009" s="59" t="str">
        <f t="shared" si="372"/>
        <v/>
      </c>
      <c r="AC3009" s="50">
        <f t="shared" si="373"/>
        <v>0</v>
      </c>
      <c r="AD3009" s="43">
        <f t="shared" si="374"/>
        <v>0</v>
      </c>
      <c r="AE3009" s="50">
        <f t="shared" si="375"/>
        <v>0</v>
      </c>
    </row>
    <row r="3010" spans="1:31">
      <c r="A3010" s="59" t="str">
        <f t="shared" si="369"/>
        <v/>
      </c>
      <c r="B3010" s="59" t="str">
        <f t="shared" si="370"/>
        <v/>
      </c>
      <c r="V3010" s="59" t="str">
        <f t="shared" si="371"/>
        <v/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59" t="str">
        <f t="shared" si="372"/>
        <v/>
      </c>
      <c r="AC3010" s="50">
        <f t="shared" si="373"/>
        <v>0</v>
      </c>
      <c r="AD3010" s="43">
        <f t="shared" si="374"/>
        <v>0</v>
      </c>
      <c r="AE3010" s="50">
        <f t="shared" si="375"/>
        <v>0</v>
      </c>
    </row>
    <row r="3011" spans="1:31">
      <c r="A3011" s="59" t="str">
        <f t="shared" ref="A3011:A3074" si="377">IF(G3011&amp;Q3011&lt;&gt;"",W3011&amp;Q3011,"")</f>
        <v/>
      </c>
      <c r="B3011" s="59" t="str">
        <f t="shared" ref="B3011:B3074" si="378">IF(C3011&lt;&gt;"",LEFT(C3011,9),"")</f>
        <v/>
      </c>
      <c r="V3011" s="59" t="str">
        <f t="shared" ref="V3011:V3074" si="379">W3011&amp;H3011</f>
        <v/>
      </c>
      <c r="W3011" s="59" t="str">
        <f t="shared" si="376"/>
        <v/>
      </c>
      <c r="X3011" s="59" t="str">
        <f t="shared" ref="X3011:X3074" si="380">IF(A3011&lt;&gt;"",IFERROR(IF(FIND(" ",G3011)&gt;=1,MID(G3011,FIND(" ",G3011)+1,LEN(G3011)),""),""),"")</f>
        <v/>
      </c>
      <c r="AC3011" s="50">
        <f t="shared" ref="AC3011:AC3074" si="381">IFERROR(VALUE(MID($C3011,1,2)),0)</f>
        <v>0</v>
      </c>
      <c r="AD3011" s="43">
        <f t="shared" ref="AD3011:AD3074" si="382">IFERROR(VALUE(MID($C3011,4,3)),0)</f>
        <v>0</v>
      </c>
      <c r="AE3011" s="50">
        <f t="shared" ref="AE3011:AE3074" si="383">VALUE(RIGHT("00"&amp;AC3011,2)&amp;RIGHT("000"&amp;AD3011,3))</f>
        <v>0</v>
      </c>
    </row>
    <row r="3012" spans="1:31">
      <c r="A3012" s="59" t="str">
        <f t="shared" si="377"/>
        <v/>
      </c>
      <c r="B3012" s="59" t="str">
        <f t="shared" si="378"/>
        <v/>
      </c>
      <c r="V3012" s="59" t="str">
        <f t="shared" si="379"/>
        <v/>
      </c>
      <c r="W3012" s="59" t="str">
        <f t="shared" si="376"/>
        <v/>
      </c>
      <c r="X3012" s="59" t="str">
        <f t="shared" si="380"/>
        <v/>
      </c>
      <c r="AC3012" s="50">
        <f t="shared" si="381"/>
        <v>0</v>
      </c>
      <c r="AD3012" s="43">
        <f t="shared" si="382"/>
        <v>0</v>
      </c>
      <c r="AE3012" s="50">
        <f t="shared" si="383"/>
        <v>0</v>
      </c>
    </row>
    <row r="3013" spans="1:31">
      <c r="A3013" s="59" t="str">
        <f t="shared" si="377"/>
        <v/>
      </c>
      <c r="B3013" s="59" t="str">
        <f t="shared" si="378"/>
        <v/>
      </c>
      <c r="V3013" s="59" t="str">
        <f t="shared" si="379"/>
        <v/>
      </c>
      <c r="W3013" s="59" t="str">
        <f t="shared" si="376"/>
        <v/>
      </c>
      <c r="X3013" s="59" t="str">
        <f t="shared" si="380"/>
        <v/>
      </c>
      <c r="AC3013" s="50">
        <f t="shared" si="381"/>
        <v>0</v>
      </c>
      <c r="AD3013" s="43">
        <f t="shared" si="382"/>
        <v>0</v>
      </c>
      <c r="AE3013" s="50">
        <f t="shared" si="383"/>
        <v>0</v>
      </c>
    </row>
    <row r="3014" spans="1:31">
      <c r="A3014" s="59" t="str">
        <f t="shared" si="377"/>
        <v/>
      </c>
      <c r="B3014" s="59" t="str">
        <f t="shared" si="378"/>
        <v/>
      </c>
      <c r="V3014" s="59" t="str">
        <f t="shared" si="379"/>
        <v/>
      </c>
      <c r="W3014" s="59" t="str">
        <f t="shared" si="376"/>
        <v/>
      </c>
      <c r="X3014" s="59" t="str">
        <f t="shared" si="380"/>
        <v/>
      </c>
      <c r="AC3014" s="50">
        <f t="shared" si="381"/>
        <v>0</v>
      </c>
      <c r="AD3014" s="43">
        <f t="shared" si="382"/>
        <v>0</v>
      </c>
      <c r="AE3014" s="50">
        <f t="shared" si="383"/>
        <v>0</v>
      </c>
    </row>
    <row r="3015" spans="1:31">
      <c r="A3015" s="59" t="str">
        <f t="shared" si="377"/>
        <v/>
      </c>
      <c r="B3015" s="59" t="str">
        <f t="shared" si="378"/>
        <v/>
      </c>
      <c r="V3015" s="59" t="str">
        <f t="shared" si="379"/>
        <v/>
      </c>
      <c r="W3015" s="59" t="str">
        <f t="shared" si="376"/>
        <v/>
      </c>
      <c r="X3015" s="59" t="str">
        <f t="shared" si="380"/>
        <v/>
      </c>
      <c r="AC3015" s="50">
        <f t="shared" si="381"/>
        <v>0</v>
      </c>
      <c r="AD3015" s="43">
        <f t="shared" si="382"/>
        <v>0</v>
      </c>
      <c r="AE3015" s="50">
        <f t="shared" si="383"/>
        <v>0</v>
      </c>
    </row>
    <row r="3016" spans="1:31">
      <c r="A3016" s="59" t="str">
        <f t="shared" si="377"/>
        <v/>
      </c>
      <c r="B3016" s="59" t="str">
        <f t="shared" si="378"/>
        <v/>
      </c>
      <c r="V3016" s="59" t="str">
        <f t="shared" si="379"/>
        <v/>
      </c>
      <c r="W3016" s="59" t="str">
        <f t="shared" si="376"/>
        <v/>
      </c>
      <c r="X3016" s="59" t="str">
        <f t="shared" si="380"/>
        <v/>
      </c>
      <c r="AC3016" s="50">
        <f t="shared" si="381"/>
        <v>0</v>
      </c>
      <c r="AD3016" s="43">
        <f t="shared" si="382"/>
        <v>0</v>
      </c>
      <c r="AE3016" s="50">
        <f t="shared" si="383"/>
        <v>0</v>
      </c>
    </row>
    <row r="3017" spans="1:31">
      <c r="A3017" s="59" t="str">
        <f t="shared" si="377"/>
        <v/>
      </c>
      <c r="B3017" s="59" t="str">
        <f t="shared" si="378"/>
        <v/>
      </c>
      <c r="V3017" s="59" t="str">
        <f t="shared" si="379"/>
        <v/>
      </c>
      <c r="W3017" s="59" t="str">
        <f t="shared" si="376"/>
        <v/>
      </c>
      <c r="X3017" s="59" t="str">
        <f t="shared" si="380"/>
        <v/>
      </c>
      <c r="AC3017" s="50">
        <f t="shared" si="381"/>
        <v>0</v>
      </c>
      <c r="AD3017" s="43">
        <f t="shared" si="382"/>
        <v>0</v>
      </c>
      <c r="AE3017" s="50">
        <f t="shared" si="383"/>
        <v>0</v>
      </c>
    </row>
    <row r="3018" spans="1:31">
      <c r="A3018" s="59" t="str">
        <f t="shared" si="377"/>
        <v/>
      </c>
      <c r="B3018" s="59" t="str">
        <f t="shared" si="378"/>
        <v/>
      </c>
      <c r="V3018" s="59" t="str">
        <f t="shared" si="379"/>
        <v/>
      </c>
      <c r="W3018" s="59" t="str">
        <f t="shared" si="376"/>
        <v/>
      </c>
      <c r="X3018" s="59" t="str">
        <f t="shared" si="380"/>
        <v/>
      </c>
      <c r="AC3018" s="50">
        <f t="shared" si="381"/>
        <v>0</v>
      </c>
      <c r="AD3018" s="43">
        <f t="shared" si="382"/>
        <v>0</v>
      </c>
      <c r="AE3018" s="50">
        <f t="shared" si="383"/>
        <v>0</v>
      </c>
    </row>
    <row r="3019" spans="1:31">
      <c r="A3019" s="59" t="str">
        <f t="shared" si="377"/>
        <v/>
      </c>
      <c r="B3019" s="59" t="str">
        <f t="shared" si="378"/>
        <v/>
      </c>
      <c r="V3019" s="59" t="str">
        <f t="shared" si="379"/>
        <v/>
      </c>
      <c r="W3019" s="59" t="str">
        <f t="shared" si="376"/>
        <v/>
      </c>
      <c r="X3019" s="59" t="str">
        <f t="shared" si="380"/>
        <v/>
      </c>
      <c r="AC3019" s="50">
        <f t="shared" si="381"/>
        <v>0</v>
      </c>
      <c r="AD3019" s="43">
        <f t="shared" si="382"/>
        <v>0</v>
      </c>
      <c r="AE3019" s="50">
        <f t="shared" si="383"/>
        <v>0</v>
      </c>
    </row>
    <row r="3020" spans="1:31">
      <c r="A3020" s="59" t="str">
        <f t="shared" si="377"/>
        <v/>
      </c>
      <c r="B3020" s="59" t="str">
        <f t="shared" si="378"/>
        <v/>
      </c>
      <c r="V3020" s="59" t="str">
        <f t="shared" si="379"/>
        <v/>
      </c>
      <c r="W3020" s="59" t="str">
        <f t="shared" si="376"/>
        <v/>
      </c>
      <c r="X3020" s="59" t="str">
        <f t="shared" si="380"/>
        <v/>
      </c>
      <c r="AC3020" s="50">
        <f t="shared" si="381"/>
        <v>0</v>
      </c>
      <c r="AD3020" s="43">
        <f t="shared" si="382"/>
        <v>0</v>
      </c>
      <c r="AE3020" s="50">
        <f t="shared" si="383"/>
        <v>0</v>
      </c>
    </row>
    <row r="3021" spans="1:31">
      <c r="A3021" s="59" t="str">
        <f t="shared" si="377"/>
        <v/>
      </c>
      <c r="B3021" s="59" t="str">
        <f t="shared" si="378"/>
        <v/>
      </c>
      <c r="V3021" s="59" t="str">
        <f t="shared" si="379"/>
        <v/>
      </c>
      <c r="W3021" s="59" t="str">
        <f t="shared" si="376"/>
        <v/>
      </c>
      <c r="X3021" s="59" t="str">
        <f t="shared" si="380"/>
        <v/>
      </c>
      <c r="AC3021" s="50">
        <f t="shared" si="381"/>
        <v>0</v>
      </c>
      <c r="AD3021" s="43">
        <f t="shared" si="382"/>
        <v>0</v>
      </c>
      <c r="AE3021" s="50">
        <f t="shared" si="383"/>
        <v>0</v>
      </c>
    </row>
    <row r="3022" spans="1:31">
      <c r="A3022" s="59" t="str">
        <f t="shared" si="377"/>
        <v/>
      </c>
      <c r="B3022" s="59" t="str">
        <f t="shared" si="378"/>
        <v/>
      </c>
      <c r="V3022" s="59" t="str">
        <f t="shared" si="379"/>
        <v/>
      </c>
      <c r="W3022" s="59" t="str">
        <f t="shared" si="376"/>
        <v/>
      </c>
      <c r="X3022" s="59" t="str">
        <f t="shared" si="380"/>
        <v/>
      </c>
      <c r="AC3022" s="50">
        <f t="shared" si="381"/>
        <v>0</v>
      </c>
      <c r="AD3022" s="43">
        <f t="shared" si="382"/>
        <v>0</v>
      </c>
      <c r="AE3022" s="50">
        <f t="shared" si="383"/>
        <v>0</v>
      </c>
    </row>
    <row r="3023" spans="1:31">
      <c r="A3023" s="59" t="str">
        <f t="shared" si="377"/>
        <v/>
      </c>
      <c r="B3023" s="59" t="str">
        <f t="shared" si="378"/>
        <v/>
      </c>
      <c r="V3023" s="59" t="str">
        <f t="shared" si="379"/>
        <v/>
      </c>
      <c r="W3023" s="59" t="str">
        <f t="shared" si="376"/>
        <v/>
      </c>
      <c r="X3023" s="59" t="str">
        <f t="shared" si="380"/>
        <v/>
      </c>
      <c r="AC3023" s="50">
        <f t="shared" si="381"/>
        <v>0</v>
      </c>
      <c r="AD3023" s="43">
        <f t="shared" si="382"/>
        <v>0</v>
      </c>
      <c r="AE3023" s="50">
        <f t="shared" si="383"/>
        <v>0</v>
      </c>
    </row>
    <row r="3024" spans="1:31">
      <c r="A3024" s="59" t="str">
        <f t="shared" si="377"/>
        <v/>
      </c>
      <c r="B3024" s="59" t="str">
        <f t="shared" si="378"/>
        <v/>
      </c>
      <c r="V3024" s="59" t="str">
        <f t="shared" si="379"/>
        <v/>
      </c>
      <c r="W3024" s="59" t="str">
        <f t="shared" si="376"/>
        <v/>
      </c>
      <c r="X3024" s="59" t="str">
        <f t="shared" si="380"/>
        <v/>
      </c>
      <c r="AC3024" s="50">
        <f t="shared" si="381"/>
        <v>0</v>
      </c>
      <c r="AD3024" s="43">
        <f t="shared" si="382"/>
        <v>0</v>
      </c>
      <c r="AE3024" s="50">
        <f t="shared" si="383"/>
        <v>0</v>
      </c>
    </row>
    <row r="3025" spans="1:31">
      <c r="A3025" s="59" t="str">
        <f t="shared" si="377"/>
        <v/>
      </c>
      <c r="B3025" s="59" t="str">
        <f t="shared" si="378"/>
        <v/>
      </c>
      <c r="V3025" s="59" t="str">
        <f t="shared" si="379"/>
        <v/>
      </c>
      <c r="W3025" s="59" t="str">
        <f t="shared" si="376"/>
        <v/>
      </c>
      <c r="X3025" s="59" t="str">
        <f t="shared" si="380"/>
        <v/>
      </c>
      <c r="AC3025" s="50">
        <f t="shared" si="381"/>
        <v>0</v>
      </c>
      <c r="AD3025" s="43">
        <f t="shared" si="382"/>
        <v>0</v>
      </c>
      <c r="AE3025" s="50">
        <f t="shared" si="383"/>
        <v>0</v>
      </c>
    </row>
    <row r="3026" spans="1:31">
      <c r="A3026" s="59" t="str">
        <f t="shared" si="377"/>
        <v/>
      </c>
      <c r="B3026" s="59" t="str">
        <f t="shared" si="378"/>
        <v/>
      </c>
      <c r="V3026" s="59" t="str">
        <f t="shared" si="379"/>
        <v/>
      </c>
      <c r="W3026" s="59" t="str">
        <f t="shared" si="376"/>
        <v/>
      </c>
      <c r="X3026" s="59" t="str">
        <f t="shared" si="380"/>
        <v/>
      </c>
      <c r="AC3026" s="50">
        <f t="shared" si="381"/>
        <v>0</v>
      </c>
      <c r="AD3026" s="43">
        <f t="shared" si="382"/>
        <v>0</v>
      </c>
      <c r="AE3026" s="50">
        <f t="shared" si="383"/>
        <v>0</v>
      </c>
    </row>
    <row r="3027" spans="1:31">
      <c r="A3027" s="59" t="str">
        <f t="shared" si="377"/>
        <v/>
      </c>
      <c r="B3027" s="59" t="str">
        <f t="shared" si="378"/>
        <v/>
      </c>
      <c r="V3027" s="59" t="str">
        <f t="shared" si="379"/>
        <v/>
      </c>
      <c r="W3027" s="59" t="str">
        <f t="shared" si="376"/>
        <v/>
      </c>
      <c r="X3027" s="59" t="str">
        <f t="shared" si="380"/>
        <v/>
      </c>
      <c r="AC3027" s="50">
        <f t="shared" si="381"/>
        <v>0</v>
      </c>
      <c r="AD3027" s="43">
        <f t="shared" si="382"/>
        <v>0</v>
      </c>
      <c r="AE3027" s="50">
        <f t="shared" si="383"/>
        <v>0</v>
      </c>
    </row>
    <row r="3028" spans="1:31">
      <c r="A3028" s="59" t="str">
        <f t="shared" si="377"/>
        <v/>
      </c>
      <c r="B3028" s="59" t="str">
        <f t="shared" si="378"/>
        <v/>
      </c>
      <c r="V3028" s="59" t="str">
        <f t="shared" si="379"/>
        <v/>
      </c>
      <c r="W3028" s="59" t="str">
        <f t="shared" si="376"/>
        <v/>
      </c>
      <c r="X3028" s="59" t="str">
        <f t="shared" si="380"/>
        <v/>
      </c>
      <c r="AC3028" s="50">
        <f t="shared" si="381"/>
        <v>0</v>
      </c>
      <c r="AD3028" s="43">
        <f t="shared" si="382"/>
        <v>0</v>
      </c>
      <c r="AE3028" s="50">
        <f t="shared" si="383"/>
        <v>0</v>
      </c>
    </row>
    <row r="3029" spans="1:31">
      <c r="A3029" s="59" t="str">
        <f t="shared" si="377"/>
        <v/>
      </c>
      <c r="B3029" s="59" t="str">
        <f t="shared" si="378"/>
        <v/>
      </c>
      <c r="V3029" s="59" t="str">
        <f t="shared" si="379"/>
        <v/>
      </c>
      <c r="W3029" s="59" t="str">
        <f t="shared" si="376"/>
        <v/>
      </c>
      <c r="X3029" s="59" t="str">
        <f t="shared" si="380"/>
        <v/>
      </c>
      <c r="AC3029" s="50">
        <f t="shared" si="381"/>
        <v>0</v>
      </c>
      <c r="AD3029" s="43">
        <f t="shared" si="382"/>
        <v>0</v>
      </c>
      <c r="AE3029" s="50">
        <f t="shared" si="383"/>
        <v>0</v>
      </c>
    </row>
    <row r="3030" spans="1:31">
      <c r="A3030" s="59" t="str">
        <f t="shared" si="377"/>
        <v/>
      </c>
      <c r="B3030" s="59" t="str">
        <f t="shared" si="378"/>
        <v/>
      </c>
      <c r="V3030" s="59" t="str">
        <f t="shared" si="379"/>
        <v/>
      </c>
      <c r="W3030" s="59" t="str">
        <f t="shared" si="376"/>
        <v/>
      </c>
      <c r="X3030" s="59" t="str">
        <f t="shared" si="380"/>
        <v/>
      </c>
      <c r="AC3030" s="50">
        <f t="shared" si="381"/>
        <v>0</v>
      </c>
      <c r="AD3030" s="43">
        <f t="shared" si="382"/>
        <v>0</v>
      </c>
      <c r="AE3030" s="50">
        <f t="shared" si="383"/>
        <v>0</v>
      </c>
    </row>
    <row r="3031" spans="1:31">
      <c r="A3031" s="59" t="str">
        <f t="shared" si="377"/>
        <v/>
      </c>
      <c r="B3031" s="59" t="str">
        <f t="shared" si="378"/>
        <v/>
      </c>
      <c r="V3031" s="59" t="str">
        <f t="shared" si="379"/>
        <v/>
      </c>
      <c r="W3031" s="59" t="str">
        <f t="shared" si="376"/>
        <v/>
      </c>
      <c r="X3031" s="59" t="str">
        <f t="shared" si="380"/>
        <v/>
      </c>
      <c r="AC3031" s="50">
        <f t="shared" si="381"/>
        <v>0</v>
      </c>
      <c r="AD3031" s="43">
        <f t="shared" si="382"/>
        <v>0</v>
      </c>
      <c r="AE3031" s="50">
        <f t="shared" si="383"/>
        <v>0</v>
      </c>
    </row>
    <row r="3032" spans="1:31">
      <c r="A3032" s="59" t="str">
        <f t="shared" si="377"/>
        <v/>
      </c>
      <c r="B3032" s="59" t="str">
        <f t="shared" si="378"/>
        <v/>
      </c>
      <c r="V3032" s="59" t="str">
        <f t="shared" si="379"/>
        <v/>
      </c>
      <c r="W3032" s="59" t="str">
        <f t="shared" si="376"/>
        <v/>
      </c>
      <c r="X3032" s="59" t="str">
        <f t="shared" si="380"/>
        <v/>
      </c>
      <c r="AC3032" s="50">
        <f t="shared" si="381"/>
        <v>0</v>
      </c>
      <c r="AD3032" s="43">
        <f t="shared" si="382"/>
        <v>0</v>
      </c>
      <c r="AE3032" s="50">
        <f t="shared" si="383"/>
        <v>0</v>
      </c>
    </row>
    <row r="3033" spans="1:31">
      <c r="A3033" s="59" t="str">
        <f t="shared" si="377"/>
        <v/>
      </c>
      <c r="B3033" s="59" t="str">
        <f t="shared" si="378"/>
        <v/>
      </c>
      <c r="V3033" s="59" t="str">
        <f t="shared" si="379"/>
        <v/>
      </c>
      <c r="W3033" s="59" t="str">
        <f t="shared" si="376"/>
        <v/>
      </c>
      <c r="X3033" s="59" t="str">
        <f t="shared" si="380"/>
        <v/>
      </c>
      <c r="AC3033" s="50">
        <f t="shared" si="381"/>
        <v>0</v>
      </c>
      <c r="AD3033" s="43">
        <f t="shared" si="382"/>
        <v>0</v>
      </c>
      <c r="AE3033" s="50">
        <f t="shared" si="383"/>
        <v>0</v>
      </c>
    </row>
    <row r="3034" spans="1:31">
      <c r="A3034" s="59" t="str">
        <f t="shared" si="377"/>
        <v/>
      </c>
      <c r="B3034" s="59" t="str">
        <f t="shared" si="378"/>
        <v/>
      </c>
      <c r="V3034" s="59" t="str">
        <f t="shared" si="379"/>
        <v/>
      </c>
      <c r="W3034" s="59" t="str">
        <f t="shared" si="376"/>
        <v/>
      </c>
      <c r="X3034" s="59" t="str">
        <f t="shared" si="380"/>
        <v/>
      </c>
      <c r="AC3034" s="50">
        <f t="shared" si="381"/>
        <v>0</v>
      </c>
      <c r="AD3034" s="43">
        <f t="shared" si="382"/>
        <v>0</v>
      </c>
      <c r="AE3034" s="50">
        <f t="shared" si="383"/>
        <v>0</v>
      </c>
    </row>
    <row r="3035" spans="1:31">
      <c r="A3035" s="59" t="str">
        <f t="shared" si="377"/>
        <v/>
      </c>
      <c r="B3035" s="59" t="str">
        <f t="shared" si="378"/>
        <v/>
      </c>
      <c r="V3035" s="59" t="str">
        <f t="shared" si="379"/>
        <v/>
      </c>
      <c r="W3035" s="59" t="str">
        <f t="shared" si="376"/>
        <v/>
      </c>
      <c r="X3035" s="59" t="str">
        <f t="shared" si="380"/>
        <v/>
      </c>
      <c r="AC3035" s="50">
        <f t="shared" si="381"/>
        <v>0</v>
      </c>
      <c r="AD3035" s="43">
        <f t="shared" si="382"/>
        <v>0</v>
      </c>
      <c r="AE3035" s="50">
        <f t="shared" si="383"/>
        <v>0</v>
      </c>
    </row>
    <row r="3036" spans="1:31">
      <c r="A3036" s="59" t="str">
        <f t="shared" si="377"/>
        <v/>
      </c>
      <c r="B3036" s="59" t="str">
        <f t="shared" si="378"/>
        <v/>
      </c>
      <c r="V3036" s="59" t="str">
        <f t="shared" si="379"/>
        <v/>
      </c>
      <c r="W3036" s="59" t="str">
        <f t="shared" si="376"/>
        <v/>
      </c>
      <c r="X3036" s="59" t="str">
        <f t="shared" si="380"/>
        <v/>
      </c>
      <c r="AC3036" s="50">
        <f t="shared" si="381"/>
        <v>0</v>
      </c>
      <c r="AD3036" s="43">
        <f t="shared" si="382"/>
        <v>0</v>
      </c>
      <c r="AE3036" s="50">
        <f t="shared" si="383"/>
        <v>0</v>
      </c>
    </row>
    <row r="3037" spans="1:31">
      <c r="A3037" s="59" t="str">
        <f t="shared" si="377"/>
        <v/>
      </c>
      <c r="B3037" s="59" t="str">
        <f t="shared" si="378"/>
        <v/>
      </c>
      <c r="V3037" s="59" t="str">
        <f t="shared" si="379"/>
        <v/>
      </c>
      <c r="W3037" s="59" t="str">
        <f t="shared" si="376"/>
        <v/>
      </c>
      <c r="X3037" s="59" t="str">
        <f t="shared" si="380"/>
        <v/>
      </c>
      <c r="AC3037" s="50">
        <f t="shared" si="381"/>
        <v>0</v>
      </c>
      <c r="AD3037" s="43">
        <f t="shared" si="382"/>
        <v>0</v>
      </c>
      <c r="AE3037" s="50">
        <f t="shared" si="383"/>
        <v>0</v>
      </c>
    </row>
    <row r="3038" spans="1:31">
      <c r="A3038" s="59" t="str">
        <f t="shared" si="377"/>
        <v/>
      </c>
      <c r="B3038" s="59" t="str">
        <f t="shared" si="378"/>
        <v/>
      </c>
      <c r="V3038" s="59" t="str">
        <f t="shared" si="379"/>
        <v/>
      </c>
      <c r="W3038" s="59" t="str">
        <f t="shared" si="376"/>
        <v/>
      </c>
      <c r="X3038" s="59" t="str">
        <f t="shared" si="380"/>
        <v/>
      </c>
      <c r="AC3038" s="50">
        <f t="shared" si="381"/>
        <v>0</v>
      </c>
      <c r="AD3038" s="43">
        <f t="shared" si="382"/>
        <v>0</v>
      </c>
      <c r="AE3038" s="50">
        <f t="shared" si="383"/>
        <v>0</v>
      </c>
    </row>
    <row r="3039" spans="1:31">
      <c r="A3039" s="59" t="str">
        <f t="shared" si="377"/>
        <v/>
      </c>
      <c r="B3039" s="59" t="str">
        <f t="shared" si="378"/>
        <v/>
      </c>
      <c r="V3039" s="59" t="str">
        <f t="shared" si="379"/>
        <v/>
      </c>
      <c r="W3039" s="59" t="str">
        <f t="shared" si="376"/>
        <v/>
      </c>
      <c r="X3039" s="59" t="str">
        <f t="shared" si="380"/>
        <v/>
      </c>
      <c r="AC3039" s="50">
        <f t="shared" si="381"/>
        <v>0</v>
      </c>
      <c r="AD3039" s="43">
        <f t="shared" si="382"/>
        <v>0</v>
      </c>
      <c r="AE3039" s="50">
        <f t="shared" si="383"/>
        <v>0</v>
      </c>
    </row>
    <row r="3040" spans="1:31">
      <c r="A3040" s="59" t="str">
        <f t="shared" si="377"/>
        <v/>
      </c>
      <c r="B3040" s="59" t="str">
        <f t="shared" si="378"/>
        <v/>
      </c>
      <c r="V3040" s="59" t="str">
        <f t="shared" si="379"/>
        <v/>
      </c>
      <c r="W3040" s="59" t="str">
        <f t="shared" si="376"/>
        <v/>
      </c>
      <c r="X3040" s="59" t="str">
        <f t="shared" si="380"/>
        <v/>
      </c>
      <c r="AC3040" s="50">
        <f t="shared" si="381"/>
        <v>0</v>
      </c>
      <c r="AD3040" s="43">
        <f t="shared" si="382"/>
        <v>0</v>
      </c>
      <c r="AE3040" s="50">
        <f t="shared" si="383"/>
        <v>0</v>
      </c>
    </row>
    <row r="3041" spans="1:31">
      <c r="A3041" s="59" t="str">
        <f t="shared" si="377"/>
        <v/>
      </c>
      <c r="B3041" s="59" t="str">
        <f t="shared" si="378"/>
        <v/>
      </c>
      <c r="V3041" s="59" t="str">
        <f t="shared" si="379"/>
        <v/>
      </c>
      <c r="W3041" s="59" t="str">
        <f t="shared" si="376"/>
        <v/>
      </c>
      <c r="X3041" s="59" t="str">
        <f t="shared" si="380"/>
        <v/>
      </c>
      <c r="AC3041" s="50">
        <f t="shared" si="381"/>
        <v>0</v>
      </c>
      <c r="AD3041" s="43">
        <f t="shared" si="382"/>
        <v>0</v>
      </c>
      <c r="AE3041" s="50">
        <f t="shared" si="383"/>
        <v>0</v>
      </c>
    </row>
    <row r="3042" spans="1:31">
      <c r="A3042" s="59" t="str">
        <f t="shared" si="377"/>
        <v/>
      </c>
      <c r="B3042" s="59" t="str">
        <f t="shared" si="378"/>
        <v/>
      </c>
      <c r="V3042" s="59" t="str">
        <f t="shared" si="379"/>
        <v/>
      </c>
      <c r="W3042" s="59" t="str">
        <f t="shared" si="376"/>
        <v/>
      </c>
      <c r="X3042" s="59" t="str">
        <f t="shared" si="380"/>
        <v/>
      </c>
      <c r="AC3042" s="50">
        <f t="shared" si="381"/>
        <v>0</v>
      </c>
      <c r="AD3042" s="43">
        <f t="shared" si="382"/>
        <v>0</v>
      </c>
      <c r="AE3042" s="50">
        <f t="shared" si="383"/>
        <v>0</v>
      </c>
    </row>
    <row r="3043" spans="1:31">
      <c r="A3043" s="59" t="str">
        <f t="shared" si="377"/>
        <v/>
      </c>
      <c r="B3043" s="59" t="str">
        <f t="shared" si="378"/>
        <v/>
      </c>
      <c r="V3043" s="59" t="str">
        <f t="shared" si="379"/>
        <v/>
      </c>
      <c r="W3043" s="59" t="str">
        <f t="shared" si="376"/>
        <v/>
      </c>
      <c r="X3043" s="59" t="str">
        <f t="shared" si="380"/>
        <v/>
      </c>
      <c r="AC3043" s="50">
        <f t="shared" si="381"/>
        <v>0</v>
      </c>
      <c r="AD3043" s="43">
        <f t="shared" si="382"/>
        <v>0</v>
      </c>
      <c r="AE3043" s="50">
        <f t="shared" si="383"/>
        <v>0</v>
      </c>
    </row>
    <row r="3044" spans="1:31">
      <c r="A3044" s="59" t="str">
        <f t="shared" si="377"/>
        <v/>
      </c>
      <c r="B3044" s="59" t="str">
        <f t="shared" si="378"/>
        <v/>
      </c>
      <c r="V3044" s="59" t="str">
        <f t="shared" si="379"/>
        <v/>
      </c>
      <c r="W3044" s="59" t="str">
        <f t="shared" si="376"/>
        <v/>
      </c>
      <c r="X3044" s="59" t="str">
        <f t="shared" si="380"/>
        <v/>
      </c>
      <c r="AC3044" s="50">
        <f t="shared" si="381"/>
        <v>0</v>
      </c>
      <c r="AD3044" s="43">
        <f t="shared" si="382"/>
        <v>0</v>
      </c>
      <c r="AE3044" s="50">
        <f t="shared" si="383"/>
        <v>0</v>
      </c>
    </row>
    <row r="3045" spans="1:31">
      <c r="A3045" s="59" t="str">
        <f t="shared" si="377"/>
        <v/>
      </c>
      <c r="B3045" s="59" t="str">
        <f t="shared" si="378"/>
        <v/>
      </c>
      <c r="V3045" s="59" t="str">
        <f t="shared" si="379"/>
        <v/>
      </c>
      <c r="W3045" s="59" t="str">
        <f t="shared" si="376"/>
        <v/>
      </c>
      <c r="X3045" s="59" t="str">
        <f t="shared" si="380"/>
        <v/>
      </c>
      <c r="AC3045" s="50">
        <f t="shared" si="381"/>
        <v>0</v>
      </c>
      <c r="AD3045" s="43">
        <f t="shared" si="382"/>
        <v>0</v>
      </c>
      <c r="AE3045" s="50">
        <f t="shared" si="383"/>
        <v>0</v>
      </c>
    </row>
    <row r="3046" spans="1:31">
      <c r="A3046" s="59" t="str">
        <f t="shared" si="377"/>
        <v/>
      </c>
      <c r="B3046" s="59" t="str">
        <f t="shared" si="378"/>
        <v/>
      </c>
      <c r="V3046" s="59" t="str">
        <f t="shared" si="379"/>
        <v/>
      </c>
      <c r="W3046" s="59" t="str">
        <f t="shared" si="376"/>
        <v/>
      </c>
      <c r="X3046" s="59" t="str">
        <f t="shared" si="380"/>
        <v/>
      </c>
      <c r="AC3046" s="50">
        <f t="shared" si="381"/>
        <v>0</v>
      </c>
      <c r="AD3046" s="43">
        <f t="shared" si="382"/>
        <v>0</v>
      </c>
      <c r="AE3046" s="50">
        <f t="shared" si="383"/>
        <v>0</v>
      </c>
    </row>
    <row r="3047" spans="1:31">
      <c r="A3047" s="59" t="str">
        <f t="shared" si="377"/>
        <v/>
      </c>
      <c r="B3047" s="59" t="str">
        <f t="shared" si="378"/>
        <v/>
      </c>
      <c r="V3047" s="59" t="str">
        <f t="shared" si="379"/>
        <v/>
      </c>
      <c r="W3047" s="59" t="str">
        <f t="shared" si="376"/>
        <v/>
      </c>
      <c r="X3047" s="59" t="str">
        <f t="shared" si="380"/>
        <v/>
      </c>
      <c r="AC3047" s="50">
        <f t="shared" si="381"/>
        <v>0</v>
      </c>
      <c r="AD3047" s="43">
        <f t="shared" si="382"/>
        <v>0</v>
      </c>
      <c r="AE3047" s="50">
        <f t="shared" si="383"/>
        <v>0</v>
      </c>
    </row>
    <row r="3048" spans="1:31">
      <c r="A3048" s="59" t="str">
        <f t="shared" si="377"/>
        <v/>
      </c>
      <c r="B3048" s="59" t="str">
        <f t="shared" si="378"/>
        <v/>
      </c>
      <c r="V3048" s="59" t="str">
        <f t="shared" si="379"/>
        <v/>
      </c>
      <c r="W3048" s="59" t="str">
        <f t="shared" si="376"/>
        <v/>
      </c>
      <c r="X3048" s="59" t="str">
        <f t="shared" si="380"/>
        <v/>
      </c>
      <c r="AC3048" s="50">
        <f t="shared" si="381"/>
        <v>0</v>
      </c>
      <c r="AD3048" s="43">
        <f t="shared" si="382"/>
        <v>0</v>
      </c>
      <c r="AE3048" s="50">
        <f t="shared" si="383"/>
        <v>0</v>
      </c>
    </row>
    <row r="3049" spans="1:31">
      <c r="A3049" s="59" t="str">
        <f t="shared" si="377"/>
        <v/>
      </c>
      <c r="B3049" s="59" t="str">
        <f t="shared" si="378"/>
        <v/>
      </c>
      <c r="V3049" s="59" t="str">
        <f t="shared" si="379"/>
        <v/>
      </c>
      <c r="W3049" s="59" t="str">
        <f t="shared" si="376"/>
        <v/>
      </c>
      <c r="X3049" s="59" t="str">
        <f t="shared" si="380"/>
        <v/>
      </c>
      <c r="AC3049" s="50">
        <f t="shared" si="381"/>
        <v>0</v>
      </c>
      <c r="AD3049" s="43">
        <f t="shared" si="382"/>
        <v>0</v>
      </c>
      <c r="AE3049" s="50">
        <f t="shared" si="383"/>
        <v>0</v>
      </c>
    </row>
    <row r="3050" spans="1:31">
      <c r="A3050" s="59" t="str">
        <f t="shared" si="377"/>
        <v/>
      </c>
      <c r="B3050" s="59" t="str">
        <f t="shared" si="378"/>
        <v/>
      </c>
      <c r="V3050" s="59" t="str">
        <f t="shared" si="379"/>
        <v/>
      </c>
      <c r="W3050" s="59" t="str">
        <f t="shared" si="376"/>
        <v/>
      </c>
      <c r="X3050" s="59" t="str">
        <f t="shared" si="380"/>
        <v/>
      </c>
      <c r="AC3050" s="50">
        <f t="shared" si="381"/>
        <v>0</v>
      </c>
      <c r="AD3050" s="43">
        <f t="shared" si="382"/>
        <v>0</v>
      </c>
      <c r="AE3050" s="50">
        <f t="shared" si="383"/>
        <v>0</v>
      </c>
    </row>
    <row r="3051" spans="1:31">
      <c r="A3051" s="59" t="str">
        <f t="shared" si="377"/>
        <v/>
      </c>
      <c r="B3051" s="59" t="str">
        <f t="shared" si="378"/>
        <v/>
      </c>
      <c r="V3051" s="59" t="str">
        <f t="shared" si="379"/>
        <v/>
      </c>
      <c r="W3051" s="59" t="str">
        <f t="shared" si="376"/>
        <v/>
      </c>
      <c r="X3051" s="59" t="str">
        <f t="shared" si="380"/>
        <v/>
      </c>
      <c r="AC3051" s="50">
        <f t="shared" si="381"/>
        <v>0</v>
      </c>
      <c r="AD3051" s="43">
        <f t="shared" si="382"/>
        <v>0</v>
      </c>
      <c r="AE3051" s="50">
        <f t="shared" si="383"/>
        <v>0</v>
      </c>
    </row>
    <row r="3052" spans="1:31">
      <c r="A3052" s="59" t="str">
        <f t="shared" si="377"/>
        <v/>
      </c>
      <c r="B3052" s="59" t="str">
        <f t="shared" si="378"/>
        <v/>
      </c>
      <c r="V3052" s="59" t="str">
        <f t="shared" si="379"/>
        <v/>
      </c>
      <c r="W3052" s="59" t="str">
        <f t="shared" si="376"/>
        <v/>
      </c>
      <c r="X3052" s="59" t="str">
        <f t="shared" si="380"/>
        <v/>
      </c>
      <c r="AC3052" s="50">
        <f t="shared" si="381"/>
        <v>0</v>
      </c>
      <c r="AD3052" s="43">
        <f t="shared" si="382"/>
        <v>0</v>
      </c>
      <c r="AE3052" s="50">
        <f t="shared" si="383"/>
        <v>0</v>
      </c>
    </row>
    <row r="3053" spans="1:31">
      <c r="A3053" s="59" t="str">
        <f t="shared" si="377"/>
        <v/>
      </c>
      <c r="B3053" s="59" t="str">
        <f t="shared" si="378"/>
        <v/>
      </c>
      <c r="V3053" s="59" t="str">
        <f t="shared" si="379"/>
        <v/>
      </c>
      <c r="W3053" s="59" t="str">
        <f t="shared" si="376"/>
        <v/>
      </c>
      <c r="X3053" s="59" t="str">
        <f t="shared" si="380"/>
        <v/>
      </c>
      <c r="AC3053" s="50">
        <f t="shared" si="381"/>
        <v>0</v>
      </c>
      <c r="AD3053" s="43">
        <f t="shared" si="382"/>
        <v>0</v>
      </c>
      <c r="AE3053" s="50">
        <f t="shared" si="383"/>
        <v>0</v>
      </c>
    </row>
    <row r="3054" spans="1:31">
      <c r="A3054" s="59" t="str">
        <f t="shared" si="377"/>
        <v/>
      </c>
      <c r="B3054" s="59" t="str">
        <f t="shared" si="378"/>
        <v/>
      </c>
      <c r="V3054" s="59" t="str">
        <f t="shared" si="379"/>
        <v/>
      </c>
      <c r="W3054" s="59" t="str">
        <f t="shared" si="376"/>
        <v/>
      </c>
      <c r="X3054" s="59" t="str">
        <f t="shared" si="380"/>
        <v/>
      </c>
      <c r="AC3054" s="50">
        <f t="shared" si="381"/>
        <v>0</v>
      </c>
      <c r="AD3054" s="43">
        <f t="shared" si="382"/>
        <v>0</v>
      </c>
      <c r="AE3054" s="50">
        <f t="shared" si="383"/>
        <v>0</v>
      </c>
    </row>
    <row r="3055" spans="1:31">
      <c r="A3055" s="59" t="str">
        <f t="shared" si="377"/>
        <v/>
      </c>
      <c r="B3055" s="59" t="str">
        <f t="shared" si="378"/>
        <v/>
      </c>
      <c r="V3055" s="59" t="str">
        <f t="shared" si="379"/>
        <v/>
      </c>
      <c r="W3055" s="59" t="str">
        <f t="shared" si="376"/>
        <v/>
      </c>
      <c r="X3055" s="59" t="str">
        <f t="shared" si="380"/>
        <v/>
      </c>
      <c r="AC3055" s="50">
        <f t="shared" si="381"/>
        <v>0</v>
      </c>
      <c r="AD3055" s="43">
        <f t="shared" si="382"/>
        <v>0</v>
      </c>
      <c r="AE3055" s="50">
        <f t="shared" si="383"/>
        <v>0</v>
      </c>
    </row>
    <row r="3056" spans="1:31">
      <c r="A3056" s="59" t="str">
        <f t="shared" si="377"/>
        <v/>
      </c>
      <c r="B3056" s="59" t="str">
        <f t="shared" si="378"/>
        <v/>
      </c>
      <c r="V3056" s="59" t="str">
        <f t="shared" si="379"/>
        <v/>
      </c>
      <c r="W3056" s="59" t="str">
        <f t="shared" si="376"/>
        <v/>
      </c>
      <c r="X3056" s="59" t="str">
        <f t="shared" si="380"/>
        <v/>
      </c>
      <c r="AC3056" s="50">
        <f t="shared" si="381"/>
        <v>0</v>
      </c>
      <c r="AD3056" s="43">
        <f t="shared" si="382"/>
        <v>0</v>
      </c>
      <c r="AE3056" s="50">
        <f t="shared" si="383"/>
        <v>0</v>
      </c>
    </row>
    <row r="3057" spans="1:31">
      <c r="A3057" s="59" t="str">
        <f t="shared" si="377"/>
        <v/>
      </c>
      <c r="B3057" s="59" t="str">
        <f t="shared" si="378"/>
        <v/>
      </c>
      <c r="V3057" s="59" t="str">
        <f t="shared" si="379"/>
        <v/>
      </c>
      <c r="W3057" s="59" t="str">
        <f t="shared" si="376"/>
        <v/>
      </c>
      <c r="X3057" s="59" t="str">
        <f t="shared" si="380"/>
        <v/>
      </c>
      <c r="AC3057" s="50">
        <f t="shared" si="381"/>
        <v>0</v>
      </c>
      <c r="AD3057" s="43">
        <f t="shared" si="382"/>
        <v>0</v>
      </c>
      <c r="AE3057" s="50">
        <f t="shared" si="383"/>
        <v>0</v>
      </c>
    </row>
    <row r="3058" spans="1:31">
      <c r="A3058" s="59" t="str">
        <f t="shared" si="377"/>
        <v/>
      </c>
      <c r="B3058" s="59" t="str">
        <f t="shared" si="378"/>
        <v/>
      </c>
      <c r="V3058" s="59" t="str">
        <f t="shared" si="379"/>
        <v/>
      </c>
      <c r="W3058" s="59" t="str">
        <f t="shared" si="376"/>
        <v/>
      </c>
      <c r="X3058" s="59" t="str">
        <f t="shared" si="380"/>
        <v/>
      </c>
      <c r="AC3058" s="50">
        <f t="shared" si="381"/>
        <v>0</v>
      </c>
      <c r="AD3058" s="43">
        <f t="shared" si="382"/>
        <v>0</v>
      </c>
      <c r="AE3058" s="50">
        <f t="shared" si="383"/>
        <v>0</v>
      </c>
    </row>
    <row r="3059" spans="1:31">
      <c r="A3059" s="59" t="str">
        <f t="shared" si="377"/>
        <v/>
      </c>
      <c r="B3059" s="59" t="str">
        <f t="shared" si="378"/>
        <v/>
      </c>
      <c r="V3059" s="59" t="str">
        <f t="shared" si="379"/>
        <v/>
      </c>
      <c r="W3059" s="59" t="str">
        <f t="shared" si="376"/>
        <v/>
      </c>
      <c r="X3059" s="59" t="str">
        <f t="shared" si="380"/>
        <v/>
      </c>
      <c r="AC3059" s="50">
        <f t="shared" si="381"/>
        <v>0</v>
      </c>
      <c r="AD3059" s="43">
        <f t="shared" si="382"/>
        <v>0</v>
      </c>
      <c r="AE3059" s="50">
        <f t="shared" si="383"/>
        <v>0</v>
      </c>
    </row>
    <row r="3060" spans="1:31">
      <c r="A3060" s="59" t="str">
        <f t="shared" si="377"/>
        <v/>
      </c>
      <c r="B3060" s="59" t="str">
        <f t="shared" si="378"/>
        <v/>
      </c>
      <c r="V3060" s="59" t="str">
        <f t="shared" si="379"/>
        <v/>
      </c>
      <c r="W3060" s="59" t="str">
        <f t="shared" si="376"/>
        <v/>
      </c>
      <c r="X3060" s="59" t="str">
        <f t="shared" si="380"/>
        <v/>
      </c>
      <c r="AC3060" s="50">
        <f t="shared" si="381"/>
        <v>0</v>
      </c>
      <c r="AD3060" s="43">
        <f t="shared" si="382"/>
        <v>0</v>
      </c>
      <c r="AE3060" s="50">
        <f t="shared" si="383"/>
        <v>0</v>
      </c>
    </row>
    <row r="3061" spans="1:31">
      <c r="A3061" s="59" t="str">
        <f t="shared" si="377"/>
        <v/>
      </c>
      <c r="B3061" s="59" t="str">
        <f t="shared" si="378"/>
        <v/>
      </c>
      <c r="V3061" s="59" t="str">
        <f t="shared" si="379"/>
        <v/>
      </c>
      <c r="W3061" s="59" t="str">
        <f t="shared" si="376"/>
        <v/>
      </c>
      <c r="X3061" s="59" t="str">
        <f t="shared" si="380"/>
        <v/>
      </c>
      <c r="AC3061" s="50">
        <f t="shared" si="381"/>
        <v>0</v>
      </c>
      <c r="AD3061" s="43">
        <f t="shared" si="382"/>
        <v>0</v>
      </c>
      <c r="AE3061" s="50">
        <f t="shared" si="383"/>
        <v>0</v>
      </c>
    </row>
    <row r="3062" spans="1:31">
      <c r="A3062" s="59" t="str">
        <f t="shared" si="377"/>
        <v/>
      </c>
      <c r="B3062" s="59" t="str">
        <f t="shared" si="378"/>
        <v/>
      </c>
      <c r="V3062" s="59" t="str">
        <f t="shared" si="379"/>
        <v/>
      </c>
      <c r="W3062" s="59" t="str">
        <f t="shared" si="376"/>
        <v/>
      </c>
      <c r="X3062" s="59" t="str">
        <f t="shared" si="380"/>
        <v/>
      </c>
      <c r="AC3062" s="50">
        <f t="shared" si="381"/>
        <v>0</v>
      </c>
      <c r="AD3062" s="43">
        <f t="shared" si="382"/>
        <v>0</v>
      </c>
      <c r="AE3062" s="50">
        <f t="shared" si="383"/>
        <v>0</v>
      </c>
    </row>
    <row r="3063" spans="1:31">
      <c r="A3063" s="59" t="str">
        <f t="shared" si="377"/>
        <v/>
      </c>
      <c r="B3063" s="59" t="str">
        <f t="shared" si="378"/>
        <v/>
      </c>
      <c r="V3063" s="59" t="str">
        <f t="shared" si="379"/>
        <v/>
      </c>
      <c r="W3063" s="59" t="str">
        <f t="shared" si="376"/>
        <v/>
      </c>
      <c r="X3063" s="59" t="str">
        <f t="shared" si="380"/>
        <v/>
      </c>
      <c r="AC3063" s="50">
        <f t="shared" si="381"/>
        <v>0</v>
      </c>
      <c r="AD3063" s="43">
        <f t="shared" si="382"/>
        <v>0</v>
      </c>
      <c r="AE3063" s="50">
        <f t="shared" si="383"/>
        <v>0</v>
      </c>
    </row>
    <row r="3064" spans="1:31">
      <c r="A3064" s="59" t="str">
        <f t="shared" si="377"/>
        <v/>
      </c>
      <c r="B3064" s="59" t="str">
        <f t="shared" si="378"/>
        <v/>
      </c>
      <c r="V3064" s="59" t="str">
        <f t="shared" si="379"/>
        <v/>
      </c>
      <c r="W3064" s="59" t="str">
        <f t="shared" si="376"/>
        <v/>
      </c>
      <c r="X3064" s="59" t="str">
        <f t="shared" si="380"/>
        <v/>
      </c>
      <c r="AC3064" s="50">
        <f t="shared" si="381"/>
        <v>0</v>
      </c>
      <c r="AD3064" s="43">
        <f t="shared" si="382"/>
        <v>0</v>
      </c>
      <c r="AE3064" s="50">
        <f t="shared" si="383"/>
        <v>0</v>
      </c>
    </row>
    <row r="3065" spans="1:31">
      <c r="A3065" s="59" t="str">
        <f t="shared" si="377"/>
        <v/>
      </c>
      <c r="B3065" s="59" t="str">
        <f t="shared" si="378"/>
        <v/>
      </c>
      <c r="V3065" s="59" t="str">
        <f t="shared" si="379"/>
        <v/>
      </c>
      <c r="W3065" s="59" t="str">
        <f t="shared" si="376"/>
        <v/>
      </c>
      <c r="X3065" s="59" t="str">
        <f t="shared" si="380"/>
        <v/>
      </c>
      <c r="AC3065" s="50">
        <f t="shared" si="381"/>
        <v>0</v>
      </c>
      <c r="AD3065" s="43">
        <f t="shared" si="382"/>
        <v>0</v>
      </c>
      <c r="AE3065" s="50">
        <f t="shared" si="383"/>
        <v>0</v>
      </c>
    </row>
    <row r="3066" spans="1:31">
      <c r="A3066" s="59" t="str">
        <f t="shared" si="377"/>
        <v/>
      </c>
      <c r="B3066" s="59" t="str">
        <f t="shared" si="378"/>
        <v/>
      </c>
      <c r="V3066" s="59" t="str">
        <f t="shared" si="379"/>
        <v/>
      </c>
      <c r="W3066" s="59" t="str">
        <f t="shared" si="376"/>
        <v/>
      </c>
      <c r="X3066" s="59" t="str">
        <f t="shared" si="380"/>
        <v/>
      </c>
      <c r="AC3066" s="50">
        <f t="shared" si="381"/>
        <v>0</v>
      </c>
      <c r="AD3066" s="43">
        <f t="shared" si="382"/>
        <v>0</v>
      </c>
      <c r="AE3066" s="50">
        <f t="shared" si="383"/>
        <v>0</v>
      </c>
    </row>
    <row r="3067" spans="1:31">
      <c r="A3067" s="59" t="str">
        <f t="shared" si="377"/>
        <v/>
      </c>
      <c r="B3067" s="59" t="str">
        <f t="shared" si="378"/>
        <v/>
      </c>
      <c r="V3067" s="59" t="str">
        <f t="shared" si="379"/>
        <v/>
      </c>
      <c r="W3067" s="59" t="str">
        <f t="shared" si="376"/>
        <v/>
      </c>
      <c r="X3067" s="59" t="str">
        <f t="shared" si="380"/>
        <v/>
      </c>
      <c r="AC3067" s="50">
        <f t="shared" si="381"/>
        <v>0</v>
      </c>
      <c r="AD3067" s="43">
        <f t="shared" si="382"/>
        <v>0</v>
      </c>
      <c r="AE3067" s="50">
        <f t="shared" si="383"/>
        <v>0</v>
      </c>
    </row>
    <row r="3068" spans="1:31">
      <c r="A3068" s="59" t="str">
        <f t="shared" si="377"/>
        <v/>
      </c>
      <c r="B3068" s="59" t="str">
        <f t="shared" si="378"/>
        <v/>
      </c>
      <c r="V3068" s="59" t="str">
        <f t="shared" si="379"/>
        <v/>
      </c>
      <c r="W3068" s="59" t="str">
        <f t="shared" si="376"/>
        <v/>
      </c>
      <c r="X3068" s="59" t="str">
        <f t="shared" si="380"/>
        <v/>
      </c>
      <c r="AC3068" s="50">
        <f t="shared" si="381"/>
        <v>0</v>
      </c>
      <c r="AD3068" s="43">
        <f t="shared" si="382"/>
        <v>0</v>
      </c>
      <c r="AE3068" s="50">
        <f t="shared" si="383"/>
        <v>0</v>
      </c>
    </row>
    <row r="3069" spans="1:31">
      <c r="A3069" s="59" t="str">
        <f t="shared" si="377"/>
        <v/>
      </c>
      <c r="B3069" s="59" t="str">
        <f t="shared" si="378"/>
        <v/>
      </c>
      <c r="V3069" s="59" t="str">
        <f t="shared" si="379"/>
        <v/>
      </c>
      <c r="W3069" s="59" t="str">
        <f t="shared" si="376"/>
        <v/>
      </c>
      <c r="X3069" s="59" t="str">
        <f t="shared" si="380"/>
        <v/>
      </c>
      <c r="AC3069" s="50">
        <f t="shared" si="381"/>
        <v>0</v>
      </c>
      <c r="AD3069" s="43">
        <f t="shared" si="382"/>
        <v>0</v>
      </c>
      <c r="AE3069" s="50">
        <f t="shared" si="383"/>
        <v>0</v>
      </c>
    </row>
    <row r="3070" spans="1:31">
      <c r="A3070" s="59" t="str">
        <f t="shared" si="377"/>
        <v/>
      </c>
      <c r="B3070" s="59" t="str">
        <f t="shared" si="378"/>
        <v/>
      </c>
      <c r="V3070" s="59" t="str">
        <f t="shared" si="379"/>
        <v/>
      </c>
      <c r="W3070" s="59" t="str">
        <f t="shared" si="376"/>
        <v/>
      </c>
      <c r="X3070" s="59" t="str">
        <f t="shared" si="380"/>
        <v/>
      </c>
      <c r="AC3070" s="50">
        <f t="shared" si="381"/>
        <v>0</v>
      </c>
      <c r="AD3070" s="43">
        <f t="shared" si="382"/>
        <v>0</v>
      </c>
      <c r="AE3070" s="50">
        <f t="shared" si="383"/>
        <v>0</v>
      </c>
    </row>
    <row r="3071" spans="1:31">
      <c r="A3071" s="59" t="str">
        <f t="shared" si="377"/>
        <v/>
      </c>
      <c r="B3071" s="59" t="str">
        <f t="shared" si="378"/>
        <v/>
      </c>
      <c r="V3071" s="59" t="str">
        <f t="shared" si="379"/>
        <v/>
      </c>
      <c r="W3071" s="59" t="str">
        <f t="shared" si="376"/>
        <v/>
      </c>
      <c r="X3071" s="59" t="str">
        <f t="shared" si="380"/>
        <v/>
      </c>
      <c r="AC3071" s="50">
        <f t="shared" si="381"/>
        <v>0</v>
      </c>
      <c r="AD3071" s="43">
        <f t="shared" si="382"/>
        <v>0</v>
      </c>
      <c r="AE3071" s="50">
        <f t="shared" si="383"/>
        <v>0</v>
      </c>
    </row>
    <row r="3072" spans="1:31">
      <c r="A3072" s="59" t="str">
        <f t="shared" si="377"/>
        <v/>
      </c>
      <c r="B3072" s="59" t="str">
        <f t="shared" si="378"/>
        <v/>
      </c>
      <c r="V3072" s="59" t="str">
        <f t="shared" si="379"/>
        <v/>
      </c>
      <c r="W3072" s="59" t="str">
        <f t="shared" si="376"/>
        <v/>
      </c>
      <c r="X3072" s="59" t="str">
        <f t="shared" si="380"/>
        <v/>
      </c>
      <c r="AC3072" s="50">
        <f t="shared" si="381"/>
        <v>0</v>
      </c>
      <c r="AD3072" s="43">
        <f t="shared" si="382"/>
        <v>0</v>
      </c>
      <c r="AE3072" s="50">
        <f t="shared" si="383"/>
        <v>0</v>
      </c>
    </row>
    <row r="3073" spans="1:31">
      <c r="A3073" s="59" t="str">
        <f t="shared" si="377"/>
        <v/>
      </c>
      <c r="B3073" s="59" t="str">
        <f t="shared" si="378"/>
        <v/>
      </c>
      <c r="V3073" s="59" t="str">
        <f t="shared" si="379"/>
        <v/>
      </c>
      <c r="W3073" s="59" t="str">
        <f t="shared" si="376"/>
        <v/>
      </c>
      <c r="X3073" s="59" t="str">
        <f t="shared" si="380"/>
        <v/>
      </c>
      <c r="AC3073" s="50">
        <f t="shared" si="381"/>
        <v>0</v>
      </c>
      <c r="AD3073" s="43">
        <f t="shared" si="382"/>
        <v>0</v>
      </c>
      <c r="AE3073" s="50">
        <f t="shared" si="383"/>
        <v>0</v>
      </c>
    </row>
    <row r="3074" spans="1:31">
      <c r="A3074" s="59" t="str">
        <f t="shared" si="377"/>
        <v/>
      </c>
      <c r="B3074" s="59" t="str">
        <f t="shared" si="378"/>
        <v/>
      </c>
      <c r="V3074" s="59" t="str">
        <f t="shared" si="379"/>
        <v/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59" t="str">
        <f t="shared" si="380"/>
        <v/>
      </c>
      <c r="AC3074" s="50">
        <f t="shared" si="381"/>
        <v>0</v>
      </c>
      <c r="AD3074" s="43">
        <f t="shared" si="382"/>
        <v>0</v>
      </c>
      <c r="AE3074" s="50">
        <f t="shared" si="383"/>
        <v>0</v>
      </c>
    </row>
    <row r="3075" spans="1:31">
      <c r="A3075" s="59" t="str">
        <f t="shared" ref="A3075:A3138" si="385">IF(G3075&amp;Q3075&lt;&gt;"",W3075&amp;Q3075,"")</f>
        <v/>
      </c>
      <c r="B3075" s="59" t="str">
        <f t="shared" ref="B3075:B3138" si="386">IF(C3075&lt;&gt;"",LEFT(C3075,9),"")</f>
        <v/>
      </c>
      <c r="V3075" s="59" t="str">
        <f t="shared" ref="V3075:V3138" si="387">W3075&amp;H3075</f>
        <v/>
      </c>
      <c r="W3075" s="59" t="str">
        <f t="shared" si="384"/>
        <v/>
      </c>
      <c r="X3075" s="59" t="str">
        <f t="shared" ref="X3075:X3138" si="388">IF(A3075&lt;&gt;"",IFERROR(IF(FIND(" ",G3075)&gt;=1,MID(G3075,FIND(" ",G3075)+1,LEN(G3075)),""),""),"")</f>
        <v/>
      </c>
      <c r="AC3075" s="50">
        <f t="shared" ref="AC3075:AC3138" si="389">IFERROR(VALUE(MID($C3075,1,2)),0)</f>
        <v>0</v>
      </c>
      <c r="AD3075" s="43">
        <f t="shared" ref="AD3075:AD3138" si="390">IFERROR(VALUE(MID($C3075,4,3)),0)</f>
        <v>0</v>
      </c>
      <c r="AE3075" s="50">
        <f t="shared" ref="AE3075:AE3138" si="391">VALUE(RIGHT("00"&amp;AC3075,2)&amp;RIGHT("000"&amp;AD3075,3))</f>
        <v>0</v>
      </c>
    </row>
    <row r="3076" spans="1:31">
      <c r="A3076" s="59" t="str">
        <f t="shared" si="385"/>
        <v/>
      </c>
      <c r="B3076" s="59" t="str">
        <f t="shared" si="386"/>
        <v/>
      </c>
      <c r="V3076" s="59" t="str">
        <f t="shared" si="387"/>
        <v/>
      </c>
      <c r="W3076" s="59" t="str">
        <f t="shared" si="384"/>
        <v/>
      </c>
      <c r="X3076" s="59" t="str">
        <f t="shared" si="388"/>
        <v/>
      </c>
      <c r="AC3076" s="50">
        <f t="shared" si="389"/>
        <v>0</v>
      </c>
      <c r="AD3076" s="43">
        <f t="shared" si="390"/>
        <v>0</v>
      </c>
      <c r="AE3076" s="50">
        <f t="shared" si="391"/>
        <v>0</v>
      </c>
    </row>
    <row r="3077" spans="1:31">
      <c r="A3077" s="59" t="str">
        <f t="shared" si="385"/>
        <v/>
      </c>
      <c r="B3077" s="59" t="str">
        <f t="shared" si="386"/>
        <v/>
      </c>
      <c r="V3077" s="59" t="str">
        <f t="shared" si="387"/>
        <v/>
      </c>
      <c r="W3077" s="59" t="str">
        <f t="shared" si="384"/>
        <v/>
      </c>
      <c r="X3077" s="59" t="str">
        <f t="shared" si="388"/>
        <v/>
      </c>
      <c r="AC3077" s="50">
        <f t="shared" si="389"/>
        <v>0</v>
      </c>
      <c r="AD3077" s="43">
        <f t="shared" si="390"/>
        <v>0</v>
      </c>
      <c r="AE3077" s="50">
        <f t="shared" si="391"/>
        <v>0</v>
      </c>
    </row>
    <row r="3078" spans="1:31">
      <c r="A3078" s="59" t="str">
        <f t="shared" si="385"/>
        <v/>
      </c>
      <c r="B3078" s="59" t="str">
        <f t="shared" si="386"/>
        <v/>
      </c>
      <c r="V3078" s="59" t="str">
        <f t="shared" si="387"/>
        <v/>
      </c>
      <c r="W3078" s="59" t="str">
        <f t="shared" si="384"/>
        <v/>
      </c>
      <c r="X3078" s="59" t="str">
        <f t="shared" si="388"/>
        <v/>
      </c>
      <c r="AC3078" s="50">
        <f t="shared" si="389"/>
        <v>0</v>
      </c>
      <c r="AD3078" s="43">
        <f t="shared" si="390"/>
        <v>0</v>
      </c>
      <c r="AE3078" s="50">
        <f t="shared" si="391"/>
        <v>0</v>
      </c>
    </row>
    <row r="3079" spans="1:31">
      <c r="A3079" s="59" t="str">
        <f t="shared" si="385"/>
        <v/>
      </c>
      <c r="B3079" s="59" t="str">
        <f t="shared" si="386"/>
        <v/>
      </c>
      <c r="V3079" s="59" t="str">
        <f t="shared" si="387"/>
        <v/>
      </c>
      <c r="W3079" s="59" t="str">
        <f t="shared" si="384"/>
        <v/>
      </c>
      <c r="X3079" s="59" t="str">
        <f t="shared" si="388"/>
        <v/>
      </c>
      <c r="AC3079" s="50">
        <f t="shared" si="389"/>
        <v>0</v>
      </c>
      <c r="AD3079" s="43">
        <f t="shared" si="390"/>
        <v>0</v>
      </c>
      <c r="AE3079" s="50">
        <f t="shared" si="391"/>
        <v>0</v>
      </c>
    </row>
    <row r="3080" spans="1:31">
      <c r="A3080" s="59" t="str">
        <f t="shared" si="385"/>
        <v/>
      </c>
      <c r="B3080" s="59" t="str">
        <f t="shared" si="386"/>
        <v/>
      </c>
      <c r="V3080" s="59" t="str">
        <f t="shared" si="387"/>
        <v/>
      </c>
      <c r="W3080" s="59" t="str">
        <f t="shared" si="384"/>
        <v/>
      </c>
      <c r="X3080" s="59" t="str">
        <f t="shared" si="388"/>
        <v/>
      </c>
      <c r="AC3080" s="50">
        <f t="shared" si="389"/>
        <v>0</v>
      </c>
      <c r="AD3080" s="43">
        <f t="shared" si="390"/>
        <v>0</v>
      </c>
      <c r="AE3080" s="50">
        <f t="shared" si="391"/>
        <v>0</v>
      </c>
    </row>
    <row r="3081" spans="1:31">
      <c r="A3081" s="59" t="str">
        <f t="shared" si="385"/>
        <v/>
      </c>
      <c r="B3081" s="59" t="str">
        <f t="shared" si="386"/>
        <v/>
      </c>
      <c r="V3081" s="59" t="str">
        <f t="shared" si="387"/>
        <v/>
      </c>
      <c r="W3081" s="59" t="str">
        <f t="shared" si="384"/>
        <v/>
      </c>
      <c r="X3081" s="59" t="str">
        <f t="shared" si="388"/>
        <v/>
      </c>
      <c r="AC3081" s="50">
        <f t="shared" si="389"/>
        <v>0</v>
      </c>
      <c r="AD3081" s="43">
        <f t="shared" si="390"/>
        <v>0</v>
      </c>
      <c r="AE3081" s="50">
        <f t="shared" si="391"/>
        <v>0</v>
      </c>
    </row>
    <row r="3082" spans="1:31">
      <c r="A3082" s="59" t="str">
        <f t="shared" si="385"/>
        <v/>
      </c>
      <c r="B3082" s="59" t="str">
        <f t="shared" si="386"/>
        <v/>
      </c>
      <c r="V3082" s="59" t="str">
        <f t="shared" si="387"/>
        <v/>
      </c>
      <c r="W3082" s="59" t="str">
        <f t="shared" si="384"/>
        <v/>
      </c>
      <c r="X3082" s="59" t="str">
        <f t="shared" si="388"/>
        <v/>
      </c>
      <c r="AC3082" s="50">
        <f t="shared" si="389"/>
        <v>0</v>
      </c>
      <c r="AD3082" s="43">
        <f t="shared" si="390"/>
        <v>0</v>
      </c>
      <c r="AE3082" s="50">
        <f t="shared" si="391"/>
        <v>0</v>
      </c>
    </row>
    <row r="3083" spans="1:31">
      <c r="A3083" s="59" t="str">
        <f t="shared" si="385"/>
        <v/>
      </c>
      <c r="B3083" s="59" t="str">
        <f t="shared" si="386"/>
        <v/>
      </c>
      <c r="V3083" s="59" t="str">
        <f t="shared" si="387"/>
        <v/>
      </c>
      <c r="W3083" s="59" t="str">
        <f t="shared" si="384"/>
        <v/>
      </c>
      <c r="X3083" s="59" t="str">
        <f t="shared" si="388"/>
        <v/>
      </c>
      <c r="AC3083" s="50">
        <f t="shared" si="389"/>
        <v>0</v>
      </c>
      <c r="AD3083" s="43">
        <f t="shared" si="390"/>
        <v>0</v>
      </c>
      <c r="AE3083" s="50">
        <f t="shared" si="391"/>
        <v>0</v>
      </c>
    </row>
    <row r="3084" spans="1:31">
      <c r="A3084" s="59" t="str">
        <f t="shared" si="385"/>
        <v/>
      </c>
      <c r="B3084" s="59" t="str">
        <f t="shared" si="386"/>
        <v/>
      </c>
      <c r="V3084" s="59" t="str">
        <f t="shared" si="387"/>
        <v/>
      </c>
      <c r="W3084" s="59" t="str">
        <f t="shared" si="384"/>
        <v/>
      </c>
      <c r="X3084" s="59" t="str">
        <f t="shared" si="388"/>
        <v/>
      </c>
      <c r="AC3084" s="50">
        <f t="shared" si="389"/>
        <v>0</v>
      </c>
      <c r="AD3084" s="43">
        <f t="shared" si="390"/>
        <v>0</v>
      </c>
      <c r="AE3084" s="50">
        <f t="shared" si="391"/>
        <v>0</v>
      </c>
    </row>
    <row r="3085" spans="1:31">
      <c r="A3085" s="59" t="str">
        <f t="shared" si="385"/>
        <v/>
      </c>
      <c r="B3085" s="59" t="str">
        <f t="shared" si="386"/>
        <v/>
      </c>
      <c r="V3085" s="59" t="str">
        <f t="shared" si="387"/>
        <v/>
      </c>
      <c r="W3085" s="59" t="str">
        <f t="shared" si="384"/>
        <v/>
      </c>
      <c r="X3085" s="59" t="str">
        <f t="shared" si="388"/>
        <v/>
      </c>
      <c r="AC3085" s="50">
        <f t="shared" si="389"/>
        <v>0</v>
      </c>
      <c r="AD3085" s="43">
        <f t="shared" si="390"/>
        <v>0</v>
      </c>
      <c r="AE3085" s="50">
        <f t="shared" si="391"/>
        <v>0</v>
      </c>
    </row>
    <row r="3086" spans="1:31">
      <c r="A3086" s="59" t="str">
        <f t="shared" si="385"/>
        <v/>
      </c>
      <c r="B3086" s="59" t="str">
        <f t="shared" si="386"/>
        <v/>
      </c>
      <c r="V3086" s="59" t="str">
        <f t="shared" si="387"/>
        <v/>
      </c>
      <c r="W3086" s="59" t="str">
        <f t="shared" si="384"/>
        <v/>
      </c>
      <c r="X3086" s="59" t="str">
        <f t="shared" si="388"/>
        <v/>
      </c>
      <c r="AC3086" s="50">
        <f t="shared" si="389"/>
        <v>0</v>
      </c>
      <c r="AD3086" s="43">
        <f t="shared" si="390"/>
        <v>0</v>
      </c>
      <c r="AE3086" s="50">
        <f t="shared" si="391"/>
        <v>0</v>
      </c>
    </row>
    <row r="3087" spans="1:31">
      <c r="A3087" s="59" t="str">
        <f t="shared" si="385"/>
        <v/>
      </c>
      <c r="B3087" s="59" t="str">
        <f t="shared" si="386"/>
        <v/>
      </c>
      <c r="V3087" s="59" t="str">
        <f t="shared" si="387"/>
        <v/>
      </c>
      <c r="W3087" s="59" t="str">
        <f t="shared" si="384"/>
        <v/>
      </c>
      <c r="X3087" s="59" t="str">
        <f t="shared" si="388"/>
        <v/>
      </c>
      <c r="AC3087" s="50">
        <f t="shared" si="389"/>
        <v>0</v>
      </c>
      <c r="AD3087" s="43">
        <f t="shared" si="390"/>
        <v>0</v>
      </c>
      <c r="AE3087" s="50">
        <f t="shared" si="391"/>
        <v>0</v>
      </c>
    </row>
    <row r="3088" spans="1:31">
      <c r="A3088" s="59" t="str">
        <f t="shared" si="385"/>
        <v/>
      </c>
      <c r="B3088" s="59" t="str">
        <f t="shared" si="386"/>
        <v/>
      </c>
      <c r="V3088" s="59" t="str">
        <f t="shared" si="387"/>
        <v/>
      </c>
      <c r="W3088" s="59" t="str">
        <f t="shared" si="384"/>
        <v/>
      </c>
      <c r="X3088" s="59" t="str">
        <f t="shared" si="388"/>
        <v/>
      </c>
      <c r="AC3088" s="50">
        <f t="shared" si="389"/>
        <v>0</v>
      </c>
      <c r="AD3088" s="43">
        <f t="shared" si="390"/>
        <v>0</v>
      </c>
      <c r="AE3088" s="50">
        <f t="shared" si="391"/>
        <v>0</v>
      </c>
    </row>
    <row r="3089" spans="1:31">
      <c r="A3089" s="59" t="str">
        <f t="shared" si="385"/>
        <v/>
      </c>
      <c r="B3089" s="59" t="str">
        <f t="shared" si="386"/>
        <v/>
      </c>
      <c r="V3089" s="59" t="str">
        <f t="shared" si="387"/>
        <v/>
      </c>
      <c r="W3089" s="59" t="str">
        <f t="shared" si="384"/>
        <v/>
      </c>
      <c r="X3089" s="59" t="str">
        <f t="shared" si="388"/>
        <v/>
      </c>
      <c r="AC3089" s="50">
        <f t="shared" si="389"/>
        <v>0</v>
      </c>
      <c r="AD3089" s="43">
        <f t="shared" si="390"/>
        <v>0</v>
      </c>
      <c r="AE3089" s="50">
        <f t="shared" si="391"/>
        <v>0</v>
      </c>
    </row>
    <row r="3090" spans="1:31">
      <c r="A3090" s="59" t="str">
        <f t="shared" si="385"/>
        <v/>
      </c>
      <c r="B3090" s="59" t="str">
        <f t="shared" si="386"/>
        <v/>
      </c>
      <c r="V3090" s="59" t="str">
        <f t="shared" si="387"/>
        <v/>
      </c>
      <c r="W3090" s="59" t="str">
        <f t="shared" si="384"/>
        <v/>
      </c>
      <c r="X3090" s="59" t="str">
        <f t="shared" si="388"/>
        <v/>
      </c>
      <c r="AC3090" s="50">
        <f t="shared" si="389"/>
        <v>0</v>
      </c>
      <c r="AD3090" s="43">
        <f t="shared" si="390"/>
        <v>0</v>
      </c>
      <c r="AE3090" s="50">
        <f t="shared" si="391"/>
        <v>0</v>
      </c>
    </row>
    <row r="3091" spans="1:31">
      <c r="A3091" s="59" t="str">
        <f t="shared" si="385"/>
        <v/>
      </c>
      <c r="B3091" s="59" t="str">
        <f t="shared" si="386"/>
        <v/>
      </c>
      <c r="V3091" s="59" t="str">
        <f t="shared" si="387"/>
        <v/>
      </c>
      <c r="W3091" s="59" t="str">
        <f t="shared" si="384"/>
        <v/>
      </c>
      <c r="X3091" s="59" t="str">
        <f t="shared" si="388"/>
        <v/>
      </c>
      <c r="AC3091" s="50">
        <f t="shared" si="389"/>
        <v>0</v>
      </c>
      <c r="AD3091" s="43">
        <f t="shared" si="390"/>
        <v>0</v>
      </c>
      <c r="AE3091" s="50">
        <f t="shared" si="391"/>
        <v>0</v>
      </c>
    </row>
    <row r="3092" spans="1:31">
      <c r="A3092" s="59" t="str">
        <f t="shared" si="385"/>
        <v/>
      </c>
      <c r="B3092" s="59" t="str">
        <f t="shared" si="386"/>
        <v/>
      </c>
      <c r="V3092" s="59" t="str">
        <f t="shared" si="387"/>
        <v/>
      </c>
      <c r="W3092" s="59" t="str">
        <f t="shared" si="384"/>
        <v/>
      </c>
      <c r="X3092" s="59" t="str">
        <f t="shared" si="388"/>
        <v/>
      </c>
      <c r="AC3092" s="50">
        <f t="shared" si="389"/>
        <v>0</v>
      </c>
      <c r="AD3092" s="43">
        <f t="shared" si="390"/>
        <v>0</v>
      </c>
      <c r="AE3092" s="50">
        <f t="shared" si="391"/>
        <v>0</v>
      </c>
    </row>
    <row r="3093" spans="1:31">
      <c r="A3093" s="59" t="str">
        <f t="shared" si="385"/>
        <v/>
      </c>
      <c r="B3093" s="59" t="str">
        <f t="shared" si="386"/>
        <v/>
      </c>
      <c r="V3093" s="59" t="str">
        <f t="shared" si="387"/>
        <v/>
      </c>
      <c r="W3093" s="59" t="str">
        <f t="shared" si="384"/>
        <v/>
      </c>
      <c r="X3093" s="59" t="str">
        <f t="shared" si="388"/>
        <v/>
      </c>
      <c r="AC3093" s="50">
        <f t="shared" si="389"/>
        <v>0</v>
      </c>
      <c r="AD3093" s="43">
        <f t="shared" si="390"/>
        <v>0</v>
      </c>
      <c r="AE3093" s="50">
        <f t="shared" si="391"/>
        <v>0</v>
      </c>
    </row>
    <row r="3094" spans="1:31">
      <c r="A3094" s="59" t="str">
        <f t="shared" si="385"/>
        <v/>
      </c>
      <c r="B3094" s="59" t="str">
        <f t="shared" si="386"/>
        <v/>
      </c>
      <c r="V3094" s="59" t="str">
        <f t="shared" si="387"/>
        <v/>
      </c>
      <c r="W3094" s="59" t="str">
        <f t="shared" si="384"/>
        <v/>
      </c>
      <c r="X3094" s="59" t="str">
        <f t="shared" si="388"/>
        <v/>
      </c>
      <c r="AC3094" s="50">
        <f t="shared" si="389"/>
        <v>0</v>
      </c>
      <c r="AD3094" s="43">
        <f t="shared" si="390"/>
        <v>0</v>
      </c>
      <c r="AE3094" s="50">
        <f t="shared" si="391"/>
        <v>0</v>
      </c>
    </row>
    <row r="3095" spans="1:31">
      <c r="A3095" s="59" t="str">
        <f t="shared" si="385"/>
        <v/>
      </c>
      <c r="B3095" s="59" t="str">
        <f t="shared" si="386"/>
        <v/>
      </c>
      <c r="V3095" s="59" t="str">
        <f t="shared" si="387"/>
        <v/>
      </c>
      <c r="W3095" s="59" t="str">
        <f t="shared" si="384"/>
        <v/>
      </c>
      <c r="X3095" s="59" t="str">
        <f t="shared" si="388"/>
        <v/>
      </c>
      <c r="AC3095" s="50">
        <f t="shared" si="389"/>
        <v>0</v>
      </c>
      <c r="AD3095" s="43">
        <f t="shared" si="390"/>
        <v>0</v>
      </c>
      <c r="AE3095" s="50">
        <f t="shared" si="391"/>
        <v>0</v>
      </c>
    </row>
    <row r="3096" spans="1:31">
      <c r="A3096" s="59" t="str">
        <f t="shared" si="385"/>
        <v/>
      </c>
      <c r="B3096" s="59" t="str">
        <f t="shared" si="386"/>
        <v/>
      </c>
      <c r="V3096" s="59" t="str">
        <f t="shared" si="387"/>
        <v/>
      </c>
      <c r="W3096" s="59" t="str">
        <f t="shared" si="384"/>
        <v/>
      </c>
      <c r="X3096" s="59" t="str">
        <f t="shared" si="388"/>
        <v/>
      </c>
      <c r="AC3096" s="50">
        <f t="shared" si="389"/>
        <v>0</v>
      </c>
      <c r="AD3096" s="43">
        <f t="shared" si="390"/>
        <v>0</v>
      </c>
      <c r="AE3096" s="50">
        <f t="shared" si="391"/>
        <v>0</v>
      </c>
    </row>
    <row r="3097" spans="1:31">
      <c r="A3097" s="59" t="str">
        <f t="shared" si="385"/>
        <v/>
      </c>
      <c r="B3097" s="59" t="str">
        <f t="shared" si="386"/>
        <v/>
      </c>
      <c r="V3097" s="59" t="str">
        <f t="shared" si="387"/>
        <v/>
      </c>
      <c r="W3097" s="59" t="str">
        <f t="shared" si="384"/>
        <v/>
      </c>
      <c r="X3097" s="59" t="str">
        <f t="shared" si="388"/>
        <v/>
      </c>
      <c r="AC3097" s="50">
        <f t="shared" si="389"/>
        <v>0</v>
      </c>
      <c r="AD3097" s="43">
        <f t="shared" si="390"/>
        <v>0</v>
      </c>
      <c r="AE3097" s="50">
        <f t="shared" si="391"/>
        <v>0</v>
      </c>
    </row>
    <row r="3098" spans="1:31">
      <c r="A3098" s="59" t="str">
        <f t="shared" si="385"/>
        <v/>
      </c>
      <c r="B3098" s="59" t="str">
        <f t="shared" si="386"/>
        <v/>
      </c>
      <c r="V3098" s="59" t="str">
        <f t="shared" si="387"/>
        <v/>
      </c>
      <c r="W3098" s="59" t="str">
        <f t="shared" si="384"/>
        <v/>
      </c>
      <c r="X3098" s="59" t="str">
        <f t="shared" si="388"/>
        <v/>
      </c>
      <c r="AC3098" s="50">
        <f t="shared" si="389"/>
        <v>0</v>
      </c>
      <c r="AD3098" s="43">
        <f t="shared" si="390"/>
        <v>0</v>
      </c>
      <c r="AE3098" s="50">
        <f t="shared" si="391"/>
        <v>0</v>
      </c>
    </row>
    <row r="3099" spans="1:31">
      <c r="A3099" s="59" t="str">
        <f t="shared" si="385"/>
        <v/>
      </c>
      <c r="B3099" s="59" t="str">
        <f t="shared" si="386"/>
        <v/>
      </c>
      <c r="V3099" s="59" t="str">
        <f t="shared" si="387"/>
        <v/>
      </c>
      <c r="W3099" s="59" t="str">
        <f t="shared" si="384"/>
        <v/>
      </c>
      <c r="X3099" s="59" t="str">
        <f t="shared" si="388"/>
        <v/>
      </c>
      <c r="AC3099" s="50">
        <f t="shared" si="389"/>
        <v>0</v>
      </c>
      <c r="AD3099" s="43">
        <f t="shared" si="390"/>
        <v>0</v>
      </c>
      <c r="AE3099" s="50">
        <f t="shared" si="391"/>
        <v>0</v>
      </c>
    </row>
    <row r="3100" spans="1:31">
      <c r="A3100" s="59" t="str">
        <f t="shared" si="385"/>
        <v/>
      </c>
      <c r="B3100" s="59" t="str">
        <f t="shared" si="386"/>
        <v/>
      </c>
      <c r="V3100" s="59" t="str">
        <f t="shared" si="387"/>
        <v/>
      </c>
      <c r="W3100" s="59" t="str">
        <f t="shared" si="384"/>
        <v/>
      </c>
      <c r="X3100" s="59" t="str">
        <f t="shared" si="388"/>
        <v/>
      </c>
      <c r="AC3100" s="50">
        <f t="shared" si="389"/>
        <v>0</v>
      </c>
      <c r="AD3100" s="43">
        <f t="shared" si="390"/>
        <v>0</v>
      </c>
      <c r="AE3100" s="50">
        <f t="shared" si="391"/>
        <v>0</v>
      </c>
    </row>
    <row r="3101" spans="1:31">
      <c r="A3101" s="59" t="str">
        <f t="shared" si="385"/>
        <v/>
      </c>
      <c r="B3101" s="59" t="str">
        <f t="shared" si="386"/>
        <v/>
      </c>
      <c r="V3101" s="59" t="str">
        <f t="shared" si="387"/>
        <v/>
      </c>
      <c r="W3101" s="59" t="str">
        <f t="shared" si="384"/>
        <v/>
      </c>
      <c r="X3101" s="59" t="str">
        <f t="shared" si="388"/>
        <v/>
      </c>
      <c r="AC3101" s="50">
        <f t="shared" si="389"/>
        <v>0</v>
      </c>
      <c r="AD3101" s="43">
        <f t="shared" si="390"/>
        <v>0</v>
      </c>
      <c r="AE3101" s="50">
        <f t="shared" si="391"/>
        <v>0</v>
      </c>
    </row>
    <row r="3102" spans="1:31">
      <c r="A3102" s="59" t="str">
        <f t="shared" si="385"/>
        <v/>
      </c>
      <c r="B3102" s="59" t="str">
        <f t="shared" si="386"/>
        <v/>
      </c>
      <c r="V3102" s="59" t="str">
        <f t="shared" si="387"/>
        <v/>
      </c>
      <c r="W3102" s="59" t="str">
        <f t="shared" si="384"/>
        <v/>
      </c>
      <c r="X3102" s="59" t="str">
        <f t="shared" si="388"/>
        <v/>
      </c>
      <c r="AC3102" s="50">
        <f t="shared" si="389"/>
        <v>0</v>
      </c>
      <c r="AD3102" s="43">
        <f t="shared" si="390"/>
        <v>0</v>
      </c>
      <c r="AE3102" s="50">
        <f t="shared" si="391"/>
        <v>0</v>
      </c>
    </row>
    <row r="3103" spans="1:31">
      <c r="A3103" s="59" t="str">
        <f t="shared" si="385"/>
        <v/>
      </c>
      <c r="B3103" s="59" t="str">
        <f t="shared" si="386"/>
        <v/>
      </c>
      <c r="V3103" s="59" t="str">
        <f t="shared" si="387"/>
        <v/>
      </c>
      <c r="W3103" s="59" t="str">
        <f t="shared" si="384"/>
        <v/>
      </c>
      <c r="X3103" s="59" t="str">
        <f t="shared" si="388"/>
        <v/>
      </c>
      <c r="AC3103" s="50">
        <f t="shared" si="389"/>
        <v>0</v>
      </c>
      <c r="AD3103" s="43">
        <f t="shared" si="390"/>
        <v>0</v>
      </c>
      <c r="AE3103" s="50">
        <f t="shared" si="391"/>
        <v>0</v>
      </c>
    </row>
    <row r="3104" spans="1:31">
      <c r="A3104" s="59" t="str">
        <f t="shared" si="385"/>
        <v/>
      </c>
      <c r="B3104" s="59" t="str">
        <f t="shared" si="386"/>
        <v/>
      </c>
      <c r="V3104" s="59" t="str">
        <f t="shared" si="387"/>
        <v/>
      </c>
      <c r="W3104" s="59" t="str">
        <f t="shared" si="384"/>
        <v/>
      </c>
      <c r="X3104" s="59" t="str">
        <f t="shared" si="388"/>
        <v/>
      </c>
      <c r="AC3104" s="50">
        <f t="shared" si="389"/>
        <v>0</v>
      </c>
      <c r="AD3104" s="43">
        <f t="shared" si="390"/>
        <v>0</v>
      </c>
      <c r="AE3104" s="50">
        <f t="shared" si="391"/>
        <v>0</v>
      </c>
    </row>
    <row r="3105" spans="1:31">
      <c r="A3105" s="59" t="str">
        <f t="shared" si="385"/>
        <v/>
      </c>
      <c r="B3105" s="59" t="str">
        <f t="shared" si="386"/>
        <v/>
      </c>
      <c r="V3105" s="59" t="str">
        <f t="shared" si="387"/>
        <v/>
      </c>
      <c r="W3105" s="59" t="str">
        <f t="shared" si="384"/>
        <v/>
      </c>
      <c r="X3105" s="59" t="str">
        <f t="shared" si="388"/>
        <v/>
      </c>
      <c r="AC3105" s="50">
        <f t="shared" si="389"/>
        <v>0</v>
      </c>
      <c r="AD3105" s="43">
        <f t="shared" si="390"/>
        <v>0</v>
      </c>
      <c r="AE3105" s="50">
        <f t="shared" si="391"/>
        <v>0</v>
      </c>
    </row>
    <row r="3106" spans="1:31">
      <c r="A3106" s="59" t="str">
        <f t="shared" si="385"/>
        <v/>
      </c>
      <c r="B3106" s="59" t="str">
        <f t="shared" si="386"/>
        <v/>
      </c>
      <c r="V3106" s="59" t="str">
        <f t="shared" si="387"/>
        <v/>
      </c>
      <c r="W3106" s="59" t="str">
        <f t="shared" si="384"/>
        <v/>
      </c>
      <c r="X3106" s="59" t="str">
        <f t="shared" si="388"/>
        <v/>
      </c>
      <c r="AC3106" s="50">
        <f t="shared" si="389"/>
        <v>0</v>
      </c>
      <c r="AD3106" s="43">
        <f t="shared" si="390"/>
        <v>0</v>
      </c>
      <c r="AE3106" s="50">
        <f t="shared" si="391"/>
        <v>0</v>
      </c>
    </row>
    <row r="3107" spans="1:31">
      <c r="A3107" s="59" t="str">
        <f t="shared" si="385"/>
        <v/>
      </c>
      <c r="B3107" s="59" t="str">
        <f t="shared" si="386"/>
        <v/>
      </c>
      <c r="V3107" s="59" t="str">
        <f t="shared" si="387"/>
        <v/>
      </c>
      <c r="W3107" s="59" t="str">
        <f t="shared" si="384"/>
        <v/>
      </c>
      <c r="X3107" s="59" t="str">
        <f t="shared" si="388"/>
        <v/>
      </c>
      <c r="AC3107" s="50">
        <f t="shared" si="389"/>
        <v>0</v>
      </c>
      <c r="AD3107" s="43">
        <f t="shared" si="390"/>
        <v>0</v>
      </c>
      <c r="AE3107" s="50">
        <f t="shared" si="391"/>
        <v>0</v>
      </c>
    </row>
    <row r="3108" spans="1:31">
      <c r="A3108" s="59" t="str">
        <f t="shared" si="385"/>
        <v/>
      </c>
      <c r="B3108" s="59" t="str">
        <f t="shared" si="386"/>
        <v/>
      </c>
      <c r="V3108" s="59" t="str">
        <f t="shared" si="387"/>
        <v/>
      </c>
      <c r="W3108" s="59" t="str">
        <f t="shared" si="384"/>
        <v/>
      </c>
      <c r="X3108" s="59" t="str">
        <f t="shared" si="388"/>
        <v/>
      </c>
      <c r="AC3108" s="50">
        <f t="shared" si="389"/>
        <v>0</v>
      </c>
      <c r="AD3108" s="43">
        <f t="shared" si="390"/>
        <v>0</v>
      </c>
      <c r="AE3108" s="50">
        <f t="shared" si="391"/>
        <v>0</v>
      </c>
    </row>
    <row r="3109" spans="1:31">
      <c r="A3109" s="59" t="str">
        <f t="shared" si="385"/>
        <v/>
      </c>
      <c r="B3109" s="59" t="str">
        <f t="shared" si="386"/>
        <v/>
      </c>
      <c r="V3109" s="59" t="str">
        <f t="shared" si="387"/>
        <v/>
      </c>
      <c r="W3109" s="59" t="str">
        <f t="shared" si="384"/>
        <v/>
      </c>
      <c r="X3109" s="59" t="str">
        <f t="shared" si="388"/>
        <v/>
      </c>
      <c r="AC3109" s="50">
        <f t="shared" si="389"/>
        <v>0</v>
      </c>
      <c r="AD3109" s="43">
        <f t="shared" si="390"/>
        <v>0</v>
      </c>
      <c r="AE3109" s="50">
        <f t="shared" si="391"/>
        <v>0</v>
      </c>
    </row>
    <row r="3110" spans="1:31">
      <c r="A3110" s="59" t="str">
        <f t="shared" si="385"/>
        <v/>
      </c>
      <c r="B3110" s="59" t="str">
        <f t="shared" si="386"/>
        <v/>
      </c>
      <c r="V3110" s="59" t="str">
        <f t="shared" si="387"/>
        <v/>
      </c>
      <c r="W3110" s="59" t="str">
        <f t="shared" si="384"/>
        <v/>
      </c>
      <c r="X3110" s="59" t="str">
        <f t="shared" si="388"/>
        <v/>
      </c>
      <c r="AC3110" s="50">
        <f t="shared" si="389"/>
        <v>0</v>
      </c>
      <c r="AD3110" s="43">
        <f t="shared" si="390"/>
        <v>0</v>
      </c>
      <c r="AE3110" s="50">
        <f t="shared" si="391"/>
        <v>0</v>
      </c>
    </row>
    <row r="3111" spans="1:31">
      <c r="A3111" s="59" t="str">
        <f t="shared" si="385"/>
        <v/>
      </c>
      <c r="B3111" s="59" t="str">
        <f t="shared" si="386"/>
        <v/>
      </c>
      <c r="V3111" s="59" t="str">
        <f t="shared" si="387"/>
        <v/>
      </c>
      <c r="W3111" s="59" t="str">
        <f t="shared" si="384"/>
        <v/>
      </c>
      <c r="X3111" s="59" t="str">
        <f t="shared" si="388"/>
        <v/>
      </c>
      <c r="AC3111" s="50">
        <f t="shared" si="389"/>
        <v>0</v>
      </c>
      <c r="AD3111" s="43">
        <f t="shared" si="390"/>
        <v>0</v>
      </c>
      <c r="AE3111" s="50">
        <f t="shared" si="391"/>
        <v>0</v>
      </c>
    </row>
    <row r="3112" spans="1:31">
      <c r="A3112" s="59" t="str">
        <f t="shared" si="385"/>
        <v/>
      </c>
      <c r="B3112" s="59" t="str">
        <f t="shared" si="386"/>
        <v/>
      </c>
      <c r="V3112" s="59" t="str">
        <f t="shared" si="387"/>
        <v/>
      </c>
      <c r="W3112" s="59" t="str">
        <f t="shared" si="384"/>
        <v/>
      </c>
      <c r="X3112" s="59" t="str">
        <f t="shared" si="388"/>
        <v/>
      </c>
      <c r="AC3112" s="50">
        <f t="shared" si="389"/>
        <v>0</v>
      </c>
      <c r="AD3112" s="43">
        <f t="shared" si="390"/>
        <v>0</v>
      </c>
      <c r="AE3112" s="50">
        <f t="shared" si="391"/>
        <v>0</v>
      </c>
    </row>
    <row r="3113" spans="1:31">
      <c r="A3113" s="59" t="str">
        <f t="shared" si="385"/>
        <v/>
      </c>
      <c r="B3113" s="59" t="str">
        <f t="shared" si="386"/>
        <v/>
      </c>
      <c r="V3113" s="59" t="str">
        <f t="shared" si="387"/>
        <v/>
      </c>
      <c r="W3113" s="59" t="str">
        <f t="shared" si="384"/>
        <v/>
      </c>
      <c r="X3113" s="59" t="str">
        <f t="shared" si="388"/>
        <v/>
      </c>
      <c r="AC3113" s="50">
        <f t="shared" si="389"/>
        <v>0</v>
      </c>
      <c r="AD3113" s="43">
        <f t="shared" si="390"/>
        <v>0</v>
      </c>
      <c r="AE3113" s="50">
        <f t="shared" si="391"/>
        <v>0</v>
      </c>
    </row>
    <row r="3114" spans="1:31">
      <c r="A3114" s="59" t="str">
        <f t="shared" si="385"/>
        <v/>
      </c>
      <c r="B3114" s="59" t="str">
        <f t="shared" si="386"/>
        <v/>
      </c>
      <c r="V3114" s="59" t="str">
        <f t="shared" si="387"/>
        <v/>
      </c>
      <c r="W3114" s="59" t="str">
        <f t="shared" si="384"/>
        <v/>
      </c>
      <c r="X3114" s="59" t="str">
        <f t="shared" si="388"/>
        <v/>
      </c>
      <c r="AC3114" s="50">
        <f t="shared" si="389"/>
        <v>0</v>
      </c>
      <c r="AD3114" s="43">
        <f t="shared" si="390"/>
        <v>0</v>
      </c>
      <c r="AE3114" s="50">
        <f t="shared" si="391"/>
        <v>0</v>
      </c>
    </row>
    <row r="3115" spans="1:31">
      <c r="A3115" s="59" t="str">
        <f t="shared" si="385"/>
        <v/>
      </c>
      <c r="B3115" s="59" t="str">
        <f t="shared" si="386"/>
        <v/>
      </c>
      <c r="V3115" s="59" t="str">
        <f t="shared" si="387"/>
        <v/>
      </c>
      <c r="W3115" s="59" t="str">
        <f t="shared" si="384"/>
        <v/>
      </c>
      <c r="X3115" s="59" t="str">
        <f t="shared" si="388"/>
        <v/>
      </c>
      <c r="AC3115" s="50">
        <f t="shared" si="389"/>
        <v>0</v>
      </c>
      <c r="AD3115" s="43">
        <f t="shared" si="390"/>
        <v>0</v>
      </c>
      <c r="AE3115" s="50">
        <f t="shared" si="391"/>
        <v>0</v>
      </c>
    </row>
    <row r="3116" spans="1:31">
      <c r="A3116" s="59" t="str">
        <f t="shared" si="385"/>
        <v/>
      </c>
      <c r="B3116" s="59" t="str">
        <f t="shared" si="386"/>
        <v/>
      </c>
      <c r="V3116" s="59" t="str">
        <f t="shared" si="387"/>
        <v/>
      </c>
      <c r="W3116" s="59" t="str">
        <f t="shared" si="384"/>
        <v/>
      </c>
      <c r="X3116" s="59" t="str">
        <f t="shared" si="388"/>
        <v/>
      </c>
      <c r="AC3116" s="50">
        <f t="shared" si="389"/>
        <v>0</v>
      </c>
      <c r="AD3116" s="43">
        <f t="shared" si="390"/>
        <v>0</v>
      </c>
      <c r="AE3116" s="50">
        <f t="shared" si="391"/>
        <v>0</v>
      </c>
    </row>
    <row r="3117" spans="1:31">
      <c r="A3117" s="59" t="str">
        <f t="shared" si="385"/>
        <v/>
      </c>
      <c r="B3117" s="59" t="str">
        <f t="shared" si="386"/>
        <v/>
      </c>
      <c r="V3117" s="59" t="str">
        <f t="shared" si="387"/>
        <v/>
      </c>
      <c r="W3117" s="59" t="str">
        <f t="shared" si="384"/>
        <v/>
      </c>
      <c r="X3117" s="59" t="str">
        <f t="shared" si="388"/>
        <v/>
      </c>
      <c r="AC3117" s="50">
        <f t="shared" si="389"/>
        <v>0</v>
      </c>
      <c r="AD3117" s="43">
        <f t="shared" si="390"/>
        <v>0</v>
      </c>
      <c r="AE3117" s="50">
        <f t="shared" si="391"/>
        <v>0</v>
      </c>
    </row>
    <row r="3118" spans="1:31">
      <c r="A3118" s="59" t="str">
        <f t="shared" si="385"/>
        <v/>
      </c>
      <c r="B3118" s="59" t="str">
        <f t="shared" si="386"/>
        <v/>
      </c>
      <c r="V3118" s="59" t="str">
        <f t="shared" si="387"/>
        <v/>
      </c>
      <c r="W3118" s="59" t="str">
        <f t="shared" si="384"/>
        <v/>
      </c>
      <c r="X3118" s="59" t="str">
        <f t="shared" si="388"/>
        <v/>
      </c>
      <c r="AC3118" s="50">
        <f t="shared" si="389"/>
        <v>0</v>
      </c>
      <c r="AD3118" s="43">
        <f t="shared" si="390"/>
        <v>0</v>
      </c>
      <c r="AE3118" s="50">
        <f t="shared" si="391"/>
        <v>0</v>
      </c>
    </row>
    <row r="3119" spans="1:31">
      <c r="A3119" s="59" t="str">
        <f t="shared" si="385"/>
        <v/>
      </c>
      <c r="B3119" s="59" t="str">
        <f t="shared" si="386"/>
        <v/>
      </c>
      <c r="V3119" s="59" t="str">
        <f t="shared" si="387"/>
        <v/>
      </c>
      <c r="W3119" s="59" t="str">
        <f t="shared" si="384"/>
        <v/>
      </c>
      <c r="X3119" s="59" t="str">
        <f t="shared" si="388"/>
        <v/>
      </c>
      <c r="AC3119" s="50">
        <f t="shared" si="389"/>
        <v>0</v>
      </c>
      <c r="AD3119" s="43">
        <f t="shared" si="390"/>
        <v>0</v>
      </c>
      <c r="AE3119" s="50">
        <f t="shared" si="391"/>
        <v>0</v>
      </c>
    </row>
    <row r="3120" spans="1:31">
      <c r="A3120" s="59" t="str">
        <f t="shared" si="385"/>
        <v/>
      </c>
      <c r="B3120" s="59" t="str">
        <f t="shared" si="386"/>
        <v/>
      </c>
      <c r="V3120" s="59" t="str">
        <f t="shared" si="387"/>
        <v/>
      </c>
      <c r="W3120" s="59" t="str">
        <f t="shared" si="384"/>
        <v/>
      </c>
      <c r="X3120" s="59" t="str">
        <f t="shared" si="388"/>
        <v/>
      </c>
      <c r="AC3120" s="50">
        <f t="shared" si="389"/>
        <v>0</v>
      </c>
      <c r="AD3120" s="43">
        <f t="shared" si="390"/>
        <v>0</v>
      </c>
      <c r="AE3120" s="50">
        <f t="shared" si="391"/>
        <v>0</v>
      </c>
    </row>
    <row r="3121" spans="1:31">
      <c r="A3121" s="59" t="str">
        <f t="shared" si="385"/>
        <v/>
      </c>
      <c r="B3121" s="59" t="str">
        <f t="shared" si="386"/>
        <v/>
      </c>
      <c r="V3121" s="59" t="str">
        <f t="shared" si="387"/>
        <v/>
      </c>
      <c r="W3121" s="59" t="str">
        <f t="shared" si="384"/>
        <v/>
      </c>
      <c r="X3121" s="59" t="str">
        <f t="shared" si="388"/>
        <v/>
      </c>
      <c r="AC3121" s="50">
        <f t="shared" si="389"/>
        <v>0</v>
      </c>
      <c r="AD3121" s="43">
        <f t="shared" si="390"/>
        <v>0</v>
      </c>
      <c r="AE3121" s="50">
        <f t="shared" si="391"/>
        <v>0</v>
      </c>
    </row>
    <row r="3122" spans="1:31">
      <c r="A3122" s="59" t="str">
        <f t="shared" si="385"/>
        <v/>
      </c>
      <c r="B3122" s="59" t="str">
        <f t="shared" si="386"/>
        <v/>
      </c>
      <c r="V3122" s="59" t="str">
        <f t="shared" si="387"/>
        <v/>
      </c>
      <c r="W3122" s="59" t="str">
        <f t="shared" si="384"/>
        <v/>
      </c>
      <c r="X3122" s="59" t="str">
        <f t="shared" si="388"/>
        <v/>
      </c>
      <c r="AC3122" s="50">
        <f t="shared" si="389"/>
        <v>0</v>
      </c>
      <c r="AD3122" s="43">
        <f t="shared" si="390"/>
        <v>0</v>
      </c>
      <c r="AE3122" s="50">
        <f t="shared" si="391"/>
        <v>0</v>
      </c>
    </row>
    <row r="3123" spans="1:31">
      <c r="A3123" s="59" t="str">
        <f t="shared" si="385"/>
        <v/>
      </c>
      <c r="B3123" s="59" t="str">
        <f t="shared" si="386"/>
        <v/>
      </c>
      <c r="V3123" s="59" t="str">
        <f t="shared" si="387"/>
        <v/>
      </c>
      <c r="W3123" s="59" t="str">
        <f t="shared" si="384"/>
        <v/>
      </c>
      <c r="X3123" s="59" t="str">
        <f t="shared" si="388"/>
        <v/>
      </c>
      <c r="AC3123" s="50">
        <f t="shared" si="389"/>
        <v>0</v>
      </c>
      <c r="AD3123" s="43">
        <f t="shared" si="390"/>
        <v>0</v>
      </c>
      <c r="AE3123" s="50">
        <f t="shared" si="391"/>
        <v>0</v>
      </c>
    </row>
    <row r="3124" spans="1:31">
      <c r="A3124" s="59" t="str">
        <f t="shared" si="385"/>
        <v/>
      </c>
      <c r="B3124" s="59" t="str">
        <f t="shared" si="386"/>
        <v/>
      </c>
      <c r="V3124" s="59" t="str">
        <f t="shared" si="387"/>
        <v/>
      </c>
      <c r="W3124" s="59" t="str">
        <f t="shared" si="384"/>
        <v/>
      </c>
      <c r="X3124" s="59" t="str">
        <f t="shared" si="388"/>
        <v/>
      </c>
      <c r="AC3124" s="50">
        <f t="shared" si="389"/>
        <v>0</v>
      </c>
      <c r="AD3124" s="43">
        <f t="shared" si="390"/>
        <v>0</v>
      </c>
      <c r="AE3124" s="50">
        <f t="shared" si="391"/>
        <v>0</v>
      </c>
    </row>
    <row r="3125" spans="1:31">
      <c r="A3125" s="59" t="str">
        <f t="shared" si="385"/>
        <v/>
      </c>
      <c r="B3125" s="59" t="str">
        <f t="shared" si="386"/>
        <v/>
      </c>
      <c r="V3125" s="59" t="str">
        <f t="shared" si="387"/>
        <v/>
      </c>
      <c r="W3125" s="59" t="str">
        <f t="shared" si="384"/>
        <v/>
      </c>
      <c r="X3125" s="59" t="str">
        <f t="shared" si="388"/>
        <v/>
      </c>
      <c r="AC3125" s="50">
        <f t="shared" si="389"/>
        <v>0</v>
      </c>
      <c r="AD3125" s="43">
        <f t="shared" si="390"/>
        <v>0</v>
      </c>
      <c r="AE3125" s="50">
        <f t="shared" si="391"/>
        <v>0</v>
      </c>
    </row>
    <row r="3126" spans="1:31">
      <c r="A3126" s="59" t="str">
        <f t="shared" si="385"/>
        <v/>
      </c>
      <c r="B3126" s="59" t="str">
        <f t="shared" si="386"/>
        <v/>
      </c>
      <c r="V3126" s="59" t="str">
        <f t="shared" si="387"/>
        <v/>
      </c>
      <c r="W3126" s="59" t="str">
        <f t="shared" si="384"/>
        <v/>
      </c>
      <c r="X3126" s="59" t="str">
        <f t="shared" si="388"/>
        <v/>
      </c>
      <c r="AC3126" s="50">
        <f t="shared" si="389"/>
        <v>0</v>
      </c>
      <c r="AD3126" s="43">
        <f t="shared" si="390"/>
        <v>0</v>
      </c>
      <c r="AE3126" s="50">
        <f t="shared" si="391"/>
        <v>0</v>
      </c>
    </row>
    <row r="3127" spans="1:31">
      <c r="A3127" s="59" t="str">
        <f t="shared" si="385"/>
        <v/>
      </c>
      <c r="B3127" s="59" t="str">
        <f t="shared" si="386"/>
        <v/>
      </c>
      <c r="V3127" s="59" t="str">
        <f t="shared" si="387"/>
        <v/>
      </c>
      <c r="W3127" s="59" t="str">
        <f t="shared" si="384"/>
        <v/>
      </c>
      <c r="X3127" s="59" t="str">
        <f t="shared" si="388"/>
        <v/>
      </c>
      <c r="AC3127" s="50">
        <f t="shared" si="389"/>
        <v>0</v>
      </c>
      <c r="AD3127" s="43">
        <f t="shared" si="390"/>
        <v>0</v>
      </c>
      <c r="AE3127" s="50">
        <f t="shared" si="391"/>
        <v>0</v>
      </c>
    </row>
    <row r="3128" spans="1:31">
      <c r="A3128" s="59" t="str">
        <f t="shared" si="385"/>
        <v/>
      </c>
      <c r="B3128" s="59" t="str">
        <f t="shared" si="386"/>
        <v/>
      </c>
      <c r="V3128" s="59" t="str">
        <f t="shared" si="387"/>
        <v/>
      </c>
      <c r="W3128" s="59" t="str">
        <f t="shared" si="384"/>
        <v/>
      </c>
      <c r="X3128" s="59" t="str">
        <f t="shared" si="388"/>
        <v/>
      </c>
      <c r="AC3128" s="50">
        <f t="shared" si="389"/>
        <v>0</v>
      </c>
      <c r="AD3128" s="43">
        <f t="shared" si="390"/>
        <v>0</v>
      </c>
      <c r="AE3128" s="50">
        <f t="shared" si="391"/>
        <v>0</v>
      </c>
    </row>
    <row r="3129" spans="1:31">
      <c r="A3129" s="59" t="str">
        <f t="shared" si="385"/>
        <v/>
      </c>
      <c r="B3129" s="59" t="str">
        <f t="shared" si="386"/>
        <v/>
      </c>
      <c r="V3129" s="59" t="str">
        <f t="shared" si="387"/>
        <v/>
      </c>
      <c r="W3129" s="59" t="str">
        <f t="shared" si="384"/>
        <v/>
      </c>
      <c r="X3129" s="59" t="str">
        <f t="shared" si="388"/>
        <v/>
      </c>
      <c r="AC3129" s="50">
        <f t="shared" si="389"/>
        <v>0</v>
      </c>
      <c r="AD3129" s="43">
        <f t="shared" si="390"/>
        <v>0</v>
      </c>
      <c r="AE3129" s="50">
        <f t="shared" si="391"/>
        <v>0</v>
      </c>
    </row>
    <row r="3130" spans="1:31">
      <c r="A3130" s="59" t="str">
        <f t="shared" si="385"/>
        <v/>
      </c>
      <c r="B3130" s="59" t="str">
        <f t="shared" si="386"/>
        <v/>
      </c>
      <c r="V3130" s="59" t="str">
        <f t="shared" si="387"/>
        <v/>
      </c>
      <c r="W3130" s="59" t="str">
        <f t="shared" si="384"/>
        <v/>
      </c>
      <c r="X3130" s="59" t="str">
        <f t="shared" si="388"/>
        <v/>
      </c>
      <c r="AC3130" s="50">
        <f t="shared" si="389"/>
        <v>0</v>
      </c>
      <c r="AD3130" s="43">
        <f t="shared" si="390"/>
        <v>0</v>
      </c>
      <c r="AE3130" s="50">
        <f t="shared" si="391"/>
        <v>0</v>
      </c>
    </row>
    <row r="3131" spans="1:31">
      <c r="A3131" s="59" t="str">
        <f t="shared" si="385"/>
        <v/>
      </c>
      <c r="B3131" s="59" t="str">
        <f t="shared" si="386"/>
        <v/>
      </c>
      <c r="V3131" s="59" t="str">
        <f t="shared" si="387"/>
        <v/>
      </c>
      <c r="W3131" s="59" t="str">
        <f t="shared" si="384"/>
        <v/>
      </c>
      <c r="X3131" s="59" t="str">
        <f t="shared" si="388"/>
        <v/>
      </c>
      <c r="AC3131" s="50">
        <f t="shared" si="389"/>
        <v>0</v>
      </c>
      <c r="AD3131" s="43">
        <f t="shared" si="390"/>
        <v>0</v>
      </c>
      <c r="AE3131" s="50">
        <f t="shared" si="391"/>
        <v>0</v>
      </c>
    </row>
    <row r="3132" spans="1:31">
      <c r="A3132" s="59" t="str">
        <f t="shared" si="385"/>
        <v/>
      </c>
      <c r="B3132" s="59" t="str">
        <f t="shared" si="386"/>
        <v/>
      </c>
      <c r="V3132" s="59" t="str">
        <f t="shared" si="387"/>
        <v/>
      </c>
      <c r="W3132" s="59" t="str">
        <f t="shared" si="384"/>
        <v/>
      </c>
      <c r="X3132" s="59" t="str">
        <f t="shared" si="388"/>
        <v/>
      </c>
      <c r="AC3132" s="50">
        <f t="shared" si="389"/>
        <v>0</v>
      </c>
      <c r="AD3132" s="43">
        <f t="shared" si="390"/>
        <v>0</v>
      </c>
      <c r="AE3132" s="50">
        <f t="shared" si="391"/>
        <v>0</v>
      </c>
    </row>
    <row r="3133" spans="1:31">
      <c r="A3133" s="59" t="str">
        <f t="shared" si="385"/>
        <v/>
      </c>
      <c r="B3133" s="59" t="str">
        <f t="shared" si="386"/>
        <v/>
      </c>
      <c r="V3133" s="59" t="str">
        <f t="shared" si="387"/>
        <v/>
      </c>
      <c r="W3133" s="59" t="str">
        <f t="shared" si="384"/>
        <v/>
      </c>
      <c r="X3133" s="59" t="str">
        <f t="shared" si="388"/>
        <v/>
      </c>
      <c r="AC3133" s="50">
        <f t="shared" si="389"/>
        <v>0</v>
      </c>
      <c r="AD3133" s="43">
        <f t="shared" si="390"/>
        <v>0</v>
      </c>
      <c r="AE3133" s="50">
        <f t="shared" si="391"/>
        <v>0</v>
      </c>
    </row>
    <row r="3134" spans="1:31">
      <c r="A3134" s="59" t="str">
        <f t="shared" si="385"/>
        <v/>
      </c>
      <c r="B3134" s="59" t="str">
        <f t="shared" si="386"/>
        <v/>
      </c>
      <c r="V3134" s="59" t="str">
        <f t="shared" si="387"/>
        <v/>
      </c>
      <c r="W3134" s="59" t="str">
        <f t="shared" si="384"/>
        <v/>
      </c>
      <c r="X3134" s="59" t="str">
        <f t="shared" si="388"/>
        <v/>
      </c>
      <c r="AC3134" s="50">
        <f t="shared" si="389"/>
        <v>0</v>
      </c>
      <c r="AD3134" s="43">
        <f t="shared" si="390"/>
        <v>0</v>
      </c>
      <c r="AE3134" s="50">
        <f t="shared" si="391"/>
        <v>0</v>
      </c>
    </row>
    <row r="3135" spans="1:31">
      <c r="A3135" s="59" t="str">
        <f t="shared" si="385"/>
        <v/>
      </c>
      <c r="B3135" s="59" t="str">
        <f t="shared" si="386"/>
        <v/>
      </c>
      <c r="V3135" s="59" t="str">
        <f t="shared" si="387"/>
        <v/>
      </c>
      <c r="W3135" s="59" t="str">
        <f t="shared" si="384"/>
        <v/>
      </c>
      <c r="X3135" s="59" t="str">
        <f t="shared" si="388"/>
        <v/>
      </c>
      <c r="AC3135" s="50">
        <f t="shared" si="389"/>
        <v>0</v>
      </c>
      <c r="AD3135" s="43">
        <f t="shared" si="390"/>
        <v>0</v>
      </c>
      <c r="AE3135" s="50">
        <f t="shared" si="391"/>
        <v>0</v>
      </c>
    </row>
    <row r="3136" spans="1:31">
      <c r="A3136" s="59" t="str">
        <f t="shared" si="385"/>
        <v/>
      </c>
      <c r="B3136" s="59" t="str">
        <f t="shared" si="386"/>
        <v/>
      </c>
      <c r="V3136" s="59" t="str">
        <f t="shared" si="387"/>
        <v/>
      </c>
      <c r="W3136" s="59" t="str">
        <f t="shared" si="384"/>
        <v/>
      </c>
      <c r="X3136" s="59" t="str">
        <f t="shared" si="388"/>
        <v/>
      </c>
      <c r="AC3136" s="50">
        <f t="shared" si="389"/>
        <v>0</v>
      </c>
      <c r="AD3136" s="43">
        <f t="shared" si="390"/>
        <v>0</v>
      </c>
      <c r="AE3136" s="50">
        <f t="shared" si="391"/>
        <v>0</v>
      </c>
    </row>
    <row r="3137" spans="1:31">
      <c r="A3137" s="59" t="str">
        <f t="shared" si="385"/>
        <v/>
      </c>
      <c r="B3137" s="59" t="str">
        <f t="shared" si="386"/>
        <v/>
      </c>
      <c r="V3137" s="59" t="str">
        <f t="shared" si="387"/>
        <v/>
      </c>
      <c r="W3137" s="59" t="str">
        <f t="shared" si="384"/>
        <v/>
      </c>
      <c r="X3137" s="59" t="str">
        <f t="shared" si="388"/>
        <v/>
      </c>
      <c r="AC3137" s="50">
        <f t="shared" si="389"/>
        <v>0</v>
      </c>
      <c r="AD3137" s="43">
        <f t="shared" si="390"/>
        <v>0</v>
      </c>
      <c r="AE3137" s="50">
        <f t="shared" si="391"/>
        <v>0</v>
      </c>
    </row>
    <row r="3138" spans="1:31">
      <c r="A3138" s="59" t="str">
        <f t="shared" si="385"/>
        <v/>
      </c>
      <c r="B3138" s="59" t="str">
        <f t="shared" si="386"/>
        <v/>
      </c>
      <c r="V3138" s="59" t="str">
        <f t="shared" si="387"/>
        <v/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59" t="str">
        <f t="shared" si="388"/>
        <v/>
      </c>
      <c r="AC3138" s="50">
        <f t="shared" si="389"/>
        <v>0</v>
      </c>
      <c r="AD3138" s="43">
        <f t="shared" si="390"/>
        <v>0</v>
      </c>
      <c r="AE3138" s="50">
        <f t="shared" si="391"/>
        <v>0</v>
      </c>
    </row>
    <row r="3139" spans="1:31">
      <c r="A3139" s="59" t="str">
        <f t="shared" ref="A3139:A3202" si="393">IF(G3139&amp;Q3139&lt;&gt;"",W3139&amp;Q3139,"")</f>
        <v/>
      </c>
      <c r="B3139" s="59" t="str">
        <f t="shared" ref="B3139:B3202" si="394">IF(C3139&lt;&gt;"",LEFT(C3139,9),"")</f>
        <v/>
      </c>
      <c r="V3139" s="59" t="str">
        <f t="shared" ref="V3139:V3202" si="395">W3139&amp;H3139</f>
        <v/>
      </c>
      <c r="W3139" s="59" t="str">
        <f t="shared" si="392"/>
        <v/>
      </c>
      <c r="X3139" s="59" t="str">
        <f t="shared" ref="X3139:X3202" si="396">IF(A3139&lt;&gt;"",IFERROR(IF(FIND(" ",G3139)&gt;=1,MID(G3139,FIND(" ",G3139)+1,LEN(G3139)),""),""),"")</f>
        <v/>
      </c>
      <c r="AC3139" s="50">
        <f t="shared" ref="AC3139:AC3202" si="397">IFERROR(VALUE(MID($C3139,1,2)),0)</f>
        <v>0</v>
      </c>
      <c r="AD3139" s="43">
        <f t="shared" ref="AD3139:AD3202" si="398">IFERROR(VALUE(MID($C3139,4,3)),0)</f>
        <v>0</v>
      </c>
      <c r="AE3139" s="50">
        <f t="shared" ref="AE3139:AE3202" si="399">VALUE(RIGHT("00"&amp;AC3139,2)&amp;RIGHT("000"&amp;AD3139,3))</f>
        <v>0</v>
      </c>
    </row>
    <row r="3140" spans="1:31">
      <c r="A3140" s="59" t="str">
        <f t="shared" si="393"/>
        <v/>
      </c>
      <c r="B3140" s="59" t="str">
        <f t="shared" si="394"/>
        <v/>
      </c>
      <c r="V3140" s="59" t="str">
        <f t="shared" si="395"/>
        <v/>
      </c>
      <c r="W3140" s="59" t="str">
        <f t="shared" si="392"/>
        <v/>
      </c>
      <c r="X3140" s="59" t="str">
        <f t="shared" si="396"/>
        <v/>
      </c>
      <c r="AC3140" s="50">
        <f t="shared" si="397"/>
        <v>0</v>
      </c>
      <c r="AD3140" s="43">
        <f t="shared" si="398"/>
        <v>0</v>
      </c>
      <c r="AE3140" s="50">
        <f t="shared" si="399"/>
        <v>0</v>
      </c>
    </row>
    <row r="3141" spans="1:31">
      <c r="A3141" s="59" t="str">
        <f t="shared" si="393"/>
        <v/>
      </c>
      <c r="B3141" s="59" t="str">
        <f t="shared" si="394"/>
        <v/>
      </c>
      <c r="V3141" s="59" t="str">
        <f t="shared" si="395"/>
        <v/>
      </c>
      <c r="W3141" s="59" t="str">
        <f t="shared" si="392"/>
        <v/>
      </c>
      <c r="X3141" s="59" t="str">
        <f t="shared" si="396"/>
        <v/>
      </c>
      <c r="AC3141" s="50">
        <f t="shared" si="397"/>
        <v>0</v>
      </c>
      <c r="AD3141" s="43">
        <f t="shared" si="398"/>
        <v>0</v>
      </c>
      <c r="AE3141" s="50">
        <f t="shared" si="399"/>
        <v>0</v>
      </c>
    </row>
    <row r="3142" spans="1:31">
      <c r="A3142" s="59" t="str">
        <f t="shared" si="393"/>
        <v/>
      </c>
      <c r="B3142" s="59" t="str">
        <f t="shared" si="394"/>
        <v/>
      </c>
      <c r="V3142" s="59" t="str">
        <f t="shared" si="395"/>
        <v/>
      </c>
      <c r="W3142" s="59" t="str">
        <f t="shared" si="392"/>
        <v/>
      </c>
      <c r="X3142" s="59" t="str">
        <f t="shared" si="396"/>
        <v/>
      </c>
      <c r="AC3142" s="50">
        <f t="shared" si="397"/>
        <v>0</v>
      </c>
      <c r="AD3142" s="43">
        <f t="shared" si="398"/>
        <v>0</v>
      </c>
      <c r="AE3142" s="50">
        <f t="shared" si="399"/>
        <v>0</v>
      </c>
    </row>
    <row r="3143" spans="1:31">
      <c r="A3143" s="59" t="str">
        <f t="shared" si="393"/>
        <v/>
      </c>
      <c r="B3143" s="59" t="str">
        <f t="shared" si="394"/>
        <v/>
      </c>
      <c r="V3143" s="59" t="str">
        <f t="shared" si="395"/>
        <v/>
      </c>
      <c r="W3143" s="59" t="str">
        <f t="shared" si="392"/>
        <v/>
      </c>
      <c r="X3143" s="59" t="str">
        <f t="shared" si="396"/>
        <v/>
      </c>
      <c r="AC3143" s="50">
        <f t="shared" si="397"/>
        <v>0</v>
      </c>
      <c r="AD3143" s="43">
        <f t="shared" si="398"/>
        <v>0</v>
      </c>
      <c r="AE3143" s="50">
        <f t="shared" si="399"/>
        <v>0</v>
      </c>
    </row>
    <row r="3144" spans="1:31">
      <c r="A3144" s="59" t="str">
        <f t="shared" si="393"/>
        <v/>
      </c>
      <c r="B3144" s="59" t="str">
        <f t="shared" si="394"/>
        <v/>
      </c>
      <c r="V3144" s="59" t="str">
        <f t="shared" si="395"/>
        <v/>
      </c>
      <c r="W3144" s="59" t="str">
        <f t="shared" si="392"/>
        <v/>
      </c>
      <c r="X3144" s="59" t="str">
        <f t="shared" si="396"/>
        <v/>
      </c>
      <c r="AC3144" s="50">
        <f t="shared" si="397"/>
        <v>0</v>
      </c>
      <c r="AD3144" s="43">
        <f t="shared" si="398"/>
        <v>0</v>
      </c>
      <c r="AE3144" s="50">
        <f t="shared" si="399"/>
        <v>0</v>
      </c>
    </row>
    <row r="3145" spans="1:31">
      <c r="A3145" s="59" t="str">
        <f t="shared" si="393"/>
        <v/>
      </c>
      <c r="B3145" s="59" t="str">
        <f t="shared" si="394"/>
        <v/>
      </c>
      <c r="V3145" s="59" t="str">
        <f t="shared" si="395"/>
        <v/>
      </c>
      <c r="W3145" s="59" t="str">
        <f t="shared" si="392"/>
        <v/>
      </c>
      <c r="X3145" s="59" t="str">
        <f t="shared" si="396"/>
        <v/>
      </c>
      <c r="AC3145" s="50">
        <f t="shared" si="397"/>
        <v>0</v>
      </c>
      <c r="AD3145" s="43">
        <f t="shared" si="398"/>
        <v>0</v>
      </c>
      <c r="AE3145" s="50">
        <f t="shared" si="399"/>
        <v>0</v>
      </c>
    </row>
    <row r="3146" spans="1:31">
      <c r="A3146" s="59" t="str">
        <f t="shared" si="393"/>
        <v/>
      </c>
      <c r="B3146" s="59" t="str">
        <f t="shared" si="394"/>
        <v/>
      </c>
      <c r="V3146" s="59" t="str">
        <f t="shared" si="395"/>
        <v/>
      </c>
      <c r="W3146" s="59" t="str">
        <f t="shared" si="392"/>
        <v/>
      </c>
      <c r="X3146" s="59" t="str">
        <f t="shared" si="396"/>
        <v/>
      </c>
      <c r="AC3146" s="50">
        <f t="shared" si="397"/>
        <v>0</v>
      </c>
      <c r="AD3146" s="43">
        <f t="shared" si="398"/>
        <v>0</v>
      </c>
      <c r="AE3146" s="50">
        <f t="shared" si="399"/>
        <v>0</v>
      </c>
    </row>
    <row r="3147" spans="1:31">
      <c r="A3147" s="59" t="str">
        <f t="shared" si="393"/>
        <v/>
      </c>
      <c r="B3147" s="59" t="str">
        <f t="shared" si="394"/>
        <v/>
      </c>
      <c r="V3147" s="59" t="str">
        <f t="shared" si="395"/>
        <v/>
      </c>
      <c r="W3147" s="59" t="str">
        <f t="shared" si="392"/>
        <v/>
      </c>
      <c r="X3147" s="59" t="str">
        <f t="shared" si="396"/>
        <v/>
      </c>
      <c r="AC3147" s="50">
        <f t="shared" si="397"/>
        <v>0</v>
      </c>
      <c r="AD3147" s="43">
        <f t="shared" si="398"/>
        <v>0</v>
      </c>
      <c r="AE3147" s="50">
        <f t="shared" si="399"/>
        <v>0</v>
      </c>
    </row>
    <row r="3148" spans="1:31">
      <c r="A3148" s="59" t="str">
        <f t="shared" si="393"/>
        <v/>
      </c>
      <c r="B3148" s="59" t="str">
        <f t="shared" si="394"/>
        <v/>
      </c>
      <c r="V3148" s="59" t="str">
        <f t="shared" si="395"/>
        <v/>
      </c>
      <c r="W3148" s="59" t="str">
        <f t="shared" si="392"/>
        <v/>
      </c>
      <c r="X3148" s="59" t="str">
        <f t="shared" si="396"/>
        <v/>
      </c>
      <c r="AC3148" s="50">
        <f t="shared" si="397"/>
        <v>0</v>
      </c>
      <c r="AD3148" s="43">
        <f t="shared" si="398"/>
        <v>0</v>
      </c>
      <c r="AE3148" s="50">
        <f t="shared" si="399"/>
        <v>0</v>
      </c>
    </row>
    <row r="3149" spans="1:31">
      <c r="A3149" s="59" t="str">
        <f t="shared" si="393"/>
        <v/>
      </c>
      <c r="B3149" s="59" t="str">
        <f t="shared" si="394"/>
        <v/>
      </c>
      <c r="V3149" s="59" t="str">
        <f t="shared" si="395"/>
        <v/>
      </c>
      <c r="W3149" s="59" t="str">
        <f t="shared" si="392"/>
        <v/>
      </c>
      <c r="X3149" s="59" t="str">
        <f t="shared" si="396"/>
        <v/>
      </c>
      <c r="AC3149" s="50">
        <f t="shared" si="397"/>
        <v>0</v>
      </c>
      <c r="AD3149" s="43">
        <f t="shared" si="398"/>
        <v>0</v>
      </c>
      <c r="AE3149" s="50">
        <f t="shared" si="399"/>
        <v>0</v>
      </c>
    </row>
    <row r="3150" spans="1:31">
      <c r="A3150" s="59" t="str">
        <f t="shared" si="393"/>
        <v/>
      </c>
      <c r="B3150" s="59" t="str">
        <f t="shared" si="394"/>
        <v/>
      </c>
      <c r="V3150" s="59" t="str">
        <f t="shared" si="395"/>
        <v/>
      </c>
      <c r="W3150" s="59" t="str">
        <f t="shared" si="392"/>
        <v/>
      </c>
      <c r="X3150" s="59" t="str">
        <f t="shared" si="396"/>
        <v/>
      </c>
      <c r="AC3150" s="50">
        <f t="shared" si="397"/>
        <v>0</v>
      </c>
      <c r="AD3150" s="43">
        <f t="shared" si="398"/>
        <v>0</v>
      </c>
      <c r="AE3150" s="50">
        <f t="shared" si="399"/>
        <v>0</v>
      </c>
    </row>
    <row r="3151" spans="1:31">
      <c r="A3151" s="59" t="str">
        <f t="shared" si="393"/>
        <v/>
      </c>
      <c r="B3151" s="59" t="str">
        <f t="shared" si="394"/>
        <v/>
      </c>
      <c r="V3151" s="59" t="str">
        <f t="shared" si="395"/>
        <v/>
      </c>
      <c r="W3151" s="59" t="str">
        <f t="shared" si="392"/>
        <v/>
      </c>
      <c r="X3151" s="59" t="str">
        <f t="shared" si="396"/>
        <v/>
      </c>
      <c r="AC3151" s="50">
        <f t="shared" si="397"/>
        <v>0</v>
      </c>
      <c r="AD3151" s="43">
        <f t="shared" si="398"/>
        <v>0</v>
      </c>
      <c r="AE3151" s="50">
        <f t="shared" si="399"/>
        <v>0</v>
      </c>
    </row>
    <row r="3152" spans="1:31">
      <c r="A3152" s="59" t="str">
        <f t="shared" si="393"/>
        <v/>
      </c>
      <c r="B3152" s="59" t="str">
        <f t="shared" si="394"/>
        <v/>
      </c>
      <c r="V3152" s="59" t="str">
        <f t="shared" si="395"/>
        <v/>
      </c>
      <c r="W3152" s="59" t="str">
        <f t="shared" si="392"/>
        <v/>
      </c>
      <c r="X3152" s="59" t="str">
        <f t="shared" si="396"/>
        <v/>
      </c>
      <c r="AC3152" s="50">
        <f t="shared" si="397"/>
        <v>0</v>
      </c>
      <c r="AD3152" s="43">
        <f t="shared" si="398"/>
        <v>0</v>
      </c>
      <c r="AE3152" s="50">
        <f t="shared" si="399"/>
        <v>0</v>
      </c>
    </row>
    <row r="3153" spans="1:31">
      <c r="A3153" s="59" t="str">
        <f t="shared" si="393"/>
        <v/>
      </c>
      <c r="B3153" s="59" t="str">
        <f t="shared" si="394"/>
        <v/>
      </c>
      <c r="V3153" s="59" t="str">
        <f t="shared" si="395"/>
        <v/>
      </c>
      <c r="W3153" s="59" t="str">
        <f t="shared" si="392"/>
        <v/>
      </c>
      <c r="X3153" s="59" t="str">
        <f t="shared" si="396"/>
        <v/>
      </c>
      <c r="AC3153" s="50">
        <f t="shared" si="397"/>
        <v>0</v>
      </c>
      <c r="AD3153" s="43">
        <f t="shared" si="398"/>
        <v>0</v>
      </c>
      <c r="AE3153" s="50">
        <f t="shared" si="399"/>
        <v>0</v>
      </c>
    </row>
    <row r="3154" spans="1:31">
      <c r="A3154" s="59" t="str">
        <f t="shared" si="393"/>
        <v/>
      </c>
      <c r="B3154" s="59" t="str">
        <f t="shared" si="394"/>
        <v/>
      </c>
      <c r="V3154" s="59" t="str">
        <f t="shared" si="395"/>
        <v/>
      </c>
      <c r="W3154" s="59" t="str">
        <f t="shared" si="392"/>
        <v/>
      </c>
      <c r="X3154" s="59" t="str">
        <f t="shared" si="396"/>
        <v/>
      </c>
      <c r="AC3154" s="50">
        <f t="shared" si="397"/>
        <v>0</v>
      </c>
      <c r="AD3154" s="43">
        <f t="shared" si="398"/>
        <v>0</v>
      </c>
      <c r="AE3154" s="50">
        <f t="shared" si="399"/>
        <v>0</v>
      </c>
    </row>
    <row r="3155" spans="1:31">
      <c r="A3155" s="59" t="str">
        <f t="shared" si="393"/>
        <v/>
      </c>
      <c r="B3155" s="59" t="str">
        <f t="shared" si="394"/>
        <v/>
      </c>
      <c r="V3155" s="59" t="str">
        <f t="shared" si="395"/>
        <v/>
      </c>
      <c r="W3155" s="59" t="str">
        <f t="shared" si="392"/>
        <v/>
      </c>
      <c r="X3155" s="59" t="str">
        <f t="shared" si="396"/>
        <v/>
      </c>
      <c r="AC3155" s="50">
        <f t="shared" si="397"/>
        <v>0</v>
      </c>
      <c r="AD3155" s="43">
        <f t="shared" si="398"/>
        <v>0</v>
      </c>
      <c r="AE3155" s="50">
        <f t="shared" si="399"/>
        <v>0</v>
      </c>
    </row>
    <row r="3156" spans="1:31">
      <c r="A3156" s="59" t="str">
        <f t="shared" si="393"/>
        <v/>
      </c>
      <c r="B3156" s="59" t="str">
        <f t="shared" si="394"/>
        <v/>
      </c>
      <c r="V3156" s="59" t="str">
        <f t="shared" si="395"/>
        <v/>
      </c>
      <c r="W3156" s="59" t="str">
        <f t="shared" si="392"/>
        <v/>
      </c>
      <c r="X3156" s="59" t="str">
        <f t="shared" si="396"/>
        <v/>
      </c>
      <c r="AC3156" s="50">
        <f t="shared" si="397"/>
        <v>0</v>
      </c>
      <c r="AD3156" s="43">
        <f t="shared" si="398"/>
        <v>0</v>
      </c>
      <c r="AE3156" s="50">
        <f t="shared" si="399"/>
        <v>0</v>
      </c>
    </row>
    <row r="3157" spans="1:31">
      <c r="A3157" s="59" t="str">
        <f t="shared" si="393"/>
        <v/>
      </c>
      <c r="B3157" s="59" t="str">
        <f t="shared" si="394"/>
        <v/>
      </c>
      <c r="V3157" s="59" t="str">
        <f t="shared" si="395"/>
        <v/>
      </c>
      <c r="W3157" s="59" t="str">
        <f t="shared" si="392"/>
        <v/>
      </c>
      <c r="X3157" s="59" t="str">
        <f t="shared" si="396"/>
        <v/>
      </c>
      <c r="AC3157" s="50">
        <f t="shared" si="397"/>
        <v>0</v>
      </c>
      <c r="AD3157" s="43">
        <f t="shared" si="398"/>
        <v>0</v>
      </c>
      <c r="AE3157" s="50">
        <f t="shared" si="399"/>
        <v>0</v>
      </c>
    </row>
    <row r="3158" spans="1:31">
      <c r="A3158" s="59" t="str">
        <f t="shared" si="393"/>
        <v/>
      </c>
      <c r="B3158" s="59" t="str">
        <f t="shared" si="394"/>
        <v/>
      </c>
      <c r="V3158" s="59" t="str">
        <f t="shared" si="395"/>
        <v/>
      </c>
      <c r="W3158" s="59" t="str">
        <f t="shared" si="392"/>
        <v/>
      </c>
      <c r="X3158" s="59" t="str">
        <f t="shared" si="396"/>
        <v/>
      </c>
      <c r="AC3158" s="50">
        <f t="shared" si="397"/>
        <v>0</v>
      </c>
      <c r="AD3158" s="43">
        <f t="shared" si="398"/>
        <v>0</v>
      </c>
      <c r="AE3158" s="50">
        <f t="shared" si="399"/>
        <v>0</v>
      </c>
    </row>
    <row r="3159" spans="1:31">
      <c r="A3159" s="59" t="str">
        <f t="shared" si="393"/>
        <v/>
      </c>
      <c r="B3159" s="59" t="str">
        <f t="shared" si="394"/>
        <v/>
      </c>
      <c r="V3159" s="59" t="str">
        <f t="shared" si="395"/>
        <v/>
      </c>
      <c r="W3159" s="59" t="str">
        <f t="shared" si="392"/>
        <v/>
      </c>
      <c r="X3159" s="59" t="str">
        <f t="shared" si="396"/>
        <v/>
      </c>
      <c r="AC3159" s="50">
        <f t="shared" si="397"/>
        <v>0</v>
      </c>
      <c r="AD3159" s="43">
        <f t="shared" si="398"/>
        <v>0</v>
      </c>
      <c r="AE3159" s="50">
        <f t="shared" si="399"/>
        <v>0</v>
      </c>
    </row>
    <row r="3160" spans="1:31">
      <c r="A3160" s="59" t="str">
        <f t="shared" si="393"/>
        <v/>
      </c>
      <c r="B3160" s="59" t="str">
        <f t="shared" si="394"/>
        <v/>
      </c>
      <c r="V3160" s="59" t="str">
        <f t="shared" si="395"/>
        <v/>
      </c>
      <c r="W3160" s="59" t="str">
        <f t="shared" si="392"/>
        <v/>
      </c>
      <c r="X3160" s="59" t="str">
        <f t="shared" si="396"/>
        <v/>
      </c>
      <c r="AC3160" s="50">
        <f t="shared" si="397"/>
        <v>0</v>
      </c>
      <c r="AD3160" s="43">
        <f t="shared" si="398"/>
        <v>0</v>
      </c>
      <c r="AE3160" s="50">
        <f t="shared" si="399"/>
        <v>0</v>
      </c>
    </row>
    <row r="3161" spans="1:31">
      <c r="A3161" s="59" t="str">
        <f t="shared" si="393"/>
        <v/>
      </c>
      <c r="B3161" s="59" t="str">
        <f t="shared" si="394"/>
        <v/>
      </c>
      <c r="V3161" s="59" t="str">
        <f t="shared" si="395"/>
        <v/>
      </c>
      <c r="W3161" s="59" t="str">
        <f t="shared" si="392"/>
        <v/>
      </c>
      <c r="X3161" s="59" t="str">
        <f t="shared" si="396"/>
        <v/>
      </c>
      <c r="AC3161" s="50">
        <f t="shared" si="397"/>
        <v>0</v>
      </c>
      <c r="AD3161" s="43">
        <f t="shared" si="398"/>
        <v>0</v>
      </c>
      <c r="AE3161" s="50">
        <f t="shared" si="399"/>
        <v>0</v>
      </c>
    </row>
    <row r="3162" spans="1:31">
      <c r="A3162" s="59" t="str">
        <f t="shared" si="393"/>
        <v/>
      </c>
      <c r="B3162" s="59" t="str">
        <f t="shared" si="394"/>
        <v/>
      </c>
      <c r="V3162" s="59" t="str">
        <f t="shared" si="395"/>
        <v/>
      </c>
      <c r="W3162" s="59" t="str">
        <f t="shared" si="392"/>
        <v/>
      </c>
      <c r="X3162" s="59" t="str">
        <f t="shared" si="396"/>
        <v/>
      </c>
      <c r="AC3162" s="50">
        <f t="shared" si="397"/>
        <v>0</v>
      </c>
      <c r="AD3162" s="43">
        <f t="shared" si="398"/>
        <v>0</v>
      </c>
      <c r="AE3162" s="50">
        <f t="shared" si="399"/>
        <v>0</v>
      </c>
    </row>
    <row r="3163" spans="1:31">
      <c r="A3163" s="59" t="str">
        <f t="shared" si="393"/>
        <v/>
      </c>
      <c r="B3163" s="59" t="str">
        <f t="shared" si="394"/>
        <v/>
      </c>
      <c r="V3163" s="59" t="str">
        <f t="shared" si="395"/>
        <v/>
      </c>
      <c r="W3163" s="59" t="str">
        <f t="shared" si="392"/>
        <v/>
      </c>
      <c r="X3163" s="59" t="str">
        <f t="shared" si="396"/>
        <v/>
      </c>
      <c r="AC3163" s="50">
        <f t="shared" si="397"/>
        <v>0</v>
      </c>
      <c r="AD3163" s="43">
        <f t="shared" si="398"/>
        <v>0</v>
      </c>
      <c r="AE3163" s="50">
        <f t="shared" si="399"/>
        <v>0</v>
      </c>
    </row>
    <row r="3164" spans="1:31">
      <c r="A3164" s="59" t="str">
        <f t="shared" si="393"/>
        <v/>
      </c>
      <c r="B3164" s="59" t="str">
        <f t="shared" si="394"/>
        <v/>
      </c>
      <c r="V3164" s="59" t="str">
        <f t="shared" si="395"/>
        <v/>
      </c>
      <c r="W3164" s="59" t="str">
        <f t="shared" si="392"/>
        <v/>
      </c>
      <c r="X3164" s="59" t="str">
        <f t="shared" si="396"/>
        <v/>
      </c>
      <c r="AC3164" s="50">
        <f t="shared" si="397"/>
        <v>0</v>
      </c>
      <c r="AD3164" s="43">
        <f t="shared" si="398"/>
        <v>0</v>
      </c>
      <c r="AE3164" s="50">
        <f t="shared" si="399"/>
        <v>0</v>
      </c>
    </row>
    <row r="3165" spans="1:31">
      <c r="A3165" s="59" t="str">
        <f t="shared" si="393"/>
        <v/>
      </c>
      <c r="B3165" s="59" t="str">
        <f t="shared" si="394"/>
        <v/>
      </c>
      <c r="V3165" s="59" t="str">
        <f t="shared" si="395"/>
        <v/>
      </c>
      <c r="W3165" s="59" t="str">
        <f t="shared" si="392"/>
        <v/>
      </c>
      <c r="X3165" s="59" t="str">
        <f t="shared" si="396"/>
        <v/>
      </c>
      <c r="AC3165" s="50">
        <f t="shared" si="397"/>
        <v>0</v>
      </c>
      <c r="AD3165" s="43">
        <f t="shared" si="398"/>
        <v>0</v>
      </c>
      <c r="AE3165" s="50">
        <f t="shared" si="399"/>
        <v>0</v>
      </c>
    </row>
    <row r="3166" spans="1:31">
      <c r="A3166" s="59" t="str">
        <f t="shared" si="393"/>
        <v/>
      </c>
      <c r="B3166" s="59" t="str">
        <f t="shared" si="394"/>
        <v/>
      </c>
      <c r="V3166" s="59" t="str">
        <f t="shared" si="395"/>
        <v/>
      </c>
      <c r="W3166" s="59" t="str">
        <f t="shared" si="392"/>
        <v/>
      </c>
      <c r="X3166" s="59" t="str">
        <f t="shared" si="396"/>
        <v/>
      </c>
      <c r="AC3166" s="50">
        <f t="shared" si="397"/>
        <v>0</v>
      </c>
      <c r="AD3166" s="43">
        <f t="shared" si="398"/>
        <v>0</v>
      </c>
      <c r="AE3166" s="50">
        <f t="shared" si="399"/>
        <v>0</v>
      </c>
    </row>
    <row r="3167" spans="1:31">
      <c r="A3167" s="59" t="str">
        <f t="shared" si="393"/>
        <v/>
      </c>
      <c r="B3167" s="59" t="str">
        <f t="shared" si="394"/>
        <v/>
      </c>
      <c r="V3167" s="59" t="str">
        <f t="shared" si="395"/>
        <v/>
      </c>
      <c r="W3167" s="59" t="str">
        <f t="shared" si="392"/>
        <v/>
      </c>
      <c r="X3167" s="59" t="str">
        <f t="shared" si="396"/>
        <v/>
      </c>
      <c r="AC3167" s="50">
        <f t="shared" si="397"/>
        <v>0</v>
      </c>
      <c r="AD3167" s="43">
        <f t="shared" si="398"/>
        <v>0</v>
      </c>
      <c r="AE3167" s="50">
        <f t="shared" si="399"/>
        <v>0</v>
      </c>
    </row>
    <row r="3168" spans="1:31">
      <c r="A3168" s="59" t="str">
        <f t="shared" si="393"/>
        <v/>
      </c>
      <c r="B3168" s="59" t="str">
        <f t="shared" si="394"/>
        <v/>
      </c>
      <c r="V3168" s="59" t="str">
        <f t="shared" si="395"/>
        <v/>
      </c>
      <c r="W3168" s="59" t="str">
        <f t="shared" si="392"/>
        <v/>
      </c>
      <c r="X3168" s="59" t="str">
        <f t="shared" si="396"/>
        <v/>
      </c>
      <c r="AC3168" s="50">
        <f t="shared" si="397"/>
        <v>0</v>
      </c>
      <c r="AD3168" s="43">
        <f t="shared" si="398"/>
        <v>0</v>
      </c>
      <c r="AE3168" s="50">
        <f t="shared" si="399"/>
        <v>0</v>
      </c>
    </row>
    <row r="3169" spans="1:31">
      <c r="A3169" s="59" t="str">
        <f t="shared" si="393"/>
        <v/>
      </c>
      <c r="B3169" s="59" t="str">
        <f t="shared" si="394"/>
        <v/>
      </c>
      <c r="V3169" s="59" t="str">
        <f t="shared" si="395"/>
        <v/>
      </c>
      <c r="W3169" s="59" t="str">
        <f t="shared" si="392"/>
        <v/>
      </c>
      <c r="X3169" s="59" t="str">
        <f t="shared" si="396"/>
        <v/>
      </c>
      <c r="AC3169" s="50">
        <f t="shared" si="397"/>
        <v>0</v>
      </c>
      <c r="AD3169" s="43">
        <f t="shared" si="398"/>
        <v>0</v>
      </c>
      <c r="AE3169" s="50">
        <f t="shared" si="399"/>
        <v>0</v>
      </c>
    </row>
    <row r="3170" spans="1:31">
      <c r="A3170" s="59" t="str">
        <f t="shared" si="393"/>
        <v/>
      </c>
      <c r="B3170" s="59" t="str">
        <f t="shared" si="394"/>
        <v/>
      </c>
      <c r="V3170" s="59" t="str">
        <f t="shared" si="395"/>
        <v/>
      </c>
      <c r="W3170" s="59" t="str">
        <f t="shared" si="392"/>
        <v/>
      </c>
      <c r="X3170" s="59" t="str">
        <f t="shared" si="396"/>
        <v/>
      </c>
      <c r="AC3170" s="50">
        <f t="shared" si="397"/>
        <v>0</v>
      </c>
      <c r="AD3170" s="43">
        <f t="shared" si="398"/>
        <v>0</v>
      </c>
      <c r="AE3170" s="50">
        <f t="shared" si="399"/>
        <v>0</v>
      </c>
    </row>
    <row r="3171" spans="1:31">
      <c r="A3171" s="59" t="str">
        <f t="shared" si="393"/>
        <v/>
      </c>
      <c r="B3171" s="59" t="str">
        <f t="shared" si="394"/>
        <v/>
      </c>
      <c r="V3171" s="59" t="str">
        <f t="shared" si="395"/>
        <v/>
      </c>
      <c r="W3171" s="59" t="str">
        <f t="shared" si="392"/>
        <v/>
      </c>
      <c r="X3171" s="59" t="str">
        <f t="shared" si="396"/>
        <v/>
      </c>
      <c r="AC3171" s="50">
        <f t="shared" si="397"/>
        <v>0</v>
      </c>
      <c r="AD3171" s="43">
        <f t="shared" si="398"/>
        <v>0</v>
      </c>
      <c r="AE3171" s="50">
        <f t="shared" si="399"/>
        <v>0</v>
      </c>
    </row>
    <row r="3172" spans="1:31">
      <c r="A3172" s="59" t="str">
        <f t="shared" si="393"/>
        <v/>
      </c>
      <c r="B3172" s="59" t="str">
        <f t="shared" si="394"/>
        <v/>
      </c>
      <c r="V3172" s="59" t="str">
        <f t="shared" si="395"/>
        <v/>
      </c>
      <c r="W3172" s="59" t="str">
        <f t="shared" si="392"/>
        <v/>
      </c>
      <c r="X3172" s="59" t="str">
        <f t="shared" si="396"/>
        <v/>
      </c>
      <c r="AC3172" s="50">
        <f t="shared" si="397"/>
        <v>0</v>
      </c>
      <c r="AD3172" s="43">
        <f t="shared" si="398"/>
        <v>0</v>
      </c>
      <c r="AE3172" s="50">
        <f t="shared" si="399"/>
        <v>0</v>
      </c>
    </row>
    <row r="3173" spans="1:31">
      <c r="A3173" s="59" t="str">
        <f t="shared" si="393"/>
        <v/>
      </c>
      <c r="B3173" s="59" t="str">
        <f t="shared" si="394"/>
        <v/>
      </c>
      <c r="V3173" s="59" t="str">
        <f t="shared" si="395"/>
        <v/>
      </c>
      <c r="W3173" s="59" t="str">
        <f t="shared" si="392"/>
        <v/>
      </c>
      <c r="X3173" s="59" t="str">
        <f t="shared" si="396"/>
        <v/>
      </c>
      <c r="AC3173" s="50">
        <f t="shared" si="397"/>
        <v>0</v>
      </c>
      <c r="AD3173" s="43">
        <f t="shared" si="398"/>
        <v>0</v>
      </c>
      <c r="AE3173" s="50">
        <f t="shared" si="399"/>
        <v>0</v>
      </c>
    </row>
    <row r="3174" spans="1:31">
      <c r="A3174" s="59" t="str">
        <f t="shared" si="393"/>
        <v/>
      </c>
      <c r="B3174" s="59" t="str">
        <f t="shared" si="394"/>
        <v/>
      </c>
      <c r="V3174" s="59" t="str">
        <f t="shared" si="395"/>
        <v/>
      </c>
      <c r="W3174" s="59" t="str">
        <f t="shared" si="392"/>
        <v/>
      </c>
      <c r="X3174" s="59" t="str">
        <f t="shared" si="396"/>
        <v/>
      </c>
      <c r="AC3174" s="50">
        <f t="shared" si="397"/>
        <v>0</v>
      </c>
      <c r="AD3174" s="43">
        <f t="shared" si="398"/>
        <v>0</v>
      </c>
      <c r="AE3174" s="50">
        <f t="shared" si="399"/>
        <v>0</v>
      </c>
    </row>
    <row r="3175" spans="1:31">
      <c r="A3175" s="59" t="str">
        <f t="shared" si="393"/>
        <v/>
      </c>
      <c r="B3175" s="59" t="str">
        <f t="shared" si="394"/>
        <v/>
      </c>
      <c r="V3175" s="59" t="str">
        <f t="shared" si="395"/>
        <v/>
      </c>
      <c r="W3175" s="59" t="str">
        <f t="shared" si="392"/>
        <v/>
      </c>
      <c r="X3175" s="59" t="str">
        <f t="shared" si="396"/>
        <v/>
      </c>
      <c r="AC3175" s="50">
        <f t="shared" si="397"/>
        <v>0</v>
      </c>
      <c r="AD3175" s="43">
        <f t="shared" si="398"/>
        <v>0</v>
      </c>
      <c r="AE3175" s="50">
        <f t="shared" si="399"/>
        <v>0</v>
      </c>
    </row>
    <row r="3176" spans="1:31">
      <c r="A3176" s="59" t="str">
        <f t="shared" si="393"/>
        <v/>
      </c>
      <c r="B3176" s="59" t="str">
        <f t="shared" si="394"/>
        <v/>
      </c>
      <c r="V3176" s="59" t="str">
        <f t="shared" si="395"/>
        <v/>
      </c>
      <c r="W3176" s="59" t="str">
        <f t="shared" si="392"/>
        <v/>
      </c>
      <c r="X3176" s="59" t="str">
        <f t="shared" si="396"/>
        <v/>
      </c>
      <c r="AC3176" s="50">
        <f t="shared" si="397"/>
        <v>0</v>
      </c>
      <c r="AD3176" s="43">
        <f t="shared" si="398"/>
        <v>0</v>
      </c>
      <c r="AE3176" s="50">
        <f t="shared" si="399"/>
        <v>0</v>
      </c>
    </row>
    <row r="3177" spans="1:31">
      <c r="A3177" s="59" t="str">
        <f t="shared" si="393"/>
        <v/>
      </c>
      <c r="B3177" s="59" t="str">
        <f t="shared" si="394"/>
        <v/>
      </c>
      <c r="V3177" s="59" t="str">
        <f t="shared" si="395"/>
        <v/>
      </c>
      <c r="W3177" s="59" t="str">
        <f t="shared" si="392"/>
        <v/>
      </c>
      <c r="X3177" s="59" t="str">
        <f t="shared" si="396"/>
        <v/>
      </c>
      <c r="AC3177" s="50">
        <f t="shared" si="397"/>
        <v>0</v>
      </c>
      <c r="AD3177" s="43">
        <f t="shared" si="398"/>
        <v>0</v>
      </c>
      <c r="AE3177" s="50">
        <f t="shared" si="399"/>
        <v>0</v>
      </c>
    </row>
    <row r="3178" spans="1:31">
      <c r="A3178" s="59" t="str">
        <f t="shared" si="393"/>
        <v/>
      </c>
      <c r="B3178" s="59" t="str">
        <f t="shared" si="394"/>
        <v/>
      </c>
      <c r="V3178" s="59" t="str">
        <f t="shared" si="395"/>
        <v/>
      </c>
      <c r="W3178" s="59" t="str">
        <f t="shared" si="392"/>
        <v/>
      </c>
      <c r="X3178" s="59" t="str">
        <f t="shared" si="396"/>
        <v/>
      </c>
      <c r="AC3178" s="50">
        <f t="shared" si="397"/>
        <v>0</v>
      </c>
      <c r="AD3178" s="43">
        <f t="shared" si="398"/>
        <v>0</v>
      </c>
      <c r="AE3178" s="50">
        <f t="shared" si="399"/>
        <v>0</v>
      </c>
    </row>
    <row r="3179" spans="1:31">
      <c r="A3179" s="59" t="str">
        <f t="shared" si="393"/>
        <v/>
      </c>
      <c r="B3179" s="59" t="str">
        <f t="shared" si="394"/>
        <v/>
      </c>
      <c r="V3179" s="59" t="str">
        <f t="shared" si="395"/>
        <v/>
      </c>
      <c r="W3179" s="59" t="str">
        <f t="shared" si="392"/>
        <v/>
      </c>
      <c r="X3179" s="59" t="str">
        <f t="shared" si="396"/>
        <v/>
      </c>
      <c r="AC3179" s="50">
        <f t="shared" si="397"/>
        <v>0</v>
      </c>
      <c r="AD3179" s="43">
        <f t="shared" si="398"/>
        <v>0</v>
      </c>
      <c r="AE3179" s="50">
        <f t="shared" si="399"/>
        <v>0</v>
      </c>
    </row>
    <row r="3180" spans="1:31">
      <c r="A3180" s="59" t="str">
        <f t="shared" si="393"/>
        <v/>
      </c>
      <c r="B3180" s="59" t="str">
        <f t="shared" si="394"/>
        <v/>
      </c>
      <c r="V3180" s="59" t="str">
        <f t="shared" si="395"/>
        <v/>
      </c>
      <c r="W3180" s="59" t="str">
        <f t="shared" si="392"/>
        <v/>
      </c>
      <c r="X3180" s="59" t="str">
        <f t="shared" si="396"/>
        <v/>
      </c>
      <c r="AC3180" s="50">
        <f t="shared" si="397"/>
        <v>0</v>
      </c>
      <c r="AD3180" s="43">
        <f t="shared" si="398"/>
        <v>0</v>
      </c>
      <c r="AE3180" s="50">
        <f t="shared" si="399"/>
        <v>0</v>
      </c>
    </row>
    <row r="3181" spans="1:31">
      <c r="A3181" s="59" t="str">
        <f t="shared" si="393"/>
        <v/>
      </c>
      <c r="B3181" s="59" t="str">
        <f t="shared" si="394"/>
        <v/>
      </c>
      <c r="V3181" s="59" t="str">
        <f t="shared" si="395"/>
        <v/>
      </c>
      <c r="W3181" s="59" t="str">
        <f t="shared" si="392"/>
        <v/>
      </c>
      <c r="X3181" s="59" t="str">
        <f t="shared" si="396"/>
        <v/>
      </c>
      <c r="AC3181" s="50">
        <f t="shared" si="397"/>
        <v>0</v>
      </c>
      <c r="AD3181" s="43">
        <f t="shared" si="398"/>
        <v>0</v>
      </c>
      <c r="AE3181" s="50">
        <f t="shared" si="399"/>
        <v>0</v>
      </c>
    </row>
    <row r="3182" spans="1:31">
      <c r="A3182" s="59" t="str">
        <f t="shared" si="393"/>
        <v/>
      </c>
      <c r="B3182" s="59" t="str">
        <f t="shared" si="394"/>
        <v/>
      </c>
      <c r="V3182" s="59" t="str">
        <f t="shared" si="395"/>
        <v/>
      </c>
      <c r="W3182" s="59" t="str">
        <f t="shared" si="392"/>
        <v/>
      </c>
      <c r="X3182" s="59" t="str">
        <f t="shared" si="396"/>
        <v/>
      </c>
      <c r="AC3182" s="50">
        <f t="shared" si="397"/>
        <v>0</v>
      </c>
      <c r="AD3182" s="43">
        <f t="shared" si="398"/>
        <v>0</v>
      </c>
      <c r="AE3182" s="50">
        <f t="shared" si="399"/>
        <v>0</v>
      </c>
    </row>
    <row r="3183" spans="1:31">
      <c r="A3183" s="59" t="str">
        <f t="shared" si="393"/>
        <v/>
      </c>
      <c r="B3183" s="59" t="str">
        <f t="shared" si="394"/>
        <v/>
      </c>
      <c r="V3183" s="59" t="str">
        <f t="shared" si="395"/>
        <v/>
      </c>
      <c r="W3183" s="59" t="str">
        <f t="shared" si="392"/>
        <v/>
      </c>
      <c r="X3183" s="59" t="str">
        <f t="shared" si="396"/>
        <v/>
      </c>
      <c r="AC3183" s="50">
        <f t="shared" si="397"/>
        <v>0</v>
      </c>
      <c r="AD3183" s="43">
        <f t="shared" si="398"/>
        <v>0</v>
      </c>
      <c r="AE3183" s="50">
        <f t="shared" si="399"/>
        <v>0</v>
      </c>
    </row>
    <row r="3184" spans="1:31">
      <c r="A3184" s="59" t="str">
        <f t="shared" si="393"/>
        <v/>
      </c>
      <c r="B3184" s="59" t="str">
        <f t="shared" si="394"/>
        <v/>
      </c>
      <c r="V3184" s="59" t="str">
        <f t="shared" si="395"/>
        <v/>
      </c>
      <c r="W3184" s="59" t="str">
        <f t="shared" si="392"/>
        <v/>
      </c>
      <c r="X3184" s="59" t="str">
        <f t="shared" si="396"/>
        <v/>
      </c>
      <c r="AC3184" s="50">
        <f t="shared" si="397"/>
        <v>0</v>
      </c>
      <c r="AD3184" s="43">
        <f t="shared" si="398"/>
        <v>0</v>
      </c>
      <c r="AE3184" s="50">
        <f t="shared" si="399"/>
        <v>0</v>
      </c>
    </row>
    <row r="3185" spans="1:31">
      <c r="A3185" s="59" t="str">
        <f t="shared" si="393"/>
        <v/>
      </c>
      <c r="B3185" s="59" t="str">
        <f t="shared" si="394"/>
        <v/>
      </c>
      <c r="V3185" s="59" t="str">
        <f t="shared" si="395"/>
        <v/>
      </c>
      <c r="W3185" s="59" t="str">
        <f t="shared" si="392"/>
        <v/>
      </c>
      <c r="X3185" s="59" t="str">
        <f t="shared" si="396"/>
        <v/>
      </c>
      <c r="AC3185" s="50">
        <f t="shared" si="397"/>
        <v>0</v>
      </c>
      <c r="AD3185" s="43">
        <f t="shared" si="398"/>
        <v>0</v>
      </c>
      <c r="AE3185" s="50">
        <f t="shared" si="399"/>
        <v>0</v>
      </c>
    </row>
    <row r="3186" spans="1:31">
      <c r="A3186" s="59" t="str">
        <f t="shared" si="393"/>
        <v/>
      </c>
      <c r="B3186" s="59" t="str">
        <f t="shared" si="394"/>
        <v/>
      </c>
      <c r="V3186" s="59" t="str">
        <f t="shared" si="395"/>
        <v/>
      </c>
      <c r="W3186" s="59" t="str">
        <f t="shared" si="392"/>
        <v/>
      </c>
      <c r="X3186" s="59" t="str">
        <f t="shared" si="396"/>
        <v/>
      </c>
      <c r="AC3186" s="50">
        <f t="shared" si="397"/>
        <v>0</v>
      </c>
      <c r="AD3186" s="43">
        <f t="shared" si="398"/>
        <v>0</v>
      </c>
      <c r="AE3186" s="50">
        <f t="shared" si="399"/>
        <v>0</v>
      </c>
    </row>
    <row r="3187" spans="1:31">
      <c r="A3187" s="59" t="str">
        <f t="shared" si="393"/>
        <v/>
      </c>
      <c r="B3187" s="59" t="str">
        <f t="shared" si="394"/>
        <v/>
      </c>
      <c r="V3187" s="59" t="str">
        <f t="shared" si="395"/>
        <v/>
      </c>
      <c r="W3187" s="59" t="str">
        <f t="shared" si="392"/>
        <v/>
      </c>
      <c r="X3187" s="59" t="str">
        <f t="shared" si="396"/>
        <v/>
      </c>
      <c r="AC3187" s="50">
        <f t="shared" si="397"/>
        <v>0</v>
      </c>
      <c r="AD3187" s="43">
        <f t="shared" si="398"/>
        <v>0</v>
      </c>
      <c r="AE3187" s="50">
        <f t="shared" si="399"/>
        <v>0</v>
      </c>
    </row>
    <row r="3188" spans="1:31">
      <c r="A3188" s="59" t="str">
        <f t="shared" si="393"/>
        <v/>
      </c>
      <c r="B3188" s="59" t="str">
        <f t="shared" si="394"/>
        <v/>
      </c>
      <c r="V3188" s="59" t="str">
        <f t="shared" si="395"/>
        <v/>
      </c>
      <c r="W3188" s="59" t="str">
        <f t="shared" si="392"/>
        <v/>
      </c>
      <c r="X3188" s="59" t="str">
        <f t="shared" si="396"/>
        <v/>
      </c>
      <c r="AC3188" s="50">
        <f t="shared" si="397"/>
        <v>0</v>
      </c>
      <c r="AD3188" s="43">
        <f t="shared" si="398"/>
        <v>0</v>
      </c>
      <c r="AE3188" s="50">
        <f t="shared" si="399"/>
        <v>0</v>
      </c>
    </row>
    <row r="3189" spans="1:31">
      <c r="A3189" s="59" t="str">
        <f t="shared" si="393"/>
        <v/>
      </c>
      <c r="B3189" s="59" t="str">
        <f t="shared" si="394"/>
        <v/>
      </c>
      <c r="V3189" s="59" t="str">
        <f t="shared" si="395"/>
        <v/>
      </c>
      <c r="W3189" s="59" t="str">
        <f t="shared" si="392"/>
        <v/>
      </c>
      <c r="X3189" s="59" t="str">
        <f t="shared" si="396"/>
        <v/>
      </c>
      <c r="AC3189" s="50">
        <f t="shared" si="397"/>
        <v>0</v>
      </c>
      <c r="AD3189" s="43">
        <f t="shared" si="398"/>
        <v>0</v>
      </c>
      <c r="AE3189" s="50">
        <f t="shared" si="399"/>
        <v>0</v>
      </c>
    </row>
    <row r="3190" spans="1:31">
      <c r="A3190" s="59" t="str">
        <f t="shared" si="393"/>
        <v/>
      </c>
      <c r="B3190" s="59" t="str">
        <f t="shared" si="394"/>
        <v/>
      </c>
      <c r="V3190" s="59" t="str">
        <f t="shared" si="395"/>
        <v/>
      </c>
      <c r="W3190" s="59" t="str">
        <f t="shared" si="392"/>
        <v/>
      </c>
      <c r="X3190" s="59" t="str">
        <f t="shared" si="396"/>
        <v/>
      </c>
      <c r="AC3190" s="50">
        <f t="shared" si="397"/>
        <v>0</v>
      </c>
      <c r="AD3190" s="43">
        <f t="shared" si="398"/>
        <v>0</v>
      </c>
      <c r="AE3190" s="50">
        <f t="shared" si="399"/>
        <v>0</v>
      </c>
    </row>
    <row r="3191" spans="1:31">
      <c r="A3191" s="59" t="str">
        <f t="shared" si="393"/>
        <v/>
      </c>
      <c r="B3191" s="59" t="str">
        <f t="shared" si="394"/>
        <v/>
      </c>
      <c r="V3191" s="59" t="str">
        <f t="shared" si="395"/>
        <v/>
      </c>
      <c r="W3191" s="59" t="str">
        <f t="shared" si="392"/>
        <v/>
      </c>
      <c r="X3191" s="59" t="str">
        <f t="shared" si="396"/>
        <v/>
      </c>
      <c r="AC3191" s="50">
        <f t="shared" si="397"/>
        <v>0</v>
      </c>
      <c r="AD3191" s="43">
        <f t="shared" si="398"/>
        <v>0</v>
      </c>
      <c r="AE3191" s="50">
        <f t="shared" si="399"/>
        <v>0</v>
      </c>
    </row>
    <row r="3192" spans="1:31">
      <c r="A3192" s="59" t="str">
        <f t="shared" si="393"/>
        <v/>
      </c>
      <c r="B3192" s="59" t="str">
        <f t="shared" si="394"/>
        <v/>
      </c>
      <c r="V3192" s="59" t="str">
        <f t="shared" si="395"/>
        <v/>
      </c>
      <c r="W3192" s="59" t="str">
        <f t="shared" si="392"/>
        <v/>
      </c>
      <c r="X3192" s="59" t="str">
        <f t="shared" si="396"/>
        <v/>
      </c>
      <c r="AC3192" s="50">
        <f t="shared" si="397"/>
        <v>0</v>
      </c>
      <c r="AD3192" s="43">
        <f t="shared" si="398"/>
        <v>0</v>
      </c>
      <c r="AE3192" s="50">
        <f t="shared" si="399"/>
        <v>0</v>
      </c>
    </row>
    <row r="3193" spans="1:31">
      <c r="A3193" s="59" t="str">
        <f t="shared" si="393"/>
        <v/>
      </c>
      <c r="B3193" s="59" t="str">
        <f t="shared" si="394"/>
        <v/>
      </c>
      <c r="V3193" s="59" t="str">
        <f t="shared" si="395"/>
        <v/>
      </c>
      <c r="W3193" s="59" t="str">
        <f t="shared" si="392"/>
        <v/>
      </c>
      <c r="X3193" s="59" t="str">
        <f t="shared" si="396"/>
        <v/>
      </c>
      <c r="AC3193" s="50">
        <f t="shared" si="397"/>
        <v>0</v>
      </c>
      <c r="AD3193" s="43">
        <f t="shared" si="398"/>
        <v>0</v>
      </c>
      <c r="AE3193" s="50">
        <f t="shared" si="399"/>
        <v>0</v>
      </c>
    </row>
    <row r="3194" spans="1:31">
      <c r="A3194" s="59" t="str">
        <f t="shared" si="393"/>
        <v/>
      </c>
      <c r="B3194" s="59" t="str">
        <f t="shared" si="394"/>
        <v/>
      </c>
      <c r="V3194" s="59" t="str">
        <f t="shared" si="395"/>
        <v/>
      </c>
      <c r="W3194" s="59" t="str">
        <f t="shared" si="392"/>
        <v/>
      </c>
      <c r="X3194" s="59" t="str">
        <f t="shared" si="396"/>
        <v/>
      </c>
      <c r="AC3194" s="50">
        <f t="shared" si="397"/>
        <v>0</v>
      </c>
      <c r="AD3194" s="43">
        <f t="shared" si="398"/>
        <v>0</v>
      </c>
      <c r="AE3194" s="50">
        <f t="shared" si="399"/>
        <v>0</v>
      </c>
    </row>
    <row r="3195" spans="1:31">
      <c r="A3195" s="59" t="str">
        <f t="shared" si="393"/>
        <v/>
      </c>
      <c r="B3195" s="59" t="str">
        <f t="shared" si="394"/>
        <v/>
      </c>
      <c r="V3195" s="59" t="str">
        <f t="shared" si="395"/>
        <v/>
      </c>
      <c r="W3195" s="59" t="str">
        <f t="shared" si="392"/>
        <v/>
      </c>
      <c r="X3195" s="59" t="str">
        <f t="shared" si="396"/>
        <v/>
      </c>
      <c r="AC3195" s="50">
        <f t="shared" si="397"/>
        <v>0</v>
      </c>
      <c r="AD3195" s="43">
        <f t="shared" si="398"/>
        <v>0</v>
      </c>
      <c r="AE3195" s="50">
        <f t="shared" si="399"/>
        <v>0</v>
      </c>
    </row>
    <row r="3196" spans="1:31">
      <c r="A3196" s="59" t="str">
        <f t="shared" si="393"/>
        <v/>
      </c>
      <c r="B3196" s="59" t="str">
        <f t="shared" si="394"/>
        <v/>
      </c>
      <c r="V3196" s="59" t="str">
        <f t="shared" si="395"/>
        <v/>
      </c>
      <c r="W3196" s="59" t="str">
        <f t="shared" si="392"/>
        <v/>
      </c>
      <c r="X3196" s="59" t="str">
        <f t="shared" si="396"/>
        <v/>
      </c>
      <c r="AC3196" s="50">
        <f t="shared" si="397"/>
        <v>0</v>
      </c>
      <c r="AD3196" s="43">
        <f t="shared" si="398"/>
        <v>0</v>
      </c>
      <c r="AE3196" s="50">
        <f t="shared" si="399"/>
        <v>0</v>
      </c>
    </row>
    <row r="3197" spans="1:31">
      <c r="A3197" s="59" t="str">
        <f t="shared" si="393"/>
        <v/>
      </c>
      <c r="B3197" s="59" t="str">
        <f t="shared" si="394"/>
        <v/>
      </c>
      <c r="V3197" s="59" t="str">
        <f t="shared" si="395"/>
        <v/>
      </c>
      <c r="W3197" s="59" t="str">
        <f t="shared" si="392"/>
        <v/>
      </c>
      <c r="X3197" s="59" t="str">
        <f t="shared" si="396"/>
        <v/>
      </c>
      <c r="AC3197" s="50">
        <f t="shared" si="397"/>
        <v>0</v>
      </c>
      <c r="AD3197" s="43">
        <f t="shared" si="398"/>
        <v>0</v>
      </c>
      <c r="AE3197" s="50">
        <f t="shared" si="399"/>
        <v>0</v>
      </c>
    </row>
    <row r="3198" spans="1:31">
      <c r="A3198" s="59" t="str">
        <f t="shared" si="393"/>
        <v/>
      </c>
      <c r="B3198" s="59" t="str">
        <f t="shared" si="394"/>
        <v/>
      </c>
      <c r="V3198" s="59" t="str">
        <f t="shared" si="395"/>
        <v/>
      </c>
      <c r="W3198" s="59" t="str">
        <f t="shared" si="392"/>
        <v/>
      </c>
      <c r="X3198" s="59" t="str">
        <f t="shared" si="396"/>
        <v/>
      </c>
      <c r="AC3198" s="50">
        <f t="shared" si="397"/>
        <v>0</v>
      </c>
      <c r="AD3198" s="43">
        <f t="shared" si="398"/>
        <v>0</v>
      </c>
      <c r="AE3198" s="50">
        <f t="shared" si="399"/>
        <v>0</v>
      </c>
    </row>
    <row r="3199" spans="1:31">
      <c r="A3199" s="59" t="str">
        <f t="shared" si="393"/>
        <v/>
      </c>
      <c r="B3199" s="59" t="str">
        <f t="shared" si="394"/>
        <v/>
      </c>
      <c r="V3199" s="59" t="str">
        <f t="shared" si="395"/>
        <v/>
      </c>
      <c r="W3199" s="59" t="str">
        <f t="shared" si="392"/>
        <v/>
      </c>
      <c r="X3199" s="59" t="str">
        <f t="shared" si="396"/>
        <v/>
      </c>
      <c r="AC3199" s="50">
        <f t="shared" si="397"/>
        <v>0</v>
      </c>
      <c r="AD3199" s="43">
        <f t="shared" si="398"/>
        <v>0</v>
      </c>
      <c r="AE3199" s="50">
        <f t="shared" si="399"/>
        <v>0</v>
      </c>
    </row>
    <row r="3200" spans="1:31">
      <c r="A3200" s="59" t="str">
        <f t="shared" si="393"/>
        <v/>
      </c>
      <c r="B3200" s="59" t="str">
        <f t="shared" si="394"/>
        <v/>
      </c>
      <c r="V3200" s="59" t="str">
        <f t="shared" si="395"/>
        <v/>
      </c>
      <c r="W3200" s="59" t="str">
        <f t="shared" si="392"/>
        <v/>
      </c>
      <c r="X3200" s="59" t="str">
        <f t="shared" si="396"/>
        <v/>
      </c>
      <c r="AC3200" s="50">
        <f t="shared" si="397"/>
        <v>0</v>
      </c>
      <c r="AD3200" s="43">
        <f t="shared" si="398"/>
        <v>0</v>
      </c>
      <c r="AE3200" s="50">
        <f t="shared" si="399"/>
        <v>0</v>
      </c>
    </row>
    <row r="3201" spans="1:31">
      <c r="A3201" s="59" t="str">
        <f t="shared" si="393"/>
        <v/>
      </c>
      <c r="B3201" s="59" t="str">
        <f t="shared" si="394"/>
        <v/>
      </c>
      <c r="V3201" s="59" t="str">
        <f t="shared" si="395"/>
        <v/>
      </c>
      <c r="W3201" s="59" t="str">
        <f t="shared" si="392"/>
        <v/>
      </c>
      <c r="X3201" s="59" t="str">
        <f t="shared" si="396"/>
        <v/>
      </c>
      <c r="AC3201" s="50">
        <f t="shared" si="397"/>
        <v>0</v>
      </c>
      <c r="AD3201" s="43">
        <f t="shared" si="398"/>
        <v>0</v>
      </c>
      <c r="AE3201" s="50">
        <f t="shared" si="399"/>
        <v>0</v>
      </c>
    </row>
    <row r="3202" spans="1:31">
      <c r="A3202" s="59" t="str">
        <f t="shared" si="393"/>
        <v/>
      </c>
      <c r="B3202" s="59" t="str">
        <f t="shared" si="394"/>
        <v/>
      </c>
      <c r="V3202" s="59" t="str">
        <f t="shared" si="395"/>
        <v/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59" t="str">
        <f t="shared" si="396"/>
        <v/>
      </c>
      <c r="AC3202" s="50">
        <f t="shared" si="397"/>
        <v>0</v>
      </c>
      <c r="AD3202" s="43">
        <f t="shared" si="398"/>
        <v>0</v>
      </c>
      <c r="AE3202" s="50">
        <f t="shared" si="399"/>
        <v>0</v>
      </c>
    </row>
    <row r="3203" spans="1:31">
      <c r="A3203" s="59" t="str">
        <f t="shared" ref="A3203:A3266" si="401">IF(G3203&amp;Q3203&lt;&gt;"",W3203&amp;Q3203,"")</f>
        <v/>
      </c>
      <c r="B3203" s="59" t="str">
        <f t="shared" ref="B3203:B3266" si="402">IF(C3203&lt;&gt;"",LEFT(C3203,9),"")</f>
        <v/>
      </c>
      <c r="V3203" s="59" t="str">
        <f t="shared" ref="V3203:V3266" si="403">W3203&amp;H3203</f>
        <v/>
      </c>
      <c r="W3203" s="59" t="str">
        <f t="shared" si="400"/>
        <v/>
      </c>
      <c r="X3203" s="59" t="str">
        <f t="shared" ref="X3203:X3266" si="404">IF(A3203&lt;&gt;"",IFERROR(IF(FIND(" ",G3203)&gt;=1,MID(G3203,FIND(" ",G3203)+1,LEN(G3203)),""),""),"")</f>
        <v/>
      </c>
      <c r="AC3203" s="50">
        <f t="shared" ref="AC3203:AC3266" si="405">IFERROR(VALUE(MID($C3203,1,2)),0)</f>
        <v>0</v>
      </c>
      <c r="AD3203" s="43">
        <f t="shared" ref="AD3203:AD3266" si="406">IFERROR(VALUE(MID($C3203,4,3)),0)</f>
        <v>0</v>
      </c>
      <c r="AE3203" s="50">
        <f t="shared" ref="AE3203:AE3266" si="407">VALUE(RIGHT("00"&amp;AC3203,2)&amp;RIGHT("000"&amp;AD3203,3))</f>
        <v>0</v>
      </c>
    </row>
    <row r="3204" spans="1:31">
      <c r="A3204" s="59" t="str">
        <f t="shared" si="401"/>
        <v/>
      </c>
      <c r="B3204" s="59" t="str">
        <f t="shared" si="402"/>
        <v/>
      </c>
      <c r="V3204" s="59" t="str">
        <f t="shared" si="403"/>
        <v/>
      </c>
      <c r="W3204" s="59" t="str">
        <f t="shared" si="400"/>
        <v/>
      </c>
      <c r="X3204" s="59" t="str">
        <f t="shared" si="404"/>
        <v/>
      </c>
      <c r="AC3204" s="50">
        <f t="shared" si="405"/>
        <v>0</v>
      </c>
      <c r="AD3204" s="43">
        <f t="shared" si="406"/>
        <v>0</v>
      </c>
      <c r="AE3204" s="50">
        <f t="shared" si="407"/>
        <v>0</v>
      </c>
    </row>
    <row r="3205" spans="1:31">
      <c r="A3205" s="59" t="str">
        <f t="shared" si="401"/>
        <v/>
      </c>
      <c r="B3205" s="59" t="str">
        <f t="shared" si="402"/>
        <v/>
      </c>
      <c r="V3205" s="59" t="str">
        <f t="shared" si="403"/>
        <v/>
      </c>
      <c r="W3205" s="59" t="str">
        <f t="shared" si="400"/>
        <v/>
      </c>
      <c r="X3205" s="59" t="str">
        <f t="shared" si="404"/>
        <v/>
      </c>
      <c r="AC3205" s="50">
        <f t="shared" si="405"/>
        <v>0</v>
      </c>
      <c r="AD3205" s="43">
        <f t="shared" si="406"/>
        <v>0</v>
      </c>
      <c r="AE3205" s="50">
        <f t="shared" si="407"/>
        <v>0</v>
      </c>
    </row>
    <row r="3206" spans="1:31">
      <c r="A3206" s="59" t="str">
        <f t="shared" si="401"/>
        <v/>
      </c>
      <c r="B3206" s="59" t="str">
        <f t="shared" si="402"/>
        <v/>
      </c>
      <c r="V3206" s="59" t="str">
        <f t="shared" si="403"/>
        <v/>
      </c>
      <c r="W3206" s="59" t="str">
        <f t="shared" si="400"/>
        <v/>
      </c>
      <c r="X3206" s="59" t="str">
        <f t="shared" si="404"/>
        <v/>
      </c>
      <c r="AC3206" s="50">
        <f t="shared" si="405"/>
        <v>0</v>
      </c>
      <c r="AD3206" s="43">
        <f t="shared" si="406"/>
        <v>0</v>
      </c>
      <c r="AE3206" s="50">
        <f t="shared" si="407"/>
        <v>0</v>
      </c>
    </row>
    <row r="3207" spans="1:31">
      <c r="A3207" s="59" t="str">
        <f t="shared" si="401"/>
        <v/>
      </c>
      <c r="B3207" s="59" t="str">
        <f t="shared" si="402"/>
        <v/>
      </c>
      <c r="V3207" s="59" t="str">
        <f t="shared" si="403"/>
        <v/>
      </c>
      <c r="W3207" s="59" t="str">
        <f t="shared" si="400"/>
        <v/>
      </c>
      <c r="X3207" s="59" t="str">
        <f t="shared" si="404"/>
        <v/>
      </c>
      <c r="AC3207" s="50">
        <f t="shared" si="405"/>
        <v>0</v>
      </c>
      <c r="AD3207" s="43">
        <f t="shared" si="406"/>
        <v>0</v>
      </c>
      <c r="AE3207" s="50">
        <f t="shared" si="407"/>
        <v>0</v>
      </c>
    </row>
    <row r="3208" spans="1:31">
      <c r="A3208" s="59" t="str">
        <f t="shared" si="401"/>
        <v/>
      </c>
      <c r="B3208" s="59" t="str">
        <f t="shared" si="402"/>
        <v/>
      </c>
      <c r="V3208" s="59" t="str">
        <f t="shared" si="403"/>
        <v/>
      </c>
      <c r="W3208" s="59" t="str">
        <f t="shared" si="400"/>
        <v/>
      </c>
      <c r="X3208" s="59" t="str">
        <f t="shared" si="404"/>
        <v/>
      </c>
      <c r="AC3208" s="50">
        <f t="shared" si="405"/>
        <v>0</v>
      </c>
      <c r="AD3208" s="43">
        <f t="shared" si="406"/>
        <v>0</v>
      </c>
      <c r="AE3208" s="50">
        <f t="shared" si="407"/>
        <v>0</v>
      </c>
    </row>
    <row r="3209" spans="1:31">
      <c r="A3209" s="59" t="str">
        <f t="shared" si="401"/>
        <v/>
      </c>
      <c r="B3209" s="59" t="str">
        <f t="shared" si="402"/>
        <v/>
      </c>
      <c r="V3209" s="59" t="str">
        <f t="shared" si="403"/>
        <v/>
      </c>
      <c r="W3209" s="59" t="str">
        <f t="shared" si="400"/>
        <v/>
      </c>
      <c r="X3209" s="59" t="str">
        <f t="shared" si="404"/>
        <v/>
      </c>
      <c r="AC3209" s="50">
        <f t="shared" si="405"/>
        <v>0</v>
      </c>
      <c r="AD3209" s="43">
        <f t="shared" si="406"/>
        <v>0</v>
      </c>
      <c r="AE3209" s="50">
        <f t="shared" si="407"/>
        <v>0</v>
      </c>
    </row>
    <row r="3210" spans="1:31">
      <c r="A3210" s="59" t="str">
        <f t="shared" si="401"/>
        <v/>
      </c>
      <c r="B3210" s="59" t="str">
        <f t="shared" si="402"/>
        <v/>
      </c>
      <c r="V3210" s="59" t="str">
        <f t="shared" si="403"/>
        <v/>
      </c>
      <c r="W3210" s="59" t="str">
        <f t="shared" si="400"/>
        <v/>
      </c>
      <c r="X3210" s="59" t="str">
        <f t="shared" si="404"/>
        <v/>
      </c>
      <c r="AC3210" s="50">
        <f t="shared" si="405"/>
        <v>0</v>
      </c>
      <c r="AD3210" s="43">
        <f t="shared" si="406"/>
        <v>0</v>
      </c>
      <c r="AE3210" s="50">
        <f t="shared" si="407"/>
        <v>0</v>
      </c>
    </row>
    <row r="3211" spans="1:31">
      <c r="A3211" s="59" t="str">
        <f t="shared" si="401"/>
        <v/>
      </c>
      <c r="B3211" s="59" t="str">
        <f t="shared" si="402"/>
        <v/>
      </c>
      <c r="V3211" s="59" t="str">
        <f t="shared" si="403"/>
        <v/>
      </c>
      <c r="W3211" s="59" t="str">
        <f t="shared" si="400"/>
        <v/>
      </c>
      <c r="X3211" s="59" t="str">
        <f t="shared" si="404"/>
        <v/>
      </c>
      <c r="AC3211" s="50">
        <f t="shared" si="405"/>
        <v>0</v>
      </c>
      <c r="AD3211" s="43">
        <f t="shared" si="406"/>
        <v>0</v>
      </c>
      <c r="AE3211" s="50">
        <f t="shared" si="407"/>
        <v>0</v>
      </c>
    </row>
    <row r="3212" spans="1:31">
      <c r="A3212" s="59" t="str">
        <f t="shared" si="401"/>
        <v/>
      </c>
      <c r="B3212" s="59" t="str">
        <f t="shared" si="402"/>
        <v/>
      </c>
      <c r="V3212" s="59" t="str">
        <f t="shared" si="403"/>
        <v/>
      </c>
      <c r="W3212" s="59" t="str">
        <f t="shared" si="400"/>
        <v/>
      </c>
      <c r="X3212" s="59" t="str">
        <f t="shared" si="404"/>
        <v/>
      </c>
      <c r="AC3212" s="50">
        <f t="shared" si="405"/>
        <v>0</v>
      </c>
      <c r="AD3212" s="43">
        <f t="shared" si="406"/>
        <v>0</v>
      </c>
      <c r="AE3212" s="50">
        <f t="shared" si="407"/>
        <v>0</v>
      </c>
    </row>
    <row r="3213" spans="1:31">
      <c r="A3213" s="59" t="str">
        <f t="shared" si="401"/>
        <v/>
      </c>
      <c r="B3213" s="59" t="str">
        <f t="shared" si="402"/>
        <v/>
      </c>
      <c r="V3213" s="59" t="str">
        <f t="shared" si="403"/>
        <v/>
      </c>
      <c r="W3213" s="59" t="str">
        <f t="shared" si="400"/>
        <v/>
      </c>
      <c r="X3213" s="59" t="str">
        <f t="shared" si="404"/>
        <v/>
      </c>
      <c r="AC3213" s="50">
        <f t="shared" si="405"/>
        <v>0</v>
      </c>
      <c r="AD3213" s="43">
        <f t="shared" si="406"/>
        <v>0</v>
      </c>
      <c r="AE3213" s="50">
        <f t="shared" si="407"/>
        <v>0</v>
      </c>
    </row>
    <row r="3214" spans="1:31">
      <c r="A3214" s="59" t="str">
        <f t="shared" si="401"/>
        <v/>
      </c>
      <c r="B3214" s="59" t="str">
        <f t="shared" si="402"/>
        <v/>
      </c>
      <c r="V3214" s="59" t="str">
        <f t="shared" si="403"/>
        <v/>
      </c>
      <c r="W3214" s="59" t="str">
        <f t="shared" si="400"/>
        <v/>
      </c>
      <c r="X3214" s="59" t="str">
        <f t="shared" si="404"/>
        <v/>
      </c>
      <c r="AC3214" s="50">
        <f t="shared" si="405"/>
        <v>0</v>
      </c>
      <c r="AD3214" s="43">
        <f t="shared" si="406"/>
        <v>0</v>
      </c>
      <c r="AE3214" s="50">
        <f t="shared" si="407"/>
        <v>0</v>
      </c>
    </row>
    <row r="3215" spans="1:31">
      <c r="A3215" s="59" t="str">
        <f t="shared" si="401"/>
        <v/>
      </c>
      <c r="B3215" s="59" t="str">
        <f t="shared" si="402"/>
        <v/>
      </c>
      <c r="V3215" s="59" t="str">
        <f t="shared" si="403"/>
        <v/>
      </c>
      <c r="W3215" s="59" t="str">
        <f t="shared" si="400"/>
        <v/>
      </c>
      <c r="X3215" s="59" t="str">
        <f t="shared" si="404"/>
        <v/>
      </c>
      <c r="AC3215" s="50">
        <f t="shared" si="405"/>
        <v>0</v>
      </c>
      <c r="AD3215" s="43">
        <f t="shared" si="406"/>
        <v>0</v>
      </c>
      <c r="AE3215" s="50">
        <f t="shared" si="407"/>
        <v>0</v>
      </c>
    </row>
    <row r="3216" spans="1:31">
      <c r="A3216" s="59" t="str">
        <f t="shared" si="401"/>
        <v/>
      </c>
      <c r="B3216" s="59" t="str">
        <f t="shared" si="402"/>
        <v/>
      </c>
      <c r="V3216" s="59" t="str">
        <f t="shared" si="403"/>
        <v/>
      </c>
      <c r="W3216" s="59" t="str">
        <f t="shared" si="400"/>
        <v/>
      </c>
      <c r="X3216" s="59" t="str">
        <f t="shared" si="404"/>
        <v/>
      </c>
      <c r="AC3216" s="50">
        <f t="shared" si="405"/>
        <v>0</v>
      </c>
      <c r="AD3216" s="43">
        <f t="shared" si="406"/>
        <v>0</v>
      </c>
      <c r="AE3216" s="50">
        <f t="shared" si="407"/>
        <v>0</v>
      </c>
    </row>
    <row r="3217" spans="1:31">
      <c r="A3217" s="59" t="str">
        <f t="shared" si="401"/>
        <v/>
      </c>
      <c r="B3217" s="59" t="str">
        <f t="shared" si="402"/>
        <v/>
      </c>
      <c r="V3217" s="59" t="str">
        <f t="shared" si="403"/>
        <v/>
      </c>
      <c r="W3217" s="59" t="str">
        <f t="shared" si="400"/>
        <v/>
      </c>
      <c r="X3217" s="59" t="str">
        <f t="shared" si="404"/>
        <v/>
      </c>
      <c r="AC3217" s="50">
        <f t="shared" si="405"/>
        <v>0</v>
      </c>
      <c r="AD3217" s="43">
        <f t="shared" si="406"/>
        <v>0</v>
      </c>
      <c r="AE3217" s="50">
        <f t="shared" si="407"/>
        <v>0</v>
      </c>
    </row>
    <row r="3218" spans="1:31">
      <c r="A3218" s="59" t="str">
        <f t="shared" si="401"/>
        <v/>
      </c>
      <c r="B3218" s="59" t="str">
        <f t="shared" si="402"/>
        <v/>
      </c>
      <c r="V3218" s="59" t="str">
        <f t="shared" si="403"/>
        <v/>
      </c>
      <c r="W3218" s="59" t="str">
        <f t="shared" si="400"/>
        <v/>
      </c>
      <c r="X3218" s="59" t="str">
        <f t="shared" si="404"/>
        <v/>
      </c>
      <c r="AC3218" s="50">
        <f t="shared" si="405"/>
        <v>0</v>
      </c>
      <c r="AD3218" s="43">
        <f t="shared" si="406"/>
        <v>0</v>
      </c>
      <c r="AE3218" s="50">
        <f t="shared" si="407"/>
        <v>0</v>
      </c>
    </row>
    <row r="3219" spans="1:31">
      <c r="A3219" s="59" t="str">
        <f t="shared" si="401"/>
        <v/>
      </c>
      <c r="B3219" s="59" t="str">
        <f t="shared" si="402"/>
        <v/>
      </c>
      <c r="V3219" s="59" t="str">
        <f t="shared" si="403"/>
        <v/>
      </c>
      <c r="W3219" s="59" t="str">
        <f t="shared" si="400"/>
        <v/>
      </c>
      <c r="X3219" s="59" t="str">
        <f t="shared" si="404"/>
        <v/>
      </c>
      <c r="AC3219" s="50">
        <f t="shared" si="405"/>
        <v>0</v>
      </c>
      <c r="AD3219" s="43">
        <f t="shared" si="406"/>
        <v>0</v>
      </c>
      <c r="AE3219" s="50">
        <f t="shared" si="407"/>
        <v>0</v>
      </c>
    </row>
    <row r="3220" spans="1:31">
      <c r="A3220" s="59" t="str">
        <f t="shared" si="401"/>
        <v/>
      </c>
      <c r="B3220" s="59" t="str">
        <f t="shared" si="402"/>
        <v/>
      </c>
      <c r="V3220" s="59" t="str">
        <f t="shared" si="403"/>
        <v/>
      </c>
      <c r="W3220" s="59" t="str">
        <f t="shared" si="400"/>
        <v/>
      </c>
      <c r="X3220" s="59" t="str">
        <f t="shared" si="404"/>
        <v/>
      </c>
      <c r="AC3220" s="50">
        <f t="shared" si="405"/>
        <v>0</v>
      </c>
      <c r="AD3220" s="43">
        <f t="shared" si="406"/>
        <v>0</v>
      </c>
      <c r="AE3220" s="50">
        <f t="shared" si="407"/>
        <v>0</v>
      </c>
    </row>
    <row r="3221" spans="1:31">
      <c r="A3221" s="59" t="str">
        <f t="shared" si="401"/>
        <v/>
      </c>
      <c r="B3221" s="59" t="str">
        <f t="shared" si="402"/>
        <v/>
      </c>
      <c r="V3221" s="59" t="str">
        <f t="shared" si="403"/>
        <v/>
      </c>
      <c r="W3221" s="59" t="str">
        <f t="shared" si="400"/>
        <v/>
      </c>
      <c r="X3221" s="59" t="str">
        <f t="shared" si="404"/>
        <v/>
      </c>
      <c r="AC3221" s="50">
        <f t="shared" si="405"/>
        <v>0</v>
      </c>
      <c r="AD3221" s="43">
        <f t="shared" si="406"/>
        <v>0</v>
      </c>
      <c r="AE3221" s="50">
        <f t="shared" si="407"/>
        <v>0</v>
      </c>
    </row>
    <row r="3222" spans="1:31">
      <c r="A3222" s="59" t="str">
        <f t="shared" si="401"/>
        <v/>
      </c>
      <c r="B3222" s="59" t="str">
        <f t="shared" si="402"/>
        <v/>
      </c>
      <c r="V3222" s="59" t="str">
        <f t="shared" si="403"/>
        <v/>
      </c>
      <c r="W3222" s="59" t="str">
        <f t="shared" si="400"/>
        <v/>
      </c>
      <c r="X3222" s="59" t="str">
        <f t="shared" si="404"/>
        <v/>
      </c>
      <c r="AC3222" s="50">
        <f t="shared" si="405"/>
        <v>0</v>
      </c>
      <c r="AD3222" s="43">
        <f t="shared" si="406"/>
        <v>0</v>
      </c>
      <c r="AE3222" s="50">
        <f t="shared" si="407"/>
        <v>0</v>
      </c>
    </row>
    <row r="3223" spans="1:31">
      <c r="A3223" s="59" t="str">
        <f t="shared" si="401"/>
        <v/>
      </c>
      <c r="B3223" s="59" t="str">
        <f t="shared" si="402"/>
        <v/>
      </c>
      <c r="V3223" s="59" t="str">
        <f t="shared" si="403"/>
        <v/>
      </c>
      <c r="W3223" s="59" t="str">
        <f t="shared" si="400"/>
        <v/>
      </c>
      <c r="X3223" s="59" t="str">
        <f t="shared" si="404"/>
        <v/>
      </c>
      <c r="AC3223" s="50">
        <f t="shared" si="405"/>
        <v>0</v>
      </c>
      <c r="AD3223" s="43">
        <f t="shared" si="406"/>
        <v>0</v>
      </c>
      <c r="AE3223" s="50">
        <f t="shared" si="407"/>
        <v>0</v>
      </c>
    </row>
    <row r="3224" spans="1:31">
      <c r="A3224" s="59" t="str">
        <f t="shared" si="401"/>
        <v/>
      </c>
      <c r="B3224" s="59" t="str">
        <f t="shared" si="402"/>
        <v/>
      </c>
      <c r="V3224" s="59" t="str">
        <f t="shared" si="403"/>
        <v/>
      </c>
      <c r="W3224" s="59" t="str">
        <f t="shared" si="400"/>
        <v/>
      </c>
      <c r="X3224" s="59" t="str">
        <f t="shared" si="404"/>
        <v/>
      </c>
      <c r="AC3224" s="50">
        <f t="shared" si="405"/>
        <v>0</v>
      </c>
      <c r="AD3224" s="43">
        <f t="shared" si="406"/>
        <v>0</v>
      </c>
      <c r="AE3224" s="50">
        <f t="shared" si="407"/>
        <v>0</v>
      </c>
    </row>
    <row r="3225" spans="1:31">
      <c r="A3225" s="59" t="str">
        <f t="shared" si="401"/>
        <v/>
      </c>
      <c r="B3225" s="59" t="str">
        <f t="shared" si="402"/>
        <v/>
      </c>
      <c r="V3225" s="59" t="str">
        <f t="shared" si="403"/>
        <v/>
      </c>
      <c r="W3225" s="59" t="str">
        <f t="shared" si="400"/>
        <v/>
      </c>
      <c r="X3225" s="59" t="str">
        <f t="shared" si="404"/>
        <v/>
      </c>
      <c r="AC3225" s="50">
        <f t="shared" si="405"/>
        <v>0</v>
      </c>
      <c r="AD3225" s="43">
        <f t="shared" si="406"/>
        <v>0</v>
      </c>
      <c r="AE3225" s="50">
        <f t="shared" si="407"/>
        <v>0</v>
      </c>
    </row>
    <row r="3226" spans="1:31">
      <c r="A3226" s="59" t="str">
        <f t="shared" si="401"/>
        <v/>
      </c>
      <c r="B3226" s="59" t="str">
        <f t="shared" si="402"/>
        <v/>
      </c>
      <c r="V3226" s="59" t="str">
        <f t="shared" si="403"/>
        <v/>
      </c>
      <c r="W3226" s="59" t="str">
        <f t="shared" si="400"/>
        <v/>
      </c>
      <c r="X3226" s="59" t="str">
        <f t="shared" si="404"/>
        <v/>
      </c>
      <c r="AC3226" s="50">
        <f t="shared" si="405"/>
        <v>0</v>
      </c>
      <c r="AD3226" s="43">
        <f t="shared" si="406"/>
        <v>0</v>
      </c>
      <c r="AE3226" s="50">
        <f t="shared" si="407"/>
        <v>0</v>
      </c>
    </row>
    <row r="3227" spans="1:31">
      <c r="A3227" s="59" t="str">
        <f t="shared" si="401"/>
        <v/>
      </c>
      <c r="B3227" s="59" t="str">
        <f t="shared" si="402"/>
        <v/>
      </c>
      <c r="V3227" s="59" t="str">
        <f t="shared" si="403"/>
        <v/>
      </c>
      <c r="W3227" s="59" t="str">
        <f t="shared" si="400"/>
        <v/>
      </c>
      <c r="X3227" s="59" t="str">
        <f t="shared" si="404"/>
        <v/>
      </c>
      <c r="AC3227" s="50">
        <f t="shared" si="405"/>
        <v>0</v>
      </c>
      <c r="AD3227" s="43">
        <f t="shared" si="406"/>
        <v>0</v>
      </c>
      <c r="AE3227" s="50">
        <f t="shared" si="407"/>
        <v>0</v>
      </c>
    </row>
    <row r="3228" spans="1:31">
      <c r="A3228" s="59" t="str">
        <f t="shared" si="401"/>
        <v/>
      </c>
      <c r="B3228" s="59" t="str">
        <f t="shared" si="402"/>
        <v/>
      </c>
      <c r="V3228" s="59" t="str">
        <f t="shared" si="403"/>
        <v/>
      </c>
      <c r="W3228" s="59" t="str">
        <f t="shared" si="400"/>
        <v/>
      </c>
      <c r="X3228" s="59" t="str">
        <f t="shared" si="404"/>
        <v/>
      </c>
      <c r="AC3228" s="50">
        <f t="shared" si="405"/>
        <v>0</v>
      </c>
      <c r="AD3228" s="43">
        <f t="shared" si="406"/>
        <v>0</v>
      </c>
      <c r="AE3228" s="50">
        <f t="shared" si="407"/>
        <v>0</v>
      </c>
    </row>
    <row r="3229" spans="1:31">
      <c r="A3229" s="59" t="str">
        <f t="shared" si="401"/>
        <v/>
      </c>
      <c r="B3229" s="59" t="str">
        <f t="shared" si="402"/>
        <v/>
      </c>
      <c r="V3229" s="59" t="str">
        <f t="shared" si="403"/>
        <v/>
      </c>
      <c r="W3229" s="59" t="str">
        <f t="shared" si="400"/>
        <v/>
      </c>
      <c r="X3229" s="59" t="str">
        <f t="shared" si="404"/>
        <v/>
      </c>
      <c r="AC3229" s="50">
        <f t="shared" si="405"/>
        <v>0</v>
      </c>
      <c r="AD3229" s="43">
        <f t="shared" si="406"/>
        <v>0</v>
      </c>
      <c r="AE3229" s="50">
        <f t="shared" si="407"/>
        <v>0</v>
      </c>
    </row>
    <row r="3230" spans="1:31">
      <c r="A3230" s="59" t="str">
        <f t="shared" si="401"/>
        <v/>
      </c>
      <c r="B3230" s="59" t="str">
        <f t="shared" si="402"/>
        <v/>
      </c>
      <c r="V3230" s="59" t="str">
        <f t="shared" si="403"/>
        <v/>
      </c>
      <c r="W3230" s="59" t="str">
        <f t="shared" si="400"/>
        <v/>
      </c>
      <c r="X3230" s="59" t="str">
        <f t="shared" si="404"/>
        <v/>
      </c>
      <c r="AC3230" s="50">
        <f t="shared" si="405"/>
        <v>0</v>
      </c>
      <c r="AD3230" s="43">
        <f t="shared" si="406"/>
        <v>0</v>
      </c>
      <c r="AE3230" s="50">
        <f t="shared" si="407"/>
        <v>0</v>
      </c>
    </row>
    <row r="3231" spans="1:31">
      <c r="A3231" s="59" t="str">
        <f t="shared" si="401"/>
        <v/>
      </c>
      <c r="B3231" s="59" t="str">
        <f t="shared" si="402"/>
        <v/>
      </c>
      <c r="V3231" s="59" t="str">
        <f t="shared" si="403"/>
        <v/>
      </c>
      <c r="W3231" s="59" t="str">
        <f t="shared" si="400"/>
        <v/>
      </c>
      <c r="X3231" s="59" t="str">
        <f t="shared" si="404"/>
        <v/>
      </c>
      <c r="AC3231" s="50">
        <f t="shared" si="405"/>
        <v>0</v>
      </c>
      <c r="AD3231" s="43">
        <f t="shared" si="406"/>
        <v>0</v>
      </c>
      <c r="AE3231" s="50">
        <f t="shared" si="407"/>
        <v>0</v>
      </c>
    </row>
    <row r="3232" spans="1:31">
      <c r="A3232" s="59" t="str">
        <f t="shared" si="401"/>
        <v/>
      </c>
      <c r="B3232" s="59" t="str">
        <f t="shared" si="402"/>
        <v/>
      </c>
      <c r="V3232" s="59" t="str">
        <f t="shared" si="403"/>
        <v/>
      </c>
      <c r="W3232" s="59" t="str">
        <f t="shared" si="400"/>
        <v/>
      </c>
      <c r="X3232" s="59" t="str">
        <f t="shared" si="404"/>
        <v/>
      </c>
      <c r="AC3232" s="50">
        <f t="shared" si="405"/>
        <v>0</v>
      </c>
      <c r="AD3232" s="43">
        <f t="shared" si="406"/>
        <v>0</v>
      </c>
      <c r="AE3232" s="50">
        <f t="shared" si="407"/>
        <v>0</v>
      </c>
    </row>
    <row r="3233" spans="1:31">
      <c r="A3233" s="59" t="str">
        <f t="shared" si="401"/>
        <v/>
      </c>
      <c r="B3233" s="59" t="str">
        <f t="shared" si="402"/>
        <v/>
      </c>
      <c r="V3233" s="59" t="str">
        <f t="shared" si="403"/>
        <v/>
      </c>
      <c r="W3233" s="59" t="str">
        <f t="shared" si="400"/>
        <v/>
      </c>
      <c r="X3233" s="59" t="str">
        <f t="shared" si="404"/>
        <v/>
      </c>
      <c r="AC3233" s="50">
        <f t="shared" si="405"/>
        <v>0</v>
      </c>
      <c r="AD3233" s="43">
        <f t="shared" si="406"/>
        <v>0</v>
      </c>
      <c r="AE3233" s="50">
        <f t="shared" si="407"/>
        <v>0</v>
      </c>
    </row>
    <row r="3234" spans="1:31">
      <c r="A3234" s="59" t="str">
        <f t="shared" si="401"/>
        <v/>
      </c>
      <c r="B3234" s="59" t="str">
        <f t="shared" si="402"/>
        <v/>
      </c>
      <c r="V3234" s="59" t="str">
        <f t="shared" si="403"/>
        <v/>
      </c>
      <c r="W3234" s="59" t="str">
        <f t="shared" si="400"/>
        <v/>
      </c>
      <c r="X3234" s="59" t="str">
        <f t="shared" si="404"/>
        <v/>
      </c>
      <c r="AC3234" s="50">
        <f t="shared" si="405"/>
        <v>0</v>
      </c>
      <c r="AD3234" s="43">
        <f t="shared" si="406"/>
        <v>0</v>
      </c>
      <c r="AE3234" s="50">
        <f t="shared" si="407"/>
        <v>0</v>
      </c>
    </row>
    <row r="3235" spans="1:31">
      <c r="A3235" s="59" t="str">
        <f t="shared" si="401"/>
        <v/>
      </c>
      <c r="B3235" s="59" t="str">
        <f t="shared" si="402"/>
        <v/>
      </c>
      <c r="V3235" s="59" t="str">
        <f t="shared" si="403"/>
        <v/>
      </c>
      <c r="W3235" s="59" t="str">
        <f t="shared" si="400"/>
        <v/>
      </c>
      <c r="X3235" s="59" t="str">
        <f t="shared" si="404"/>
        <v/>
      </c>
      <c r="AC3235" s="50">
        <f t="shared" si="405"/>
        <v>0</v>
      </c>
      <c r="AD3235" s="43">
        <f t="shared" si="406"/>
        <v>0</v>
      </c>
      <c r="AE3235" s="50">
        <f t="shared" si="407"/>
        <v>0</v>
      </c>
    </row>
    <row r="3236" spans="1:31">
      <c r="A3236" s="59" t="str">
        <f t="shared" si="401"/>
        <v/>
      </c>
      <c r="B3236" s="59" t="str">
        <f t="shared" si="402"/>
        <v/>
      </c>
      <c r="V3236" s="59" t="str">
        <f t="shared" si="403"/>
        <v/>
      </c>
      <c r="W3236" s="59" t="str">
        <f t="shared" si="400"/>
        <v/>
      </c>
      <c r="X3236" s="59" t="str">
        <f t="shared" si="404"/>
        <v/>
      </c>
      <c r="AC3236" s="50">
        <f t="shared" si="405"/>
        <v>0</v>
      </c>
      <c r="AD3236" s="43">
        <f t="shared" si="406"/>
        <v>0</v>
      </c>
      <c r="AE3236" s="50">
        <f t="shared" si="407"/>
        <v>0</v>
      </c>
    </row>
    <row r="3237" spans="1:31">
      <c r="A3237" s="59" t="str">
        <f t="shared" si="401"/>
        <v/>
      </c>
      <c r="B3237" s="59" t="str">
        <f t="shared" si="402"/>
        <v/>
      </c>
      <c r="V3237" s="59" t="str">
        <f t="shared" si="403"/>
        <v/>
      </c>
      <c r="W3237" s="59" t="str">
        <f t="shared" si="400"/>
        <v/>
      </c>
      <c r="X3237" s="59" t="str">
        <f t="shared" si="404"/>
        <v/>
      </c>
      <c r="AC3237" s="50">
        <f t="shared" si="405"/>
        <v>0</v>
      </c>
      <c r="AD3237" s="43">
        <f t="shared" si="406"/>
        <v>0</v>
      </c>
      <c r="AE3237" s="50">
        <f t="shared" si="407"/>
        <v>0</v>
      </c>
    </row>
    <row r="3238" spans="1:31">
      <c r="A3238" s="59" t="str">
        <f t="shared" si="401"/>
        <v/>
      </c>
      <c r="B3238" s="59" t="str">
        <f t="shared" si="402"/>
        <v/>
      </c>
      <c r="V3238" s="59" t="str">
        <f t="shared" si="403"/>
        <v/>
      </c>
      <c r="W3238" s="59" t="str">
        <f t="shared" si="400"/>
        <v/>
      </c>
      <c r="X3238" s="59" t="str">
        <f t="shared" si="404"/>
        <v/>
      </c>
      <c r="AC3238" s="50">
        <f t="shared" si="405"/>
        <v>0</v>
      </c>
      <c r="AD3238" s="43">
        <f t="shared" si="406"/>
        <v>0</v>
      </c>
      <c r="AE3238" s="50">
        <f t="shared" si="407"/>
        <v>0</v>
      </c>
    </row>
    <row r="3239" spans="1:31">
      <c r="A3239" s="59" t="str">
        <f t="shared" si="401"/>
        <v/>
      </c>
      <c r="B3239" s="59" t="str">
        <f t="shared" si="402"/>
        <v/>
      </c>
      <c r="V3239" s="59" t="str">
        <f t="shared" si="403"/>
        <v/>
      </c>
      <c r="W3239" s="59" t="str">
        <f t="shared" si="400"/>
        <v/>
      </c>
      <c r="X3239" s="59" t="str">
        <f t="shared" si="404"/>
        <v/>
      </c>
      <c r="AC3239" s="50">
        <f t="shared" si="405"/>
        <v>0</v>
      </c>
      <c r="AD3239" s="43">
        <f t="shared" si="406"/>
        <v>0</v>
      </c>
      <c r="AE3239" s="50">
        <f t="shared" si="407"/>
        <v>0</v>
      </c>
    </row>
    <row r="3240" spans="1:31">
      <c r="A3240" s="59" t="str">
        <f t="shared" si="401"/>
        <v/>
      </c>
      <c r="B3240" s="59" t="str">
        <f t="shared" si="402"/>
        <v/>
      </c>
      <c r="V3240" s="59" t="str">
        <f t="shared" si="403"/>
        <v/>
      </c>
      <c r="W3240" s="59" t="str">
        <f t="shared" si="400"/>
        <v/>
      </c>
      <c r="X3240" s="59" t="str">
        <f t="shared" si="404"/>
        <v/>
      </c>
      <c r="AC3240" s="50">
        <f t="shared" si="405"/>
        <v>0</v>
      </c>
      <c r="AD3240" s="43">
        <f t="shared" si="406"/>
        <v>0</v>
      </c>
      <c r="AE3240" s="50">
        <f t="shared" si="407"/>
        <v>0</v>
      </c>
    </row>
    <row r="3241" spans="1:31">
      <c r="A3241" s="59" t="str">
        <f t="shared" si="401"/>
        <v/>
      </c>
      <c r="B3241" s="59" t="str">
        <f t="shared" si="402"/>
        <v/>
      </c>
      <c r="V3241" s="59" t="str">
        <f t="shared" si="403"/>
        <v/>
      </c>
      <c r="W3241" s="59" t="str">
        <f t="shared" si="400"/>
        <v/>
      </c>
      <c r="X3241" s="59" t="str">
        <f t="shared" si="404"/>
        <v/>
      </c>
      <c r="AC3241" s="50">
        <f t="shared" si="405"/>
        <v>0</v>
      </c>
      <c r="AD3241" s="43">
        <f t="shared" si="406"/>
        <v>0</v>
      </c>
      <c r="AE3241" s="50">
        <f t="shared" si="407"/>
        <v>0</v>
      </c>
    </row>
    <row r="3242" spans="1:31">
      <c r="A3242" s="59" t="str">
        <f t="shared" si="401"/>
        <v/>
      </c>
      <c r="B3242" s="59" t="str">
        <f t="shared" si="402"/>
        <v/>
      </c>
      <c r="V3242" s="59" t="str">
        <f t="shared" si="403"/>
        <v/>
      </c>
      <c r="W3242" s="59" t="str">
        <f t="shared" si="400"/>
        <v/>
      </c>
      <c r="X3242" s="59" t="str">
        <f t="shared" si="404"/>
        <v/>
      </c>
      <c r="AC3242" s="50">
        <f t="shared" si="405"/>
        <v>0</v>
      </c>
      <c r="AD3242" s="43">
        <f t="shared" si="406"/>
        <v>0</v>
      </c>
      <c r="AE3242" s="50">
        <f t="shared" si="407"/>
        <v>0</v>
      </c>
    </row>
    <row r="3243" spans="1:31">
      <c r="A3243" s="59" t="str">
        <f t="shared" si="401"/>
        <v/>
      </c>
      <c r="B3243" s="59" t="str">
        <f t="shared" si="402"/>
        <v/>
      </c>
      <c r="V3243" s="59" t="str">
        <f t="shared" si="403"/>
        <v/>
      </c>
      <c r="W3243" s="59" t="str">
        <f t="shared" si="400"/>
        <v/>
      </c>
      <c r="X3243" s="59" t="str">
        <f t="shared" si="404"/>
        <v/>
      </c>
      <c r="AC3243" s="50">
        <f t="shared" si="405"/>
        <v>0</v>
      </c>
      <c r="AD3243" s="43">
        <f t="shared" si="406"/>
        <v>0</v>
      </c>
      <c r="AE3243" s="50">
        <f t="shared" si="407"/>
        <v>0</v>
      </c>
    </row>
    <row r="3244" spans="1:31">
      <c r="A3244" s="59" t="str">
        <f t="shared" si="401"/>
        <v/>
      </c>
      <c r="B3244" s="59" t="str">
        <f t="shared" si="402"/>
        <v/>
      </c>
      <c r="V3244" s="59" t="str">
        <f t="shared" si="403"/>
        <v/>
      </c>
      <c r="W3244" s="59" t="str">
        <f t="shared" si="400"/>
        <v/>
      </c>
      <c r="X3244" s="59" t="str">
        <f t="shared" si="404"/>
        <v/>
      </c>
      <c r="AC3244" s="50">
        <f t="shared" si="405"/>
        <v>0</v>
      </c>
      <c r="AD3244" s="43">
        <f t="shared" si="406"/>
        <v>0</v>
      </c>
      <c r="AE3244" s="50">
        <f t="shared" si="407"/>
        <v>0</v>
      </c>
    </row>
    <row r="3245" spans="1:31">
      <c r="A3245" s="59" t="str">
        <f t="shared" si="401"/>
        <v/>
      </c>
      <c r="B3245" s="59" t="str">
        <f t="shared" si="402"/>
        <v/>
      </c>
      <c r="V3245" s="59" t="str">
        <f t="shared" si="403"/>
        <v/>
      </c>
      <c r="W3245" s="59" t="str">
        <f t="shared" si="400"/>
        <v/>
      </c>
      <c r="X3245" s="59" t="str">
        <f t="shared" si="404"/>
        <v/>
      </c>
      <c r="AC3245" s="50">
        <f t="shared" si="405"/>
        <v>0</v>
      </c>
      <c r="AD3245" s="43">
        <f t="shared" si="406"/>
        <v>0</v>
      </c>
      <c r="AE3245" s="50">
        <f t="shared" si="407"/>
        <v>0</v>
      </c>
    </row>
    <row r="3246" spans="1:31">
      <c r="A3246" s="59" t="str">
        <f t="shared" si="401"/>
        <v/>
      </c>
      <c r="B3246" s="59" t="str">
        <f t="shared" si="402"/>
        <v/>
      </c>
      <c r="V3246" s="59" t="str">
        <f t="shared" si="403"/>
        <v/>
      </c>
      <c r="W3246" s="59" t="str">
        <f t="shared" si="400"/>
        <v/>
      </c>
      <c r="X3246" s="59" t="str">
        <f t="shared" si="404"/>
        <v/>
      </c>
      <c r="AC3246" s="50">
        <f t="shared" si="405"/>
        <v>0</v>
      </c>
      <c r="AD3246" s="43">
        <f t="shared" si="406"/>
        <v>0</v>
      </c>
      <c r="AE3246" s="50">
        <f t="shared" si="407"/>
        <v>0</v>
      </c>
    </row>
    <row r="3247" spans="1:31">
      <c r="A3247" s="59" t="str">
        <f t="shared" si="401"/>
        <v/>
      </c>
      <c r="B3247" s="59" t="str">
        <f t="shared" si="402"/>
        <v/>
      </c>
      <c r="V3247" s="59" t="str">
        <f t="shared" si="403"/>
        <v/>
      </c>
      <c r="W3247" s="59" t="str">
        <f t="shared" si="400"/>
        <v/>
      </c>
      <c r="X3247" s="59" t="str">
        <f t="shared" si="404"/>
        <v/>
      </c>
      <c r="AC3247" s="50">
        <f t="shared" si="405"/>
        <v>0</v>
      </c>
      <c r="AD3247" s="43">
        <f t="shared" si="406"/>
        <v>0</v>
      </c>
      <c r="AE3247" s="50">
        <f t="shared" si="407"/>
        <v>0</v>
      </c>
    </row>
    <row r="3248" spans="1:31">
      <c r="A3248" s="59" t="str">
        <f t="shared" si="401"/>
        <v/>
      </c>
      <c r="B3248" s="59" t="str">
        <f t="shared" si="402"/>
        <v/>
      </c>
      <c r="V3248" s="59" t="str">
        <f t="shared" si="403"/>
        <v/>
      </c>
      <c r="W3248" s="59" t="str">
        <f t="shared" si="400"/>
        <v/>
      </c>
      <c r="X3248" s="59" t="str">
        <f t="shared" si="404"/>
        <v/>
      </c>
      <c r="AC3248" s="50">
        <f t="shared" si="405"/>
        <v>0</v>
      </c>
      <c r="AD3248" s="43">
        <f t="shared" si="406"/>
        <v>0</v>
      </c>
      <c r="AE3248" s="50">
        <f t="shared" si="407"/>
        <v>0</v>
      </c>
    </row>
    <row r="3249" spans="1:31">
      <c r="A3249" s="59" t="str">
        <f t="shared" si="401"/>
        <v/>
      </c>
      <c r="B3249" s="59" t="str">
        <f t="shared" si="402"/>
        <v/>
      </c>
      <c r="V3249" s="59" t="str">
        <f t="shared" si="403"/>
        <v/>
      </c>
      <c r="W3249" s="59" t="str">
        <f t="shared" si="400"/>
        <v/>
      </c>
      <c r="X3249" s="59" t="str">
        <f t="shared" si="404"/>
        <v/>
      </c>
      <c r="AC3249" s="50">
        <f t="shared" si="405"/>
        <v>0</v>
      </c>
      <c r="AD3249" s="43">
        <f t="shared" si="406"/>
        <v>0</v>
      </c>
      <c r="AE3249" s="50">
        <f t="shared" si="407"/>
        <v>0</v>
      </c>
    </row>
    <row r="3250" spans="1:31">
      <c r="A3250" s="59" t="str">
        <f t="shared" si="401"/>
        <v/>
      </c>
      <c r="B3250" s="59" t="str">
        <f t="shared" si="402"/>
        <v/>
      </c>
      <c r="V3250" s="59" t="str">
        <f t="shared" si="403"/>
        <v/>
      </c>
      <c r="W3250" s="59" t="str">
        <f t="shared" si="400"/>
        <v/>
      </c>
      <c r="X3250" s="59" t="str">
        <f t="shared" si="404"/>
        <v/>
      </c>
      <c r="AC3250" s="50">
        <f t="shared" si="405"/>
        <v>0</v>
      </c>
      <c r="AD3250" s="43">
        <f t="shared" si="406"/>
        <v>0</v>
      </c>
      <c r="AE3250" s="50">
        <f t="shared" si="407"/>
        <v>0</v>
      </c>
    </row>
    <row r="3251" spans="1:31">
      <c r="A3251" s="59" t="str">
        <f t="shared" si="401"/>
        <v/>
      </c>
      <c r="B3251" s="59" t="str">
        <f t="shared" si="402"/>
        <v/>
      </c>
      <c r="V3251" s="59" t="str">
        <f t="shared" si="403"/>
        <v/>
      </c>
      <c r="W3251" s="59" t="str">
        <f t="shared" si="400"/>
        <v/>
      </c>
      <c r="X3251" s="59" t="str">
        <f t="shared" si="404"/>
        <v/>
      </c>
      <c r="AC3251" s="50">
        <f t="shared" si="405"/>
        <v>0</v>
      </c>
      <c r="AD3251" s="43">
        <f t="shared" si="406"/>
        <v>0</v>
      </c>
      <c r="AE3251" s="50">
        <f t="shared" si="407"/>
        <v>0</v>
      </c>
    </row>
    <row r="3252" spans="1:31">
      <c r="A3252" s="59" t="str">
        <f t="shared" si="401"/>
        <v/>
      </c>
      <c r="B3252" s="59" t="str">
        <f t="shared" si="402"/>
        <v/>
      </c>
      <c r="V3252" s="59" t="str">
        <f t="shared" si="403"/>
        <v/>
      </c>
      <c r="W3252" s="59" t="str">
        <f t="shared" si="400"/>
        <v/>
      </c>
      <c r="X3252" s="59" t="str">
        <f t="shared" si="404"/>
        <v/>
      </c>
      <c r="AC3252" s="50">
        <f t="shared" si="405"/>
        <v>0</v>
      </c>
      <c r="AD3252" s="43">
        <f t="shared" si="406"/>
        <v>0</v>
      </c>
      <c r="AE3252" s="50">
        <f t="shared" si="407"/>
        <v>0</v>
      </c>
    </row>
    <row r="3253" spans="1:31">
      <c r="A3253" s="59" t="str">
        <f t="shared" si="401"/>
        <v/>
      </c>
      <c r="B3253" s="59" t="str">
        <f t="shared" si="402"/>
        <v/>
      </c>
      <c r="V3253" s="59" t="str">
        <f t="shared" si="403"/>
        <v/>
      </c>
      <c r="W3253" s="59" t="str">
        <f t="shared" si="400"/>
        <v/>
      </c>
      <c r="X3253" s="59" t="str">
        <f t="shared" si="404"/>
        <v/>
      </c>
      <c r="AC3253" s="50">
        <f t="shared" si="405"/>
        <v>0</v>
      </c>
      <c r="AD3253" s="43">
        <f t="shared" si="406"/>
        <v>0</v>
      </c>
      <c r="AE3253" s="50">
        <f t="shared" si="407"/>
        <v>0</v>
      </c>
    </row>
    <row r="3254" spans="1:31">
      <c r="A3254" s="59" t="str">
        <f t="shared" si="401"/>
        <v/>
      </c>
      <c r="B3254" s="59" t="str">
        <f t="shared" si="402"/>
        <v/>
      </c>
      <c r="V3254" s="59" t="str">
        <f t="shared" si="403"/>
        <v/>
      </c>
      <c r="W3254" s="59" t="str">
        <f t="shared" si="400"/>
        <v/>
      </c>
      <c r="X3254" s="59" t="str">
        <f t="shared" si="404"/>
        <v/>
      </c>
      <c r="AC3254" s="50">
        <f t="shared" si="405"/>
        <v>0</v>
      </c>
      <c r="AD3254" s="43">
        <f t="shared" si="406"/>
        <v>0</v>
      </c>
      <c r="AE3254" s="50">
        <f t="shared" si="407"/>
        <v>0</v>
      </c>
    </row>
    <row r="3255" spans="1:31">
      <c r="A3255" s="59" t="str">
        <f t="shared" si="401"/>
        <v/>
      </c>
      <c r="B3255" s="59" t="str">
        <f t="shared" si="402"/>
        <v/>
      </c>
      <c r="V3255" s="59" t="str">
        <f t="shared" si="403"/>
        <v/>
      </c>
      <c r="W3255" s="59" t="str">
        <f t="shared" si="400"/>
        <v/>
      </c>
      <c r="X3255" s="59" t="str">
        <f t="shared" si="404"/>
        <v/>
      </c>
      <c r="AC3255" s="50">
        <f t="shared" si="405"/>
        <v>0</v>
      </c>
      <c r="AD3255" s="43">
        <f t="shared" si="406"/>
        <v>0</v>
      </c>
      <c r="AE3255" s="50">
        <f t="shared" si="407"/>
        <v>0</v>
      </c>
    </row>
    <row r="3256" spans="1:31">
      <c r="A3256" s="59" t="str">
        <f t="shared" si="401"/>
        <v/>
      </c>
      <c r="B3256" s="59" t="str">
        <f t="shared" si="402"/>
        <v/>
      </c>
      <c r="V3256" s="59" t="str">
        <f t="shared" si="403"/>
        <v/>
      </c>
      <c r="W3256" s="59" t="str">
        <f t="shared" si="400"/>
        <v/>
      </c>
      <c r="X3256" s="59" t="str">
        <f t="shared" si="404"/>
        <v/>
      </c>
      <c r="AC3256" s="50">
        <f t="shared" si="405"/>
        <v>0</v>
      </c>
      <c r="AD3256" s="43">
        <f t="shared" si="406"/>
        <v>0</v>
      </c>
      <c r="AE3256" s="50">
        <f t="shared" si="407"/>
        <v>0</v>
      </c>
    </row>
    <row r="3257" spans="1:31">
      <c r="A3257" s="59" t="str">
        <f t="shared" si="401"/>
        <v/>
      </c>
      <c r="B3257" s="59" t="str">
        <f t="shared" si="402"/>
        <v/>
      </c>
      <c r="V3257" s="59" t="str">
        <f t="shared" si="403"/>
        <v/>
      </c>
      <c r="W3257" s="59" t="str">
        <f t="shared" si="400"/>
        <v/>
      </c>
      <c r="X3257" s="59" t="str">
        <f t="shared" si="404"/>
        <v/>
      </c>
      <c r="AC3257" s="50">
        <f t="shared" si="405"/>
        <v>0</v>
      </c>
      <c r="AD3257" s="43">
        <f t="shared" si="406"/>
        <v>0</v>
      </c>
      <c r="AE3257" s="50">
        <f t="shared" si="407"/>
        <v>0</v>
      </c>
    </row>
    <row r="3258" spans="1:31">
      <c r="A3258" s="59" t="str">
        <f t="shared" si="401"/>
        <v/>
      </c>
      <c r="B3258" s="59" t="str">
        <f t="shared" si="402"/>
        <v/>
      </c>
      <c r="V3258" s="59" t="str">
        <f t="shared" si="403"/>
        <v/>
      </c>
      <c r="W3258" s="59" t="str">
        <f t="shared" si="400"/>
        <v/>
      </c>
      <c r="X3258" s="59" t="str">
        <f t="shared" si="404"/>
        <v/>
      </c>
      <c r="AC3258" s="50">
        <f t="shared" si="405"/>
        <v>0</v>
      </c>
      <c r="AD3258" s="43">
        <f t="shared" si="406"/>
        <v>0</v>
      </c>
      <c r="AE3258" s="50">
        <f t="shared" si="407"/>
        <v>0</v>
      </c>
    </row>
    <row r="3259" spans="1:31">
      <c r="A3259" s="59" t="str">
        <f t="shared" si="401"/>
        <v/>
      </c>
      <c r="B3259" s="59" t="str">
        <f t="shared" si="402"/>
        <v/>
      </c>
      <c r="V3259" s="59" t="str">
        <f t="shared" si="403"/>
        <v/>
      </c>
      <c r="W3259" s="59" t="str">
        <f t="shared" si="400"/>
        <v/>
      </c>
      <c r="X3259" s="59" t="str">
        <f t="shared" si="404"/>
        <v/>
      </c>
      <c r="AC3259" s="50">
        <f t="shared" si="405"/>
        <v>0</v>
      </c>
      <c r="AD3259" s="43">
        <f t="shared" si="406"/>
        <v>0</v>
      </c>
      <c r="AE3259" s="50">
        <f t="shared" si="407"/>
        <v>0</v>
      </c>
    </row>
    <row r="3260" spans="1:31">
      <c r="A3260" s="59" t="str">
        <f t="shared" si="401"/>
        <v/>
      </c>
      <c r="B3260" s="59" t="str">
        <f t="shared" si="402"/>
        <v/>
      </c>
      <c r="V3260" s="59" t="str">
        <f t="shared" si="403"/>
        <v/>
      </c>
      <c r="W3260" s="59" t="str">
        <f t="shared" si="400"/>
        <v/>
      </c>
      <c r="X3260" s="59" t="str">
        <f t="shared" si="404"/>
        <v/>
      </c>
      <c r="AC3260" s="50">
        <f t="shared" si="405"/>
        <v>0</v>
      </c>
      <c r="AD3260" s="43">
        <f t="shared" si="406"/>
        <v>0</v>
      </c>
      <c r="AE3260" s="50">
        <f t="shared" si="407"/>
        <v>0</v>
      </c>
    </row>
    <row r="3261" spans="1:31">
      <c r="A3261" s="59" t="str">
        <f t="shared" si="401"/>
        <v/>
      </c>
      <c r="B3261" s="59" t="str">
        <f t="shared" si="402"/>
        <v/>
      </c>
      <c r="V3261" s="59" t="str">
        <f t="shared" si="403"/>
        <v/>
      </c>
      <c r="W3261" s="59" t="str">
        <f t="shared" si="400"/>
        <v/>
      </c>
      <c r="X3261" s="59" t="str">
        <f t="shared" si="404"/>
        <v/>
      </c>
      <c r="AC3261" s="50">
        <f t="shared" si="405"/>
        <v>0</v>
      </c>
      <c r="AD3261" s="43">
        <f t="shared" si="406"/>
        <v>0</v>
      </c>
      <c r="AE3261" s="50">
        <f t="shared" si="407"/>
        <v>0</v>
      </c>
    </row>
    <row r="3262" spans="1:31">
      <c r="A3262" s="59" t="str">
        <f t="shared" si="401"/>
        <v/>
      </c>
      <c r="B3262" s="59" t="str">
        <f t="shared" si="402"/>
        <v/>
      </c>
      <c r="V3262" s="59" t="str">
        <f t="shared" si="403"/>
        <v/>
      </c>
      <c r="W3262" s="59" t="str">
        <f t="shared" si="400"/>
        <v/>
      </c>
      <c r="X3262" s="59" t="str">
        <f t="shared" si="404"/>
        <v/>
      </c>
      <c r="AC3262" s="50">
        <f t="shared" si="405"/>
        <v>0</v>
      </c>
      <c r="AD3262" s="43">
        <f t="shared" si="406"/>
        <v>0</v>
      </c>
      <c r="AE3262" s="50">
        <f t="shared" si="407"/>
        <v>0</v>
      </c>
    </row>
    <row r="3263" spans="1:31">
      <c r="A3263" s="59" t="str">
        <f t="shared" si="401"/>
        <v/>
      </c>
      <c r="B3263" s="59" t="str">
        <f t="shared" si="402"/>
        <v/>
      </c>
      <c r="V3263" s="59" t="str">
        <f t="shared" si="403"/>
        <v/>
      </c>
      <c r="W3263" s="59" t="str">
        <f t="shared" si="400"/>
        <v/>
      </c>
      <c r="X3263" s="59" t="str">
        <f t="shared" si="404"/>
        <v/>
      </c>
      <c r="AC3263" s="50">
        <f t="shared" si="405"/>
        <v>0</v>
      </c>
      <c r="AD3263" s="43">
        <f t="shared" si="406"/>
        <v>0</v>
      </c>
      <c r="AE3263" s="50">
        <f t="shared" si="407"/>
        <v>0</v>
      </c>
    </row>
    <row r="3264" spans="1:31">
      <c r="A3264" s="59" t="str">
        <f t="shared" si="401"/>
        <v/>
      </c>
      <c r="B3264" s="59" t="str">
        <f t="shared" si="402"/>
        <v/>
      </c>
      <c r="V3264" s="59" t="str">
        <f t="shared" si="403"/>
        <v/>
      </c>
      <c r="W3264" s="59" t="str">
        <f t="shared" si="400"/>
        <v/>
      </c>
      <c r="X3264" s="59" t="str">
        <f t="shared" si="404"/>
        <v/>
      </c>
      <c r="AC3264" s="50">
        <f t="shared" si="405"/>
        <v>0</v>
      </c>
      <c r="AD3264" s="43">
        <f t="shared" si="406"/>
        <v>0</v>
      </c>
      <c r="AE3264" s="50">
        <f t="shared" si="407"/>
        <v>0</v>
      </c>
    </row>
    <row r="3265" spans="1:31">
      <c r="A3265" s="59" t="str">
        <f t="shared" si="401"/>
        <v/>
      </c>
      <c r="B3265" s="59" t="str">
        <f t="shared" si="402"/>
        <v/>
      </c>
      <c r="V3265" s="59" t="str">
        <f t="shared" si="403"/>
        <v/>
      </c>
      <c r="W3265" s="59" t="str">
        <f t="shared" si="400"/>
        <v/>
      </c>
      <c r="X3265" s="59" t="str">
        <f t="shared" si="404"/>
        <v/>
      </c>
      <c r="AC3265" s="50">
        <f t="shared" si="405"/>
        <v>0</v>
      </c>
      <c r="AD3265" s="43">
        <f t="shared" si="406"/>
        <v>0</v>
      </c>
      <c r="AE3265" s="50">
        <f t="shared" si="407"/>
        <v>0</v>
      </c>
    </row>
    <row r="3266" spans="1:31">
      <c r="A3266" s="59" t="str">
        <f t="shared" si="401"/>
        <v/>
      </c>
      <c r="B3266" s="59" t="str">
        <f t="shared" si="402"/>
        <v/>
      </c>
      <c r="V3266" s="59" t="str">
        <f t="shared" si="403"/>
        <v/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59" t="str">
        <f t="shared" si="404"/>
        <v/>
      </c>
      <c r="AC3266" s="50">
        <f t="shared" si="405"/>
        <v>0</v>
      </c>
      <c r="AD3266" s="43">
        <f t="shared" si="406"/>
        <v>0</v>
      </c>
      <c r="AE3266" s="50">
        <f t="shared" si="407"/>
        <v>0</v>
      </c>
    </row>
    <row r="3267" spans="1:31">
      <c r="A3267" s="59" t="str">
        <f t="shared" ref="A3267:A3330" si="409">IF(G3267&amp;Q3267&lt;&gt;"",W3267&amp;Q3267,"")</f>
        <v/>
      </c>
      <c r="B3267" s="59" t="str">
        <f t="shared" ref="B3267:B3330" si="410">IF(C3267&lt;&gt;"",LEFT(C3267,9),"")</f>
        <v/>
      </c>
      <c r="V3267" s="59" t="str">
        <f t="shared" ref="V3267:V3330" si="411">W3267&amp;H3267</f>
        <v/>
      </c>
      <c r="W3267" s="59" t="str">
        <f t="shared" si="408"/>
        <v/>
      </c>
      <c r="X3267" s="59" t="str">
        <f t="shared" ref="X3267:X3330" si="412">IF(A3267&lt;&gt;"",IFERROR(IF(FIND(" ",G3267)&gt;=1,MID(G3267,FIND(" ",G3267)+1,LEN(G3267)),""),""),"")</f>
        <v/>
      </c>
      <c r="AC3267" s="50">
        <f t="shared" ref="AC3267:AC3330" si="413">IFERROR(VALUE(MID($C3267,1,2)),0)</f>
        <v>0</v>
      </c>
      <c r="AD3267" s="43">
        <f t="shared" ref="AD3267:AD3330" si="414">IFERROR(VALUE(MID($C3267,4,3)),0)</f>
        <v>0</v>
      </c>
      <c r="AE3267" s="50">
        <f t="shared" ref="AE3267:AE3330" si="415">VALUE(RIGHT("00"&amp;AC3267,2)&amp;RIGHT("000"&amp;AD3267,3))</f>
        <v>0</v>
      </c>
    </row>
    <row r="3268" spans="1:31">
      <c r="A3268" s="59" t="str">
        <f t="shared" si="409"/>
        <v/>
      </c>
      <c r="B3268" s="59" t="str">
        <f t="shared" si="410"/>
        <v/>
      </c>
      <c r="V3268" s="59" t="str">
        <f t="shared" si="411"/>
        <v/>
      </c>
      <c r="W3268" s="59" t="str">
        <f t="shared" si="408"/>
        <v/>
      </c>
      <c r="X3268" s="59" t="str">
        <f t="shared" si="412"/>
        <v/>
      </c>
      <c r="AC3268" s="50">
        <f t="shared" si="413"/>
        <v>0</v>
      </c>
      <c r="AD3268" s="43">
        <f t="shared" si="414"/>
        <v>0</v>
      </c>
      <c r="AE3268" s="50">
        <f t="shared" si="415"/>
        <v>0</v>
      </c>
    </row>
    <row r="3269" spans="1:31">
      <c r="A3269" s="59" t="str">
        <f t="shared" si="409"/>
        <v/>
      </c>
      <c r="B3269" s="59" t="str">
        <f t="shared" si="410"/>
        <v/>
      </c>
      <c r="V3269" s="59" t="str">
        <f t="shared" si="411"/>
        <v/>
      </c>
      <c r="W3269" s="59" t="str">
        <f t="shared" si="408"/>
        <v/>
      </c>
      <c r="X3269" s="59" t="str">
        <f t="shared" si="412"/>
        <v/>
      </c>
      <c r="AC3269" s="50">
        <f t="shared" si="413"/>
        <v>0</v>
      </c>
      <c r="AD3269" s="43">
        <f t="shared" si="414"/>
        <v>0</v>
      </c>
      <c r="AE3269" s="50">
        <f t="shared" si="415"/>
        <v>0</v>
      </c>
    </row>
    <row r="3270" spans="1:31">
      <c r="A3270" s="59" t="str">
        <f t="shared" si="409"/>
        <v/>
      </c>
      <c r="B3270" s="59" t="str">
        <f t="shared" si="410"/>
        <v/>
      </c>
      <c r="V3270" s="59" t="str">
        <f t="shared" si="411"/>
        <v/>
      </c>
      <c r="W3270" s="59" t="str">
        <f t="shared" si="408"/>
        <v/>
      </c>
      <c r="X3270" s="59" t="str">
        <f t="shared" si="412"/>
        <v/>
      </c>
      <c r="AC3270" s="50">
        <f t="shared" si="413"/>
        <v>0</v>
      </c>
      <c r="AD3270" s="43">
        <f t="shared" si="414"/>
        <v>0</v>
      </c>
      <c r="AE3270" s="50">
        <f t="shared" si="415"/>
        <v>0</v>
      </c>
    </row>
    <row r="3271" spans="1:31">
      <c r="A3271" s="59" t="str">
        <f t="shared" si="409"/>
        <v/>
      </c>
      <c r="B3271" s="59" t="str">
        <f t="shared" si="410"/>
        <v/>
      </c>
      <c r="V3271" s="59" t="str">
        <f t="shared" si="411"/>
        <v/>
      </c>
      <c r="W3271" s="59" t="str">
        <f t="shared" si="408"/>
        <v/>
      </c>
      <c r="X3271" s="59" t="str">
        <f t="shared" si="412"/>
        <v/>
      </c>
      <c r="AC3271" s="50">
        <f t="shared" si="413"/>
        <v>0</v>
      </c>
      <c r="AD3271" s="43">
        <f t="shared" si="414"/>
        <v>0</v>
      </c>
      <c r="AE3271" s="50">
        <f t="shared" si="415"/>
        <v>0</v>
      </c>
    </row>
    <row r="3272" spans="1:31">
      <c r="A3272" s="59" t="str">
        <f t="shared" si="409"/>
        <v/>
      </c>
      <c r="B3272" s="59" t="str">
        <f t="shared" si="410"/>
        <v/>
      </c>
      <c r="V3272" s="59" t="str">
        <f t="shared" si="411"/>
        <v/>
      </c>
      <c r="W3272" s="59" t="str">
        <f t="shared" si="408"/>
        <v/>
      </c>
      <c r="X3272" s="59" t="str">
        <f t="shared" si="412"/>
        <v/>
      </c>
      <c r="AC3272" s="50">
        <f t="shared" si="413"/>
        <v>0</v>
      </c>
      <c r="AD3272" s="43">
        <f t="shared" si="414"/>
        <v>0</v>
      </c>
      <c r="AE3272" s="50">
        <f t="shared" si="415"/>
        <v>0</v>
      </c>
    </row>
    <row r="3273" spans="1:31">
      <c r="A3273" s="59" t="str">
        <f t="shared" si="409"/>
        <v/>
      </c>
      <c r="B3273" s="59" t="str">
        <f t="shared" si="410"/>
        <v/>
      </c>
      <c r="V3273" s="59" t="str">
        <f t="shared" si="411"/>
        <v/>
      </c>
      <c r="W3273" s="59" t="str">
        <f t="shared" si="408"/>
        <v/>
      </c>
      <c r="X3273" s="59" t="str">
        <f t="shared" si="412"/>
        <v/>
      </c>
      <c r="AC3273" s="50">
        <f t="shared" si="413"/>
        <v>0</v>
      </c>
      <c r="AD3273" s="43">
        <f t="shared" si="414"/>
        <v>0</v>
      </c>
      <c r="AE3273" s="50">
        <f t="shared" si="415"/>
        <v>0</v>
      </c>
    </row>
    <row r="3274" spans="1:31">
      <c r="A3274" s="59" t="str">
        <f t="shared" si="409"/>
        <v/>
      </c>
      <c r="B3274" s="59" t="str">
        <f t="shared" si="410"/>
        <v/>
      </c>
      <c r="V3274" s="59" t="str">
        <f t="shared" si="411"/>
        <v/>
      </c>
      <c r="W3274" s="59" t="str">
        <f t="shared" si="408"/>
        <v/>
      </c>
      <c r="X3274" s="59" t="str">
        <f t="shared" si="412"/>
        <v/>
      </c>
      <c r="AC3274" s="50">
        <f t="shared" si="413"/>
        <v>0</v>
      </c>
      <c r="AD3274" s="43">
        <f t="shared" si="414"/>
        <v>0</v>
      </c>
      <c r="AE3274" s="50">
        <f t="shared" si="415"/>
        <v>0</v>
      </c>
    </row>
    <row r="3275" spans="1:31">
      <c r="A3275" s="59" t="str">
        <f t="shared" si="409"/>
        <v/>
      </c>
      <c r="B3275" s="59" t="str">
        <f t="shared" si="410"/>
        <v/>
      </c>
      <c r="V3275" s="59" t="str">
        <f t="shared" si="411"/>
        <v/>
      </c>
      <c r="W3275" s="59" t="str">
        <f t="shared" si="408"/>
        <v/>
      </c>
      <c r="X3275" s="59" t="str">
        <f t="shared" si="412"/>
        <v/>
      </c>
      <c r="AC3275" s="50">
        <f t="shared" si="413"/>
        <v>0</v>
      </c>
      <c r="AD3275" s="43">
        <f t="shared" si="414"/>
        <v>0</v>
      </c>
      <c r="AE3275" s="50">
        <f t="shared" si="415"/>
        <v>0</v>
      </c>
    </row>
    <row r="3276" spans="1:31">
      <c r="A3276" s="59" t="str">
        <f t="shared" si="409"/>
        <v/>
      </c>
      <c r="B3276" s="59" t="str">
        <f t="shared" si="410"/>
        <v/>
      </c>
      <c r="V3276" s="59" t="str">
        <f t="shared" si="411"/>
        <v/>
      </c>
      <c r="W3276" s="59" t="str">
        <f t="shared" si="408"/>
        <v/>
      </c>
      <c r="X3276" s="59" t="str">
        <f t="shared" si="412"/>
        <v/>
      </c>
      <c r="AC3276" s="50">
        <f t="shared" si="413"/>
        <v>0</v>
      </c>
      <c r="AD3276" s="43">
        <f t="shared" si="414"/>
        <v>0</v>
      </c>
      <c r="AE3276" s="50">
        <f t="shared" si="415"/>
        <v>0</v>
      </c>
    </row>
    <row r="3277" spans="1:31">
      <c r="A3277" s="59" t="str">
        <f t="shared" si="409"/>
        <v/>
      </c>
      <c r="B3277" s="59" t="str">
        <f t="shared" si="410"/>
        <v/>
      </c>
      <c r="V3277" s="59" t="str">
        <f t="shared" si="411"/>
        <v/>
      </c>
      <c r="W3277" s="59" t="str">
        <f t="shared" si="408"/>
        <v/>
      </c>
      <c r="X3277" s="59" t="str">
        <f t="shared" si="412"/>
        <v/>
      </c>
      <c r="AC3277" s="50">
        <f t="shared" si="413"/>
        <v>0</v>
      </c>
      <c r="AD3277" s="43">
        <f t="shared" si="414"/>
        <v>0</v>
      </c>
      <c r="AE3277" s="50">
        <f t="shared" si="415"/>
        <v>0</v>
      </c>
    </row>
    <row r="3278" spans="1:31">
      <c r="A3278" s="59" t="str">
        <f t="shared" si="409"/>
        <v/>
      </c>
      <c r="B3278" s="59" t="str">
        <f t="shared" si="410"/>
        <v/>
      </c>
      <c r="V3278" s="59" t="str">
        <f t="shared" si="411"/>
        <v/>
      </c>
      <c r="W3278" s="59" t="str">
        <f t="shared" si="408"/>
        <v/>
      </c>
      <c r="X3278" s="59" t="str">
        <f t="shared" si="412"/>
        <v/>
      </c>
      <c r="AC3278" s="50">
        <f t="shared" si="413"/>
        <v>0</v>
      </c>
      <c r="AD3278" s="43">
        <f t="shared" si="414"/>
        <v>0</v>
      </c>
      <c r="AE3278" s="50">
        <f t="shared" si="415"/>
        <v>0</v>
      </c>
    </row>
    <row r="3279" spans="1:31">
      <c r="A3279" s="59" t="str">
        <f t="shared" si="409"/>
        <v/>
      </c>
      <c r="B3279" s="59" t="str">
        <f t="shared" si="410"/>
        <v/>
      </c>
      <c r="V3279" s="59" t="str">
        <f t="shared" si="411"/>
        <v/>
      </c>
      <c r="W3279" s="59" t="str">
        <f t="shared" si="408"/>
        <v/>
      </c>
      <c r="X3279" s="59" t="str">
        <f t="shared" si="412"/>
        <v/>
      </c>
      <c r="AC3279" s="50">
        <f t="shared" si="413"/>
        <v>0</v>
      </c>
      <c r="AD3279" s="43">
        <f t="shared" si="414"/>
        <v>0</v>
      </c>
      <c r="AE3279" s="50">
        <f t="shared" si="415"/>
        <v>0</v>
      </c>
    </row>
    <row r="3280" spans="1:31">
      <c r="A3280" s="59" t="str">
        <f t="shared" si="409"/>
        <v/>
      </c>
      <c r="B3280" s="59" t="str">
        <f t="shared" si="410"/>
        <v/>
      </c>
      <c r="V3280" s="59" t="str">
        <f t="shared" si="411"/>
        <v/>
      </c>
      <c r="W3280" s="59" t="str">
        <f t="shared" si="408"/>
        <v/>
      </c>
      <c r="X3280" s="59" t="str">
        <f t="shared" si="412"/>
        <v/>
      </c>
      <c r="AC3280" s="50">
        <f t="shared" si="413"/>
        <v>0</v>
      </c>
      <c r="AD3280" s="43">
        <f t="shared" si="414"/>
        <v>0</v>
      </c>
      <c r="AE3280" s="50">
        <f t="shared" si="415"/>
        <v>0</v>
      </c>
    </row>
    <row r="3281" spans="1:31">
      <c r="A3281" s="59" t="str">
        <f t="shared" si="409"/>
        <v/>
      </c>
      <c r="B3281" s="59" t="str">
        <f t="shared" si="410"/>
        <v/>
      </c>
      <c r="V3281" s="59" t="str">
        <f t="shared" si="411"/>
        <v/>
      </c>
      <c r="W3281" s="59" t="str">
        <f t="shared" si="408"/>
        <v/>
      </c>
      <c r="X3281" s="59" t="str">
        <f t="shared" si="412"/>
        <v/>
      </c>
      <c r="AC3281" s="50">
        <f t="shared" si="413"/>
        <v>0</v>
      </c>
      <c r="AD3281" s="43">
        <f t="shared" si="414"/>
        <v>0</v>
      </c>
      <c r="AE3281" s="50">
        <f t="shared" si="415"/>
        <v>0</v>
      </c>
    </row>
    <row r="3282" spans="1:31">
      <c r="A3282" s="59" t="str">
        <f t="shared" si="409"/>
        <v/>
      </c>
      <c r="B3282" s="59" t="str">
        <f t="shared" si="410"/>
        <v/>
      </c>
      <c r="V3282" s="59" t="str">
        <f t="shared" si="411"/>
        <v/>
      </c>
      <c r="W3282" s="59" t="str">
        <f t="shared" si="408"/>
        <v/>
      </c>
      <c r="X3282" s="59" t="str">
        <f t="shared" si="412"/>
        <v/>
      </c>
      <c r="AC3282" s="50">
        <f t="shared" si="413"/>
        <v>0</v>
      </c>
      <c r="AD3282" s="43">
        <f t="shared" si="414"/>
        <v>0</v>
      </c>
      <c r="AE3282" s="50">
        <f t="shared" si="415"/>
        <v>0</v>
      </c>
    </row>
    <row r="3283" spans="1:31">
      <c r="A3283" s="59" t="str">
        <f t="shared" si="409"/>
        <v/>
      </c>
      <c r="B3283" s="59" t="str">
        <f t="shared" si="410"/>
        <v/>
      </c>
      <c r="V3283" s="59" t="str">
        <f t="shared" si="411"/>
        <v/>
      </c>
      <c r="W3283" s="59" t="str">
        <f t="shared" si="408"/>
        <v/>
      </c>
      <c r="X3283" s="59" t="str">
        <f t="shared" si="412"/>
        <v/>
      </c>
      <c r="AC3283" s="50">
        <f t="shared" si="413"/>
        <v>0</v>
      </c>
      <c r="AD3283" s="43">
        <f t="shared" si="414"/>
        <v>0</v>
      </c>
      <c r="AE3283" s="50">
        <f t="shared" si="415"/>
        <v>0</v>
      </c>
    </row>
    <row r="3284" spans="1:31">
      <c r="A3284" s="59" t="str">
        <f t="shared" si="409"/>
        <v/>
      </c>
      <c r="B3284" s="59" t="str">
        <f t="shared" si="410"/>
        <v/>
      </c>
      <c r="V3284" s="59" t="str">
        <f t="shared" si="411"/>
        <v/>
      </c>
      <c r="W3284" s="59" t="str">
        <f t="shared" si="408"/>
        <v/>
      </c>
      <c r="X3284" s="59" t="str">
        <f t="shared" si="412"/>
        <v/>
      </c>
      <c r="AC3284" s="50">
        <f t="shared" si="413"/>
        <v>0</v>
      </c>
      <c r="AD3284" s="43">
        <f t="shared" si="414"/>
        <v>0</v>
      </c>
      <c r="AE3284" s="50">
        <f t="shared" si="415"/>
        <v>0</v>
      </c>
    </row>
    <row r="3285" spans="1:31">
      <c r="A3285" s="59" t="str">
        <f t="shared" si="409"/>
        <v/>
      </c>
      <c r="B3285" s="59" t="str">
        <f t="shared" si="410"/>
        <v/>
      </c>
      <c r="V3285" s="59" t="str">
        <f t="shared" si="411"/>
        <v/>
      </c>
      <c r="W3285" s="59" t="str">
        <f t="shared" si="408"/>
        <v/>
      </c>
      <c r="X3285" s="59" t="str">
        <f t="shared" si="412"/>
        <v/>
      </c>
      <c r="AC3285" s="50">
        <f t="shared" si="413"/>
        <v>0</v>
      </c>
      <c r="AD3285" s="43">
        <f t="shared" si="414"/>
        <v>0</v>
      </c>
      <c r="AE3285" s="50">
        <f t="shared" si="415"/>
        <v>0</v>
      </c>
    </row>
    <row r="3286" spans="1:31">
      <c r="A3286" s="59" t="str">
        <f t="shared" si="409"/>
        <v/>
      </c>
      <c r="B3286" s="59" t="str">
        <f t="shared" si="410"/>
        <v/>
      </c>
      <c r="V3286" s="59" t="str">
        <f t="shared" si="411"/>
        <v/>
      </c>
      <c r="W3286" s="59" t="str">
        <f t="shared" si="408"/>
        <v/>
      </c>
      <c r="X3286" s="59" t="str">
        <f t="shared" si="412"/>
        <v/>
      </c>
      <c r="AC3286" s="50">
        <f t="shared" si="413"/>
        <v>0</v>
      </c>
      <c r="AD3286" s="43">
        <f t="shared" si="414"/>
        <v>0</v>
      </c>
      <c r="AE3286" s="50">
        <f t="shared" si="415"/>
        <v>0</v>
      </c>
    </row>
    <row r="3287" spans="1:31">
      <c r="A3287" s="59" t="str">
        <f t="shared" si="409"/>
        <v/>
      </c>
      <c r="B3287" s="59" t="str">
        <f t="shared" si="410"/>
        <v/>
      </c>
      <c r="V3287" s="59" t="str">
        <f t="shared" si="411"/>
        <v/>
      </c>
      <c r="W3287" s="59" t="str">
        <f t="shared" si="408"/>
        <v/>
      </c>
      <c r="X3287" s="59" t="str">
        <f t="shared" si="412"/>
        <v/>
      </c>
      <c r="AC3287" s="50">
        <f t="shared" si="413"/>
        <v>0</v>
      </c>
      <c r="AD3287" s="43">
        <f t="shared" si="414"/>
        <v>0</v>
      </c>
      <c r="AE3287" s="50">
        <f t="shared" si="415"/>
        <v>0</v>
      </c>
    </row>
    <row r="3288" spans="1:31">
      <c r="A3288" s="59" t="str">
        <f t="shared" si="409"/>
        <v/>
      </c>
      <c r="B3288" s="59" t="str">
        <f t="shared" si="410"/>
        <v/>
      </c>
      <c r="V3288" s="59" t="str">
        <f t="shared" si="411"/>
        <v/>
      </c>
      <c r="W3288" s="59" t="str">
        <f t="shared" si="408"/>
        <v/>
      </c>
      <c r="X3288" s="59" t="str">
        <f t="shared" si="412"/>
        <v/>
      </c>
      <c r="AC3288" s="50">
        <f t="shared" si="413"/>
        <v>0</v>
      </c>
      <c r="AD3288" s="43">
        <f t="shared" si="414"/>
        <v>0</v>
      </c>
      <c r="AE3288" s="50">
        <f t="shared" si="415"/>
        <v>0</v>
      </c>
    </row>
    <row r="3289" spans="1:31">
      <c r="A3289" s="59" t="str">
        <f t="shared" si="409"/>
        <v/>
      </c>
      <c r="B3289" s="59" t="str">
        <f t="shared" si="410"/>
        <v/>
      </c>
      <c r="V3289" s="59" t="str">
        <f t="shared" si="411"/>
        <v/>
      </c>
      <c r="W3289" s="59" t="str">
        <f t="shared" si="408"/>
        <v/>
      </c>
      <c r="X3289" s="59" t="str">
        <f t="shared" si="412"/>
        <v/>
      </c>
      <c r="AC3289" s="50">
        <f t="shared" si="413"/>
        <v>0</v>
      </c>
      <c r="AD3289" s="43">
        <f t="shared" si="414"/>
        <v>0</v>
      </c>
      <c r="AE3289" s="50">
        <f t="shared" si="415"/>
        <v>0</v>
      </c>
    </row>
    <row r="3290" spans="1:31">
      <c r="A3290" s="59" t="str">
        <f t="shared" si="409"/>
        <v/>
      </c>
      <c r="B3290" s="59" t="str">
        <f t="shared" si="410"/>
        <v/>
      </c>
      <c r="V3290" s="59" t="str">
        <f t="shared" si="411"/>
        <v/>
      </c>
      <c r="W3290" s="59" t="str">
        <f t="shared" si="408"/>
        <v/>
      </c>
      <c r="X3290" s="59" t="str">
        <f t="shared" si="412"/>
        <v/>
      </c>
      <c r="AC3290" s="50">
        <f t="shared" si="413"/>
        <v>0</v>
      </c>
      <c r="AD3290" s="43">
        <f t="shared" si="414"/>
        <v>0</v>
      </c>
      <c r="AE3290" s="50">
        <f t="shared" si="415"/>
        <v>0</v>
      </c>
    </row>
    <row r="3291" spans="1:31">
      <c r="A3291" s="59" t="str">
        <f t="shared" si="409"/>
        <v/>
      </c>
      <c r="B3291" s="59" t="str">
        <f t="shared" si="410"/>
        <v/>
      </c>
      <c r="V3291" s="59" t="str">
        <f t="shared" si="411"/>
        <v/>
      </c>
      <c r="W3291" s="59" t="str">
        <f t="shared" si="408"/>
        <v/>
      </c>
      <c r="X3291" s="59" t="str">
        <f t="shared" si="412"/>
        <v/>
      </c>
      <c r="AC3291" s="50">
        <f t="shared" si="413"/>
        <v>0</v>
      </c>
      <c r="AD3291" s="43">
        <f t="shared" si="414"/>
        <v>0</v>
      </c>
      <c r="AE3291" s="50">
        <f t="shared" si="415"/>
        <v>0</v>
      </c>
    </row>
    <row r="3292" spans="1:31">
      <c r="A3292" s="59" t="str">
        <f t="shared" si="409"/>
        <v/>
      </c>
      <c r="B3292" s="59" t="str">
        <f t="shared" si="410"/>
        <v/>
      </c>
      <c r="V3292" s="59" t="str">
        <f t="shared" si="411"/>
        <v/>
      </c>
      <c r="W3292" s="59" t="str">
        <f t="shared" si="408"/>
        <v/>
      </c>
      <c r="X3292" s="59" t="str">
        <f t="shared" si="412"/>
        <v/>
      </c>
      <c r="AC3292" s="50">
        <f t="shared" si="413"/>
        <v>0</v>
      </c>
      <c r="AD3292" s="43">
        <f t="shared" si="414"/>
        <v>0</v>
      </c>
      <c r="AE3292" s="50">
        <f t="shared" si="415"/>
        <v>0</v>
      </c>
    </row>
    <row r="3293" spans="1:31">
      <c r="A3293" s="59" t="str">
        <f t="shared" si="409"/>
        <v/>
      </c>
      <c r="B3293" s="59" t="str">
        <f t="shared" si="410"/>
        <v/>
      </c>
      <c r="V3293" s="59" t="str">
        <f t="shared" si="411"/>
        <v/>
      </c>
      <c r="W3293" s="59" t="str">
        <f t="shared" si="408"/>
        <v/>
      </c>
      <c r="X3293" s="59" t="str">
        <f t="shared" si="412"/>
        <v/>
      </c>
      <c r="AC3293" s="50">
        <f t="shared" si="413"/>
        <v>0</v>
      </c>
      <c r="AD3293" s="43">
        <f t="shared" si="414"/>
        <v>0</v>
      </c>
      <c r="AE3293" s="50">
        <f t="shared" si="415"/>
        <v>0</v>
      </c>
    </row>
    <row r="3294" spans="1:31">
      <c r="A3294" s="59" t="str">
        <f t="shared" si="409"/>
        <v/>
      </c>
      <c r="B3294" s="59" t="str">
        <f t="shared" si="410"/>
        <v/>
      </c>
      <c r="V3294" s="59" t="str">
        <f t="shared" si="411"/>
        <v/>
      </c>
      <c r="W3294" s="59" t="str">
        <f t="shared" si="408"/>
        <v/>
      </c>
      <c r="X3294" s="59" t="str">
        <f t="shared" si="412"/>
        <v/>
      </c>
      <c r="AC3294" s="50">
        <f t="shared" si="413"/>
        <v>0</v>
      </c>
      <c r="AD3294" s="43">
        <f t="shared" si="414"/>
        <v>0</v>
      </c>
      <c r="AE3294" s="50">
        <f t="shared" si="415"/>
        <v>0</v>
      </c>
    </row>
    <row r="3295" spans="1:31">
      <c r="A3295" s="59" t="str">
        <f t="shared" si="409"/>
        <v/>
      </c>
      <c r="B3295" s="59" t="str">
        <f t="shared" si="410"/>
        <v/>
      </c>
      <c r="V3295" s="59" t="str">
        <f t="shared" si="411"/>
        <v/>
      </c>
      <c r="W3295" s="59" t="str">
        <f t="shared" si="408"/>
        <v/>
      </c>
      <c r="X3295" s="59" t="str">
        <f t="shared" si="412"/>
        <v/>
      </c>
      <c r="AC3295" s="50">
        <f t="shared" si="413"/>
        <v>0</v>
      </c>
      <c r="AD3295" s="43">
        <f t="shared" si="414"/>
        <v>0</v>
      </c>
      <c r="AE3295" s="50">
        <f t="shared" si="415"/>
        <v>0</v>
      </c>
    </row>
    <row r="3296" spans="1:31">
      <c r="A3296" s="59" t="str">
        <f t="shared" si="409"/>
        <v/>
      </c>
      <c r="B3296" s="59" t="str">
        <f t="shared" si="410"/>
        <v/>
      </c>
      <c r="V3296" s="59" t="str">
        <f t="shared" si="411"/>
        <v/>
      </c>
      <c r="W3296" s="59" t="str">
        <f t="shared" si="408"/>
        <v/>
      </c>
      <c r="X3296" s="59" t="str">
        <f t="shared" si="412"/>
        <v/>
      </c>
      <c r="AC3296" s="50">
        <f t="shared" si="413"/>
        <v>0</v>
      </c>
      <c r="AD3296" s="43">
        <f t="shared" si="414"/>
        <v>0</v>
      </c>
      <c r="AE3296" s="50">
        <f t="shared" si="415"/>
        <v>0</v>
      </c>
    </row>
    <row r="3297" spans="1:31">
      <c r="A3297" s="59" t="str">
        <f t="shared" si="409"/>
        <v/>
      </c>
      <c r="B3297" s="59" t="str">
        <f t="shared" si="410"/>
        <v/>
      </c>
      <c r="V3297" s="59" t="str">
        <f t="shared" si="411"/>
        <v/>
      </c>
      <c r="W3297" s="59" t="str">
        <f t="shared" si="408"/>
        <v/>
      </c>
      <c r="X3297" s="59" t="str">
        <f t="shared" si="412"/>
        <v/>
      </c>
      <c r="AC3297" s="50">
        <f t="shared" si="413"/>
        <v>0</v>
      </c>
      <c r="AD3297" s="43">
        <f t="shared" si="414"/>
        <v>0</v>
      </c>
      <c r="AE3297" s="50">
        <f t="shared" si="415"/>
        <v>0</v>
      </c>
    </row>
    <row r="3298" spans="1:31">
      <c r="A3298" s="59" t="str">
        <f t="shared" si="409"/>
        <v/>
      </c>
      <c r="B3298" s="59" t="str">
        <f t="shared" si="410"/>
        <v/>
      </c>
      <c r="V3298" s="59" t="str">
        <f t="shared" si="411"/>
        <v/>
      </c>
      <c r="W3298" s="59" t="str">
        <f t="shared" si="408"/>
        <v/>
      </c>
      <c r="X3298" s="59" t="str">
        <f t="shared" si="412"/>
        <v/>
      </c>
      <c r="AC3298" s="50">
        <f t="shared" si="413"/>
        <v>0</v>
      </c>
      <c r="AD3298" s="43">
        <f t="shared" si="414"/>
        <v>0</v>
      </c>
      <c r="AE3298" s="50">
        <f t="shared" si="415"/>
        <v>0</v>
      </c>
    </row>
    <row r="3299" spans="1:31">
      <c r="A3299" s="59" t="str">
        <f t="shared" si="409"/>
        <v/>
      </c>
      <c r="B3299" s="59" t="str">
        <f t="shared" si="410"/>
        <v/>
      </c>
      <c r="V3299" s="59" t="str">
        <f t="shared" si="411"/>
        <v/>
      </c>
      <c r="W3299" s="59" t="str">
        <f t="shared" si="408"/>
        <v/>
      </c>
      <c r="X3299" s="59" t="str">
        <f t="shared" si="412"/>
        <v/>
      </c>
      <c r="AC3299" s="50">
        <f t="shared" si="413"/>
        <v>0</v>
      </c>
      <c r="AD3299" s="43">
        <f t="shared" si="414"/>
        <v>0</v>
      </c>
      <c r="AE3299" s="50">
        <f t="shared" si="415"/>
        <v>0</v>
      </c>
    </row>
    <row r="3300" spans="1:31">
      <c r="A3300" s="59" t="str">
        <f t="shared" si="409"/>
        <v/>
      </c>
      <c r="B3300" s="59" t="str">
        <f t="shared" si="410"/>
        <v/>
      </c>
      <c r="V3300" s="59" t="str">
        <f t="shared" si="411"/>
        <v/>
      </c>
      <c r="W3300" s="59" t="str">
        <f t="shared" si="408"/>
        <v/>
      </c>
      <c r="X3300" s="59" t="str">
        <f t="shared" si="412"/>
        <v/>
      </c>
      <c r="AC3300" s="50">
        <f t="shared" si="413"/>
        <v>0</v>
      </c>
      <c r="AD3300" s="43">
        <f t="shared" si="414"/>
        <v>0</v>
      </c>
      <c r="AE3300" s="50">
        <f t="shared" si="415"/>
        <v>0</v>
      </c>
    </row>
    <row r="3301" spans="1:31">
      <c r="A3301" s="59" t="str">
        <f t="shared" si="409"/>
        <v/>
      </c>
      <c r="B3301" s="59" t="str">
        <f t="shared" si="410"/>
        <v/>
      </c>
      <c r="V3301" s="59" t="str">
        <f t="shared" si="411"/>
        <v/>
      </c>
      <c r="W3301" s="59" t="str">
        <f t="shared" si="408"/>
        <v/>
      </c>
      <c r="X3301" s="59" t="str">
        <f t="shared" si="412"/>
        <v/>
      </c>
      <c r="AC3301" s="50">
        <f t="shared" si="413"/>
        <v>0</v>
      </c>
      <c r="AD3301" s="43">
        <f t="shared" si="414"/>
        <v>0</v>
      </c>
      <c r="AE3301" s="50">
        <f t="shared" si="415"/>
        <v>0</v>
      </c>
    </row>
    <row r="3302" spans="1:31">
      <c r="A3302" s="59" t="str">
        <f t="shared" si="409"/>
        <v/>
      </c>
      <c r="B3302" s="59" t="str">
        <f t="shared" si="410"/>
        <v/>
      </c>
      <c r="V3302" s="59" t="str">
        <f t="shared" si="411"/>
        <v/>
      </c>
      <c r="W3302" s="59" t="str">
        <f t="shared" si="408"/>
        <v/>
      </c>
      <c r="X3302" s="59" t="str">
        <f t="shared" si="412"/>
        <v/>
      </c>
      <c r="AC3302" s="50">
        <f t="shared" si="413"/>
        <v>0</v>
      </c>
      <c r="AD3302" s="43">
        <f t="shared" si="414"/>
        <v>0</v>
      </c>
      <c r="AE3302" s="50">
        <f t="shared" si="415"/>
        <v>0</v>
      </c>
    </row>
    <row r="3303" spans="1:31">
      <c r="A3303" s="59" t="str">
        <f t="shared" si="409"/>
        <v/>
      </c>
      <c r="B3303" s="59" t="str">
        <f t="shared" si="410"/>
        <v/>
      </c>
      <c r="V3303" s="59" t="str">
        <f t="shared" si="411"/>
        <v/>
      </c>
      <c r="W3303" s="59" t="str">
        <f t="shared" si="408"/>
        <v/>
      </c>
      <c r="X3303" s="59" t="str">
        <f t="shared" si="412"/>
        <v/>
      </c>
      <c r="AC3303" s="50">
        <f t="shared" si="413"/>
        <v>0</v>
      </c>
      <c r="AD3303" s="43">
        <f t="shared" si="414"/>
        <v>0</v>
      </c>
      <c r="AE3303" s="50">
        <f t="shared" si="415"/>
        <v>0</v>
      </c>
    </row>
    <row r="3304" spans="1:31">
      <c r="A3304" s="59" t="str">
        <f t="shared" si="409"/>
        <v/>
      </c>
      <c r="B3304" s="59" t="str">
        <f t="shared" si="410"/>
        <v/>
      </c>
      <c r="V3304" s="59" t="str">
        <f t="shared" si="411"/>
        <v/>
      </c>
      <c r="W3304" s="59" t="str">
        <f t="shared" si="408"/>
        <v/>
      </c>
      <c r="X3304" s="59" t="str">
        <f t="shared" si="412"/>
        <v/>
      </c>
      <c r="AC3304" s="50">
        <f t="shared" si="413"/>
        <v>0</v>
      </c>
      <c r="AD3304" s="43">
        <f t="shared" si="414"/>
        <v>0</v>
      </c>
      <c r="AE3304" s="50">
        <f t="shared" si="415"/>
        <v>0</v>
      </c>
    </row>
    <row r="3305" spans="1:31">
      <c r="A3305" s="59" t="str">
        <f t="shared" si="409"/>
        <v/>
      </c>
      <c r="B3305" s="59" t="str">
        <f t="shared" si="410"/>
        <v/>
      </c>
      <c r="V3305" s="59" t="str">
        <f t="shared" si="411"/>
        <v/>
      </c>
      <c r="W3305" s="59" t="str">
        <f t="shared" si="408"/>
        <v/>
      </c>
      <c r="X3305" s="59" t="str">
        <f t="shared" si="412"/>
        <v/>
      </c>
      <c r="AC3305" s="50">
        <f t="shared" si="413"/>
        <v>0</v>
      </c>
      <c r="AD3305" s="43">
        <f t="shared" si="414"/>
        <v>0</v>
      </c>
      <c r="AE3305" s="50">
        <f t="shared" si="415"/>
        <v>0</v>
      </c>
    </row>
    <row r="3306" spans="1:31">
      <c r="A3306" s="59" t="str">
        <f t="shared" si="409"/>
        <v/>
      </c>
      <c r="B3306" s="59" t="str">
        <f t="shared" si="410"/>
        <v/>
      </c>
      <c r="V3306" s="59" t="str">
        <f t="shared" si="411"/>
        <v/>
      </c>
      <c r="W3306" s="59" t="str">
        <f t="shared" si="408"/>
        <v/>
      </c>
      <c r="X3306" s="59" t="str">
        <f t="shared" si="412"/>
        <v/>
      </c>
      <c r="AC3306" s="50">
        <f t="shared" si="413"/>
        <v>0</v>
      </c>
      <c r="AD3306" s="43">
        <f t="shared" si="414"/>
        <v>0</v>
      </c>
      <c r="AE3306" s="50">
        <f t="shared" si="415"/>
        <v>0</v>
      </c>
    </row>
    <row r="3307" spans="1:31">
      <c r="A3307" s="59" t="str">
        <f t="shared" si="409"/>
        <v/>
      </c>
      <c r="B3307" s="59" t="str">
        <f t="shared" si="410"/>
        <v/>
      </c>
      <c r="V3307" s="59" t="str">
        <f t="shared" si="411"/>
        <v/>
      </c>
      <c r="W3307" s="59" t="str">
        <f t="shared" si="408"/>
        <v/>
      </c>
      <c r="X3307" s="59" t="str">
        <f t="shared" si="412"/>
        <v/>
      </c>
      <c r="AC3307" s="50">
        <f t="shared" si="413"/>
        <v>0</v>
      </c>
      <c r="AD3307" s="43">
        <f t="shared" si="414"/>
        <v>0</v>
      </c>
      <c r="AE3307" s="50">
        <f t="shared" si="415"/>
        <v>0</v>
      </c>
    </row>
    <row r="3308" spans="1:31">
      <c r="A3308" s="59" t="str">
        <f t="shared" si="409"/>
        <v/>
      </c>
      <c r="B3308" s="59" t="str">
        <f t="shared" si="410"/>
        <v/>
      </c>
      <c r="V3308" s="59" t="str">
        <f t="shared" si="411"/>
        <v/>
      </c>
      <c r="W3308" s="59" t="str">
        <f t="shared" si="408"/>
        <v/>
      </c>
      <c r="X3308" s="59" t="str">
        <f t="shared" si="412"/>
        <v/>
      </c>
      <c r="AC3308" s="50">
        <f t="shared" si="413"/>
        <v>0</v>
      </c>
      <c r="AD3308" s="43">
        <f t="shared" si="414"/>
        <v>0</v>
      </c>
      <c r="AE3308" s="50">
        <f t="shared" si="415"/>
        <v>0</v>
      </c>
    </row>
    <row r="3309" spans="1:31">
      <c r="A3309" s="59" t="str">
        <f t="shared" si="409"/>
        <v/>
      </c>
      <c r="B3309" s="59" t="str">
        <f t="shared" si="410"/>
        <v/>
      </c>
      <c r="V3309" s="59" t="str">
        <f t="shared" si="411"/>
        <v/>
      </c>
      <c r="W3309" s="59" t="str">
        <f t="shared" si="408"/>
        <v/>
      </c>
      <c r="X3309" s="59" t="str">
        <f t="shared" si="412"/>
        <v/>
      </c>
      <c r="AC3309" s="50">
        <f t="shared" si="413"/>
        <v>0</v>
      </c>
      <c r="AD3309" s="43">
        <f t="shared" si="414"/>
        <v>0</v>
      </c>
      <c r="AE3309" s="50">
        <f t="shared" si="415"/>
        <v>0</v>
      </c>
    </row>
    <row r="3310" spans="1:31">
      <c r="A3310" s="59" t="str">
        <f t="shared" si="409"/>
        <v/>
      </c>
      <c r="B3310" s="59" t="str">
        <f t="shared" si="410"/>
        <v/>
      </c>
      <c r="V3310" s="59" t="str">
        <f t="shared" si="411"/>
        <v/>
      </c>
      <c r="W3310" s="59" t="str">
        <f t="shared" si="408"/>
        <v/>
      </c>
      <c r="X3310" s="59" t="str">
        <f t="shared" si="412"/>
        <v/>
      </c>
      <c r="AC3310" s="50">
        <f t="shared" si="413"/>
        <v>0</v>
      </c>
      <c r="AD3310" s="43">
        <f t="shared" si="414"/>
        <v>0</v>
      </c>
      <c r="AE3310" s="50">
        <f t="shared" si="415"/>
        <v>0</v>
      </c>
    </row>
    <row r="3311" spans="1:31">
      <c r="A3311" s="59" t="str">
        <f t="shared" si="409"/>
        <v/>
      </c>
      <c r="B3311" s="59" t="str">
        <f t="shared" si="410"/>
        <v/>
      </c>
      <c r="V3311" s="59" t="str">
        <f t="shared" si="411"/>
        <v/>
      </c>
      <c r="W3311" s="59" t="str">
        <f t="shared" si="408"/>
        <v/>
      </c>
      <c r="X3311" s="59" t="str">
        <f t="shared" si="412"/>
        <v/>
      </c>
      <c r="AC3311" s="50">
        <f t="shared" si="413"/>
        <v>0</v>
      </c>
      <c r="AD3311" s="43">
        <f t="shared" si="414"/>
        <v>0</v>
      </c>
      <c r="AE3311" s="50">
        <f t="shared" si="415"/>
        <v>0</v>
      </c>
    </row>
    <row r="3312" spans="1:31">
      <c r="A3312" s="59" t="str">
        <f t="shared" si="409"/>
        <v/>
      </c>
      <c r="B3312" s="59" t="str">
        <f t="shared" si="410"/>
        <v/>
      </c>
      <c r="V3312" s="59" t="str">
        <f t="shared" si="411"/>
        <v/>
      </c>
      <c r="W3312" s="59" t="str">
        <f t="shared" si="408"/>
        <v/>
      </c>
      <c r="X3312" s="59" t="str">
        <f t="shared" si="412"/>
        <v/>
      </c>
      <c r="AC3312" s="50">
        <f t="shared" si="413"/>
        <v>0</v>
      </c>
      <c r="AD3312" s="43">
        <f t="shared" si="414"/>
        <v>0</v>
      </c>
      <c r="AE3312" s="50">
        <f t="shared" si="415"/>
        <v>0</v>
      </c>
    </row>
    <row r="3313" spans="1:31">
      <c r="A3313" s="59" t="str">
        <f t="shared" si="409"/>
        <v/>
      </c>
      <c r="B3313" s="59" t="str">
        <f t="shared" si="410"/>
        <v/>
      </c>
      <c r="V3313" s="59" t="str">
        <f t="shared" si="411"/>
        <v/>
      </c>
      <c r="W3313" s="59" t="str">
        <f t="shared" si="408"/>
        <v/>
      </c>
      <c r="X3313" s="59" t="str">
        <f t="shared" si="412"/>
        <v/>
      </c>
      <c r="AC3313" s="50">
        <f t="shared" si="413"/>
        <v>0</v>
      </c>
      <c r="AD3313" s="43">
        <f t="shared" si="414"/>
        <v>0</v>
      </c>
      <c r="AE3313" s="50">
        <f t="shared" si="415"/>
        <v>0</v>
      </c>
    </row>
    <row r="3314" spans="1:31">
      <c r="A3314" s="59" t="str">
        <f t="shared" si="409"/>
        <v/>
      </c>
      <c r="B3314" s="59" t="str">
        <f t="shared" si="410"/>
        <v/>
      </c>
      <c r="V3314" s="59" t="str">
        <f t="shared" si="411"/>
        <v/>
      </c>
      <c r="W3314" s="59" t="str">
        <f t="shared" si="408"/>
        <v/>
      </c>
      <c r="X3314" s="59" t="str">
        <f t="shared" si="412"/>
        <v/>
      </c>
      <c r="AC3314" s="50">
        <f t="shared" si="413"/>
        <v>0</v>
      </c>
      <c r="AD3314" s="43">
        <f t="shared" si="414"/>
        <v>0</v>
      </c>
      <c r="AE3314" s="50">
        <f t="shared" si="415"/>
        <v>0</v>
      </c>
    </row>
    <row r="3315" spans="1:31">
      <c r="A3315" s="59" t="str">
        <f t="shared" si="409"/>
        <v/>
      </c>
      <c r="B3315" s="59" t="str">
        <f t="shared" si="410"/>
        <v/>
      </c>
      <c r="V3315" s="59" t="str">
        <f t="shared" si="411"/>
        <v/>
      </c>
      <c r="W3315" s="59" t="str">
        <f t="shared" si="408"/>
        <v/>
      </c>
      <c r="X3315" s="59" t="str">
        <f t="shared" si="412"/>
        <v/>
      </c>
      <c r="AC3315" s="50">
        <f t="shared" si="413"/>
        <v>0</v>
      </c>
      <c r="AD3315" s="43">
        <f t="shared" si="414"/>
        <v>0</v>
      </c>
      <c r="AE3315" s="50">
        <f t="shared" si="415"/>
        <v>0</v>
      </c>
    </row>
    <row r="3316" spans="1:31">
      <c r="A3316" s="59" t="str">
        <f t="shared" si="409"/>
        <v/>
      </c>
      <c r="B3316" s="59" t="str">
        <f t="shared" si="410"/>
        <v/>
      </c>
      <c r="V3316" s="59" t="str">
        <f t="shared" si="411"/>
        <v/>
      </c>
      <c r="W3316" s="59" t="str">
        <f t="shared" si="408"/>
        <v/>
      </c>
      <c r="X3316" s="59" t="str">
        <f t="shared" si="412"/>
        <v/>
      </c>
      <c r="AC3316" s="50">
        <f t="shared" si="413"/>
        <v>0</v>
      </c>
      <c r="AD3316" s="43">
        <f t="shared" si="414"/>
        <v>0</v>
      </c>
      <c r="AE3316" s="50">
        <f t="shared" si="415"/>
        <v>0</v>
      </c>
    </row>
    <row r="3317" spans="1:31">
      <c r="A3317" s="59" t="str">
        <f t="shared" si="409"/>
        <v/>
      </c>
      <c r="B3317" s="59" t="str">
        <f t="shared" si="410"/>
        <v/>
      </c>
      <c r="V3317" s="59" t="str">
        <f t="shared" si="411"/>
        <v/>
      </c>
      <c r="W3317" s="59" t="str">
        <f t="shared" si="408"/>
        <v/>
      </c>
      <c r="X3317" s="59" t="str">
        <f t="shared" si="412"/>
        <v/>
      </c>
      <c r="AC3317" s="50">
        <f t="shared" si="413"/>
        <v>0</v>
      </c>
      <c r="AD3317" s="43">
        <f t="shared" si="414"/>
        <v>0</v>
      </c>
      <c r="AE3317" s="50">
        <f t="shared" si="415"/>
        <v>0</v>
      </c>
    </row>
    <row r="3318" spans="1:31">
      <c r="A3318" s="59" t="str">
        <f t="shared" si="409"/>
        <v/>
      </c>
      <c r="B3318" s="59" t="str">
        <f t="shared" si="410"/>
        <v/>
      </c>
      <c r="V3318" s="59" t="str">
        <f t="shared" si="411"/>
        <v/>
      </c>
      <c r="W3318" s="59" t="str">
        <f t="shared" si="408"/>
        <v/>
      </c>
      <c r="X3318" s="59" t="str">
        <f t="shared" si="412"/>
        <v/>
      </c>
      <c r="AC3318" s="50">
        <f t="shared" si="413"/>
        <v>0</v>
      </c>
      <c r="AD3318" s="43">
        <f t="shared" si="414"/>
        <v>0</v>
      </c>
      <c r="AE3318" s="50">
        <f t="shared" si="415"/>
        <v>0</v>
      </c>
    </row>
    <row r="3319" spans="1:31">
      <c r="A3319" s="59" t="str">
        <f t="shared" si="409"/>
        <v/>
      </c>
      <c r="B3319" s="59" t="str">
        <f t="shared" si="410"/>
        <v/>
      </c>
      <c r="V3319" s="59" t="str">
        <f t="shared" si="411"/>
        <v/>
      </c>
      <c r="W3319" s="59" t="str">
        <f t="shared" si="408"/>
        <v/>
      </c>
      <c r="X3319" s="59" t="str">
        <f t="shared" si="412"/>
        <v/>
      </c>
      <c r="AC3319" s="50">
        <f t="shared" si="413"/>
        <v>0</v>
      </c>
      <c r="AD3319" s="43">
        <f t="shared" si="414"/>
        <v>0</v>
      </c>
      <c r="AE3319" s="50">
        <f t="shared" si="415"/>
        <v>0</v>
      </c>
    </row>
    <row r="3320" spans="1:31">
      <c r="A3320" s="59" t="str">
        <f t="shared" si="409"/>
        <v/>
      </c>
      <c r="B3320" s="59" t="str">
        <f t="shared" si="410"/>
        <v/>
      </c>
      <c r="V3320" s="59" t="str">
        <f t="shared" si="411"/>
        <v/>
      </c>
      <c r="W3320" s="59" t="str">
        <f t="shared" si="408"/>
        <v/>
      </c>
      <c r="X3320" s="59" t="str">
        <f t="shared" si="412"/>
        <v/>
      </c>
      <c r="AC3320" s="50">
        <f t="shared" si="413"/>
        <v>0</v>
      </c>
      <c r="AD3320" s="43">
        <f t="shared" si="414"/>
        <v>0</v>
      </c>
      <c r="AE3320" s="50">
        <f t="shared" si="415"/>
        <v>0</v>
      </c>
    </row>
    <row r="3321" spans="1:31">
      <c r="A3321" s="59" t="str">
        <f t="shared" si="409"/>
        <v/>
      </c>
      <c r="B3321" s="59" t="str">
        <f t="shared" si="410"/>
        <v/>
      </c>
      <c r="V3321" s="59" t="str">
        <f t="shared" si="411"/>
        <v/>
      </c>
      <c r="W3321" s="59" t="str">
        <f t="shared" si="408"/>
        <v/>
      </c>
      <c r="X3321" s="59" t="str">
        <f t="shared" si="412"/>
        <v/>
      </c>
      <c r="AC3321" s="50">
        <f t="shared" si="413"/>
        <v>0</v>
      </c>
      <c r="AD3321" s="43">
        <f t="shared" si="414"/>
        <v>0</v>
      </c>
      <c r="AE3321" s="50">
        <f t="shared" si="415"/>
        <v>0</v>
      </c>
    </row>
    <row r="3322" spans="1:31">
      <c r="A3322" s="59" t="str">
        <f t="shared" si="409"/>
        <v/>
      </c>
      <c r="B3322" s="59" t="str">
        <f t="shared" si="410"/>
        <v/>
      </c>
      <c r="V3322" s="59" t="str">
        <f t="shared" si="411"/>
        <v/>
      </c>
      <c r="W3322" s="59" t="str">
        <f t="shared" si="408"/>
        <v/>
      </c>
      <c r="X3322" s="59" t="str">
        <f t="shared" si="412"/>
        <v/>
      </c>
      <c r="AC3322" s="50">
        <f t="shared" si="413"/>
        <v>0</v>
      </c>
      <c r="AD3322" s="43">
        <f t="shared" si="414"/>
        <v>0</v>
      </c>
      <c r="AE3322" s="50">
        <f t="shared" si="415"/>
        <v>0</v>
      </c>
    </row>
    <row r="3323" spans="1:31">
      <c r="A3323" s="59" t="str">
        <f t="shared" si="409"/>
        <v/>
      </c>
      <c r="B3323" s="59" t="str">
        <f t="shared" si="410"/>
        <v/>
      </c>
      <c r="V3323" s="59" t="str">
        <f t="shared" si="411"/>
        <v/>
      </c>
      <c r="W3323" s="59" t="str">
        <f t="shared" si="408"/>
        <v/>
      </c>
      <c r="X3323" s="59" t="str">
        <f t="shared" si="412"/>
        <v/>
      </c>
      <c r="AC3323" s="50">
        <f t="shared" si="413"/>
        <v>0</v>
      </c>
      <c r="AD3323" s="43">
        <f t="shared" si="414"/>
        <v>0</v>
      </c>
      <c r="AE3323" s="50">
        <f t="shared" si="415"/>
        <v>0</v>
      </c>
    </row>
    <row r="3324" spans="1:31">
      <c r="A3324" s="59" t="str">
        <f t="shared" si="409"/>
        <v/>
      </c>
      <c r="B3324" s="59" t="str">
        <f t="shared" si="410"/>
        <v/>
      </c>
      <c r="V3324" s="59" t="str">
        <f t="shared" si="411"/>
        <v/>
      </c>
      <c r="W3324" s="59" t="str">
        <f t="shared" si="408"/>
        <v/>
      </c>
      <c r="X3324" s="59" t="str">
        <f t="shared" si="412"/>
        <v/>
      </c>
      <c r="AC3324" s="50">
        <f t="shared" si="413"/>
        <v>0</v>
      </c>
      <c r="AD3324" s="43">
        <f t="shared" si="414"/>
        <v>0</v>
      </c>
      <c r="AE3324" s="50">
        <f t="shared" si="415"/>
        <v>0</v>
      </c>
    </row>
    <row r="3325" spans="1:31">
      <c r="A3325" s="59" t="str">
        <f t="shared" si="409"/>
        <v/>
      </c>
      <c r="B3325" s="59" t="str">
        <f t="shared" si="410"/>
        <v/>
      </c>
      <c r="V3325" s="59" t="str">
        <f t="shared" si="411"/>
        <v/>
      </c>
      <c r="W3325" s="59" t="str">
        <f t="shared" si="408"/>
        <v/>
      </c>
      <c r="X3325" s="59" t="str">
        <f t="shared" si="412"/>
        <v/>
      </c>
      <c r="AC3325" s="50">
        <f t="shared" si="413"/>
        <v>0</v>
      </c>
      <c r="AD3325" s="43">
        <f t="shared" si="414"/>
        <v>0</v>
      </c>
      <c r="AE3325" s="50">
        <f t="shared" si="415"/>
        <v>0</v>
      </c>
    </row>
    <row r="3326" spans="1:31">
      <c r="A3326" s="59" t="str">
        <f t="shared" si="409"/>
        <v/>
      </c>
      <c r="B3326" s="59" t="str">
        <f t="shared" si="410"/>
        <v/>
      </c>
      <c r="V3326" s="59" t="str">
        <f t="shared" si="411"/>
        <v/>
      </c>
      <c r="W3326" s="59" t="str">
        <f t="shared" si="408"/>
        <v/>
      </c>
      <c r="X3326" s="59" t="str">
        <f t="shared" si="412"/>
        <v/>
      </c>
      <c r="AC3326" s="50">
        <f t="shared" si="413"/>
        <v>0</v>
      </c>
      <c r="AD3326" s="43">
        <f t="shared" si="414"/>
        <v>0</v>
      </c>
      <c r="AE3326" s="50">
        <f t="shared" si="415"/>
        <v>0</v>
      </c>
    </row>
    <row r="3327" spans="1:31">
      <c r="A3327" s="59" t="str">
        <f t="shared" si="409"/>
        <v/>
      </c>
      <c r="B3327" s="59" t="str">
        <f t="shared" si="410"/>
        <v/>
      </c>
      <c r="V3327" s="59" t="str">
        <f t="shared" si="411"/>
        <v/>
      </c>
      <c r="W3327" s="59" t="str">
        <f t="shared" si="408"/>
        <v/>
      </c>
      <c r="X3327" s="59" t="str">
        <f t="shared" si="412"/>
        <v/>
      </c>
      <c r="AC3327" s="50">
        <f t="shared" si="413"/>
        <v>0</v>
      </c>
      <c r="AD3327" s="43">
        <f t="shared" si="414"/>
        <v>0</v>
      </c>
      <c r="AE3327" s="50">
        <f t="shared" si="415"/>
        <v>0</v>
      </c>
    </row>
    <row r="3328" spans="1:31">
      <c r="A3328" s="59" t="str">
        <f t="shared" si="409"/>
        <v/>
      </c>
      <c r="B3328" s="59" t="str">
        <f t="shared" si="410"/>
        <v/>
      </c>
      <c r="V3328" s="59" t="str">
        <f t="shared" si="411"/>
        <v/>
      </c>
      <c r="W3328" s="59" t="str">
        <f t="shared" si="408"/>
        <v/>
      </c>
      <c r="X3328" s="59" t="str">
        <f t="shared" si="412"/>
        <v/>
      </c>
      <c r="AC3328" s="50">
        <f t="shared" si="413"/>
        <v>0</v>
      </c>
      <c r="AD3328" s="43">
        <f t="shared" si="414"/>
        <v>0</v>
      </c>
      <c r="AE3328" s="50">
        <f t="shared" si="415"/>
        <v>0</v>
      </c>
    </row>
    <row r="3329" spans="1:31">
      <c r="A3329" s="59" t="str">
        <f t="shared" si="409"/>
        <v/>
      </c>
      <c r="B3329" s="59" t="str">
        <f t="shared" si="410"/>
        <v/>
      </c>
      <c r="V3329" s="59" t="str">
        <f t="shared" si="411"/>
        <v/>
      </c>
      <c r="W3329" s="59" t="str">
        <f t="shared" si="408"/>
        <v/>
      </c>
      <c r="X3329" s="59" t="str">
        <f t="shared" si="412"/>
        <v/>
      </c>
      <c r="AC3329" s="50">
        <f t="shared" si="413"/>
        <v>0</v>
      </c>
      <c r="AD3329" s="43">
        <f t="shared" si="414"/>
        <v>0</v>
      </c>
      <c r="AE3329" s="50">
        <f t="shared" si="415"/>
        <v>0</v>
      </c>
    </row>
    <row r="3330" spans="1:31">
      <c r="A3330" s="59" t="str">
        <f t="shared" si="409"/>
        <v/>
      </c>
      <c r="B3330" s="59" t="str">
        <f t="shared" si="410"/>
        <v/>
      </c>
      <c r="V3330" s="59" t="str">
        <f t="shared" si="411"/>
        <v/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59" t="str">
        <f t="shared" si="412"/>
        <v/>
      </c>
      <c r="AC3330" s="50">
        <f t="shared" si="413"/>
        <v>0</v>
      </c>
      <c r="AD3330" s="43">
        <f t="shared" si="414"/>
        <v>0</v>
      </c>
      <c r="AE3330" s="50">
        <f t="shared" si="415"/>
        <v>0</v>
      </c>
    </row>
    <row r="3331" spans="1:31">
      <c r="A3331" s="59" t="str">
        <f t="shared" ref="A3331:A3394" si="417">IF(G3331&amp;Q3331&lt;&gt;"",W3331&amp;Q3331,"")</f>
        <v/>
      </c>
      <c r="B3331" s="59" t="str">
        <f t="shared" ref="B3331:B3394" si="418">IF(C3331&lt;&gt;"",LEFT(C3331,9),"")</f>
        <v/>
      </c>
      <c r="V3331" s="59" t="str">
        <f t="shared" ref="V3331:V3394" si="419">W3331&amp;H3331</f>
        <v/>
      </c>
      <c r="W3331" s="59" t="str">
        <f t="shared" si="416"/>
        <v/>
      </c>
      <c r="X3331" s="59" t="str">
        <f t="shared" ref="X3331:X3394" si="420">IF(A3331&lt;&gt;"",IFERROR(IF(FIND(" ",G3331)&gt;=1,MID(G3331,FIND(" ",G3331)+1,LEN(G3331)),""),""),"")</f>
        <v/>
      </c>
      <c r="AC3331" s="50">
        <f t="shared" ref="AC3331:AC3394" si="421">IFERROR(VALUE(MID($C3331,1,2)),0)</f>
        <v>0</v>
      </c>
      <c r="AD3331" s="43">
        <f t="shared" ref="AD3331:AD3394" si="422">IFERROR(VALUE(MID($C3331,4,3)),0)</f>
        <v>0</v>
      </c>
      <c r="AE3331" s="50">
        <f t="shared" ref="AE3331:AE3394" si="423">VALUE(RIGHT("00"&amp;AC3331,2)&amp;RIGHT("000"&amp;AD3331,3))</f>
        <v>0</v>
      </c>
    </row>
    <row r="3332" spans="1:31">
      <c r="A3332" s="59" t="str">
        <f t="shared" si="417"/>
        <v/>
      </c>
      <c r="B3332" s="59" t="str">
        <f t="shared" si="418"/>
        <v/>
      </c>
      <c r="V3332" s="59" t="str">
        <f t="shared" si="419"/>
        <v/>
      </c>
      <c r="W3332" s="59" t="str">
        <f t="shared" si="416"/>
        <v/>
      </c>
      <c r="X3332" s="59" t="str">
        <f t="shared" si="420"/>
        <v/>
      </c>
      <c r="AC3332" s="50">
        <f t="shared" si="421"/>
        <v>0</v>
      </c>
      <c r="AD3332" s="43">
        <f t="shared" si="422"/>
        <v>0</v>
      </c>
      <c r="AE3332" s="50">
        <f t="shared" si="423"/>
        <v>0</v>
      </c>
    </row>
    <row r="3333" spans="1:31">
      <c r="A3333" s="59" t="str">
        <f t="shared" si="417"/>
        <v/>
      </c>
      <c r="B3333" s="59" t="str">
        <f t="shared" si="418"/>
        <v/>
      </c>
      <c r="V3333" s="59" t="str">
        <f t="shared" si="419"/>
        <v/>
      </c>
      <c r="W3333" s="59" t="str">
        <f t="shared" si="416"/>
        <v/>
      </c>
      <c r="X3333" s="59" t="str">
        <f t="shared" si="420"/>
        <v/>
      </c>
      <c r="AC3333" s="50">
        <f t="shared" si="421"/>
        <v>0</v>
      </c>
      <c r="AD3333" s="43">
        <f t="shared" si="422"/>
        <v>0</v>
      </c>
      <c r="AE3333" s="50">
        <f t="shared" si="423"/>
        <v>0</v>
      </c>
    </row>
    <row r="3334" spans="1:31">
      <c r="A3334" s="59" t="str">
        <f t="shared" si="417"/>
        <v/>
      </c>
      <c r="B3334" s="59" t="str">
        <f t="shared" si="418"/>
        <v/>
      </c>
      <c r="V3334" s="59" t="str">
        <f t="shared" si="419"/>
        <v/>
      </c>
      <c r="W3334" s="59" t="str">
        <f t="shared" si="416"/>
        <v/>
      </c>
      <c r="X3334" s="59" t="str">
        <f t="shared" si="420"/>
        <v/>
      </c>
      <c r="AC3334" s="50">
        <f t="shared" si="421"/>
        <v>0</v>
      </c>
      <c r="AD3334" s="43">
        <f t="shared" si="422"/>
        <v>0</v>
      </c>
      <c r="AE3334" s="50">
        <f t="shared" si="423"/>
        <v>0</v>
      </c>
    </row>
    <row r="3335" spans="1:31">
      <c r="A3335" s="59" t="str">
        <f t="shared" si="417"/>
        <v/>
      </c>
      <c r="B3335" s="59" t="str">
        <f t="shared" si="418"/>
        <v/>
      </c>
      <c r="V3335" s="59" t="str">
        <f t="shared" si="419"/>
        <v/>
      </c>
      <c r="W3335" s="59" t="str">
        <f t="shared" si="416"/>
        <v/>
      </c>
      <c r="X3335" s="59" t="str">
        <f t="shared" si="420"/>
        <v/>
      </c>
      <c r="AC3335" s="50">
        <f t="shared" si="421"/>
        <v>0</v>
      </c>
      <c r="AD3335" s="43">
        <f t="shared" si="422"/>
        <v>0</v>
      </c>
      <c r="AE3335" s="50">
        <f t="shared" si="423"/>
        <v>0</v>
      </c>
    </row>
    <row r="3336" spans="1:31">
      <c r="A3336" s="59" t="str">
        <f t="shared" si="417"/>
        <v/>
      </c>
      <c r="B3336" s="59" t="str">
        <f t="shared" si="418"/>
        <v/>
      </c>
      <c r="V3336" s="59" t="str">
        <f t="shared" si="419"/>
        <v/>
      </c>
      <c r="W3336" s="59" t="str">
        <f t="shared" si="416"/>
        <v/>
      </c>
      <c r="X3336" s="59" t="str">
        <f t="shared" si="420"/>
        <v/>
      </c>
      <c r="AC3336" s="50">
        <f t="shared" si="421"/>
        <v>0</v>
      </c>
      <c r="AD3336" s="43">
        <f t="shared" si="422"/>
        <v>0</v>
      </c>
      <c r="AE3336" s="50">
        <f t="shared" si="423"/>
        <v>0</v>
      </c>
    </row>
    <row r="3337" spans="1:31">
      <c r="A3337" s="59" t="str">
        <f t="shared" si="417"/>
        <v/>
      </c>
      <c r="B3337" s="59" t="str">
        <f t="shared" si="418"/>
        <v/>
      </c>
      <c r="V3337" s="59" t="str">
        <f t="shared" si="419"/>
        <v/>
      </c>
      <c r="W3337" s="59" t="str">
        <f t="shared" si="416"/>
        <v/>
      </c>
      <c r="X3337" s="59" t="str">
        <f t="shared" si="420"/>
        <v/>
      </c>
      <c r="AC3337" s="50">
        <f t="shared" si="421"/>
        <v>0</v>
      </c>
      <c r="AD3337" s="43">
        <f t="shared" si="422"/>
        <v>0</v>
      </c>
      <c r="AE3337" s="50">
        <f t="shared" si="423"/>
        <v>0</v>
      </c>
    </row>
    <row r="3338" spans="1:31">
      <c r="A3338" s="59" t="str">
        <f t="shared" si="417"/>
        <v/>
      </c>
      <c r="B3338" s="59" t="str">
        <f t="shared" si="418"/>
        <v/>
      </c>
      <c r="V3338" s="59" t="str">
        <f t="shared" si="419"/>
        <v/>
      </c>
      <c r="W3338" s="59" t="str">
        <f t="shared" si="416"/>
        <v/>
      </c>
      <c r="X3338" s="59" t="str">
        <f t="shared" si="420"/>
        <v/>
      </c>
      <c r="AC3338" s="50">
        <f t="shared" si="421"/>
        <v>0</v>
      </c>
      <c r="AD3338" s="43">
        <f t="shared" si="422"/>
        <v>0</v>
      </c>
      <c r="AE3338" s="50">
        <f t="shared" si="423"/>
        <v>0</v>
      </c>
    </row>
    <row r="3339" spans="1:31">
      <c r="A3339" s="59" t="str">
        <f t="shared" si="417"/>
        <v/>
      </c>
      <c r="B3339" s="59" t="str">
        <f t="shared" si="418"/>
        <v/>
      </c>
      <c r="V3339" s="59" t="str">
        <f t="shared" si="419"/>
        <v/>
      </c>
      <c r="W3339" s="59" t="str">
        <f t="shared" si="416"/>
        <v/>
      </c>
      <c r="X3339" s="59" t="str">
        <f t="shared" si="420"/>
        <v/>
      </c>
      <c r="AC3339" s="50">
        <f t="shared" si="421"/>
        <v>0</v>
      </c>
      <c r="AD3339" s="43">
        <f t="shared" si="422"/>
        <v>0</v>
      </c>
      <c r="AE3339" s="50">
        <f t="shared" si="423"/>
        <v>0</v>
      </c>
    </row>
    <row r="3340" spans="1:31">
      <c r="A3340" s="59" t="str">
        <f t="shared" si="417"/>
        <v/>
      </c>
      <c r="B3340" s="59" t="str">
        <f t="shared" si="418"/>
        <v/>
      </c>
      <c r="V3340" s="59" t="str">
        <f t="shared" si="419"/>
        <v/>
      </c>
      <c r="W3340" s="59" t="str">
        <f t="shared" si="416"/>
        <v/>
      </c>
      <c r="X3340" s="59" t="str">
        <f t="shared" si="420"/>
        <v/>
      </c>
      <c r="AC3340" s="50">
        <f t="shared" si="421"/>
        <v>0</v>
      </c>
      <c r="AD3340" s="43">
        <f t="shared" si="422"/>
        <v>0</v>
      </c>
      <c r="AE3340" s="50">
        <f t="shared" si="423"/>
        <v>0</v>
      </c>
    </row>
    <row r="3341" spans="1:31">
      <c r="A3341" s="59" t="str">
        <f t="shared" si="417"/>
        <v/>
      </c>
      <c r="B3341" s="59" t="str">
        <f t="shared" si="418"/>
        <v/>
      </c>
      <c r="V3341" s="59" t="str">
        <f t="shared" si="419"/>
        <v/>
      </c>
      <c r="W3341" s="59" t="str">
        <f t="shared" si="416"/>
        <v/>
      </c>
      <c r="X3341" s="59" t="str">
        <f t="shared" si="420"/>
        <v/>
      </c>
      <c r="AC3341" s="50">
        <f t="shared" si="421"/>
        <v>0</v>
      </c>
      <c r="AD3341" s="43">
        <f t="shared" si="422"/>
        <v>0</v>
      </c>
      <c r="AE3341" s="50">
        <f t="shared" si="423"/>
        <v>0</v>
      </c>
    </row>
    <row r="3342" spans="1:31">
      <c r="A3342" s="59" t="str">
        <f t="shared" si="417"/>
        <v/>
      </c>
      <c r="B3342" s="59" t="str">
        <f t="shared" si="418"/>
        <v/>
      </c>
      <c r="V3342" s="59" t="str">
        <f t="shared" si="419"/>
        <v/>
      </c>
      <c r="W3342" s="59" t="str">
        <f t="shared" si="416"/>
        <v/>
      </c>
      <c r="X3342" s="59" t="str">
        <f t="shared" si="420"/>
        <v/>
      </c>
      <c r="AC3342" s="50">
        <f t="shared" si="421"/>
        <v>0</v>
      </c>
      <c r="AD3342" s="43">
        <f t="shared" si="422"/>
        <v>0</v>
      </c>
      <c r="AE3342" s="50">
        <f t="shared" si="423"/>
        <v>0</v>
      </c>
    </row>
    <row r="3343" spans="1:31">
      <c r="A3343" s="59" t="str">
        <f t="shared" si="417"/>
        <v/>
      </c>
      <c r="B3343" s="59" t="str">
        <f t="shared" si="418"/>
        <v/>
      </c>
      <c r="V3343" s="59" t="str">
        <f t="shared" si="419"/>
        <v/>
      </c>
      <c r="W3343" s="59" t="str">
        <f t="shared" si="416"/>
        <v/>
      </c>
      <c r="X3343" s="59" t="str">
        <f t="shared" si="420"/>
        <v/>
      </c>
      <c r="AC3343" s="50">
        <f t="shared" si="421"/>
        <v>0</v>
      </c>
      <c r="AD3343" s="43">
        <f t="shared" si="422"/>
        <v>0</v>
      </c>
      <c r="AE3343" s="50">
        <f t="shared" si="423"/>
        <v>0</v>
      </c>
    </row>
    <row r="3344" spans="1:31">
      <c r="A3344" s="59" t="str">
        <f t="shared" si="417"/>
        <v/>
      </c>
      <c r="B3344" s="59" t="str">
        <f t="shared" si="418"/>
        <v/>
      </c>
      <c r="V3344" s="59" t="str">
        <f t="shared" si="419"/>
        <v/>
      </c>
      <c r="W3344" s="59" t="str">
        <f t="shared" si="416"/>
        <v/>
      </c>
      <c r="X3344" s="59" t="str">
        <f t="shared" si="420"/>
        <v/>
      </c>
      <c r="AC3344" s="50">
        <f t="shared" si="421"/>
        <v>0</v>
      </c>
      <c r="AD3344" s="43">
        <f t="shared" si="422"/>
        <v>0</v>
      </c>
      <c r="AE3344" s="50">
        <f t="shared" si="423"/>
        <v>0</v>
      </c>
    </row>
    <row r="3345" spans="1:31">
      <c r="A3345" s="59" t="str">
        <f t="shared" si="417"/>
        <v/>
      </c>
      <c r="B3345" s="59" t="str">
        <f t="shared" si="418"/>
        <v/>
      </c>
      <c r="V3345" s="59" t="str">
        <f t="shared" si="419"/>
        <v/>
      </c>
      <c r="W3345" s="59" t="str">
        <f t="shared" si="416"/>
        <v/>
      </c>
      <c r="X3345" s="59" t="str">
        <f t="shared" si="420"/>
        <v/>
      </c>
      <c r="AC3345" s="50">
        <f t="shared" si="421"/>
        <v>0</v>
      </c>
      <c r="AD3345" s="43">
        <f t="shared" si="422"/>
        <v>0</v>
      </c>
      <c r="AE3345" s="50">
        <f t="shared" si="423"/>
        <v>0</v>
      </c>
    </row>
    <row r="3346" spans="1:31">
      <c r="A3346" s="59" t="str">
        <f t="shared" si="417"/>
        <v/>
      </c>
      <c r="B3346" s="59" t="str">
        <f t="shared" si="418"/>
        <v/>
      </c>
      <c r="V3346" s="59" t="str">
        <f t="shared" si="419"/>
        <v/>
      </c>
      <c r="W3346" s="59" t="str">
        <f t="shared" si="416"/>
        <v/>
      </c>
      <c r="X3346" s="59" t="str">
        <f t="shared" si="420"/>
        <v/>
      </c>
      <c r="AC3346" s="50">
        <f t="shared" si="421"/>
        <v>0</v>
      </c>
      <c r="AD3346" s="43">
        <f t="shared" si="422"/>
        <v>0</v>
      </c>
      <c r="AE3346" s="50">
        <f t="shared" si="423"/>
        <v>0</v>
      </c>
    </row>
    <row r="3347" spans="1:31">
      <c r="A3347" s="59" t="str">
        <f t="shared" si="417"/>
        <v/>
      </c>
      <c r="B3347" s="59" t="str">
        <f t="shared" si="418"/>
        <v/>
      </c>
      <c r="V3347" s="59" t="str">
        <f t="shared" si="419"/>
        <v/>
      </c>
      <c r="W3347" s="59" t="str">
        <f t="shared" si="416"/>
        <v/>
      </c>
      <c r="X3347" s="59" t="str">
        <f t="shared" si="420"/>
        <v/>
      </c>
      <c r="AC3347" s="50">
        <f t="shared" si="421"/>
        <v>0</v>
      </c>
      <c r="AD3347" s="43">
        <f t="shared" si="422"/>
        <v>0</v>
      </c>
      <c r="AE3347" s="50">
        <f t="shared" si="423"/>
        <v>0</v>
      </c>
    </row>
    <row r="3348" spans="1:31">
      <c r="A3348" s="59" t="str">
        <f t="shared" si="417"/>
        <v/>
      </c>
      <c r="B3348" s="59" t="str">
        <f t="shared" si="418"/>
        <v/>
      </c>
      <c r="V3348" s="59" t="str">
        <f t="shared" si="419"/>
        <v/>
      </c>
      <c r="W3348" s="59" t="str">
        <f t="shared" si="416"/>
        <v/>
      </c>
      <c r="X3348" s="59" t="str">
        <f t="shared" si="420"/>
        <v/>
      </c>
      <c r="AC3348" s="50">
        <f t="shared" si="421"/>
        <v>0</v>
      </c>
      <c r="AD3348" s="43">
        <f t="shared" si="422"/>
        <v>0</v>
      </c>
      <c r="AE3348" s="50">
        <f t="shared" si="423"/>
        <v>0</v>
      </c>
    </row>
    <row r="3349" spans="1:31">
      <c r="A3349" s="59" t="str">
        <f t="shared" si="417"/>
        <v/>
      </c>
      <c r="B3349" s="59" t="str">
        <f t="shared" si="418"/>
        <v/>
      </c>
      <c r="V3349" s="59" t="str">
        <f t="shared" si="419"/>
        <v/>
      </c>
      <c r="W3349" s="59" t="str">
        <f t="shared" si="416"/>
        <v/>
      </c>
      <c r="X3349" s="59" t="str">
        <f t="shared" si="420"/>
        <v/>
      </c>
      <c r="AC3349" s="50">
        <f t="shared" si="421"/>
        <v>0</v>
      </c>
      <c r="AD3349" s="43">
        <f t="shared" si="422"/>
        <v>0</v>
      </c>
      <c r="AE3349" s="50">
        <f t="shared" si="423"/>
        <v>0</v>
      </c>
    </row>
    <row r="3350" spans="1:31">
      <c r="A3350" s="59" t="str">
        <f t="shared" si="417"/>
        <v/>
      </c>
      <c r="B3350" s="59" t="str">
        <f t="shared" si="418"/>
        <v/>
      </c>
      <c r="V3350" s="59" t="str">
        <f t="shared" si="419"/>
        <v/>
      </c>
      <c r="W3350" s="59" t="str">
        <f t="shared" si="416"/>
        <v/>
      </c>
      <c r="X3350" s="59" t="str">
        <f t="shared" si="420"/>
        <v/>
      </c>
      <c r="AC3350" s="50">
        <f t="shared" si="421"/>
        <v>0</v>
      </c>
      <c r="AD3350" s="43">
        <f t="shared" si="422"/>
        <v>0</v>
      </c>
      <c r="AE3350" s="50">
        <f t="shared" si="423"/>
        <v>0</v>
      </c>
    </row>
    <row r="3351" spans="1:31">
      <c r="A3351" s="59" t="str">
        <f t="shared" si="417"/>
        <v/>
      </c>
      <c r="B3351" s="59" t="str">
        <f t="shared" si="418"/>
        <v/>
      </c>
      <c r="V3351" s="59" t="str">
        <f t="shared" si="419"/>
        <v/>
      </c>
      <c r="W3351" s="59" t="str">
        <f t="shared" si="416"/>
        <v/>
      </c>
      <c r="X3351" s="59" t="str">
        <f t="shared" si="420"/>
        <v/>
      </c>
      <c r="AC3351" s="50">
        <f t="shared" si="421"/>
        <v>0</v>
      </c>
      <c r="AD3351" s="43">
        <f t="shared" si="422"/>
        <v>0</v>
      </c>
      <c r="AE3351" s="50">
        <f t="shared" si="423"/>
        <v>0</v>
      </c>
    </row>
    <row r="3352" spans="1:31">
      <c r="A3352" s="59" t="str">
        <f t="shared" si="417"/>
        <v/>
      </c>
      <c r="B3352" s="59" t="str">
        <f t="shared" si="418"/>
        <v/>
      </c>
      <c r="V3352" s="59" t="str">
        <f t="shared" si="419"/>
        <v/>
      </c>
      <c r="W3352" s="59" t="str">
        <f t="shared" si="416"/>
        <v/>
      </c>
      <c r="X3352" s="59" t="str">
        <f t="shared" si="420"/>
        <v/>
      </c>
      <c r="AC3352" s="50">
        <f t="shared" si="421"/>
        <v>0</v>
      </c>
      <c r="AD3352" s="43">
        <f t="shared" si="422"/>
        <v>0</v>
      </c>
      <c r="AE3352" s="50">
        <f t="shared" si="423"/>
        <v>0</v>
      </c>
    </row>
    <row r="3353" spans="1:31">
      <c r="A3353" s="59" t="str">
        <f t="shared" si="417"/>
        <v/>
      </c>
      <c r="B3353" s="59" t="str">
        <f t="shared" si="418"/>
        <v/>
      </c>
      <c r="V3353" s="59" t="str">
        <f t="shared" si="419"/>
        <v/>
      </c>
      <c r="W3353" s="59" t="str">
        <f t="shared" si="416"/>
        <v/>
      </c>
      <c r="X3353" s="59" t="str">
        <f t="shared" si="420"/>
        <v/>
      </c>
      <c r="AC3353" s="50">
        <f t="shared" si="421"/>
        <v>0</v>
      </c>
      <c r="AD3353" s="43">
        <f t="shared" si="422"/>
        <v>0</v>
      </c>
      <c r="AE3353" s="50">
        <f t="shared" si="423"/>
        <v>0</v>
      </c>
    </row>
    <row r="3354" spans="1:31">
      <c r="A3354" s="59" t="str">
        <f t="shared" si="417"/>
        <v/>
      </c>
      <c r="B3354" s="59" t="str">
        <f t="shared" si="418"/>
        <v/>
      </c>
      <c r="V3354" s="59" t="str">
        <f t="shared" si="419"/>
        <v/>
      </c>
      <c r="W3354" s="59" t="str">
        <f t="shared" si="416"/>
        <v/>
      </c>
      <c r="X3354" s="59" t="str">
        <f t="shared" si="420"/>
        <v/>
      </c>
      <c r="AC3354" s="50">
        <f t="shared" si="421"/>
        <v>0</v>
      </c>
      <c r="AD3354" s="43">
        <f t="shared" si="422"/>
        <v>0</v>
      </c>
      <c r="AE3354" s="50">
        <f t="shared" si="423"/>
        <v>0</v>
      </c>
    </row>
    <row r="3355" spans="1:31">
      <c r="A3355" s="59" t="str">
        <f t="shared" si="417"/>
        <v/>
      </c>
      <c r="B3355" s="59" t="str">
        <f t="shared" si="418"/>
        <v/>
      </c>
      <c r="V3355" s="59" t="str">
        <f t="shared" si="419"/>
        <v/>
      </c>
      <c r="W3355" s="59" t="str">
        <f t="shared" si="416"/>
        <v/>
      </c>
      <c r="X3355" s="59" t="str">
        <f t="shared" si="420"/>
        <v/>
      </c>
      <c r="AC3355" s="50">
        <f t="shared" si="421"/>
        <v>0</v>
      </c>
      <c r="AD3355" s="43">
        <f t="shared" si="422"/>
        <v>0</v>
      </c>
      <c r="AE3355" s="50">
        <f t="shared" si="423"/>
        <v>0</v>
      </c>
    </row>
    <row r="3356" spans="1:31">
      <c r="A3356" s="59" t="str">
        <f t="shared" si="417"/>
        <v/>
      </c>
      <c r="B3356" s="59" t="str">
        <f t="shared" si="418"/>
        <v/>
      </c>
      <c r="V3356" s="59" t="str">
        <f t="shared" si="419"/>
        <v/>
      </c>
      <c r="W3356" s="59" t="str">
        <f t="shared" si="416"/>
        <v/>
      </c>
      <c r="X3356" s="59" t="str">
        <f t="shared" si="420"/>
        <v/>
      </c>
      <c r="AC3356" s="50">
        <f t="shared" si="421"/>
        <v>0</v>
      </c>
      <c r="AD3356" s="43">
        <f t="shared" si="422"/>
        <v>0</v>
      </c>
      <c r="AE3356" s="50">
        <f t="shared" si="423"/>
        <v>0</v>
      </c>
    </row>
    <row r="3357" spans="1:31">
      <c r="A3357" s="59" t="str">
        <f t="shared" si="417"/>
        <v/>
      </c>
      <c r="B3357" s="59" t="str">
        <f t="shared" si="418"/>
        <v/>
      </c>
      <c r="V3357" s="59" t="str">
        <f t="shared" si="419"/>
        <v/>
      </c>
      <c r="W3357" s="59" t="str">
        <f t="shared" si="416"/>
        <v/>
      </c>
      <c r="X3357" s="59" t="str">
        <f t="shared" si="420"/>
        <v/>
      </c>
      <c r="AC3357" s="50">
        <f t="shared" si="421"/>
        <v>0</v>
      </c>
      <c r="AD3357" s="43">
        <f t="shared" si="422"/>
        <v>0</v>
      </c>
      <c r="AE3357" s="50">
        <f t="shared" si="423"/>
        <v>0</v>
      </c>
    </row>
    <row r="3358" spans="1:31">
      <c r="A3358" s="59" t="str">
        <f t="shared" si="417"/>
        <v/>
      </c>
      <c r="B3358" s="59" t="str">
        <f t="shared" si="418"/>
        <v/>
      </c>
      <c r="V3358" s="59" t="str">
        <f t="shared" si="419"/>
        <v/>
      </c>
      <c r="W3358" s="59" t="str">
        <f t="shared" si="416"/>
        <v/>
      </c>
      <c r="X3358" s="59" t="str">
        <f t="shared" si="420"/>
        <v/>
      </c>
      <c r="AC3358" s="50">
        <f t="shared" si="421"/>
        <v>0</v>
      </c>
      <c r="AD3358" s="43">
        <f t="shared" si="422"/>
        <v>0</v>
      </c>
      <c r="AE3358" s="50">
        <f t="shared" si="423"/>
        <v>0</v>
      </c>
    </row>
    <row r="3359" spans="1:31">
      <c r="A3359" s="59" t="str">
        <f t="shared" si="417"/>
        <v/>
      </c>
      <c r="B3359" s="59" t="str">
        <f t="shared" si="418"/>
        <v/>
      </c>
      <c r="V3359" s="59" t="str">
        <f t="shared" si="419"/>
        <v/>
      </c>
      <c r="W3359" s="59" t="str">
        <f t="shared" si="416"/>
        <v/>
      </c>
      <c r="X3359" s="59" t="str">
        <f t="shared" si="420"/>
        <v/>
      </c>
      <c r="AC3359" s="50">
        <f t="shared" si="421"/>
        <v>0</v>
      </c>
      <c r="AD3359" s="43">
        <f t="shared" si="422"/>
        <v>0</v>
      </c>
      <c r="AE3359" s="50">
        <f t="shared" si="423"/>
        <v>0</v>
      </c>
    </row>
    <row r="3360" spans="1:31">
      <c r="A3360" s="59" t="str">
        <f t="shared" si="417"/>
        <v/>
      </c>
      <c r="B3360" s="59" t="str">
        <f t="shared" si="418"/>
        <v/>
      </c>
      <c r="V3360" s="59" t="str">
        <f t="shared" si="419"/>
        <v/>
      </c>
      <c r="W3360" s="59" t="str">
        <f t="shared" si="416"/>
        <v/>
      </c>
      <c r="X3360" s="59" t="str">
        <f t="shared" si="420"/>
        <v/>
      </c>
      <c r="AC3360" s="50">
        <f t="shared" si="421"/>
        <v>0</v>
      </c>
      <c r="AD3360" s="43">
        <f t="shared" si="422"/>
        <v>0</v>
      </c>
      <c r="AE3360" s="50">
        <f t="shared" si="423"/>
        <v>0</v>
      </c>
    </row>
    <row r="3361" spans="1:31">
      <c r="A3361" s="59" t="str">
        <f t="shared" si="417"/>
        <v/>
      </c>
      <c r="B3361" s="59" t="str">
        <f t="shared" si="418"/>
        <v/>
      </c>
      <c r="V3361" s="59" t="str">
        <f t="shared" si="419"/>
        <v/>
      </c>
      <c r="W3361" s="59" t="str">
        <f t="shared" si="416"/>
        <v/>
      </c>
      <c r="X3361" s="59" t="str">
        <f t="shared" si="420"/>
        <v/>
      </c>
      <c r="AC3361" s="50">
        <f t="shared" si="421"/>
        <v>0</v>
      </c>
      <c r="AD3361" s="43">
        <f t="shared" si="422"/>
        <v>0</v>
      </c>
      <c r="AE3361" s="50">
        <f t="shared" si="423"/>
        <v>0</v>
      </c>
    </row>
    <row r="3362" spans="1:31">
      <c r="A3362" s="59" t="str">
        <f t="shared" si="417"/>
        <v/>
      </c>
      <c r="B3362" s="59" t="str">
        <f t="shared" si="418"/>
        <v/>
      </c>
      <c r="V3362" s="59" t="str">
        <f t="shared" si="419"/>
        <v/>
      </c>
      <c r="W3362" s="59" t="str">
        <f t="shared" si="416"/>
        <v/>
      </c>
      <c r="X3362" s="59" t="str">
        <f t="shared" si="420"/>
        <v/>
      </c>
      <c r="AC3362" s="50">
        <f t="shared" si="421"/>
        <v>0</v>
      </c>
      <c r="AD3362" s="43">
        <f t="shared" si="422"/>
        <v>0</v>
      </c>
      <c r="AE3362" s="50">
        <f t="shared" si="423"/>
        <v>0</v>
      </c>
    </row>
    <row r="3363" spans="1:31">
      <c r="A3363" s="59" t="str">
        <f t="shared" si="417"/>
        <v/>
      </c>
      <c r="B3363" s="59" t="str">
        <f t="shared" si="418"/>
        <v/>
      </c>
      <c r="V3363" s="59" t="str">
        <f t="shared" si="419"/>
        <v/>
      </c>
      <c r="W3363" s="59" t="str">
        <f t="shared" si="416"/>
        <v/>
      </c>
      <c r="X3363" s="59" t="str">
        <f t="shared" si="420"/>
        <v/>
      </c>
      <c r="AC3363" s="50">
        <f t="shared" si="421"/>
        <v>0</v>
      </c>
      <c r="AD3363" s="43">
        <f t="shared" si="422"/>
        <v>0</v>
      </c>
      <c r="AE3363" s="50">
        <f t="shared" si="423"/>
        <v>0</v>
      </c>
    </row>
    <row r="3364" spans="1:31">
      <c r="A3364" s="59" t="str">
        <f t="shared" si="417"/>
        <v/>
      </c>
      <c r="B3364" s="59" t="str">
        <f t="shared" si="418"/>
        <v/>
      </c>
      <c r="V3364" s="59" t="str">
        <f t="shared" si="419"/>
        <v/>
      </c>
      <c r="W3364" s="59" t="str">
        <f t="shared" si="416"/>
        <v/>
      </c>
      <c r="X3364" s="59" t="str">
        <f t="shared" si="420"/>
        <v/>
      </c>
      <c r="AC3364" s="50">
        <f t="shared" si="421"/>
        <v>0</v>
      </c>
      <c r="AD3364" s="43">
        <f t="shared" si="422"/>
        <v>0</v>
      </c>
      <c r="AE3364" s="50">
        <f t="shared" si="423"/>
        <v>0</v>
      </c>
    </row>
    <row r="3365" spans="1:31">
      <c r="A3365" s="59" t="str">
        <f t="shared" si="417"/>
        <v/>
      </c>
      <c r="B3365" s="59" t="str">
        <f t="shared" si="418"/>
        <v/>
      </c>
      <c r="V3365" s="59" t="str">
        <f t="shared" si="419"/>
        <v/>
      </c>
      <c r="W3365" s="59" t="str">
        <f t="shared" si="416"/>
        <v/>
      </c>
      <c r="X3365" s="59" t="str">
        <f t="shared" si="420"/>
        <v/>
      </c>
      <c r="AC3365" s="50">
        <f t="shared" si="421"/>
        <v>0</v>
      </c>
      <c r="AD3365" s="43">
        <f t="shared" si="422"/>
        <v>0</v>
      </c>
      <c r="AE3365" s="50">
        <f t="shared" si="423"/>
        <v>0</v>
      </c>
    </row>
    <row r="3366" spans="1:31">
      <c r="A3366" s="59" t="str">
        <f t="shared" si="417"/>
        <v/>
      </c>
      <c r="B3366" s="59" t="str">
        <f t="shared" si="418"/>
        <v/>
      </c>
      <c r="V3366" s="59" t="str">
        <f t="shared" si="419"/>
        <v/>
      </c>
      <c r="W3366" s="59" t="str">
        <f t="shared" si="416"/>
        <v/>
      </c>
      <c r="X3366" s="59" t="str">
        <f t="shared" si="420"/>
        <v/>
      </c>
      <c r="AC3366" s="50">
        <f t="shared" si="421"/>
        <v>0</v>
      </c>
      <c r="AD3366" s="43">
        <f t="shared" si="422"/>
        <v>0</v>
      </c>
      <c r="AE3366" s="50">
        <f t="shared" si="423"/>
        <v>0</v>
      </c>
    </row>
    <row r="3367" spans="1:31">
      <c r="A3367" s="59" t="str">
        <f t="shared" si="417"/>
        <v/>
      </c>
      <c r="B3367" s="59" t="str">
        <f t="shared" si="418"/>
        <v/>
      </c>
      <c r="V3367" s="59" t="str">
        <f t="shared" si="419"/>
        <v/>
      </c>
      <c r="W3367" s="59" t="str">
        <f t="shared" si="416"/>
        <v/>
      </c>
      <c r="X3367" s="59" t="str">
        <f t="shared" si="420"/>
        <v/>
      </c>
      <c r="AC3367" s="50">
        <f t="shared" si="421"/>
        <v>0</v>
      </c>
      <c r="AD3367" s="43">
        <f t="shared" si="422"/>
        <v>0</v>
      </c>
      <c r="AE3367" s="50">
        <f t="shared" si="423"/>
        <v>0</v>
      </c>
    </row>
    <row r="3368" spans="1:31">
      <c r="A3368" s="59" t="str">
        <f t="shared" si="417"/>
        <v/>
      </c>
      <c r="B3368" s="59" t="str">
        <f t="shared" si="418"/>
        <v/>
      </c>
      <c r="V3368" s="59" t="str">
        <f t="shared" si="419"/>
        <v/>
      </c>
      <c r="W3368" s="59" t="str">
        <f t="shared" si="416"/>
        <v/>
      </c>
      <c r="X3368" s="59" t="str">
        <f t="shared" si="420"/>
        <v/>
      </c>
      <c r="AC3368" s="50">
        <f t="shared" si="421"/>
        <v>0</v>
      </c>
      <c r="AD3368" s="43">
        <f t="shared" si="422"/>
        <v>0</v>
      </c>
      <c r="AE3368" s="50">
        <f t="shared" si="423"/>
        <v>0</v>
      </c>
    </row>
    <row r="3369" spans="1:31">
      <c r="A3369" s="59" t="str">
        <f t="shared" si="417"/>
        <v/>
      </c>
      <c r="B3369" s="59" t="str">
        <f t="shared" si="418"/>
        <v/>
      </c>
      <c r="V3369" s="59" t="str">
        <f t="shared" si="419"/>
        <v/>
      </c>
      <c r="W3369" s="59" t="str">
        <f t="shared" si="416"/>
        <v/>
      </c>
      <c r="X3369" s="59" t="str">
        <f t="shared" si="420"/>
        <v/>
      </c>
      <c r="AC3369" s="50">
        <f t="shared" si="421"/>
        <v>0</v>
      </c>
      <c r="AD3369" s="43">
        <f t="shared" si="422"/>
        <v>0</v>
      </c>
      <c r="AE3369" s="50">
        <f t="shared" si="423"/>
        <v>0</v>
      </c>
    </row>
    <row r="3370" spans="1:31">
      <c r="A3370" s="59" t="str">
        <f t="shared" si="417"/>
        <v/>
      </c>
      <c r="B3370" s="59" t="str">
        <f t="shared" si="418"/>
        <v/>
      </c>
      <c r="V3370" s="59" t="str">
        <f t="shared" si="419"/>
        <v/>
      </c>
      <c r="W3370" s="59" t="str">
        <f t="shared" si="416"/>
        <v/>
      </c>
      <c r="X3370" s="59" t="str">
        <f t="shared" si="420"/>
        <v/>
      </c>
      <c r="AC3370" s="50">
        <f t="shared" si="421"/>
        <v>0</v>
      </c>
      <c r="AD3370" s="43">
        <f t="shared" si="422"/>
        <v>0</v>
      </c>
      <c r="AE3370" s="50">
        <f t="shared" si="423"/>
        <v>0</v>
      </c>
    </row>
    <row r="3371" spans="1:31">
      <c r="A3371" s="59" t="str">
        <f t="shared" si="417"/>
        <v/>
      </c>
      <c r="B3371" s="59" t="str">
        <f t="shared" si="418"/>
        <v/>
      </c>
      <c r="V3371" s="59" t="str">
        <f t="shared" si="419"/>
        <v/>
      </c>
      <c r="W3371" s="59" t="str">
        <f t="shared" si="416"/>
        <v/>
      </c>
      <c r="X3371" s="59" t="str">
        <f t="shared" si="420"/>
        <v/>
      </c>
      <c r="AC3371" s="50">
        <f t="shared" si="421"/>
        <v>0</v>
      </c>
      <c r="AD3371" s="43">
        <f t="shared" si="422"/>
        <v>0</v>
      </c>
      <c r="AE3371" s="50">
        <f t="shared" si="423"/>
        <v>0</v>
      </c>
    </row>
    <row r="3372" spans="1:31">
      <c r="A3372" s="59" t="str">
        <f t="shared" si="417"/>
        <v/>
      </c>
      <c r="B3372" s="59" t="str">
        <f t="shared" si="418"/>
        <v/>
      </c>
      <c r="V3372" s="59" t="str">
        <f t="shared" si="419"/>
        <v/>
      </c>
      <c r="W3372" s="59" t="str">
        <f t="shared" si="416"/>
        <v/>
      </c>
      <c r="X3372" s="59" t="str">
        <f t="shared" si="420"/>
        <v/>
      </c>
      <c r="AC3372" s="50">
        <f t="shared" si="421"/>
        <v>0</v>
      </c>
      <c r="AD3372" s="43">
        <f t="shared" si="422"/>
        <v>0</v>
      </c>
      <c r="AE3372" s="50">
        <f t="shared" si="423"/>
        <v>0</v>
      </c>
    </row>
    <row r="3373" spans="1:31">
      <c r="A3373" s="59" t="str">
        <f t="shared" si="417"/>
        <v/>
      </c>
      <c r="B3373" s="59" t="str">
        <f t="shared" si="418"/>
        <v/>
      </c>
      <c r="V3373" s="59" t="str">
        <f t="shared" si="419"/>
        <v/>
      </c>
      <c r="W3373" s="59" t="str">
        <f t="shared" si="416"/>
        <v/>
      </c>
      <c r="X3373" s="59" t="str">
        <f t="shared" si="420"/>
        <v/>
      </c>
      <c r="AC3373" s="50">
        <f t="shared" si="421"/>
        <v>0</v>
      </c>
      <c r="AD3373" s="43">
        <f t="shared" si="422"/>
        <v>0</v>
      </c>
      <c r="AE3373" s="50">
        <f t="shared" si="423"/>
        <v>0</v>
      </c>
    </row>
    <row r="3374" spans="1:31">
      <c r="A3374" s="59" t="str">
        <f t="shared" si="417"/>
        <v/>
      </c>
      <c r="B3374" s="59" t="str">
        <f t="shared" si="418"/>
        <v/>
      </c>
      <c r="V3374" s="59" t="str">
        <f t="shared" si="419"/>
        <v/>
      </c>
      <c r="W3374" s="59" t="str">
        <f t="shared" si="416"/>
        <v/>
      </c>
      <c r="X3374" s="59" t="str">
        <f t="shared" si="420"/>
        <v/>
      </c>
      <c r="AC3374" s="50">
        <f t="shared" si="421"/>
        <v>0</v>
      </c>
      <c r="AD3374" s="43">
        <f t="shared" si="422"/>
        <v>0</v>
      </c>
      <c r="AE3374" s="50">
        <f t="shared" si="423"/>
        <v>0</v>
      </c>
    </row>
    <row r="3375" spans="1:31">
      <c r="A3375" s="59" t="str">
        <f t="shared" si="417"/>
        <v/>
      </c>
      <c r="B3375" s="59" t="str">
        <f t="shared" si="418"/>
        <v/>
      </c>
      <c r="V3375" s="59" t="str">
        <f t="shared" si="419"/>
        <v/>
      </c>
      <c r="W3375" s="59" t="str">
        <f t="shared" si="416"/>
        <v/>
      </c>
      <c r="X3375" s="59" t="str">
        <f t="shared" si="420"/>
        <v/>
      </c>
      <c r="AC3375" s="50">
        <f t="shared" si="421"/>
        <v>0</v>
      </c>
      <c r="AD3375" s="43">
        <f t="shared" si="422"/>
        <v>0</v>
      </c>
      <c r="AE3375" s="50">
        <f t="shared" si="423"/>
        <v>0</v>
      </c>
    </row>
    <row r="3376" spans="1:31">
      <c r="A3376" s="59" t="str">
        <f t="shared" si="417"/>
        <v/>
      </c>
      <c r="B3376" s="59" t="str">
        <f t="shared" si="418"/>
        <v/>
      </c>
      <c r="V3376" s="59" t="str">
        <f t="shared" si="419"/>
        <v/>
      </c>
      <c r="W3376" s="59" t="str">
        <f t="shared" si="416"/>
        <v/>
      </c>
      <c r="X3376" s="59" t="str">
        <f t="shared" si="420"/>
        <v/>
      </c>
      <c r="AC3376" s="50">
        <f t="shared" si="421"/>
        <v>0</v>
      </c>
      <c r="AD3376" s="43">
        <f t="shared" si="422"/>
        <v>0</v>
      </c>
      <c r="AE3376" s="50">
        <f t="shared" si="423"/>
        <v>0</v>
      </c>
    </row>
    <row r="3377" spans="1:31">
      <c r="A3377" s="59" t="str">
        <f t="shared" si="417"/>
        <v/>
      </c>
      <c r="B3377" s="59" t="str">
        <f t="shared" si="418"/>
        <v/>
      </c>
      <c r="V3377" s="59" t="str">
        <f t="shared" si="419"/>
        <v/>
      </c>
      <c r="W3377" s="59" t="str">
        <f t="shared" si="416"/>
        <v/>
      </c>
      <c r="X3377" s="59" t="str">
        <f t="shared" si="420"/>
        <v/>
      </c>
      <c r="AC3377" s="50">
        <f t="shared" si="421"/>
        <v>0</v>
      </c>
      <c r="AD3377" s="43">
        <f t="shared" si="422"/>
        <v>0</v>
      </c>
      <c r="AE3377" s="50">
        <f t="shared" si="423"/>
        <v>0</v>
      </c>
    </row>
    <row r="3378" spans="1:31">
      <c r="A3378" s="59" t="str">
        <f t="shared" si="417"/>
        <v/>
      </c>
      <c r="B3378" s="59" t="str">
        <f t="shared" si="418"/>
        <v/>
      </c>
      <c r="V3378" s="59" t="str">
        <f t="shared" si="419"/>
        <v/>
      </c>
      <c r="W3378" s="59" t="str">
        <f t="shared" si="416"/>
        <v/>
      </c>
      <c r="X3378" s="59" t="str">
        <f t="shared" si="420"/>
        <v/>
      </c>
      <c r="AC3378" s="50">
        <f t="shared" si="421"/>
        <v>0</v>
      </c>
      <c r="AD3378" s="43">
        <f t="shared" si="422"/>
        <v>0</v>
      </c>
      <c r="AE3378" s="50">
        <f t="shared" si="423"/>
        <v>0</v>
      </c>
    </row>
    <row r="3379" spans="1:31">
      <c r="A3379" s="59" t="str">
        <f t="shared" si="417"/>
        <v/>
      </c>
      <c r="B3379" s="59" t="str">
        <f t="shared" si="418"/>
        <v/>
      </c>
      <c r="V3379" s="59" t="str">
        <f t="shared" si="419"/>
        <v/>
      </c>
      <c r="W3379" s="59" t="str">
        <f t="shared" si="416"/>
        <v/>
      </c>
      <c r="X3379" s="59" t="str">
        <f t="shared" si="420"/>
        <v/>
      </c>
      <c r="AC3379" s="50">
        <f t="shared" si="421"/>
        <v>0</v>
      </c>
      <c r="AD3379" s="43">
        <f t="shared" si="422"/>
        <v>0</v>
      </c>
      <c r="AE3379" s="50">
        <f t="shared" si="423"/>
        <v>0</v>
      </c>
    </row>
    <row r="3380" spans="1:31">
      <c r="A3380" s="59" t="str">
        <f t="shared" si="417"/>
        <v/>
      </c>
      <c r="B3380" s="59" t="str">
        <f t="shared" si="418"/>
        <v/>
      </c>
      <c r="V3380" s="59" t="str">
        <f t="shared" si="419"/>
        <v/>
      </c>
      <c r="W3380" s="59" t="str">
        <f t="shared" si="416"/>
        <v/>
      </c>
      <c r="X3380" s="59" t="str">
        <f t="shared" si="420"/>
        <v/>
      </c>
      <c r="AC3380" s="50">
        <f t="shared" si="421"/>
        <v>0</v>
      </c>
      <c r="AD3380" s="43">
        <f t="shared" si="422"/>
        <v>0</v>
      </c>
      <c r="AE3380" s="50">
        <f t="shared" si="423"/>
        <v>0</v>
      </c>
    </row>
    <row r="3381" spans="1:31">
      <c r="A3381" s="59" t="str">
        <f t="shared" si="417"/>
        <v/>
      </c>
      <c r="B3381" s="59" t="str">
        <f t="shared" si="418"/>
        <v/>
      </c>
      <c r="V3381" s="59" t="str">
        <f t="shared" si="419"/>
        <v/>
      </c>
      <c r="W3381" s="59" t="str">
        <f t="shared" si="416"/>
        <v/>
      </c>
      <c r="X3381" s="59" t="str">
        <f t="shared" si="420"/>
        <v/>
      </c>
      <c r="AC3381" s="50">
        <f t="shared" si="421"/>
        <v>0</v>
      </c>
      <c r="AD3381" s="43">
        <f t="shared" si="422"/>
        <v>0</v>
      </c>
      <c r="AE3381" s="50">
        <f t="shared" si="423"/>
        <v>0</v>
      </c>
    </row>
    <row r="3382" spans="1:31">
      <c r="A3382" s="59" t="str">
        <f t="shared" si="417"/>
        <v/>
      </c>
      <c r="B3382" s="59" t="str">
        <f t="shared" si="418"/>
        <v/>
      </c>
      <c r="V3382" s="59" t="str">
        <f t="shared" si="419"/>
        <v/>
      </c>
      <c r="W3382" s="59" t="str">
        <f t="shared" si="416"/>
        <v/>
      </c>
      <c r="X3382" s="59" t="str">
        <f t="shared" si="420"/>
        <v/>
      </c>
      <c r="AC3382" s="50">
        <f t="shared" si="421"/>
        <v>0</v>
      </c>
      <c r="AD3382" s="43">
        <f t="shared" si="422"/>
        <v>0</v>
      </c>
      <c r="AE3382" s="50">
        <f t="shared" si="423"/>
        <v>0</v>
      </c>
    </row>
    <row r="3383" spans="1:31">
      <c r="A3383" s="59" t="str">
        <f t="shared" si="417"/>
        <v/>
      </c>
      <c r="B3383" s="59" t="str">
        <f t="shared" si="418"/>
        <v/>
      </c>
      <c r="V3383" s="59" t="str">
        <f t="shared" si="419"/>
        <v/>
      </c>
      <c r="W3383" s="59" t="str">
        <f t="shared" si="416"/>
        <v/>
      </c>
      <c r="X3383" s="59" t="str">
        <f t="shared" si="420"/>
        <v/>
      </c>
      <c r="AC3383" s="50">
        <f t="shared" si="421"/>
        <v>0</v>
      </c>
      <c r="AD3383" s="43">
        <f t="shared" si="422"/>
        <v>0</v>
      </c>
      <c r="AE3383" s="50">
        <f t="shared" si="423"/>
        <v>0</v>
      </c>
    </row>
    <row r="3384" spans="1:31">
      <c r="A3384" s="59" t="str">
        <f t="shared" si="417"/>
        <v/>
      </c>
      <c r="B3384" s="59" t="str">
        <f t="shared" si="418"/>
        <v/>
      </c>
      <c r="V3384" s="59" t="str">
        <f t="shared" si="419"/>
        <v/>
      </c>
      <c r="W3384" s="59" t="str">
        <f t="shared" si="416"/>
        <v/>
      </c>
      <c r="X3384" s="59" t="str">
        <f t="shared" si="420"/>
        <v/>
      </c>
      <c r="AC3384" s="50">
        <f t="shared" si="421"/>
        <v>0</v>
      </c>
      <c r="AD3384" s="43">
        <f t="shared" si="422"/>
        <v>0</v>
      </c>
      <c r="AE3384" s="50">
        <f t="shared" si="423"/>
        <v>0</v>
      </c>
    </row>
    <row r="3385" spans="1:31">
      <c r="A3385" s="59" t="str">
        <f t="shared" si="417"/>
        <v/>
      </c>
      <c r="B3385" s="59" t="str">
        <f t="shared" si="418"/>
        <v/>
      </c>
      <c r="V3385" s="59" t="str">
        <f t="shared" si="419"/>
        <v/>
      </c>
      <c r="W3385" s="59" t="str">
        <f t="shared" si="416"/>
        <v/>
      </c>
      <c r="X3385" s="59" t="str">
        <f t="shared" si="420"/>
        <v/>
      </c>
      <c r="AC3385" s="50">
        <f t="shared" si="421"/>
        <v>0</v>
      </c>
      <c r="AD3385" s="43">
        <f t="shared" si="422"/>
        <v>0</v>
      </c>
      <c r="AE3385" s="50">
        <f t="shared" si="423"/>
        <v>0</v>
      </c>
    </row>
    <row r="3386" spans="1:31">
      <c r="A3386" s="59" t="str">
        <f t="shared" si="417"/>
        <v/>
      </c>
      <c r="B3386" s="59" t="str">
        <f t="shared" si="418"/>
        <v/>
      </c>
      <c r="V3386" s="59" t="str">
        <f t="shared" si="419"/>
        <v/>
      </c>
      <c r="W3386" s="59" t="str">
        <f t="shared" si="416"/>
        <v/>
      </c>
      <c r="X3386" s="59" t="str">
        <f t="shared" si="420"/>
        <v/>
      </c>
      <c r="AC3386" s="50">
        <f t="shared" si="421"/>
        <v>0</v>
      </c>
      <c r="AD3386" s="43">
        <f t="shared" si="422"/>
        <v>0</v>
      </c>
      <c r="AE3386" s="50">
        <f t="shared" si="423"/>
        <v>0</v>
      </c>
    </row>
    <row r="3387" spans="1:31">
      <c r="A3387" s="59" t="str">
        <f t="shared" si="417"/>
        <v/>
      </c>
      <c r="B3387" s="59" t="str">
        <f t="shared" si="418"/>
        <v/>
      </c>
      <c r="V3387" s="59" t="str">
        <f t="shared" si="419"/>
        <v/>
      </c>
      <c r="W3387" s="59" t="str">
        <f t="shared" si="416"/>
        <v/>
      </c>
      <c r="X3387" s="59" t="str">
        <f t="shared" si="420"/>
        <v/>
      </c>
      <c r="AC3387" s="50">
        <f t="shared" si="421"/>
        <v>0</v>
      </c>
      <c r="AD3387" s="43">
        <f t="shared" si="422"/>
        <v>0</v>
      </c>
      <c r="AE3387" s="50">
        <f t="shared" si="423"/>
        <v>0</v>
      </c>
    </row>
    <row r="3388" spans="1:31">
      <c r="A3388" s="59" t="str">
        <f t="shared" si="417"/>
        <v/>
      </c>
      <c r="B3388" s="59" t="str">
        <f t="shared" si="418"/>
        <v/>
      </c>
      <c r="V3388" s="59" t="str">
        <f t="shared" si="419"/>
        <v/>
      </c>
      <c r="W3388" s="59" t="str">
        <f t="shared" si="416"/>
        <v/>
      </c>
      <c r="X3388" s="59" t="str">
        <f t="shared" si="420"/>
        <v/>
      </c>
      <c r="AC3388" s="50">
        <f t="shared" si="421"/>
        <v>0</v>
      </c>
      <c r="AD3388" s="43">
        <f t="shared" si="422"/>
        <v>0</v>
      </c>
      <c r="AE3388" s="50">
        <f t="shared" si="423"/>
        <v>0</v>
      </c>
    </row>
    <row r="3389" spans="1:31">
      <c r="A3389" s="59" t="str">
        <f t="shared" si="417"/>
        <v/>
      </c>
      <c r="B3389" s="59" t="str">
        <f t="shared" si="418"/>
        <v/>
      </c>
      <c r="V3389" s="59" t="str">
        <f t="shared" si="419"/>
        <v/>
      </c>
      <c r="W3389" s="59" t="str">
        <f t="shared" si="416"/>
        <v/>
      </c>
      <c r="X3389" s="59" t="str">
        <f t="shared" si="420"/>
        <v/>
      </c>
      <c r="AC3389" s="50">
        <f t="shared" si="421"/>
        <v>0</v>
      </c>
      <c r="AD3389" s="43">
        <f t="shared" si="422"/>
        <v>0</v>
      </c>
      <c r="AE3389" s="50">
        <f t="shared" si="423"/>
        <v>0</v>
      </c>
    </row>
    <row r="3390" spans="1:31">
      <c r="A3390" s="59" t="str">
        <f t="shared" si="417"/>
        <v/>
      </c>
      <c r="B3390" s="59" t="str">
        <f t="shared" si="418"/>
        <v/>
      </c>
      <c r="V3390" s="59" t="str">
        <f t="shared" si="419"/>
        <v/>
      </c>
      <c r="W3390" s="59" t="str">
        <f t="shared" si="416"/>
        <v/>
      </c>
      <c r="X3390" s="59" t="str">
        <f t="shared" si="420"/>
        <v/>
      </c>
      <c r="AC3390" s="50">
        <f t="shared" si="421"/>
        <v>0</v>
      </c>
      <c r="AD3390" s="43">
        <f t="shared" si="422"/>
        <v>0</v>
      </c>
      <c r="AE3390" s="50">
        <f t="shared" si="423"/>
        <v>0</v>
      </c>
    </row>
    <row r="3391" spans="1:31">
      <c r="A3391" s="59" t="str">
        <f t="shared" si="417"/>
        <v/>
      </c>
      <c r="B3391" s="59" t="str">
        <f t="shared" si="418"/>
        <v/>
      </c>
      <c r="V3391" s="59" t="str">
        <f t="shared" si="419"/>
        <v/>
      </c>
      <c r="W3391" s="59" t="str">
        <f t="shared" si="416"/>
        <v/>
      </c>
      <c r="X3391" s="59" t="str">
        <f t="shared" si="420"/>
        <v/>
      </c>
      <c r="AC3391" s="50">
        <f t="shared" si="421"/>
        <v>0</v>
      </c>
      <c r="AD3391" s="43">
        <f t="shared" si="422"/>
        <v>0</v>
      </c>
      <c r="AE3391" s="50">
        <f t="shared" si="423"/>
        <v>0</v>
      </c>
    </row>
    <row r="3392" spans="1:31">
      <c r="A3392" s="59" t="str">
        <f t="shared" si="417"/>
        <v/>
      </c>
      <c r="B3392" s="59" t="str">
        <f t="shared" si="418"/>
        <v/>
      </c>
      <c r="V3392" s="59" t="str">
        <f t="shared" si="419"/>
        <v/>
      </c>
      <c r="W3392" s="59" t="str">
        <f t="shared" si="416"/>
        <v/>
      </c>
      <c r="X3392" s="59" t="str">
        <f t="shared" si="420"/>
        <v/>
      </c>
      <c r="AC3392" s="50">
        <f t="shared" si="421"/>
        <v>0</v>
      </c>
      <c r="AD3392" s="43">
        <f t="shared" si="422"/>
        <v>0</v>
      </c>
      <c r="AE3392" s="50">
        <f t="shared" si="423"/>
        <v>0</v>
      </c>
    </row>
    <row r="3393" spans="1:31">
      <c r="A3393" s="59" t="str">
        <f t="shared" si="417"/>
        <v/>
      </c>
      <c r="B3393" s="59" t="str">
        <f t="shared" si="418"/>
        <v/>
      </c>
      <c r="V3393" s="59" t="str">
        <f t="shared" si="419"/>
        <v/>
      </c>
      <c r="W3393" s="59" t="str">
        <f t="shared" si="416"/>
        <v/>
      </c>
      <c r="X3393" s="59" t="str">
        <f t="shared" si="420"/>
        <v/>
      </c>
      <c r="AC3393" s="50">
        <f t="shared" si="421"/>
        <v>0</v>
      </c>
      <c r="AD3393" s="43">
        <f t="shared" si="422"/>
        <v>0</v>
      </c>
      <c r="AE3393" s="50">
        <f t="shared" si="423"/>
        <v>0</v>
      </c>
    </row>
    <row r="3394" spans="1:31">
      <c r="A3394" s="59" t="str">
        <f t="shared" si="417"/>
        <v/>
      </c>
      <c r="B3394" s="59" t="str">
        <f t="shared" si="418"/>
        <v/>
      </c>
      <c r="V3394" s="59" t="str">
        <f t="shared" si="419"/>
        <v/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59" t="str">
        <f t="shared" si="420"/>
        <v/>
      </c>
      <c r="AC3394" s="50">
        <f t="shared" si="421"/>
        <v>0</v>
      </c>
      <c r="AD3394" s="43">
        <f t="shared" si="422"/>
        <v>0</v>
      </c>
      <c r="AE3394" s="50">
        <f t="shared" si="423"/>
        <v>0</v>
      </c>
    </row>
    <row r="3395" spans="1:31">
      <c r="A3395" s="59" t="str">
        <f t="shared" ref="A3395:A3458" si="425">IF(G3395&amp;Q3395&lt;&gt;"",W3395&amp;Q3395,"")</f>
        <v/>
      </c>
      <c r="B3395" s="59" t="str">
        <f t="shared" ref="B3395:B3424" si="426">IF(C3395&lt;&gt;"",LEFT(C3395,9),"")</f>
        <v/>
      </c>
      <c r="V3395" s="59" t="str">
        <f t="shared" ref="V3395:V3458" si="427">W3395&amp;H3395</f>
        <v/>
      </c>
      <c r="W3395" s="59" t="str">
        <f t="shared" si="424"/>
        <v/>
      </c>
      <c r="X3395" s="59" t="str">
        <f t="shared" ref="X3395:X3458" si="428">IF(A3395&lt;&gt;"",IFERROR(IF(FIND(" ",G3395)&gt;=1,MID(G3395,FIND(" ",G3395)+1,LEN(G3395)),""),""),"")</f>
        <v/>
      </c>
      <c r="AC3395" s="50">
        <f t="shared" ref="AC3395:AC3458" si="429">IFERROR(VALUE(MID($C3395,1,2)),0)</f>
        <v>0</v>
      </c>
      <c r="AD3395" s="43">
        <f t="shared" ref="AD3395:AD3458" si="430">IFERROR(VALUE(MID($C3395,4,3)),0)</f>
        <v>0</v>
      </c>
      <c r="AE3395" s="50">
        <f t="shared" ref="AE3395:AE3458" si="431">VALUE(RIGHT("00"&amp;AC3395,2)&amp;RIGHT("000"&amp;AD3395,3))</f>
        <v>0</v>
      </c>
    </row>
    <row r="3396" spans="1:31">
      <c r="A3396" s="59" t="str">
        <f t="shared" si="425"/>
        <v/>
      </c>
      <c r="B3396" s="59" t="str">
        <f t="shared" si="426"/>
        <v/>
      </c>
      <c r="V3396" s="59" t="str">
        <f t="shared" si="427"/>
        <v/>
      </c>
      <c r="W3396" s="59" t="str">
        <f t="shared" si="424"/>
        <v/>
      </c>
      <c r="X3396" s="59" t="str">
        <f t="shared" si="428"/>
        <v/>
      </c>
      <c r="AC3396" s="50">
        <f t="shared" si="429"/>
        <v>0</v>
      </c>
      <c r="AD3396" s="43">
        <f t="shared" si="430"/>
        <v>0</v>
      </c>
      <c r="AE3396" s="50">
        <f t="shared" si="431"/>
        <v>0</v>
      </c>
    </row>
    <row r="3397" spans="1:31">
      <c r="A3397" s="59" t="str">
        <f t="shared" si="425"/>
        <v/>
      </c>
      <c r="B3397" s="59" t="str">
        <f t="shared" si="426"/>
        <v/>
      </c>
      <c r="V3397" s="59" t="str">
        <f t="shared" si="427"/>
        <v/>
      </c>
      <c r="W3397" s="59" t="str">
        <f t="shared" si="424"/>
        <v/>
      </c>
      <c r="X3397" s="59" t="str">
        <f t="shared" si="428"/>
        <v/>
      </c>
      <c r="AC3397" s="50">
        <f t="shared" si="429"/>
        <v>0</v>
      </c>
      <c r="AD3397" s="43">
        <f t="shared" si="430"/>
        <v>0</v>
      </c>
      <c r="AE3397" s="50">
        <f t="shared" si="431"/>
        <v>0</v>
      </c>
    </row>
    <row r="3398" spans="1:31">
      <c r="A3398" s="59" t="str">
        <f t="shared" si="425"/>
        <v/>
      </c>
      <c r="B3398" s="59" t="str">
        <f t="shared" si="426"/>
        <v/>
      </c>
      <c r="V3398" s="59" t="str">
        <f t="shared" si="427"/>
        <v/>
      </c>
      <c r="W3398" s="59" t="str">
        <f t="shared" si="424"/>
        <v/>
      </c>
      <c r="X3398" s="59" t="str">
        <f t="shared" si="428"/>
        <v/>
      </c>
      <c r="AC3398" s="50">
        <f t="shared" si="429"/>
        <v>0</v>
      </c>
      <c r="AD3398" s="43">
        <f t="shared" si="430"/>
        <v>0</v>
      </c>
      <c r="AE3398" s="50">
        <f t="shared" si="431"/>
        <v>0</v>
      </c>
    </row>
    <row r="3399" spans="1:31">
      <c r="A3399" s="59" t="str">
        <f t="shared" si="425"/>
        <v/>
      </c>
      <c r="B3399" s="59" t="str">
        <f t="shared" si="426"/>
        <v/>
      </c>
      <c r="V3399" s="59" t="str">
        <f t="shared" si="427"/>
        <v/>
      </c>
      <c r="W3399" s="59" t="str">
        <f t="shared" si="424"/>
        <v/>
      </c>
      <c r="X3399" s="59" t="str">
        <f t="shared" si="428"/>
        <v/>
      </c>
      <c r="AC3399" s="50">
        <f t="shared" si="429"/>
        <v>0</v>
      </c>
      <c r="AD3399" s="43">
        <f t="shared" si="430"/>
        <v>0</v>
      </c>
      <c r="AE3399" s="50">
        <f t="shared" si="431"/>
        <v>0</v>
      </c>
    </row>
    <row r="3400" spans="1:31">
      <c r="A3400" s="59" t="str">
        <f t="shared" si="425"/>
        <v/>
      </c>
      <c r="B3400" s="59" t="str">
        <f t="shared" si="426"/>
        <v/>
      </c>
      <c r="V3400" s="59" t="str">
        <f t="shared" si="427"/>
        <v/>
      </c>
      <c r="W3400" s="59" t="str">
        <f t="shared" si="424"/>
        <v/>
      </c>
      <c r="X3400" s="59" t="str">
        <f t="shared" si="428"/>
        <v/>
      </c>
      <c r="AC3400" s="50">
        <f t="shared" si="429"/>
        <v>0</v>
      </c>
      <c r="AD3400" s="43">
        <f t="shared" si="430"/>
        <v>0</v>
      </c>
      <c r="AE3400" s="50">
        <f t="shared" si="431"/>
        <v>0</v>
      </c>
    </row>
    <row r="3401" spans="1:31">
      <c r="A3401" s="59" t="str">
        <f t="shared" si="425"/>
        <v/>
      </c>
      <c r="B3401" s="59" t="str">
        <f t="shared" si="426"/>
        <v/>
      </c>
      <c r="V3401" s="59" t="str">
        <f t="shared" si="427"/>
        <v/>
      </c>
      <c r="W3401" s="59" t="str">
        <f t="shared" si="424"/>
        <v/>
      </c>
      <c r="X3401" s="59" t="str">
        <f t="shared" si="428"/>
        <v/>
      </c>
      <c r="AC3401" s="50">
        <f t="shared" si="429"/>
        <v>0</v>
      </c>
      <c r="AD3401" s="43">
        <f t="shared" si="430"/>
        <v>0</v>
      </c>
      <c r="AE3401" s="50">
        <f t="shared" si="431"/>
        <v>0</v>
      </c>
    </row>
    <row r="3402" spans="1:31">
      <c r="A3402" s="59" t="str">
        <f t="shared" si="425"/>
        <v/>
      </c>
      <c r="B3402" s="59" t="str">
        <f t="shared" si="426"/>
        <v/>
      </c>
      <c r="V3402" s="59" t="str">
        <f t="shared" si="427"/>
        <v/>
      </c>
      <c r="W3402" s="59" t="str">
        <f t="shared" si="424"/>
        <v/>
      </c>
      <c r="X3402" s="59" t="str">
        <f t="shared" si="428"/>
        <v/>
      </c>
      <c r="AC3402" s="50">
        <f t="shared" si="429"/>
        <v>0</v>
      </c>
      <c r="AD3402" s="43">
        <f t="shared" si="430"/>
        <v>0</v>
      </c>
      <c r="AE3402" s="50">
        <f t="shared" si="431"/>
        <v>0</v>
      </c>
    </row>
    <row r="3403" spans="1:31">
      <c r="A3403" s="59" t="str">
        <f t="shared" si="425"/>
        <v/>
      </c>
      <c r="B3403" s="59" t="str">
        <f t="shared" si="426"/>
        <v/>
      </c>
      <c r="V3403" s="59" t="str">
        <f t="shared" si="427"/>
        <v/>
      </c>
      <c r="W3403" s="59" t="str">
        <f t="shared" si="424"/>
        <v/>
      </c>
      <c r="X3403" s="59" t="str">
        <f t="shared" si="428"/>
        <v/>
      </c>
      <c r="AC3403" s="50">
        <f t="shared" si="429"/>
        <v>0</v>
      </c>
      <c r="AD3403" s="43">
        <f t="shared" si="430"/>
        <v>0</v>
      </c>
      <c r="AE3403" s="50">
        <f t="shared" si="431"/>
        <v>0</v>
      </c>
    </row>
    <row r="3404" spans="1:31">
      <c r="A3404" s="59" t="str">
        <f t="shared" si="425"/>
        <v/>
      </c>
      <c r="B3404" s="59" t="str">
        <f t="shared" si="426"/>
        <v/>
      </c>
      <c r="V3404" s="59" t="str">
        <f t="shared" si="427"/>
        <v/>
      </c>
      <c r="W3404" s="59" t="str">
        <f t="shared" si="424"/>
        <v/>
      </c>
      <c r="X3404" s="59" t="str">
        <f t="shared" si="428"/>
        <v/>
      </c>
      <c r="AC3404" s="50">
        <f t="shared" si="429"/>
        <v>0</v>
      </c>
      <c r="AD3404" s="43">
        <f t="shared" si="430"/>
        <v>0</v>
      </c>
      <c r="AE3404" s="50">
        <f t="shared" si="431"/>
        <v>0</v>
      </c>
    </row>
    <row r="3405" spans="1:31">
      <c r="A3405" s="59" t="str">
        <f t="shared" si="425"/>
        <v/>
      </c>
      <c r="B3405" s="59" t="str">
        <f t="shared" si="426"/>
        <v/>
      </c>
      <c r="V3405" s="59" t="str">
        <f t="shared" si="427"/>
        <v/>
      </c>
      <c r="W3405" s="59" t="str">
        <f t="shared" si="424"/>
        <v/>
      </c>
      <c r="X3405" s="59" t="str">
        <f t="shared" si="428"/>
        <v/>
      </c>
      <c r="AC3405" s="50">
        <f t="shared" si="429"/>
        <v>0</v>
      </c>
      <c r="AD3405" s="43">
        <f t="shared" si="430"/>
        <v>0</v>
      </c>
      <c r="AE3405" s="50">
        <f t="shared" si="431"/>
        <v>0</v>
      </c>
    </row>
    <row r="3406" spans="1:31">
      <c r="A3406" s="59" t="str">
        <f t="shared" si="425"/>
        <v/>
      </c>
      <c r="B3406" s="59" t="str">
        <f t="shared" si="426"/>
        <v/>
      </c>
      <c r="V3406" s="59" t="str">
        <f t="shared" si="427"/>
        <v/>
      </c>
      <c r="W3406" s="59" t="str">
        <f t="shared" si="424"/>
        <v/>
      </c>
      <c r="X3406" s="59" t="str">
        <f t="shared" si="428"/>
        <v/>
      </c>
      <c r="AC3406" s="50">
        <f t="shared" si="429"/>
        <v>0</v>
      </c>
      <c r="AD3406" s="43">
        <f t="shared" si="430"/>
        <v>0</v>
      </c>
      <c r="AE3406" s="50">
        <f t="shared" si="431"/>
        <v>0</v>
      </c>
    </row>
    <row r="3407" spans="1:31">
      <c r="A3407" s="59" t="str">
        <f t="shared" si="425"/>
        <v/>
      </c>
      <c r="B3407" s="59" t="str">
        <f t="shared" si="426"/>
        <v/>
      </c>
      <c r="V3407" s="59" t="str">
        <f t="shared" si="427"/>
        <v/>
      </c>
      <c r="W3407" s="59" t="str">
        <f t="shared" si="424"/>
        <v/>
      </c>
      <c r="X3407" s="59" t="str">
        <f t="shared" si="428"/>
        <v/>
      </c>
      <c r="AC3407" s="50">
        <f t="shared" si="429"/>
        <v>0</v>
      </c>
      <c r="AD3407" s="43">
        <f t="shared" si="430"/>
        <v>0</v>
      </c>
      <c r="AE3407" s="50">
        <f t="shared" si="431"/>
        <v>0</v>
      </c>
    </row>
    <row r="3408" spans="1:31">
      <c r="A3408" s="59" t="str">
        <f t="shared" si="425"/>
        <v/>
      </c>
      <c r="B3408" s="59" t="str">
        <f t="shared" si="426"/>
        <v/>
      </c>
      <c r="V3408" s="59" t="str">
        <f t="shared" si="427"/>
        <v/>
      </c>
      <c r="W3408" s="59" t="str">
        <f t="shared" si="424"/>
        <v/>
      </c>
      <c r="X3408" s="59" t="str">
        <f t="shared" si="428"/>
        <v/>
      </c>
      <c r="AC3408" s="50">
        <f t="shared" si="429"/>
        <v>0</v>
      </c>
      <c r="AD3408" s="43">
        <f t="shared" si="430"/>
        <v>0</v>
      </c>
      <c r="AE3408" s="50">
        <f t="shared" si="431"/>
        <v>0</v>
      </c>
    </row>
    <row r="3409" spans="1:31">
      <c r="A3409" s="59" t="str">
        <f t="shared" si="425"/>
        <v/>
      </c>
      <c r="B3409" s="59" t="str">
        <f t="shared" si="426"/>
        <v/>
      </c>
      <c r="V3409" s="59" t="str">
        <f t="shared" si="427"/>
        <v/>
      </c>
      <c r="W3409" s="59" t="str">
        <f t="shared" si="424"/>
        <v/>
      </c>
      <c r="X3409" s="59" t="str">
        <f t="shared" si="428"/>
        <v/>
      </c>
      <c r="AC3409" s="50">
        <f t="shared" si="429"/>
        <v>0</v>
      </c>
      <c r="AD3409" s="43">
        <f t="shared" si="430"/>
        <v>0</v>
      </c>
      <c r="AE3409" s="50">
        <f t="shared" si="431"/>
        <v>0</v>
      </c>
    </row>
    <row r="3410" spans="1:31">
      <c r="A3410" s="59" t="str">
        <f t="shared" si="425"/>
        <v/>
      </c>
      <c r="B3410" s="59" t="str">
        <f t="shared" si="426"/>
        <v/>
      </c>
      <c r="V3410" s="59" t="str">
        <f t="shared" si="427"/>
        <v/>
      </c>
      <c r="W3410" s="59" t="str">
        <f t="shared" si="424"/>
        <v/>
      </c>
      <c r="X3410" s="59" t="str">
        <f t="shared" si="428"/>
        <v/>
      </c>
      <c r="AC3410" s="50">
        <f t="shared" si="429"/>
        <v>0</v>
      </c>
      <c r="AD3410" s="43">
        <f t="shared" si="430"/>
        <v>0</v>
      </c>
      <c r="AE3410" s="50">
        <f t="shared" si="431"/>
        <v>0</v>
      </c>
    </row>
    <row r="3411" spans="1:31">
      <c r="A3411" s="59" t="str">
        <f t="shared" si="425"/>
        <v/>
      </c>
      <c r="B3411" s="59" t="str">
        <f t="shared" si="426"/>
        <v/>
      </c>
      <c r="V3411" s="59" t="str">
        <f t="shared" si="427"/>
        <v/>
      </c>
      <c r="W3411" s="59" t="str">
        <f t="shared" si="424"/>
        <v/>
      </c>
      <c r="X3411" s="59" t="str">
        <f t="shared" si="428"/>
        <v/>
      </c>
      <c r="AC3411" s="50">
        <f t="shared" si="429"/>
        <v>0</v>
      </c>
      <c r="AD3411" s="43">
        <f t="shared" si="430"/>
        <v>0</v>
      </c>
      <c r="AE3411" s="50">
        <f t="shared" si="431"/>
        <v>0</v>
      </c>
    </row>
    <row r="3412" spans="1:31">
      <c r="A3412" s="59" t="str">
        <f t="shared" si="425"/>
        <v/>
      </c>
      <c r="B3412" s="59" t="str">
        <f t="shared" si="426"/>
        <v/>
      </c>
      <c r="V3412" s="59" t="str">
        <f t="shared" si="427"/>
        <v/>
      </c>
      <c r="W3412" s="59" t="str">
        <f t="shared" si="424"/>
        <v/>
      </c>
      <c r="X3412" s="59" t="str">
        <f t="shared" si="428"/>
        <v/>
      </c>
      <c r="AC3412" s="50">
        <f t="shared" si="429"/>
        <v>0</v>
      </c>
      <c r="AD3412" s="43">
        <f t="shared" si="430"/>
        <v>0</v>
      </c>
      <c r="AE3412" s="50">
        <f t="shared" si="431"/>
        <v>0</v>
      </c>
    </row>
    <row r="3413" spans="1:31">
      <c r="A3413" s="59" t="str">
        <f t="shared" si="425"/>
        <v/>
      </c>
      <c r="B3413" s="59" t="str">
        <f t="shared" si="426"/>
        <v/>
      </c>
      <c r="V3413" s="59" t="str">
        <f t="shared" si="427"/>
        <v/>
      </c>
      <c r="W3413" s="59" t="str">
        <f t="shared" si="424"/>
        <v/>
      </c>
      <c r="X3413" s="59" t="str">
        <f t="shared" si="428"/>
        <v/>
      </c>
      <c r="AC3413" s="50">
        <f t="shared" si="429"/>
        <v>0</v>
      </c>
      <c r="AD3413" s="43">
        <f t="shared" si="430"/>
        <v>0</v>
      </c>
      <c r="AE3413" s="50">
        <f t="shared" si="431"/>
        <v>0</v>
      </c>
    </row>
    <row r="3414" spans="1:31">
      <c r="A3414" s="59" t="str">
        <f t="shared" si="425"/>
        <v/>
      </c>
      <c r="B3414" s="59" t="str">
        <f t="shared" si="426"/>
        <v/>
      </c>
      <c r="V3414" s="59" t="str">
        <f t="shared" si="427"/>
        <v/>
      </c>
      <c r="W3414" s="59" t="str">
        <f t="shared" si="424"/>
        <v/>
      </c>
      <c r="X3414" s="59" t="str">
        <f t="shared" si="428"/>
        <v/>
      </c>
      <c r="AC3414" s="50">
        <f t="shared" si="429"/>
        <v>0</v>
      </c>
      <c r="AD3414" s="43">
        <f t="shared" si="430"/>
        <v>0</v>
      </c>
      <c r="AE3414" s="50">
        <f t="shared" si="431"/>
        <v>0</v>
      </c>
    </row>
    <row r="3415" spans="1:31">
      <c r="A3415" s="59" t="str">
        <f t="shared" si="425"/>
        <v/>
      </c>
      <c r="B3415" s="59" t="str">
        <f t="shared" si="426"/>
        <v/>
      </c>
      <c r="V3415" s="59" t="str">
        <f t="shared" si="427"/>
        <v/>
      </c>
      <c r="W3415" s="59" t="str">
        <f t="shared" si="424"/>
        <v/>
      </c>
      <c r="X3415" s="59" t="str">
        <f t="shared" si="428"/>
        <v/>
      </c>
      <c r="AC3415" s="50">
        <f t="shared" si="429"/>
        <v>0</v>
      </c>
      <c r="AD3415" s="43">
        <f t="shared" si="430"/>
        <v>0</v>
      </c>
      <c r="AE3415" s="50">
        <f t="shared" si="431"/>
        <v>0</v>
      </c>
    </row>
    <row r="3416" spans="1:31">
      <c r="A3416" s="59" t="str">
        <f t="shared" si="425"/>
        <v/>
      </c>
      <c r="B3416" s="59" t="str">
        <f t="shared" si="426"/>
        <v/>
      </c>
      <c r="V3416" s="59" t="str">
        <f t="shared" si="427"/>
        <v/>
      </c>
      <c r="W3416" s="59" t="str">
        <f t="shared" si="424"/>
        <v/>
      </c>
      <c r="X3416" s="59" t="str">
        <f t="shared" si="428"/>
        <v/>
      </c>
      <c r="AC3416" s="50">
        <f t="shared" si="429"/>
        <v>0</v>
      </c>
      <c r="AD3416" s="43">
        <f t="shared" si="430"/>
        <v>0</v>
      </c>
      <c r="AE3416" s="50">
        <f t="shared" si="431"/>
        <v>0</v>
      </c>
    </row>
    <row r="3417" spans="1:31">
      <c r="A3417" s="59" t="str">
        <f t="shared" si="425"/>
        <v/>
      </c>
      <c r="B3417" s="59" t="str">
        <f t="shared" si="426"/>
        <v/>
      </c>
      <c r="V3417" s="59" t="str">
        <f t="shared" si="427"/>
        <v/>
      </c>
      <c r="W3417" s="59" t="str">
        <f t="shared" si="424"/>
        <v/>
      </c>
      <c r="X3417" s="59" t="str">
        <f t="shared" si="428"/>
        <v/>
      </c>
      <c r="AC3417" s="50">
        <f t="shared" si="429"/>
        <v>0</v>
      </c>
      <c r="AD3417" s="43">
        <f t="shared" si="430"/>
        <v>0</v>
      </c>
      <c r="AE3417" s="50">
        <f t="shared" si="431"/>
        <v>0</v>
      </c>
    </row>
    <row r="3418" spans="1:31">
      <c r="A3418" s="59" t="str">
        <f t="shared" si="425"/>
        <v/>
      </c>
      <c r="B3418" s="59" t="str">
        <f t="shared" si="426"/>
        <v/>
      </c>
      <c r="V3418" s="59" t="str">
        <f t="shared" si="427"/>
        <v/>
      </c>
      <c r="W3418" s="59" t="str">
        <f t="shared" si="424"/>
        <v/>
      </c>
      <c r="X3418" s="59" t="str">
        <f t="shared" si="428"/>
        <v/>
      </c>
      <c r="AC3418" s="50">
        <f t="shared" si="429"/>
        <v>0</v>
      </c>
      <c r="AD3418" s="43">
        <f t="shared" si="430"/>
        <v>0</v>
      </c>
      <c r="AE3418" s="50">
        <f t="shared" si="431"/>
        <v>0</v>
      </c>
    </row>
    <row r="3419" spans="1:31">
      <c r="A3419" s="59" t="str">
        <f t="shared" si="425"/>
        <v/>
      </c>
      <c r="B3419" s="59" t="str">
        <f t="shared" si="426"/>
        <v/>
      </c>
      <c r="V3419" s="59" t="str">
        <f t="shared" si="427"/>
        <v/>
      </c>
      <c r="W3419" s="59" t="str">
        <f t="shared" si="424"/>
        <v/>
      </c>
      <c r="X3419" s="59" t="str">
        <f t="shared" si="428"/>
        <v/>
      </c>
      <c r="AC3419" s="50">
        <f t="shared" si="429"/>
        <v>0</v>
      </c>
      <c r="AD3419" s="43">
        <f t="shared" si="430"/>
        <v>0</v>
      </c>
      <c r="AE3419" s="50">
        <f t="shared" si="431"/>
        <v>0</v>
      </c>
    </row>
    <row r="3420" spans="1:31">
      <c r="A3420" s="59" t="str">
        <f t="shared" si="425"/>
        <v/>
      </c>
      <c r="B3420" s="59" t="str">
        <f t="shared" si="426"/>
        <v/>
      </c>
      <c r="V3420" s="59" t="str">
        <f t="shared" si="427"/>
        <v/>
      </c>
      <c r="W3420" s="59" t="str">
        <f t="shared" si="424"/>
        <v/>
      </c>
      <c r="X3420" s="59" t="str">
        <f t="shared" si="428"/>
        <v/>
      </c>
      <c r="AC3420" s="50">
        <f t="shared" si="429"/>
        <v>0</v>
      </c>
      <c r="AD3420" s="43">
        <f t="shared" si="430"/>
        <v>0</v>
      </c>
      <c r="AE3420" s="50">
        <f t="shared" si="431"/>
        <v>0</v>
      </c>
    </row>
    <row r="3421" spans="1:31">
      <c r="A3421" s="59" t="str">
        <f t="shared" si="425"/>
        <v/>
      </c>
      <c r="B3421" s="59" t="str">
        <f t="shared" si="426"/>
        <v/>
      </c>
      <c r="V3421" s="59" t="str">
        <f t="shared" si="427"/>
        <v/>
      </c>
      <c r="W3421" s="59" t="str">
        <f t="shared" si="424"/>
        <v/>
      </c>
      <c r="X3421" s="59" t="str">
        <f t="shared" si="428"/>
        <v/>
      </c>
      <c r="AC3421" s="50">
        <f t="shared" si="429"/>
        <v>0</v>
      </c>
      <c r="AD3421" s="43">
        <f t="shared" si="430"/>
        <v>0</v>
      </c>
      <c r="AE3421" s="50">
        <f t="shared" si="431"/>
        <v>0</v>
      </c>
    </row>
    <row r="3422" spans="1:31">
      <c r="A3422" s="59" t="str">
        <f t="shared" si="425"/>
        <v/>
      </c>
      <c r="B3422" s="59" t="str">
        <f t="shared" si="426"/>
        <v/>
      </c>
      <c r="V3422" s="59" t="str">
        <f t="shared" si="427"/>
        <v/>
      </c>
      <c r="W3422" s="59" t="str">
        <f t="shared" si="424"/>
        <v/>
      </c>
      <c r="X3422" s="59" t="str">
        <f t="shared" si="428"/>
        <v/>
      </c>
      <c r="AC3422" s="50">
        <f t="shared" si="429"/>
        <v>0</v>
      </c>
      <c r="AD3422" s="43">
        <f t="shared" si="430"/>
        <v>0</v>
      </c>
      <c r="AE3422" s="50">
        <f t="shared" si="431"/>
        <v>0</v>
      </c>
    </row>
    <row r="3423" spans="1:31">
      <c r="A3423" s="59" t="str">
        <f t="shared" si="425"/>
        <v/>
      </c>
      <c r="B3423" s="59" t="str">
        <f t="shared" si="426"/>
        <v/>
      </c>
      <c r="V3423" s="59" t="str">
        <f t="shared" si="427"/>
        <v/>
      </c>
      <c r="W3423" s="59" t="str">
        <f t="shared" si="424"/>
        <v/>
      </c>
      <c r="X3423" s="59" t="str">
        <f t="shared" si="428"/>
        <v/>
      </c>
      <c r="AC3423" s="50">
        <f t="shared" si="429"/>
        <v>0</v>
      </c>
      <c r="AD3423" s="43">
        <f t="shared" si="430"/>
        <v>0</v>
      </c>
      <c r="AE3423" s="50">
        <f t="shared" si="431"/>
        <v>0</v>
      </c>
    </row>
    <row r="3424" spans="1:31">
      <c r="A3424" s="59" t="str">
        <f t="shared" si="425"/>
        <v/>
      </c>
      <c r="B3424" s="59" t="str">
        <f t="shared" si="426"/>
        <v/>
      </c>
      <c r="V3424" s="59" t="str">
        <f t="shared" si="427"/>
        <v/>
      </c>
      <c r="W3424" s="59" t="str">
        <f t="shared" si="424"/>
        <v/>
      </c>
      <c r="X3424" s="59" t="str">
        <f t="shared" si="428"/>
        <v/>
      </c>
      <c r="AC3424" s="50">
        <f t="shared" si="429"/>
        <v>0</v>
      </c>
      <c r="AD3424" s="43">
        <f t="shared" si="430"/>
        <v>0</v>
      </c>
      <c r="AE3424" s="50">
        <f t="shared" si="431"/>
        <v>0</v>
      </c>
    </row>
    <row r="3425" spans="1:31">
      <c r="A3425" s="59" t="str">
        <f t="shared" si="425"/>
        <v/>
      </c>
      <c r="B3425" s="59" t="str">
        <f t="shared" ref="B3425:B3488" si="432">IF(C3425&lt;&gt;"",LEFT(C3425,9),"")</f>
        <v/>
      </c>
      <c r="V3425" s="59" t="str">
        <f t="shared" si="427"/>
        <v/>
      </c>
      <c r="W3425" s="59" t="str">
        <f t="shared" si="424"/>
        <v/>
      </c>
      <c r="X3425" s="59" t="str">
        <f t="shared" si="428"/>
        <v/>
      </c>
      <c r="AC3425" s="50">
        <f t="shared" si="429"/>
        <v>0</v>
      </c>
      <c r="AD3425" s="43">
        <f t="shared" si="430"/>
        <v>0</v>
      </c>
      <c r="AE3425" s="50">
        <f t="shared" si="431"/>
        <v>0</v>
      </c>
    </row>
    <row r="3426" spans="1:31">
      <c r="A3426" s="59" t="str">
        <f t="shared" si="425"/>
        <v/>
      </c>
      <c r="B3426" s="59" t="str">
        <f t="shared" si="432"/>
        <v/>
      </c>
      <c r="V3426" s="59" t="str">
        <f t="shared" si="427"/>
        <v/>
      </c>
      <c r="W3426" s="59" t="str">
        <f t="shared" si="424"/>
        <v/>
      </c>
      <c r="X3426" s="59" t="str">
        <f t="shared" si="428"/>
        <v/>
      </c>
      <c r="AC3426" s="50">
        <f t="shared" si="429"/>
        <v>0</v>
      </c>
      <c r="AD3426" s="43">
        <f t="shared" si="430"/>
        <v>0</v>
      </c>
      <c r="AE3426" s="50">
        <f t="shared" si="431"/>
        <v>0</v>
      </c>
    </row>
    <row r="3427" spans="1:31">
      <c r="A3427" s="59" t="str">
        <f t="shared" si="425"/>
        <v/>
      </c>
      <c r="B3427" s="59" t="str">
        <f t="shared" si="432"/>
        <v/>
      </c>
      <c r="V3427" s="59" t="str">
        <f t="shared" si="427"/>
        <v/>
      </c>
      <c r="W3427" s="59" t="str">
        <f t="shared" si="424"/>
        <v/>
      </c>
      <c r="X3427" s="59" t="str">
        <f t="shared" si="428"/>
        <v/>
      </c>
      <c r="AC3427" s="50">
        <f t="shared" si="429"/>
        <v>0</v>
      </c>
      <c r="AD3427" s="43">
        <f t="shared" si="430"/>
        <v>0</v>
      </c>
      <c r="AE3427" s="50">
        <f t="shared" si="431"/>
        <v>0</v>
      </c>
    </row>
    <row r="3428" spans="1:31">
      <c r="A3428" s="59" t="str">
        <f t="shared" si="425"/>
        <v/>
      </c>
      <c r="B3428" s="59" t="str">
        <f t="shared" si="432"/>
        <v/>
      </c>
      <c r="V3428" s="59" t="str">
        <f t="shared" si="427"/>
        <v/>
      </c>
      <c r="W3428" s="59" t="str">
        <f t="shared" si="424"/>
        <v/>
      </c>
      <c r="X3428" s="59" t="str">
        <f t="shared" si="428"/>
        <v/>
      </c>
      <c r="AC3428" s="50">
        <f t="shared" si="429"/>
        <v>0</v>
      </c>
      <c r="AD3428" s="43">
        <f t="shared" si="430"/>
        <v>0</v>
      </c>
      <c r="AE3428" s="50">
        <f t="shared" si="431"/>
        <v>0</v>
      </c>
    </row>
    <row r="3429" spans="1:31">
      <c r="A3429" s="59" t="str">
        <f t="shared" si="425"/>
        <v/>
      </c>
      <c r="B3429" s="59" t="str">
        <f t="shared" si="432"/>
        <v/>
      </c>
      <c r="V3429" s="59" t="str">
        <f t="shared" si="427"/>
        <v/>
      </c>
      <c r="W3429" s="59" t="str">
        <f t="shared" si="424"/>
        <v/>
      </c>
      <c r="X3429" s="59" t="str">
        <f t="shared" si="428"/>
        <v/>
      </c>
      <c r="AC3429" s="50">
        <f t="shared" si="429"/>
        <v>0</v>
      </c>
      <c r="AD3429" s="43">
        <f t="shared" si="430"/>
        <v>0</v>
      </c>
      <c r="AE3429" s="50">
        <f t="shared" si="431"/>
        <v>0</v>
      </c>
    </row>
    <row r="3430" spans="1:31">
      <c r="A3430" s="59" t="str">
        <f t="shared" si="425"/>
        <v/>
      </c>
      <c r="B3430" s="59" t="str">
        <f t="shared" si="432"/>
        <v/>
      </c>
      <c r="V3430" s="59" t="str">
        <f t="shared" si="427"/>
        <v/>
      </c>
      <c r="W3430" s="59" t="str">
        <f t="shared" si="424"/>
        <v/>
      </c>
      <c r="X3430" s="59" t="str">
        <f t="shared" si="428"/>
        <v/>
      </c>
      <c r="AC3430" s="50">
        <f t="shared" si="429"/>
        <v>0</v>
      </c>
      <c r="AD3430" s="43">
        <f t="shared" si="430"/>
        <v>0</v>
      </c>
      <c r="AE3430" s="50">
        <f t="shared" si="431"/>
        <v>0</v>
      </c>
    </row>
    <row r="3431" spans="1:31">
      <c r="A3431" s="59" t="str">
        <f t="shared" si="425"/>
        <v/>
      </c>
      <c r="B3431" s="59" t="str">
        <f t="shared" si="432"/>
        <v/>
      </c>
      <c r="V3431" s="59" t="str">
        <f t="shared" si="427"/>
        <v/>
      </c>
      <c r="W3431" s="59" t="str">
        <f t="shared" si="424"/>
        <v/>
      </c>
      <c r="X3431" s="59" t="str">
        <f t="shared" si="428"/>
        <v/>
      </c>
      <c r="AC3431" s="50">
        <f t="shared" si="429"/>
        <v>0</v>
      </c>
      <c r="AD3431" s="43">
        <f t="shared" si="430"/>
        <v>0</v>
      </c>
      <c r="AE3431" s="50">
        <f t="shared" si="431"/>
        <v>0</v>
      </c>
    </row>
    <row r="3432" spans="1:31">
      <c r="A3432" s="59" t="str">
        <f t="shared" si="425"/>
        <v/>
      </c>
      <c r="B3432" s="59" t="str">
        <f t="shared" si="432"/>
        <v/>
      </c>
      <c r="V3432" s="59" t="str">
        <f t="shared" si="427"/>
        <v/>
      </c>
      <c r="W3432" s="59" t="str">
        <f t="shared" si="424"/>
        <v/>
      </c>
      <c r="X3432" s="59" t="str">
        <f t="shared" si="428"/>
        <v/>
      </c>
      <c r="AC3432" s="50">
        <f t="shared" si="429"/>
        <v>0</v>
      </c>
      <c r="AD3432" s="43">
        <f t="shared" si="430"/>
        <v>0</v>
      </c>
      <c r="AE3432" s="50">
        <f t="shared" si="431"/>
        <v>0</v>
      </c>
    </row>
    <row r="3433" spans="1:31">
      <c r="A3433" s="59" t="str">
        <f t="shared" si="425"/>
        <v/>
      </c>
      <c r="B3433" s="59" t="str">
        <f t="shared" si="432"/>
        <v/>
      </c>
      <c r="V3433" s="59" t="str">
        <f t="shared" si="427"/>
        <v/>
      </c>
      <c r="W3433" s="59" t="str">
        <f t="shared" si="424"/>
        <v/>
      </c>
      <c r="X3433" s="59" t="str">
        <f t="shared" si="428"/>
        <v/>
      </c>
      <c r="AC3433" s="50">
        <f t="shared" si="429"/>
        <v>0</v>
      </c>
      <c r="AD3433" s="43">
        <f t="shared" si="430"/>
        <v>0</v>
      </c>
      <c r="AE3433" s="50">
        <f t="shared" si="431"/>
        <v>0</v>
      </c>
    </row>
    <row r="3434" spans="1:31">
      <c r="A3434" s="59" t="str">
        <f t="shared" si="425"/>
        <v/>
      </c>
      <c r="B3434" s="59" t="str">
        <f t="shared" si="432"/>
        <v/>
      </c>
      <c r="V3434" s="59" t="str">
        <f t="shared" si="427"/>
        <v/>
      </c>
      <c r="W3434" s="59" t="str">
        <f t="shared" si="424"/>
        <v/>
      </c>
      <c r="X3434" s="59" t="str">
        <f t="shared" si="428"/>
        <v/>
      </c>
      <c r="AC3434" s="50">
        <f t="shared" si="429"/>
        <v>0</v>
      </c>
      <c r="AD3434" s="43">
        <f t="shared" si="430"/>
        <v>0</v>
      </c>
      <c r="AE3434" s="50">
        <f t="shared" si="431"/>
        <v>0</v>
      </c>
    </row>
    <row r="3435" spans="1:31">
      <c r="A3435" s="59" t="str">
        <f t="shared" si="425"/>
        <v/>
      </c>
      <c r="B3435" s="59" t="str">
        <f t="shared" si="432"/>
        <v/>
      </c>
      <c r="V3435" s="59" t="str">
        <f t="shared" si="427"/>
        <v/>
      </c>
      <c r="W3435" s="59" t="str">
        <f t="shared" si="424"/>
        <v/>
      </c>
      <c r="X3435" s="59" t="str">
        <f t="shared" si="428"/>
        <v/>
      </c>
      <c r="AC3435" s="50">
        <f t="shared" si="429"/>
        <v>0</v>
      </c>
      <c r="AD3435" s="43">
        <f t="shared" si="430"/>
        <v>0</v>
      </c>
      <c r="AE3435" s="50">
        <f t="shared" si="431"/>
        <v>0</v>
      </c>
    </row>
    <row r="3436" spans="1:31">
      <c r="A3436" s="59" t="str">
        <f t="shared" si="425"/>
        <v/>
      </c>
      <c r="B3436" s="59" t="str">
        <f t="shared" si="432"/>
        <v/>
      </c>
      <c r="V3436" s="59" t="str">
        <f t="shared" si="427"/>
        <v/>
      </c>
      <c r="W3436" s="59" t="str">
        <f t="shared" si="424"/>
        <v/>
      </c>
      <c r="X3436" s="59" t="str">
        <f t="shared" si="428"/>
        <v/>
      </c>
      <c r="AC3436" s="50">
        <f t="shared" si="429"/>
        <v>0</v>
      </c>
      <c r="AD3436" s="43">
        <f t="shared" si="430"/>
        <v>0</v>
      </c>
      <c r="AE3436" s="50">
        <f t="shared" si="431"/>
        <v>0</v>
      </c>
    </row>
    <row r="3437" spans="1:31">
      <c r="A3437" s="59" t="str">
        <f t="shared" si="425"/>
        <v/>
      </c>
      <c r="B3437" s="59" t="str">
        <f t="shared" si="432"/>
        <v/>
      </c>
      <c r="V3437" s="59" t="str">
        <f t="shared" si="427"/>
        <v/>
      </c>
      <c r="W3437" s="59" t="str">
        <f t="shared" si="424"/>
        <v/>
      </c>
      <c r="X3437" s="59" t="str">
        <f t="shared" si="428"/>
        <v/>
      </c>
      <c r="AC3437" s="50">
        <f t="shared" si="429"/>
        <v>0</v>
      </c>
      <c r="AD3437" s="43">
        <f t="shared" si="430"/>
        <v>0</v>
      </c>
      <c r="AE3437" s="50">
        <f t="shared" si="431"/>
        <v>0</v>
      </c>
    </row>
    <row r="3438" spans="1:31">
      <c r="A3438" s="59" t="str">
        <f t="shared" si="425"/>
        <v/>
      </c>
      <c r="B3438" s="59" t="str">
        <f t="shared" si="432"/>
        <v/>
      </c>
      <c r="V3438" s="59" t="str">
        <f t="shared" si="427"/>
        <v/>
      </c>
      <c r="W3438" s="59" t="str">
        <f t="shared" si="424"/>
        <v/>
      </c>
      <c r="X3438" s="59" t="str">
        <f t="shared" si="428"/>
        <v/>
      </c>
      <c r="AC3438" s="50">
        <f t="shared" si="429"/>
        <v>0</v>
      </c>
      <c r="AD3438" s="43">
        <f t="shared" si="430"/>
        <v>0</v>
      </c>
      <c r="AE3438" s="50">
        <f t="shared" si="431"/>
        <v>0</v>
      </c>
    </row>
    <row r="3439" spans="1:31">
      <c r="A3439" s="59" t="str">
        <f t="shared" si="425"/>
        <v/>
      </c>
      <c r="B3439" s="59" t="str">
        <f t="shared" si="432"/>
        <v/>
      </c>
      <c r="V3439" s="59" t="str">
        <f t="shared" si="427"/>
        <v/>
      </c>
      <c r="W3439" s="59" t="str">
        <f t="shared" si="424"/>
        <v/>
      </c>
      <c r="X3439" s="59" t="str">
        <f t="shared" si="428"/>
        <v/>
      </c>
      <c r="AC3439" s="50">
        <f t="shared" si="429"/>
        <v>0</v>
      </c>
      <c r="AD3439" s="43">
        <f t="shared" si="430"/>
        <v>0</v>
      </c>
      <c r="AE3439" s="50">
        <f t="shared" si="431"/>
        <v>0</v>
      </c>
    </row>
    <row r="3440" spans="1:31">
      <c r="A3440" s="59" t="str">
        <f t="shared" si="425"/>
        <v/>
      </c>
      <c r="B3440" s="59" t="str">
        <f t="shared" si="432"/>
        <v/>
      </c>
      <c r="V3440" s="59" t="str">
        <f t="shared" si="427"/>
        <v/>
      </c>
      <c r="W3440" s="59" t="str">
        <f t="shared" si="424"/>
        <v/>
      </c>
      <c r="X3440" s="59" t="str">
        <f t="shared" si="428"/>
        <v/>
      </c>
      <c r="AC3440" s="50">
        <f t="shared" si="429"/>
        <v>0</v>
      </c>
      <c r="AD3440" s="43">
        <f t="shared" si="430"/>
        <v>0</v>
      </c>
      <c r="AE3440" s="50">
        <f t="shared" si="431"/>
        <v>0</v>
      </c>
    </row>
    <row r="3441" spans="1:31">
      <c r="A3441" s="59" t="str">
        <f t="shared" si="425"/>
        <v/>
      </c>
      <c r="B3441" s="59" t="str">
        <f t="shared" si="432"/>
        <v/>
      </c>
      <c r="V3441" s="59" t="str">
        <f t="shared" si="427"/>
        <v/>
      </c>
      <c r="W3441" s="59" t="str">
        <f t="shared" si="424"/>
        <v/>
      </c>
      <c r="X3441" s="59" t="str">
        <f t="shared" si="428"/>
        <v/>
      </c>
      <c r="AC3441" s="50">
        <f t="shared" si="429"/>
        <v>0</v>
      </c>
      <c r="AD3441" s="43">
        <f t="shared" si="430"/>
        <v>0</v>
      </c>
      <c r="AE3441" s="50">
        <f t="shared" si="431"/>
        <v>0</v>
      </c>
    </row>
    <row r="3442" spans="1:31">
      <c r="A3442" s="59" t="str">
        <f t="shared" si="425"/>
        <v/>
      </c>
      <c r="B3442" s="59" t="str">
        <f t="shared" si="432"/>
        <v/>
      </c>
      <c r="V3442" s="59" t="str">
        <f t="shared" si="427"/>
        <v/>
      </c>
      <c r="W3442" s="59" t="str">
        <f t="shared" si="424"/>
        <v/>
      </c>
      <c r="X3442" s="59" t="str">
        <f t="shared" si="428"/>
        <v/>
      </c>
      <c r="AC3442" s="50">
        <f t="shared" si="429"/>
        <v>0</v>
      </c>
      <c r="AD3442" s="43">
        <f t="shared" si="430"/>
        <v>0</v>
      </c>
      <c r="AE3442" s="50">
        <f t="shared" si="431"/>
        <v>0</v>
      </c>
    </row>
    <row r="3443" spans="1:31">
      <c r="A3443" s="59" t="str">
        <f t="shared" si="425"/>
        <v/>
      </c>
      <c r="B3443" s="59" t="str">
        <f t="shared" si="432"/>
        <v/>
      </c>
      <c r="V3443" s="59" t="str">
        <f t="shared" si="427"/>
        <v/>
      </c>
      <c r="W3443" s="59" t="str">
        <f t="shared" si="424"/>
        <v/>
      </c>
      <c r="X3443" s="59" t="str">
        <f t="shared" si="428"/>
        <v/>
      </c>
      <c r="AC3443" s="50">
        <f t="shared" si="429"/>
        <v>0</v>
      </c>
      <c r="AD3443" s="43">
        <f t="shared" si="430"/>
        <v>0</v>
      </c>
      <c r="AE3443" s="50">
        <f t="shared" si="431"/>
        <v>0</v>
      </c>
    </row>
    <row r="3444" spans="1:31">
      <c r="A3444" s="59" t="str">
        <f t="shared" si="425"/>
        <v/>
      </c>
      <c r="B3444" s="59" t="str">
        <f t="shared" si="432"/>
        <v/>
      </c>
      <c r="V3444" s="59" t="str">
        <f t="shared" si="427"/>
        <v/>
      </c>
      <c r="W3444" s="59" t="str">
        <f t="shared" si="424"/>
        <v/>
      </c>
      <c r="X3444" s="59" t="str">
        <f t="shared" si="428"/>
        <v/>
      </c>
      <c r="AC3444" s="50">
        <f t="shared" si="429"/>
        <v>0</v>
      </c>
      <c r="AD3444" s="43">
        <f t="shared" si="430"/>
        <v>0</v>
      </c>
      <c r="AE3444" s="50">
        <f t="shared" si="431"/>
        <v>0</v>
      </c>
    </row>
    <row r="3445" spans="1:31">
      <c r="A3445" s="59" t="str">
        <f t="shared" si="425"/>
        <v/>
      </c>
      <c r="B3445" s="59" t="str">
        <f t="shared" si="432"/>
        <v/>
      </c>
      <c r="V3445" s="59" t="str">
        <f t="shared" si="427"/>
        <v/>
      </c>
      <c r="W3445" s="59" t="str">
        <f t="shared" si="424"/>
        <v/>
      </c>
      <c r="X3445" s="59" t="str">
        <f t="shared" si="428"/>
        <v/>
      </c>
      <c r="AC3445" s="50">
        <f t="shared" si="429"/>
        <v>0</v>
      </c>
      <c r="AD3445" s="43">
        <f t="shared" si="430"/>
        <v>0</v>
      </c>
      <c r="AE3445" s="50">
        <f t="shared" si="431"/>
        <v>0</v>
      </c>
    </row>
    <row r="3446" spans="1:31">
      <c r="A3446" s="59" t="str">
        <f t="shared" si="425"/>
        <v/>
      </c>
      <c r="B3446" s="59" t="str">
        <f t="shared" si="432"/>
        <v/>
      </c>
      <c r="V3446" s="59" t="str">
        <f t="shared" si="427"/>
        <v/>
      </c>
      <c r="W3446" s="59" t="str">
        <f t="shared" si="424"/>
        <v/>
      </c>
      <c r="X3446" s="59" t="str">
        <f t="shared" si="428"/>
        <v/>
      </c>
      <c r="AC3446" s="50">
        <f t="shared" si="429"/>
        <v>0</v>
      </c>
      <c r="AD3446" s="43">
        <f t="shared" si="430"/>
        <v>0</v>
      </c>
      <c r="AE3446" s="50">
        <f t="shared" si="431"/>
        <v>0</v>
      </c>
    </row>
    <row r="3447" spans="1:31">
      <c r="A3447" s="59" t="str">
        <f t="shared" si="425"/>
        <v/>
      </c>
      <c r="B3447" s="59" t="str">
        <f t="shared" si="432"/>
        <v/>
      </c>
      <c r="V3447" s="59" t="str">
        <f t="shared" si="427"/>
        <v/>
      </c>
      <c r="W3447" s="59" t="str">
        <f t="shared" si="424"/>
        <v/>
      </c>
      <c r="X3447" s="59" t="str">
        <f t="shared" si="428"/>
        <v/>
      </c>
      <c r="AC3447" s="50">
        <f t="shared" si="429"/>
        <v>0</v>
      </c>
      <c r="AD3447" s="43">
        <f t="shared" si="430"/>
        <v>0</v>
      </c>
      <c r="AE3447" s="50">
        <f t="shared" si="431"/>
        <v>0</v>
      </c>
    </row>
    <row r="3448" spans="1:31">
      <c r="A3448" s="59" t="str">
        <f t="shared" si="425"/>
        <v/>
      </c>
      <c r="B3448" s="59" t="str">
        <f t="shared" si="432"/>
        <v/>
      </c>
      <c r="V3448" s="59" t="str">
        <f t="shared" si="427"/>
        <v/>
      </c>
      <c r="W3448" s="59" t="str">
        <f t="shared" si="424"/>
        <v/>
      </c>
      <c r="X3448" s="59" t="str">
        <f t="shared" si="428"/>
        <v/>
      </c>
      <c r="AC3448" s="50">
        <f t="shared" si="429"/>
        <v>0</v>
      </c>
      <c r="AD3448" s="43">
        <f t="shared" si="430"/>
        <v>0</v>
      </c>
      <c r="AE3448" s="50">
        <f t="shared" si="431"/>
        <v>0</v>
      </c>
    </row>
    <row r="3449" spans="1:31">
      <c r="A3449" s="59" t="str">
        <f t="shared" si="425"/>
        <v/>
      </c>
      <c r="B3449" s="59" t="str">
        <f t="shared" si="432"/>
        <v/>
      </c>
      <c r="V3449" s="59" t="str">
        <f t="shared" si="427"/>
        <v/>
      </c>
      <c r="W3449" s="59" t="str">
        <f t="shared" si="424"/>
        <v/>
      </c>
      <c r="X3449" s="59" t="str">
        <f t="shared" si="428"/>
        <v/>
      </c>
      <c r="AC3449" s="50">
        <f t="shared" si="429"/>
        <v>0</v>
      </c>
      <c r="AD3449" s="43">
        <f t="shared" si="430"/>
        <v>0</v>
      </c>
      <c r="AE3449" s="50">
        <f t="shared" si="431"/>
        <v>0</v>
      </c>
    </row>
    <row r="3450" spans="1:31">
      <c r="A3450" s="59" t="str">
        <f t="shared" si="425"/>
        <v/>
      </c>
      <c r="B3450" s="59" t="str">
        <f t="shared" si="432"/>
        <v/>
      </c>
      <c r="V3450" s="59" t="str">
        <f t="shared" si="427"/>
        <v/>
      </c>
      <c r="W3450" s="59" t="str">
        <f t="shared" si="424"/>
        <v/>
      </c>
      <c r="X3450" s="59" t="str">
        <f t="shared" si="428"/>
        <v/>
      </c>
      <c r="AC3450" s="50">
        <f t="shared" si="429"/>
        <v>0</v>
      </c>
      <c r="AD3450" s="43">
        <f t="shared" si="430"/>
        <v>0</v>
      </c>
      <c r="AE3450" s="50">
        <f t="shared" si="431"/>
        <v>0</v>
      </c>
    </row>
    <row r="3451" spans="1:31">
      <c r="A3451" s="59" t="str">
        <f t="shared" si="425"/>
        <v/>
      </c>
      <c r="B3451" s="59" t="str">
        <f t="shared" si="432"/>
        <v/>
      </c>
      <c r="V3451" s="59" t="str">
        <f t="shared" si="427"/>
        <v/>
      </c>
      <c r="W3451" s="59" t="str">
        <f t="shared" si="424"/>
        <v/>
      </c>
      <c r="X3451" s="59" t="str">
        <f t="shared" si="428"/>
        <v/>
      </c>
      <c r="AC3451" s="50">
        <f t="shared" si="429"/>
        <v>0</v>
      </c>
      <c r="AD3451" s="43">
        <f t="shared" si="430"/>
        <v>0</v>
      </c>
      <c r="AE3451" s="50">
        <f t="shared" si="431"/>
        <v>0</v>
      </c>
    </row>
    <row r="3452" spans="1:31">
      <c r="A3452" s="59" t="str">
        <f t="shared" si="425"/>
        <v/>
      </c>
      <c r="B3452" s="59" t="str">
        <f t="shared" si="432"/>
        <v/>
      </c>
      <c r="V3452" s="59" t="str">
        <f t="shared" si="427"/>
        <v/>
      </c>
      <c r="W3452" s="59" t="str">
        <f t="shared" si="424"/>
        <v/>
      </c>
      <c r="X3452" s="59" t="str">
        <f t="shared" si="428"/>
        <v/>
      </c>
      <c r="AC3452" s="50">
        <f t="shared" si="429"/>
        <v>0</v>
      </c>
      <c r="AD3452" s="43">
        <f t="shared" si="430"/>
        <v>0</v>
      </c>
      <c r="AE3452" s="50">
        <f t="shared" si="431"/>
        <v>0</v>
      </c>
    </row>
    <row r="3453" spans="1:31">
      <c r="A3453" s="59" t="str">
        <f t="shared" si="425"/>
        <v/>
      </c>
      <c r="B3453" s="59" t="str">
        <f t="shared" si="432"/>
        <v/>
      </c>
      <c r="V3453" s="59" t="str">
        <f t="shared" si="427"/>
        <v/>
      </c>
      <c r="W3453" s="59" t="str">
        <f t="shared" si="424"/>
        <v/>
      </c>
      <c r="X3453" s="59" t="str">
        <f t="shared" si="428"/>
        <v/>
      </c>
      <c r="AC3453" s="50">
        <f t="shared" si="429"/>
        <v>0</v>
      </c>
      <c r="AD3453" s="43">
        <f t="shared" si="430"/>
        <v>0</v>
      </c>
      <c r="AE3453" s="50">
        <f t="shared" si="431"/>
        <v>0</v>
      </c>
    </row>
    <row r="3454" spans="1:31">
      <c r="A3454" s="59" t="str">
        <f t="shared" si="425"/>
        <v/>
      </c>
      <c r="B3454" s="59" t="str">
        <f t="shared" si="432"/>
        <v/>
      </c>
      <c r="V3454" s="59" t="str">
        <f t="shared" si="427"/>
        <v/>
      </c>
      <c r="W3454" s="59" t="str">
        <f t="shared" si="424"/>
        <v/>
      </c>
      <c r="X3454" s="59" t="str">
        <f t="shared" si="428"/>
        <v/>
      </c>
      <c r="AC3454" s="50">
        <f t="shared" si="429"/>
        <v>0</v>
      </c>
      <c r="AD3454" s="43">
        <f t="shared" si="430"/>
        <v>0</v>
      </c>
      <c r="AE3454" s="50">
        <f t="shared" si="431"/>
        <v>0</v>
      </c>
    </row>
    <row r="3455" spans="1:31">
      <c r="A3455" s="59" t="str">
        <f t="shared" si="425"/>
        <v/>
      </c>
      <c r="B3455" s="59" t="str">
        <f t="shared" si="432"/>
        <v/>
      </c>
      <c r="V3455" s="59" t="str">
        <f t="shared" si="427"/>
        <v/>
      </c>
      <c r="W3455" s="59" t="str">
        <f t="shared" si="424"/>
        <v/>
      </c>
      <c r="X3455" s="59" t="str">
        <f t="shared" si="428"/>
        <v/>
      </c>
      <c r="AC3455" s="50">
        <f t="shared" si="429"/>
        <v>0</v>
      </c>
      <c r="AD3455" s="43">
        <f t="shared" si="430"/>
        <v>0</v>
      </c>
      <c r="AE3455" s="50">
        <f t="shared" si="431"/>
        <v>0</v>
      </c>
    </row>
    <row r="3456" spans="1:31">
      <c r="A3456" s="59" t="str">
        <f t="shared" si="425"/>
        <v/>
      </c>
      <c r="B3456" s="59" t="str">
        <f t="shared" si="432"/>
        <v/>
      </c>
      <c r="V3456" s="59" t="str">
        <f t="shared" si="427"/>
        <v/>
      </c>
      <c r="W3456" s="59" t="str">
        <f t="shared" si="424"/>
        <v/>
      </c>
      <c r="X3456" s="59" t="str">
        <f t="shared" si="428"/>
        <v/>
      </c>
      <c r="AC3456" s="50">
        <f t="shared" si="429"/>
        <v>0</v>
      </c>
      <c r="AD3456" s="43">
        <f t="shared" si="430"/>
        <v>0</v>
      </c>
      <c r="AE3456" s="50">
        <f t="shared" si="431"/>
        <v>0</v>
      </c>
    </row>
    <row r="3457" spans="1:31">
      <c r="A3457" s="59" t="str">
        <f t="shared" si="425"/>
        <v/>
      </c>
      <c r="B3457" s="59" t="str">
        <f t="shared" si="432"/>
        <v/>
      </c>
      <c r="V3457" s="59" t="str">
        <f t="shared" si="427"/>
        <v/>
      </c>
      <c r="W3457" s="59" t="str">
        <f t="shared" si="424"/>
        <v/>
      </c>
      <c r="X3457" s="59" t="str">
        <f t="shared" si="428"/>
        <v/>
      </c>
      <c r="AC3457" s="50">
        <f t="shared" si="429"/>
        <v>0</v>
      </c>
      <c r="AD3457" s="43">
        <f t="shared" si="430"/>
        <v>0</v>
      </c>
      <c r="AE3457" s="50">
        <f t="shared" si="431"/>
        <v>0</v>
      </c>
    </row>
    <row r="3458" spans="1:31">
      <c r="A3458" s="59" t="str">
        <f t="shared" si="425"/>
        <v/>
      </c>
      <c r="B3458" s="59" t="str">
        <f t="shared" si="432"/>
        <v/>
      </c>
      <c r="V3458" s="59" t="str">
        <f t="shared" si="427"/>
        <v/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59" t="str">
        <f t="shared" si="428"/>
        <v/>
      </c>
      <c r="AC3458" s="50">
        <f t="shared" si="429"/>
        <v>0</v>
      </c>
      <c r="AD3458" s="43">
        <f t="shared" si="430"/>
        <v>0</v>
      </c>
      <c r="AE3458" s="50">
        <f t="shared" si="431"/>
        <v>0</v>
      </c>
    </row>
    <row r="3459" spans="1:31">
      <c r="A3459" s="59" t="str">
        <f t="shared" ref="A3459:A3522" si="434">IF(G3459&amp;Q3459&lt;&gt;"",W3459&amp;Q3459,"")</f>
        <v/>
      </c>
      <c r="B3459" s="59" t="str">
        <f t="shared" si="432"/>
        <v/>
      </c>
      <c r="V3459" s="59" t="str">
        <f t="shared" ref="V3459:V3522" si="435">W3459&amp;H3459</f>
        <v/>
      </c>
      <c r="W3459" s="59" t="str">
        <f t="shared" si="433"/>
        <v/>
      </c>
      <c r="X3459" s="59" t="str">
        <f t="shared" ref="X3459:X3522" si="436">IF(A3459&lt;&gt;"",IFERROR(IF(FIND(" ",G3459)&gt;=1,MID(G3459,FIND(" ",G3459)+1,LEN(G3459)),""),""),"")</f>
        <v/>
      </c>
      <c r="AC3459" s="50">
        <f t="shared" ref="AC3459:AC3522" si="437">IFERROR(VALUE(MID($C3459,1,2)),0)</f>
        <v>0</v>
      </c>
      <c r="AD3459" s="43">
        <f t="shared" ref="AD3459:AD3522" si="438">IFERROR(VALUE(MID($C3459,4,3)),0)</f>
        <v>0</v>
      </c>
      <c r="AE3459" s="50">
        <f t="shared" ref="AE3459:AE3522" si="439">VALUE(RIGHT("00"&amp;AC3459,2)&amp;RIGHT("000"&amp;AD3459,3))</f>
        <v>0</v>
      </c>
    </row>
    <row r="3460" spans="1:31">
      <c r="A3460" s="59" t="str">
        <f t="shared" si="434"/>
        <v/>
      </c>
      <c r="B3460" s="59" t="str">
        <f t="shared" si="432"/>
        <v/>
      </c>
      <c r="V3460" s="59" t="str">
        <f t="shared" si="435"/>
        <v/>
      </c>
      <c r="W3460" s="59" t="str">
        <f t="shared" si="433"/>
        <v/>
      </c>
      <c r="X3460" s="59" t="str">
        <f t="shared" si="436"/>
        <v/>
      </c>
      <c r="AC3460" s="50">
        <f t="shared" si="437"/>
        <v>0</v>
      </c>
      <c r="AD3460" s="43">
        <f t="shared" si="438"/>
        <v>0</v>
      </c>
      <c r="AE3460" s="50">
        <f t="shared" si="439"/>
        <v>0</v>
      </c>
    </row>
    <row r="3461" spans="1:31">
      <c r="A3461" s="59" t="str">
        <f t="shared" si="434"/>
        <v/>
      </c>
      <c r="B3461" s="59" t="str">
        <f t="shared" si="432"/>
        <v/>
      </c>
      <c r="V3461" s="59" t="str">
        <f t="shared" si="435"/>
        <v/>
      </c>
      <c r="W3461" s="59" t="str">
        <f t="shared" si="433"/>
        <v/>
      </c>
      <c r="X3461" s="59" t="str">
        <f t="shared" si="436"/>
        <v/>
      </c>
      <c r="AC3461" s="50">
        <f t="shared" si="437"/>
        <v>0</v>
      </c>
      <c r="AD3461" s="43">
        <f t="shared" si="438"/>
        <v>0</v>
      </c>
      <c r="AE3461" s="50">
        <f t="shared" si="439"/>
        <v>0</v>
      </c>
    </row>
    <row r="3462" spans="1:31">
      <c r="A3462" s="59" t="str">
        <f t="shared" si="434"/>
        <v/>
      </c>
      <c r="B3462" s="59" t="str">
        <f t="shared" si="432"/>
        <v/>
      </c>
      <c r="V3462" s="59" t="str">
        <f t="shared" si="435"/>
        <v/>
      </c>
      <c r="W3462" s="59" t="str">
        <f t="shared" si="433"/>
        <v/>
      </c>
      <c r="X3462" s="59" t="str">
        <f t="shared" si="436"/>
        <v/>
      </c>
      <c r="AC3462" s="50">
        <f t="shared" si="437"/>
        <v>0</v>
      </c>
      <c r="AD3462" s="43">
        <f t="shared" si="438"/>
        <v>0</v>
      </c>
      <c r="AE3462" s="50">
        <f t="shared" si="439"/>
        <v>0</v>
      </c>
    </row>
    <row r="3463" spans="1:31">
      <c r="A3463" s="59" t="str">
        <f t="shared" si="434"/>
        <v/>
      </c>
      <c r="B3463" s="59" t="str">
        <f t="shared" si="432"/>
        <v/>
      </c>
      <c r="V3463" s="59" t="str">
        <f t="shared" si="435"/>
        <v/>
      </c>
      <c r="W3463" s="59" t="str">
        <f t="shared" si="433"/>
        <v/>
      </c>
      <c r="X3463" s="59" t="str">
        <f t="shared" si="436"/>
        <v/>
      </c>
      <c r="AC3463" s="50">
        <f t="shared" si="437"/>
        <v>0</v>
      </c>
      <c r="AD3463" s="43">
        <f t="shared" si="438"/>
        <v>0</v>
      </c>
      <c r="AE3463" s="50">
        <f t="shared" si="439"/>
        <v>0</v>
      </c>
    </row>
    <row r="3464" spans="1:31">
      <c r="A3464" s="59" t="str">
        <f t="shared" si="434"/>
        <v/>
      </c>
      <c r="B3464" s="59" t="str">
        <f t="shared" si="432"/>
        <v/>
      </c>
      <c r="V3464" s="59" t="str">
        <f t="shared" si="435"/>
        <v/>
      </c>
      <c r="W3464" s="59" t="str">
        <f t="shared" si="433"/>
        <v/>
      </c>
      <c r="X3464" s="59" t="str">
        <f t="shared" si="436"/>
        <v/>
      </c>
      <c r="AC3464" s="50">
        <f t="shared" si="437"/>
        <v>0</v>
      </c>
      <c r="AD3464" s="43">
        <f t="shared" si="438"/>
        <v>0</v>
      </c>
      <c r="AE3464" s="50">
        <f t="shared" si="439"/>
        <v>0</v>
      </c>
    </row>
    <row r="3465" spans="1:31">
      <c r="A3465" s="59" t="str">
        <f t="shared" si="434"/>
        <v/>
      </c>
      <c r="B3465" s="59" t="str">
        <f t="shared" si="432"/>
        <v/>
      </c>
      <c r="V3465" s="59" t="str">
        <f t="shared" si="435"/>
        <v/>
      </c>
      <c r="W3465" s="59" t="str">
        <f t="shared" si="433"/>
        <v/>
      </c>
      <c r="X3465" s="59" t="str">
        <f t="shared" si="436"/>
        <v/>
      </c>
      <c r="AC3465" s="50">
        <f t="shared" si="437"/>
        <v>0</v>
      </c>
      <c r="AD3465" s="43">
        <f t="shared" si="438"/>
        <v>0</v>
      </c>
      <c r="AE3465" s="50">
        <f t="shared" si="439"/>
        <v>0</v>
      </c>
    </row>
    <row r="3466" spans="1:31">
      <c r="A3466" s="59" t="str">
        <f t="shared" si="434"/>
        <v/>
      </c>
      <c r="B3466" s="59" t="str">
        <f t="shared" si="432"/>
        <v/>
      </c>
      <c r="V3466" s="59" t="str">
        <f t="shared" si="435"/>
        <v/>
      </c>
      <c r="W3466" s="59" t="str">
        <f t="shared" si="433"/>
        <v/>
      </c>
      <c r="X3466" s="59" t="str">
        <f t="shared" si="436"/>
        <v/>
      </c>
      <c r="AC3466" s="50">
        <f t="shared" si="437"/>
        <v>0</v>
      </c>
      <c r="AD3466" s="43">
        <f t="shared" si="438"/>
        <v>0</v>
      </c>
      <c r="AE3466" s="50">
        <f t="shared" si="439"/>
        <v>0</v>
      </c>
    </row>
    <row r="3467" spans="1:31">
      <c r="A3467" s="59" t="str">
        <f t="shared" si="434"/>
        <v/>
      </c>
      <c r="B3467" s="59" t="str">
        <f t="shared" si="432"/>
        <v/>
      </c>
      <c r="V3467" s="59" t="str">
        <f t="shared" si="435"/>
        <v/>
      </c>
      <c r="W3467" s="59" t="str">
        <f t="shared" si="433"/>
        <v/>
      </c>
      <c r="X3467" s="59" t="str">
        <f t="shared" si="436"/>
        <v/>
      </c>
      <c r="AC3467" s="50">
        <f t="shared" si="437"/>
        <v>0</v>
      </c>
      <c r="AD3467" s="43">
        <f t="shared" si="438"/>
        <v>0</v>
      </c>
      <c r="AE3467" s="50">
        <f t="shared" si="439"/>
        <v>0</v>
      </c>
    </row>
    <row r="3468" spans="1:31">
      <c r="A3468" s="59" t="str">
        <f t="shared" si="434"/>
        <v/>
      </c>
      <c r="B3468" s="59" t="str">
        <f t="shared" si="432"/>
        <v/>
      </c>
      <c r="V3468" s="59" t="str">
        <f t="shared" si="435"/>
        <v/>
      </c>
      <c r="W3468" s="59" t="str">
        <f t="shared" si="433"/>
        <v/>
      </c>
      <c r="X3468" s="59" t="str">
        <f t="shared" si="436"/>
        <v/>
      </c>
      <c r="AC3468" s="50">
        <f t="shared" si="437"/>
        <v>0</v>
      </c>
      <c r="AD3468" s="43">
        <f t="shared" si="438"/>
        <v>0</v>
      </c>
      <c r="AE3468" s="50">
        <f t="shared" si="439"/>
        <v>0</v>
      </c>
    </row>
    <row r="3469" spans="1:31">
      <c r="A3469" s="59" t="str">
        <f t="shared" si="434"/>
        <v/>
      </c>
      <c r="B3469" s="59" t="str">
        <f t="shared" si="432"/>
        <v/>
      </c>
      <c r="V3469" s="59" t="str">
        <f t="shared" si="435"/>
        <v/>
      </c>
      <c r="W3469" s="59" t="str">
        <f t="shared" si="433"/>
        <v/>
      </c>
      <c r="X3469" s="59" t="str">
        <f t="shared" si="436"/>
        <v/>
      </c>
      <c r="AC3469" s="50">
        <f t="shared" si="437"/>
        <v>0</v>
      </c>
      <c r="AD3469" s="43">
        <f t="shared" si="438"/>
        <v>0</v>
      </c>
      <c r="AE3469" s="50">
        <f t="shared" si="439"/>
        <v>0</v>
      </c>
    </row>
    <row r="3470" spans="1:31">
      <c r="A3470" s="59" t="str">
        <f t="shared" si="434"/>
        <v/>
      </c>
      <c r="B3470" s="59" t="str">
        <f t="shared" si="432"/>
        <v/>
      </c>
      <c r="V3470" s="59" t="str">
        <f t="shared" si="435"/>
        <v/>
      </c>
      <c r="W3470" s="59" t="str">
        <f t="shared" si="433"/>
        <v/>
      </c>
      <c r="X3470" s="59" t="str">
        <f t="shared" si="436"/>
        <v/>
      </c>
      <c r="AC3470" s="50">
        <f t="shared" si="437"/>
        <v>0</v>
      </c>
      <c r="AD3470" s="43">
        <f t="shared" si="438"/>
        <v>0</v>
      </c>
      <c r="AE3470" s="50">
        <f t="shared" si="439"/>
        <v>0</v>
      </c>
    </row>
    <row r="3471" spans="1:31">
      <c r="A3471" s="59" t="str">
        <f t="shared" si="434"/>
        <v/>
      </c>
      <c r="B3471" s="59" t="str">
        <f t="shared" si="432"/>
        <v/>
      </c>
      <c r="V3471" s="59" t="str">
        <f t="shared" si="435"/>
        <v/>
      </c>
      <c r="W3471" s="59" t="str">
        <f t="shared" si="433"/>
        <v/>
      </c>
      <c r="X3471" s="59" t="str">
        <f t="shared" si="436"/>
        <v/>
      </c>
      <c r="AC3471" s="50">
        <f t="shared" si="437"/>
        <v>0</v>
      </c>
      <c r="AD3471" s="43">
        <f t="shared" si="438"/>
        <v>0</v>
      </c>
      <c r="AE3471" s="50">
        <f t="shared" si="439"/>
        <v>0</v>
      </c>
    </row>
    <row r="3472" spans="1:31">
      <c r="A3472" s="59" t="str">
        <f t="shared" si="434"/>
        <v/>
      </c>
      <c r="B3472" s="59" t="str">
        <f t="shared" si="432"/>
        <v/>
      </c>
      <c r="V3472" s="59" t="str">
        <f t="shared" si="435"/>
        <v/>
      </c>
      <c r="W3472" s="59" t="str">
        <f t="shared" si="433"/>
        <v/>
      </c>
      <c r="X3472" s="59" t="str">
        <f t="shared" si="436"/>
        <v/>
      </c>
      <c r="AC3472" s="50">
        <f t="shared" si="437"/>
        <v>0</v>
      </c>
      <c r="AD3472" s="43">
        <f t="shared" si="438"/>
        <v>0</v>
      </c>
      <c r="AE3472" s="50">
        <f t="shared" si="439"/>
        <v>0</v>
      </c>
    </row>
    <row r="3473" spans="1:31">
      <c r="A3473" s="59" t="str">
        <f t="shared" si="434"/>
        <v/>
      </c>
      <c r="B3473" s="59" t="str">
        <f t="shared" si="432"/>
        <v/>
      </c>
      <c r="V3473" s="59" t="str">
        <f t="shared" si="435"/>
        <v/>
      </c>
      <c r="W3473" s="59" t="str">
        <f t="shared" si="433"/>
        <v/>
      </c>
      <c r="X3473" s="59" t="str">
        <f t="shared" si="436"/>
        <v/>
      </c>
      <c r="AC3473" s="50">
        <f t="shared" si="437"/>
        <v>0</v>
      </c>
      <c r="AD3473" s="43">
        <f t="shared" si="438"/>
        <v>0</v>
      </c>
      <c r="AE3473" s="50">
        <f t="shared" si="439"/>
        <v>0</v>
      </c>
    </row>
    <row r="3474" spans="1:31">
      <c r="A3474" s="59" t="str">
        <f t="shared" si="434"/>
        <v/>
      </c>
      <c r="B3474" s="59" t="str">
        <f t="shared" si="432"/>
        <v/>
      </c>
      <c r="V3474" s="59" t="str">
        <f t="shared" si="435"/>
        <v/>
      </c>
      <c r="W3474" s="59" t="str">
        <f t="shared" si="433"/>
        <v/>
      </c>
      <c r="X3474" s="59" t="str">
        <f t="shared" si="436"/>
        <v/>
      </c>
      <c r="AC3474" s="50">
        <f t="shared" si="437"/>
        <v>0</v>
      </c>
      <c r="AD3474" s="43">
        <f t="shared" si="438"/>
        <v>0</v>
      </c>
      <c r="AE3474" s="50">
        <f t="shared" si="439"/>
        <v>0</v>
      </c>
    </row>
    <row r="3475" spans="1:31">
      <c r="A3475" s="59" t="str">
        <f t="shared" si="434"/>
        <v/>
      </c>
      <c r="B3475" s="59" t="str">
        <f t="shared" si="432"/>
        <v/>
      </c>
      <c r="V3475" s="59" t="str">
        <f t="shared" si="435"/>
        <v/>
      </c>
      <c r="W3475" s="59" t="str">
        <f t="shared" si="433"/>
        <v/>
      </c>
      <c r="X3475" s="59" t="str">
        <f t="shared" si="436"/>
        <v/>
      </c>
      <c r="AC3475" s="50">
        <f t="shared" si="437"/>
        <v>0</v>
      </c>
      <c r="AD3475" s="43">
        <f t="shared" si="438"/>
        <v>0</v>
      </c>
      <c r="AE3475" s="50">
        <f t="shared" si="439"/>
        <v>0</v>
      </c>
    </row>
    <row r="3476" spans="1:31">
      <c r="A3476" s="59" t="str">
        <f t="shared" si="434"/>
        <v/>
      </c>
      <c r="B3476" s="59" t="str">
        <f t="shared" si="432"/>
        <v/>
      </c>
      <c r="V3476" s="59" t="str">
        <f t="shared" si="435"/>
        <v/>
      </c>
      <c r="W3476" s="59" t="str">
        <f t="shared" si="433"/>
        <v/>
      </c>
      <c r="X3476" s="59" t="str">
        <f t="shared" si="436"/>
        <v/>
      </c>
      <c r="AC3476" s="50">
        <f t="shared" si="437"/>
        <v>0</v>
      </c>
      <c r="AD3476" s="43">
        <f t="shared" si="438"/>
        <v>0</v>
      </c>
      <c r="AE3476" s="50">
        <f t="shared" si="439"/>
        <v>0</v>
      </c>
    </row>
    <row r="3477" spans="1:31">
      <c r="A3477" s="59" t="str">
        <f t="shared" si="434"/>
        <v/>
      </c>
      <c r="B3477" s="59" t="str">
        <f t="shared" si="432"/>
        <v/>
      </c>
      <c r="V3477" s="59" t="str">
        <f t="shared" si="435"/>
        <v/>
      </c>
      <c r="W3477" s="59" t="str">
        <f t="shared" si="433"/>
        <v/>
      </c>
      <c r="X3477" s="59" t="str">
        <f t="shared" si="436"/>
        <v/>
      </c>
      <c r="AC3477" s="50">
        <f t="shared" si="437"/>
        <v>0</v>
      </c>
      <c r="AD3477" s="43">
        <f t="shared" si="438"/>
        <v>0</v>
      </c>
      <c r="AE3477" s="50">
        <f t="shared" si="439"/>
        <v>0</v>
      </c>
    </row>
    <row r="3478" spans="1:31">
      <c r="A3478" s="59" t="str">
        <f t="shared" si="434"/>
        <v/>
      </c>
      <c r="B3478" s="59" t="str">
        <f t="shared" si="432"/>
        <v/>
      </c>
      <c r="V3478" s="59" t="str">
        <f t="shared" si="435"/>
        <v/>
      </c>
      <c r="W3478" s="59" t="str">
        <f t="shared" si="433"/>
        <v/>
      </c>
      <c r="X3478" s="59" t="str">
        <f t="shared" si="436"/>
        <v/>
      </c>
      <c r="AC3478" s="50">
        <f t="shared" si="437"/>
        <v>0</v>
      </c>
      <c r="AD3478" s="43">
        <f t="shared" si="438"/>
        <v>0</v>
      </c>
      <c r="AE3478" s="50">
        <f t="shared" si="439"/>
        <v>0</v>
      </c>
    </row>
    <row r="3479" spans="1:31">
      <c r="A3479" s="59" t="str">
        <f t="shared" si="434"/>
        <v/>
      </c>
      <c r="B3479" s="59" t="str">
        <f t="shared" si="432"/>
        <v/>
      </c>
      <c r="V3479" s="59" t="str">
        <f t="shared" si="435"/>
        <v/>
      </c>
      <c r="W3479" s="59" t="str">
        <f t="shared" si="433"/>
        <v/>
      </c>
      <c r="X3479" s="59" t="str">
        <f t="shared" si="436"/>
        <v/>
      </c>
      <c r="AC3479" s="50">
        <f t="shared" si="437"/>
        <v>0</v>
      </c>
      <c r="AD3479" s="43">
        <f t="shared" si="438"/>
        <v>0</v>
      </c>
      <c r="AE3479" s="50">
        <f t="shared" si="439"/>
        <v>0</v>
      </c>
    </row>
    <row r="3480" spans="1:31">
      <c r="A3480" s="59" t="str">
        <f t="shared" si="434"/>
        <v/>
      </c>
      <c r="B3480" s="59" t="str">
        <f t="shared" si="432"/>
        <v/>
      </c>
      <c r="V3480" s="59" t="str">
        <f t="shared" si="435"/>
        <v/>
      </c>
      <c r="W3480" s="59" t="str">
        <f t="shared" si="433"/>
        <v/>
      </c>
      <c r="X3480" s="59" t="str">
        <f t="shared" si="436"/>
        <v/>
      </c>
      <c r="AC3480" s="50">
        <f t="shared" si="437"/>
        <v>0</v>
      </c>
      <c r="AD3480" s="43">
        <f t="shared" si="438"/>
        <v>0</v>
      </c>
      <c r="AE3480" s="50">
        <f t="shared" si="439"/>
        <v>0</v>
      </c>
    </row>
    <row r="3481" spans="1:31">
      <c r="A3481" s="59" t="str">
        <f t="shared" si="434"/>
        <v/>
      </c>
      <c r="B3481" s="59" t="str">
        <f t="shared" si="432"/>
        <v/>
      </c>
      <c r="V3481" s="59" t="str">
        <f t="shared" si="435"/>
        <v/>
      </c>
      <c r="W3481" s="59" t="str">
        <f t="shared" si="433"/>
        <v/>
      </c>
      <c r="X3481" s="59" t="str">
        <f t="shared" si="436"/>
        <v/>
      </c>
      <c r="AC3481" s="50">
        <f t="shared" si="437"/>
        <v>0</v>
      </c>
      <c r="AD3481" s="43">
        <f t="shared" si="438"/>
        <v>0</v>
      </c>
      <c r="AE3481" s="50">
        <f t="shared" si="439"/>
        <v>0</v>
      </c>
    </row>
    <row r="3482" spans="1:31">
      <c r="A3482" s="59" t="str">
        <f t="shared" si="434"/>
        <v/>
      </c>
      <c r="B3482" s="59" t="str">
        <f t="shared" si="432"/>
        <v/>
      </c>
      <c r="V3482" s="59" t="str">
        <f t="shared" si="435"/>
        <v/>
      </c>
      <c r="W3482" s="59" t="str">
        <f t="shared" si="433"/>
        <v/>
      </c>
      <c r="X3482" s="59" t="str">
        <f t="shared" si="436"/>
        <v/>
      </c>
      <c r="AC3482" s="50">
        <f t="shared" si="437"/>
        <v>0</v>
      </c>
      <c r="AD3482" s="43">
        <f t="shared" si="438"/>
        <v>0</v>
      </c>
      <c r="AE3482" s="50">
        <f t="shared" si="439"/>
        <v>0</v>
      </c>
    </row>
    <row r="3483" spans="1:31">
      <c r="A3483" s="59" t="str">
        <f t="shared" si="434"/>
        <v/>
      </c>
      <c r="B3483" s="59" t="str">
        <f t="shared" si="432"/>
        <v/>
      </c>
      <c r="V3483" s="59" t="str">
        <f t="shared" si="435"/>
        <v/>
      </c>
      <c r="W3483" s="59" t="str">
        <f t="shared" si="433"/>
        <v/>
      </c>
      <c r="X3483" s="59" t="str">
        <f t="shared" si="436"/>
        <v/>
      </c>
      <c r="AC3483" s="50">
        <f t="shared" si="437"/>
        <v>0</v>
      </c>
      <c r="AD3483" s="43">
        <f t="shared" si="438"/>
        <v>0</v>
      </c>
      <c r="AE3483" s="50">
        <f t="shared" si="439"/>
        <v>0</v>
      </c>
    </row>
    <row r="3484" spans="1:31">
      <c r="A3484" s="59" t="str">
        <f t="shared" si="434"/>
        <v/>
      </c>
      <c r="B3484" s="59" t="str">
        <f t="shared" si="432"/>
        <v/>
      </c>
      <c r="V3484" s="59" t="str">
        <f t="shared" si="435"/>
        <v/>
      </c>
      <c r="W3484" s="59" t="str">
        <f t="shared" si="433"/>
        <v/>
      </c>
      <c r="X3484" s="59" t="str">
        <f t="shared" si="436"/>
        <v/>
      </c>
      <c r="AC3484" s="50">
        <f t="shared" si="437"/>
        <v>0</v>
      </c>
      <c r="AD3484" s="43">
        <f t="shared" si="438"/>
        <v>0</v>
      </c>
      <c r="AE3484" s="50">
        <f t="shared" si="439"/>
        <v>0</v>
      </c>
    </row>
    <row r="3485" spans="1:31">
      <c r="A3485" s="59" t="str">
        <f t="shared" si="434"/>
        <v/>
      </c>
      <c r="B3485" s="59" t="str">
        <f t="shared" si="432"/>
        <v/>
      </c>
      <c r="V3485" s="59" t="str">
        <f t="shared" si="435"/>
        <v/>
      </c>
      <c r="W3485" s="59" t="str">
        <f t="shared" si="433"/>
        <v/>
      </c>
      <c r="X3485" s="59" t="str">
        <f t="shared" si="436"/>
        <v/>
      </c>
      <c r="AC3485" s="50">
        <f t="shared" si="437"/>
        <v>0</v>
      </c>
      <c r="AD3485" s="43">
        <f t="shared" si="438"/>
        <v>0</v>
      </c>
      <c r="AE3485" s="50">
        <f t="shared" si="439"/>
        <v>0</v>
      </c>
    </row>
    <row r="3486" spans="1:31">
      <c r="A3486" s="59" t="str">
        <f t="shared" si="434"/>
        <v/>
      </c>
      <c r="B3486" s="59" t="str">
        <f t="shared" si="432"/>
        <v/>
      </c>
      <c r="V3486" s="59" t="str">
        <f t="shared" si="435"/>
        <v/>
      </c>
      <c r="W3486" s="59" t="str">
        <f t="shared" si="433"/>
        <v/>
      </c>
      <c r="X3486" s="59" t="str">
        <f t="shared" si="436"/>
        <v/>
      </c>
      <c r="AC3486" s="50">
        <f t="shared" si="437"/>
        <v>0</v>
      </c>
      <c r="AD3486" s="43">
        <f t="shared" si="438"/>
        <v>0</v>
      </c>
      <c r="AE3486" s="50">
        <f t="shared" si="439"/>
        <v>0</v>
      </c>
    </row>
    <row r="3487" spans="1:31">
      <c r="A3487" s="59" t="str">
        <f t="shared" si="434"/>
        <v/>
      </c>
      <c r="B3487" s="59" t="str">
        <f t="shared" si="432"/>
        <v/>
      </c>
      <c r="V3487" s="59" t="str">
        <f t="shared" si="435"/>
        <v/>
      </c>
      <c r="W3487" s="59" t="str">
        <f t="shared" si="433"/>
        <v/>
      </c>
      <c r="X3487" s="59" t="str">
        <f t="shared" si="436"/>
        <v/>
      </c>
      <c r="AC3487" s="50">
        <f t="shared" si="437"/>
        <v>0</v>
      </c>
      <c r="AD3487" s="43">
        <f t="shared" si="438"/>
        <v>0</v>
      </c>
      <c r="AE3487" s="50">
        <f t="shared" si="439"/>
        <v>0</v>
      </c>
    </row>
    <row r="3488" spans="1:31">
      <c r="A3488" s="59" t="str">
        <f t="shared" si="434"/>
        <v/>
      </c>
      <c r="B3488" s="59" t="str">
        <f t="shared" si="432"/>
        <v/>
      </c>
      <c r="V3488" s="59" t="str">
        <f t="shared" si="435"/>
        <v/>
      </c>
      <c r="W3488" s="59" t="str">
        <f t="shared" si="433"/>
        <v/>
      </c>
      <c r="X3488" s="59" t="str">
        <f t="shared" si="436"/>
        <v/>
      </c>
      <c r="AC3488" s="50">
        <f t="shared" si="437"/>
        <v>0</v>
      </c>
      <c r="AD3488" s="43">
        <f t="shared" si="438"/>
        <v>0</v>
      </c>
      <c r="AE3488" s="50">
        <f t="shared" si="439"/>
        <v>0</v>
      </c>
    </row>
    <row r="3489" spans="1:31">
      <c r="A3489" s="59" t="str">
        <f t="shared" si="434"/>
        <v/>
      </c>
      <c r="B3489" s="59" t="str">
        <f t="shared" ref="B3489:B3552" si="440">IF(C3489&lt;&gt;"",LEFT(C3489,9),"")</f>
        <v/>
      </c>
      <c r="V3489" s="59" t="str">
        <f t="shared" si="435"/>
        <v/>
      </c>
      <c r="W3489" s="59" t="str">
        <f t="shared" si="433"/>
        <v/>
      </c>
      <c r="X3489" s="59" t="str">
        <f t="shared" si="436"/>
        <v/>
      </c>
      <c r="AC3489" s="50">
        <f t="shared" si="437"/>
        <v>0</v>
      </c>
      <c r="AD3489" s="43">
        <f t="shared" si="438"/>
        <v>0</v>
      </c>
      <c r="AE3489" s="50">
        <f t="shared" si="439"/>
        <v>0</v>
      </c>
    </row>
    <row r="3490" spans="1:31">
      <c r="A3490" s="59" t="str">
        <f t="shared" si="434"/>
        <v/>
      </c>
      <c r="B3490" s="59" t="str">
        <f t="shared" si="440"/>
        <v/>
      </c>
      <c r="V3490" s="59" t="str">
        <f t="shared" si="435"/>
        <v/>
      </c>
      <c r="W3490" s="59" t="str">
        <f t="shared" si="433"/>
        <v/>
      </c>
      <c r="X3490" s="59" t="str">
        <f t="shared" si="436"/>
        <v/>
      </c>
      <c r="AC3490" s="50">
        <f t="shared" si="437"/>
        <v>0</v>
      </c>
      <c r="AD3490" s="43">
        <f t="shared" si="438"/>
        <v>0</v>
      </c>
      <c r="AE3490" s="50">
        <f t="shared" si="439"/>
        <v>0</v>
      </c>
    </row>
    <row r="3491" spans="1:31">
      <c r="A3491" s="59" t="str">
        <f t="shared" si="434"/>
        <v/>
      </c>
      <c r="B3491" s="59" t="str">
        <f t="shared" si="440"/>
        <v/>
      </c>
      <c r="V3491" s="59" t="str">
        <f t="shared" si="435"/>
        <v/>
      </c>
      <c r="W3491" s="59" t="str">
        <f t="shared" si="433"/>
        <v/>
      </c>
      <c r="X3491" s="59" t="str">
        <f t="shared" si="436"/>
        <v/>
      </c>
      <c r="AC3491" s="50">
        <f t="shared" si="437"/>
        <v>0</v>
      </c>
      <c r="AD3491" s="43">
        <f t="shared" si="438"/>
        <v>0</v>
      </c>
      <c r="AE3491" s="50">
        <f t="shared" si="439"/>
        <v>0</v>
      </c>
    </row>
    <row r="3492" spans="1:31">
      <c r="A3492" s="59" t="str">
        <f t="shared" si="434"/>
        <v/>
      </c>
      <c r="B3492" s="59" t="str">
        <f t="shared" si="440"/>
        <v/>
      </c>
      <c r="V3492" s="59" t="str">
        <f t="shared" si="435"/>
        <v/>
      </c>
      <c r="W3492" s="59" t="str">
        <f t="shared" si="433"/>
        <v/>
      </c>
      <c r="X3492" s="59" t="str">
        <f t="shared" si="436"/>
        <v/>
      </c>
      <c r="AC3492" s="50">
        <f t="shared" si="437"/>
        <v>0</v>
      </c>
      <c r="AD3492" s="43">
        <f t="shared" si="438"/>
        <v>0</v>
      </c>
      <c r="AE3492" s="50">
        <f t="shared" si="439"/>
        <v>0</v>
      </c>
    </row>
    <row r="3493" spans="1:31">
      <c r="A3493" s="59" t="str">
        <f t="shared" si="434"/>
        <v/>
      </c>
      <c r="B3493" s="59" t="str">
        <f t="shared" si="440"/>
        <v/>
      </c>
      <c r="V3493" s="59" t="str">
        <f t="shared" si="435"/>
        <v/>
      </c>
      <c r="W3493" s="59" t="str">
        <f t="shared" si="433"/>
        <v/>
      </c>
      <c r="X3493" s="59" t="str">
        <f t="shared" si="436"/>
        <v/>
      </c>
      <c r="AC3493" s="50">
        <f t="shared" si="437"/>
        <v>0</v>
      </c>
      <c r="AD3493" s="43">
        <f t="shared" si="438"/>
        <v>0</v>
      </c>
      <c r="AE3493" s="50">
        <f t="shared" si="439"/>
        <v>0</v>
      </c>
    </row>
    <row r="3494" spans="1:31">
      <c r="A3494" s="59" t="str">
        <f t="shared" si="434"/>
        <v/>
      </c>
      <c r="B3494" s="59" t="str">
        <f t="shared" si="440"/>
        <v/>
      </c>
      <c r="V3494" s="59" t="str">
        <f t="shared" si="435"/>
        <v/>
      </c>
      <c r="W3494" s="59" t="str">
        <f t="shared" si="433"/>
        <v/>
      </c>
      <c r="X3494" s="59" t="str">
        <f t="shared" si="436"/>
        <v/>
      </c>
      <c r="AC3494" s="50">
        <f t="shared" si="437"/>
        <v>0</v>
      </c>
      <c r="AD3494" s="43">
        <f t="shared" si="438"/>
        <v>0</v>
      </c>
      <c r="AE3494" s="50">
        <f t="shared" si="439"/>
        <v>0</v>
      </c>
    </row>
    <row r="3495" spans="1:31">
      <c r="A3495" s="59" t="str">
        <f t="shared" si="434"/>
        <v/>
      </c>
      <c r="B3495" s="59" t="str">
        <f t="shared" si="440"/>
        <v/>
      </c>
      <c r="V3495" s="59" t="str">
        <f t="shared" si="435"/>
        <v/>
      </c>
      <c r="W3495" s="59" t="str">
        <f t="shared" si="433"/>
        <v/>
      </c>
      <c r="X3495" s="59" t="str">
        <f t="shared" si="436"/>
        <v/>
      </c>
      <c r="AC3495" s="50">
        <f t="shared" si="437"/>
        <v>0</v>
      </c>
      <c r="AD3495" s="43">
        <f t="shared" si="438"/>
        <v>0</v>
      </c>
      <c r="AE3495" s="50">
        <f t="shared" si="439"/>
        <v>0</v>
      </c>
    </row>
    <row r="3496" spans="1:31">
      <c r="A3496" s="59" t="str">
        <f t="shared" si="434"/>
        <v/>
      </c>
      <c r="B3496" s="59" t="str">
        <f t="shared" si="440"/>
        <v/>
      </c>
      <c r="V3496" s="59" t="str">
        <f t="shared" si="435"/>
        <v/>
      </c>
      <c r="W3496" s="59" t="str">
        <f t="shared" si="433"/>
        <v/>
      </c>
      <c r="X3496" s="59" t="str">
        <f t="shared" si="436"/>
        <v/>
      </c>
      <c r="AC3496" s="50">
        <f t="shared" si="437"/>
        <v>0</v>
      </c>
      <c r="AD3496" s="43">
        <f t="shared" si="438"/>
        <v>0</v>
      </c>
      <c r="AE3496" s="50">
        <f t="shared" si="439"/>
        <v>0</v>
      </c>
    </row>
    <row r="3497" spans="1:31">
      <c r="A3497" s="59" t="str">
        <f t="shared" si="434"/>
        <v/>
      </c>
      <c r="B3497" s="59" t="str">
        <f t="shared" si="440"/>
        <v/>
      </c>
      <c r="V3497" s="59" t="str">
        <f t="shared" si="435"/>
        <v/>
      </c>
      <c r="W3497" s="59" t="str">
        <f t="shared" si="433"/>
        <v/>
      </c>
      <c r="X3497" s="59" t="str">
        <f t="shared" si="436"/>
        <v/>
      </c>
      <c r="AC3497" s="50">
        <f t="shared" si="437"/>
        <v>0</v>
      </c>
      <c r="AD3497" s="43">
        <f t="shared" si="438"/>
        <v>0</v>
      </c>
      <c r="AE3497" s="50">
        <f t="shared" si="439"/>
        <v>0</v>
      </c>
    </row>
    <row r="3498" spans="1:31">
      <c r="A3498" s="59" t="str">
        <f t="shared" si="434"/>
        <v/>
      </c>
      <c r="B3498" s="59" t="str">
        <f t="shared" si="440"/>
        <v/>
      </c>
      <c r="V3498" s="59" t="str">
        <f t="shared" si="435"/>
        <v/>
      </c>
      <c r="W3498" s="59" t="str">
        <f t="shared" si="433"/>
        <v/>
      </c>
      <c r="X3498" s="59" t="str">
        <f t="shared" si="436"/>
        <v/>
      </c>
      <c r="AC3498" s="50">
        <f t="shared" si="437"/>
        <v>0</v>
      </c>
      <c r="AD3498" s="43">
        <f t="shared" si="438"/>
        <v>0</v>
      </c>
      <c r="AE3498" s="50">
        <f t="shared" si="439"/>
        <v>0</v>
      </c>
    </row>
    <row r="3499" spans="1:31">
      <c r="A3499" s="59" t="str">
        <f t="shared" si="434"/>
        <v/>
      </c>
      <c r="B3499" s="59" t="str">
        <f t="shared" si="440"/>
        <v/>
      </c>
      <c r="V3499" s="59" t="str">
        <f t="shared" si="435"/>
        <v/>
      </c>
      <c r="W3499" s="59" t="str">
        <f t="shared" si="433"/>
        <v/>
      </c>
      <c r="X3499" s="59" t="str">
        <f t="shared" si="436"/>
        <v/>
      </c>
      <c r="AC3499" s="50">
        <f t="shared" si="437"/>
        <v>0</v>
      </c>
      <c r="AD3499" s="43">
        <f t="shared" si="438"/>
        <v>0</v>
      </c>
      <c r="AE3499" s="50">
        <f t="shared" si="439"/>
        <v>0</v>
      </c>
    </row>
    <row r="3500" spans="1:31">
      <c r="A3500" s="59" t="str">
        <f t="shared" si="434"/>
        <v/>
      </c>
      <c r="B3500" s="59" t="str">
        <f t="shared" si="440"/>
        <v/>
      </c>
      <c r="V3500" s="59" t="str">
        <f t="shared" si="435"/>
        <v/>
      </c>
      <c r="W3500" s="59" t="str">
        <f t="shared" si="433"/>
        <v/>
      </c>
      <c r="X3500" s="59" t="str">
        <f t="shared" si="436"/>
        <v/>
      </c>
      <c r="AC3500" s="50">
        <f t="shared" si="437"/>
        <v>0</v>
      </c>
      <c r="AD3500" s="43">
        <f t="shared" si="438"/>
        <v>0</v>
      </c>
      <c r="AE3500" s="50">
        <f t="shared" si="439"/>
        <v>0</v>
      </c>
    </row>
    <row r="3501" spans="1:31">
      <c r="A3501" s="59" t="str">
        <f t="shared" si="434"/>
        <v/>
      </c>
      <c r="B3501" s="59" t="str">
        <f t="shared" si="440"/>
        <v/>
      </c>
      <c r="V3501" s="59" t="str">
        <f t="shared" si="435"/>
        <v/>
      </c>
      <c r="W3501" s="59" t="str">
        <f t="shared" si="433"/>
        <v/>
      </c>
      <c r="X3501" s="59" t="str">
        <f t="shared" si="436"/>
        <v/>
      </c>
      <c r="AC3501" s="50">
        <f t="shared" si="437"/>
        <v>0</v>
      </c>
      <c r="AD3501" s="43">
        <f t="shared" si="438"/>
        <v>0</v>
      </c>
      <c r="AE3501" s="50">
        <f t="shared" si="439"/>
        <v>0</v>
      </c>
    </row>
    <row r="3502" spans="1:31">
      <c r="A3502" s="59" t="str">
        <f t="shared" si="434"/>
        <v/>
      </c>
      <c r="B3502" s="59" t="str">
        <f t="shared" si="440"/>
        <v/>
      </c>
      <c r="V3502" s="59" t="str">
        <f t="shared" si="435"/>
        <v/>
      </c>
      <c r="W3502" s="59" t="str">
        <f t="shared" si="433"/>
        <v/>
      </c>
      <c r="X3502" s="59" t="str">
        <f t="shared" si="436"/>
        <v/>
      </c>
      <c r="AC3502" s="50">
        <f t="shared" si="437"/>
        <v>0</v>
      </c>
      <c r="AD3502" s="43">
        <f t="shared" si="438"/>
        <v>0</v>
      </c>
      <c r="AE3502" s="50">
        <f t="shared" si="439"/>
        <v>0</v>
      </c>
    </row>
    <row r="3503" spans="1:31">
      <c r="A3503" s="59" t="str">
        <f t="shared" si="434"/>
        <v/>
      </c>
      <c r="B3503" s="59" t="str">
        <f t="shared" si="440"/>
        <v/>
      </c>
      <c r="V3503" s="59" t="str">
        <f t="shared" si="435"/>
        <v/>
      </c>
      <c r="W3503" s="59" t="str">
        <f t="shared" si="433"/>
        <v/>
      </c>
      <c r="X3503" s="59" t="str">
        <f t="shared" si="436"/>
        <v/>
      </c>
      <c r="AC3503" s="50">
        <f t="shared" si="437"/>
        <v>0</v>
      </c>
      <c r="AD3503" s="43">
        <f t="shared" si="438"/>
        <v>0</v>
      </c>
      <c r="AE3503" s="50">
        <f t="shared" si="439"/>
        <v>0</v>
      </c>
    </row>
    <row r="3504" spans="1:31">
      <c r="A3504" s="59" t="str">
        <f t="shared" si="434"/>
        <v/>
      </c>
      <c r="B3504" s="59" t="str">
        <f t="shared" si="440"/>
        <v/>
      </c>
      <c r="V3504" s="59" t="str">
        <f t="shared" si="435"/>
        <v/>
      </c>
      <c r="W3504" s="59" t="str">
        <f t="shared" si="433"/>
        <v/>
      </c>
      <c r="X3504" s="59" t="str">
        <f t="shared" si="436"/>
        <v/>
      </c>
      <c r="AC3504" s="50">
        <f t="shared" si="437"/>
        <v>0</v>
      </c>
      <c r="AD3504" s="43">
        <f t="shared" si="438"/>
        <v>0</v>
      </c>
      <c r="AE3504" s="50">
        <f t="shared" si="439"/>
        <v>0</v>
      </c>
    </row>
    <row r="3505" spans="1:31">
      <c r="A3505" s="59" t="str">
        <f t="shared" si="434"/>
        <v/>
      </c>
      <c r="B3505" s="59" t="str">
        <f t="shared" si="440"/>
        <v/>
      </c>
      <c r="V3505" s="59" t="str">
        <f t="shared" si="435"/>
        <v/>
      </c>
      <c r="W3505" s="59" t="str">
        <f t="shared" si="433"/>
        <v/>
      </c>
      <c r="X3505" s="59" t="str">
        <f t="shared" si="436"/>
        <v/>
      </c>
      <c r="AC3505" s="50">
        <f t="shared" si="437"/>
        <v>0</v>
      </c>
      <c r="AD3505" s="43">
        <f t="shared" si="438"/>
        <v>0</v>
      </c>
      <c r="AE3505" s="50">
        <f t="shared" si="439"/>
        <v>0</v>
      </c>
    </row>
    <row r="3506" spans="1:31">
      <c r="A3506" s="59" t="str">
        <f t="shared" si="434"/>
        <v/>
      </c>
      <c r="B3506" s="59" t="str">
        <f t="shared" si="440"/>
        <v/>
      </c>
      <c r="V3506" s="59" t="str">
        <f t="shared" si="435"/>
        <v/>
      </c>
      <c r="W3506" s="59" t="str">
        <f t="shared" si="433"/>
        <v/>
      </c>
      <c r="X3506" s="59" t="str">
        <f t="shared" si="436"/>
        <v/>
      </c>
      <c r="AC3506" s="50">
        <f t="shared" si="437"/>
        <v>0</v>
      </c>
      <c r="AD3506" s="43">
        <f t="shared" si="438"/>
        <v>0</v>
      </c>
      <c r="AE3506" s="50">
        <f t="shared" si="439"/>
        <v>0</v>
      </c>
    </row>
    <row r="3507" spans="1:31">
      <c r="A3507" s="59" t="str">
        <f t="shared" si="434"/>
        <v/>
      </c>
      <c r="B3507" s="59" t="str">
        <f t="shared" si="440"/>
        <v/>
      </c>
      <c r="V3507" s="59" t="str">
        <f t="shared" si="435"/>
        <v/>
      </c>
      <c r="W3507" s="59" t="str">
        <f t="shared" si="433"/>
        <v/>
      </c>
      <c r="X3507" s="59" t="str">
        <f t="shared" si="436"/>
        <v/>
      </c>
      <c r="AC3507" s="50">
        <f t="shared" si="437"/>
        <v>0</v>
      </c>
      <c r="AD3507" s="43">
        <f t="shared" si="438"/>
        <v>0</v>
      </c>
      <c r="AE3507" s="50">
        <f t="shared" si="439"/>
        <v>0</v>
      </c>
    </row>
    <row r="3508" spans="1:31">
      <c r="A3508" s="59" t="str">
        <f t="shared" si="434"/>
        <v/>
      </c>
      <c r="B3508" s="59" t="str">
        <f t="shared" si="440"/>
        <v/>
      </c>
      <c r="V3508" s="59" t="str">
        <f t="shared" si="435"/>
        <v/>
      </c>
      <c r="W3508" s="59" t="str">
        <f t="shared" si="433"/>
        <v/>
      </c>
      <c r="X3508" s="59" t="str">
        <f t="shared" si="436"/>
        <v/>
      </c>
      <c r="AC3508" s="50">
        <f t="shared" si="437"/>
        <v>0</v>
      </c>
      <c r="AD3508" s="43">
        <f t="shared" si="438"/>
        <v>0</v>
      </c>
      <c r="AE3508" s="50">
        <f t="shared" si="439"/>
        <v>0</v>
      </c>
    </row>
    <row r="3509" spans="1:31">
      <c r="A3509" s="59" t="str">
        <f t="shared" si="434"/>
        <v/>
      </c>
      <c r="B3509" s="59" t="str">
        <f t="shared" si="440"/>
        <v/>
      </c>
      <c r="V3509" s="59" t="str">
        <f t="shared" si="435"/>
        <v/>
      </c>
      <c r="W3509" s="59" t="str">
        <f t="shared" si="433"/>
        <v/>
      </c>
      <c r="X3509" s="59" t="str">
        <f t="shared" si="436"/>
        <v/>
      </c>
      <c r="AC3509" s="50">
        <f t="shared" si="437"/>
        <v>0</v>
      </c>
      <c r="AD3509" s="43">
        <f t="shared" si="438"/>
        <v>0</v>
      </c>
      <c r="AE3509" s="50">
        <f t="shared" si="439"/>
        <v>0</v>
      </c>
    </row>
    <row r="3510" spans="1:31">
      <c r="A3510" s="59" t="str">
        <f t="shared" si="434"/>
        <v/>
      </c>
      <c r="B3510" s="59" t="str">
        <f t="shared" si="440"/>
        <v/>
      </c>
      <c r="V3510" s="59" t="str">
        <f t="shared" si="435"/>
        <v/>
      </c>
      <c r="W3510" s="59" t="str">
        <f t="shared" si="433"/>
        <v/>
      </c>
      <c r="X3510" s="59" t="str">
        <f t="shared" si="436"/>
        <v/>
      </c>
      <c r="AC3510" s="50">
        <f t="shared" si="437"/>
        <v>0</v>
      </c>
      <c r="AD3510" s="43">
        <f t="shared" si="438"/>
        <v>0</v>
      </c>
      <c r="AE3510" s="50">
        <f t="shared" si="439"/>
        <v>0</v>
      </c>
    </row>
    <row r="3511" spans="1:31">
      <c r="A3511" s="59" t="str">
        <f t="shared" si="434"/>
        <v/>
      </c>
      <c r="B3511" s="59" t="str">
        <f t="shared" si="440"/>
        <v/>
      </c>
      <c r="V3511" s="59" t="str">
        <f t="shared" si="435"/>
        <v/>
      </c>
      <c r="W3511" s="59" t="str">
        <f t="shared" si="433"/>
        <v/>
      </c>
      <c r="X3511" s="59" t="str">
        <f t="shared" si="436"/>
        <v/>
      </c>
      <c r="AC3511" s="50">
        <f t="shared" si="437"/>
        <v>0</v>
      </c>
      <c r="AD3511" s="43">
        <f t="shared" si="438"/>
        <v>0</v>
      </c>
      <c r="AE3511" s="50">
        <f t="shared" si="439"/>
        <v>0</v>
      </c>
    </row>
    <row r="3512" spans="1:31">
      <c r="A3512" s="59" t="str">
        <f t="shared" si="434"/>
        <v/>
      </c>
      <c r="B3512" s="59" t="str">
        <f t="shared" si="440"/>
        <v/>
      </c>
      <c r="V3512" s="59" t="str">
        <f t="shared" si="435"/>
        <v/>
      </c>
      <c r="W3512" s="59" t="str">
        <f t="shared" si="433"/>
        <v/>
      </c>
      <c r="X3512" s="59" t="str">
        <f t="shared" si="436"/>
        <v/>
      </c>
      <c r="AC3512" s="50">
        <f t="shared" si="437"/>
        <v>0</v>
      </c>
      <c r="AD3512" s="43">
        <f t="shared" si="438"/>
        <v>0</v>
      </c>
      <c r="AE3512" s="50">
        <f t="shared" si="439"/>
        <v>0</v>
      </c>
    </row>
    <row r="3513" spans="1:31">
      <c r="A3513" s="59" t="str">
        <f t="shared" si="434"/>
        <v/>
      </c>
      <c r="B3513" s="59" t="str">
        <f t="shared" si="440"/>
        <v/>
      </c>
      <c r="V3513" s="59" t="str">
        <f t="shared" si="435"/>
        <v/>
      </c>
      <c r="W3513" s="59" t="str">
        <f t="shared" si="433"/>
        <v/>
      </c>
      <c r="X3513" s="59" t="str">
        <f t="shared" si="436"/>
        <v/>
      </c>
      <c r="AC3513" s="50">
        <f t="shared" si="437"/>
        <v>0</v>
      </c>
      <c r="AD3513" s="43">
        <f t="shared" si="438"/>
        <v>0</v>
      </c>
      <c r="AE3513" s="50">
        <f t="shared" si="439"/>
        <v>0</v>
      </c>
    </row>
    <row r="3514" spans="1:31">
      <c r="A3514" s="59" t="str">
        <f t="shared" si="434"/>
        <v/>
      </c>
      <c r="B3514" s="59" t="str">
        <f t="shared" si="440"/>
        <v/>
      </c>
      <c r="V3514" s="59" t="str">
        <f t="shared" si="435"/>
        <v/>
      </c>
      <c r="W3514" s="59" t="str">
        <f t="shared" si="433"/>
        <v/>
      </c>
      <c r="X3514" s="59" t="str">
        <f t="shared" si="436"/>
        <v/>
      </c>
      <c r="AC3514" s="50">
        <f t="shared" si="437"/>
        <v>0</v>
      </c>
      <c r="AD3514" s="43">
        <f t="shared" si="438"/>
        <v>0</v>
      </c>
      <c r="AE3514" s="50">
        <f t="shared" si="439"/>
        <v>0</v>
      </c>
    </row>
    <row r="3515" spans="1:31">
      <c r="A3515" s="59" t="str">
        <f t="shared" si="434"/>
        <v/>
      </c>
      <c r="B3515" s="59" t="str">
        <f t="shared" si="440"/>
        <v/>
      </c>
      <c r="V3515" s="59" t="str">
        <f t="shared" si="435"/>
        <v/>
      </c>
      <c r="W3515" s="59" t="str">
        <f t="shared" si="433"/>
        <v/>
      </c>
      <c r="X3515" s="59" t="str">
        <f t="shared" si="436"/>
        <v/>
      </c>
      <c r="AC3515" s="50">
        <f t="shared" si="437"/>
        <v>0</v>
      </c>
      <c r="AD3515" s="43">
        <f t="shared" si="438"/>
        <v>0</v>
      </c>
      <c r="AE3515" s="50">
        <f t="shared" si="439"/>
        <v>0</v>
      </c>
    </row>
    <row r="3516" spans="1:31">
      <c r="A3516" s="59" t="str">
        <f t="shared" si="434"/>
        <v/>
      </c>
      <c r="B3516" s="59" t="str">
        <f t="shared" si="440"/>
        <v/>
      </c>
      <c r="V3516" s="59" t="str">
        <f t="shared" si="435"/>
        <v/>
      </c>
      <c r="W3516" s="59" t="str">
        <f t="shared" si="433"/>
        <v/>
      </c>
      <c r="X3516" s="59" t="str">
        <f t="shared" si="436"/>
        <v/>
      </c>
      <c r="AC3516" s="50">
        <f t="shared" si="437"/>
        <v>0</v>
      </c>
      <c r="AD3516" s="43">
        <f t="shared" si="438"/>
        <v>0</v>
      </c>
      <c r="AE3516" s="50">
        <f t="shared" si="439"/>
        <v>0</v>
      </c>
    </row>
    <row r="3517" spans="1:31">
      <c r="A3517" s="59" t="str">
        <f t="shared" si="434"/>
        <v/>
      </c>
      <c r="B3517" s="59" t="str">
        <f t="shared" si="440"/>
        <v/>
      </c>
      <c r="V3517" s="59" t="str">
        <f t="shared" si="435"/>
        <v/>
      </c>
      <c r="W3517" s="59" t="str">
        <f t="shared" si="433"/>
        <v/>
      </c>
      <c r="X3517" s="59" t="str">
        <f t="shared" si="436"/>
        <v/>
      </c>
      <c r="AC3517" s="50">
        <f t="shared" si="437"/>
        <v>0</v>
      </c>
      <c r="AD3517" s="43">
        <f t="shared" si="438"/>
        <v>0</v>
      </c>
      <c r="AE3517" s="50">
        <f t="shared" si="439"/>
        <v>0</v>
      </c>
    </row>
    <row r="3518" spans="1:31">
      <c r="A3518" s="59" t="str">
        <f t="shared" si="434"/>
        <v/>
      </c>
      <c r="B3518" s="59" t="str">
        <f t="shared" si="440"/>
        <v/>
      </c>
      <c r="V3518" s="59" t="str">
        <f t="shared" si="435"/>
        <v/>
      </c>
      <c r="W3518" s="59" t="str">
        <f t="shared" si="433"/>
        <v/>
      </c>
      <c r="X3518" s="59" t="str">
        <f t="shared" si="436"/>
        <v/>
      </c>
      <c r="AC3518" s="50">
        <f t="shared" si="437"/>
        <v>0</v>
      </c>
      <c r="AD3518" s="43">
        <f t="shared" si="438"/>
        <v>0</v>
      </c>
      <c r="AE3518" s="50">
        <f t="shared" si="439"/>
        <v>0</v>
      </c>
    </row>
    <row r="3519" spans="1:31">
      <c r="A3519" s="59" t="str">
        <f t="shared" si="434"/>
        <v/>
      </c>
      <c r="B3519" s="59" t="str">
        <f t="shared" si="440"/>
        <v/>
      </c>
      <c r="V3519" s="59" t="str">
        <f t="shared" si="435"/>
        <v/>
      </c>
      <c r="W3519" s="59" t="str">
        <f t="shared" si="433"/>
        <v/>
      </c>
      <c r="X3519" s="59" t="str">
        <f t="shared" si="436"/>
        <v/>
      </c>
      <c r="AC3519" s="50">
        <f t="shared" si="437"/>
        <v>0</v>
      </c>
      <c r="AD3519" s="43">
        <f t="shared" si="438"/>
        <v>0</v>
      </c>
      <c r="AE3519" s="50">
        <f t="shared" si="439"/>
        <v>0</v>
      </c>
    </row>
    <row r="3520" spans="1:31">
      <c r="A3520" s="59" t="str">
        <f t="shared" si="434"/>
        <v/>
      </c>
      <c r="B3520" s="59" t="str">
        <f t="shared" si="440"/>
        <v/>
      </c>
      <c r="V3520" s="59" t="str">
        <f t="shared" si="435"/>
        <v/>
      </c>
      <c r="W3520" s="59" t="str">
        <f t="shared" si="433"/>
        <v/>
      </c>
      <c r="X3520" s="59" t="str">
        <f t="shared" si="436"/>
        <v/>
      </c>
      <c r="AC3520" s="50">
        <f t="shared" si="437"/>
        <v>0</v>
      </c>
      <c r="AD3520" s="43">
        <f t="shared" si="438"/>
        <v>0</v>
      </c>
      <c r="AE3520" s="50">
        <f t="shared" si="439"/>
        <v>0</v>
      </c>
    </row>
    <row r="3521" spans="1:31">
      <c r="A3521" s="59" t="str">
        <f t="shared" si="434"/>
        <v/>
      </c>
      <c r="B3521" s="59" t="str">
        <f t="shared" si="440"/>
        <v/>
      </c>
      <c r="V3521" s="59" t="str">
        <f t="shared" si="435"/>
        <v/>
      </c>
      <c r="W3521" s="59" t="str">
        <f t="shared" si="433"/>
        <v/>
      </c>
      <c r="X3521" s="59" t="str">
        <f t="shared" si="436"/>
        <v/>
      </c>
      <c r="AC3521" s="50">
        <f t="shared" si="437"/>
        <v>0</v>
      </c>
      <c r="AD3521" s="43">
        <f t="shared" si="438"/>
        <v>0</v>
      </c>
      <c r="AE3521" s="50">
        <f t="shared" si="439"/>
        <v>0</v>
      </c>
    </row>
    <row r="3522" spans="1:31">
      <c r="A3522" s="59" t="str">
        <f t="shared" si="434"/>
        <v/>
      </c>
      <c r="B3522" s="59" t="str">
        <f t="shared" si="440"/>
        <v/>
      </c>
      <c r="V3522" s="59" t="str">
        <f t="shared" si="435"/>
        <v/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59" t="str">
        <f t="shared" si="436"/>
        <v/>
      </c>
      <c r="AC3522" s="50">
        <f t="shared" si="437"/>
        <v>0</v>
      </c>
      <c r="AD3522" s="43">
        <f t="shared" si="438"/>
        <v>0</v>
      </c>
      <c r="AE3522" s="50">
        <f t="shared" si="439"/>
        <v>0</v>
      </c>
    </row>
    <row r="3523" spans="1:31">
      <c r="A3523" s="59" t="str">
        <f t="shared" ref="A3523:A3586" si="442">IF(G3523&amp;Q3523&lt;&gt;"",W3523&amp;Q3523,"")</f>
        <v/>
      </c>
      <c r="B3523" s="59" t="str">
        <f t="shared" si="440"/>
        <v/>
      </c>
      <c r="V3523" s="59" t="str">
        <f t="shared" ref="V3523:V3586" si="443">W3523&amp;H3523</f>
        <v/>
      </c>
      <c r="W3523" s="59" t="str">
        <f t="shared" si="441"/>
        <v/>
      </c>
      <c r="X3523" s="59" t="str">
        <f t="shared" ref="X3523:X3586" si="444">IF(A3523&lt;&gt;"",IFERROR(IF(FIND(" ",G3523)&gt;=1,MID(G3523,FIND(" ",G3523)+1,LEN(G3523)),""),""),"")</f>
        <v/>
      </c>
      <c r="AC3523" s="50">
        <f t="shared" ref="AC3523:AC3586" si="445">IFERROR(VALUE(MID($C3523,1,2)),0)</f>
        <v>0</v>
      </c>
      <c r="AD3523" s="43">
        <f t="shared" ref="AD3523:AD3586" si="446">IFERROR(VALUE(MID($C3523,4,3)),0)</f>
        <v>0</v>
      </c>
      <c r="AE3523" s="50">
        <f t="shared" ref="AE3523:AE3586" si="447">VALUE(RIGHT("00"&amp;AC3523,2)&amp;RIGHT("000"&amp;AD3523,3))</f>
        <v>0</v>
      </c>
    </row>
    <row r="3524" spans="1:31">
      <c r="A3524" s="59" t="str">
        <f t="shared" si="442"/>
        <v/>
      </c>
      <c r="B3524" s="59" t="str">
        <f t="shared" si="440"/>
        <v/>
      </c>
      <c r="V3524" s="59" t="str">
        <f t="shared" si="443"/>
        <v/>
      </c>
      <c r="W3524" s="59" t="str">
        <f t="shared" si="441"/>
        <v/>
      </c>
      <c r="X3524" s="59" t="str">
        <f t="shared" si="444"/>
        <v/>
      </c>
      <c r="AC3524" s="50">
        <f t="shared" si="445"/>
        <v>0</v>
      </c>
      <c r="AD3524" s="43">
        <f t="shared" si="446"/>
        <v>0</v>
      </c>
      <c r="AE3524" s="50">
        <f t="shared" si="447"/>
        <v>0</v>
      </c>
    </row>
    <row r="3525" spans="1:31">
      <c r="A3525" s="59" t="str">
        <f t="shared" si="442"/>
        <v/>
      </c>
      <c r="B3525" s="59" t="str">
        <f t="shared" si="440"/>
        <v/>
      </c>
      <c r="V3525" s="59" t="str">
        <f t="shared" si="443"/>
        <v/>
      </c>
      <c r="W3525" s="59" t="str">
        <f t="shared" si="441"/>
        <v/>
      </c>
      <c r="X3525" s="59" t="str">
        <f t="shared" si="444"/>
        <v/>
      </c>
      <c r="AC3525" s="50">
        <f t="shared" si="445"/>
        <v>0</v>
      </c>
      <c r="AD3525" s="43">
        <f t="shared" si="446"/>
        <v>0</v>
      </c>
      <c r="AE3525" s="50">
        <f t="shared" si="447"/>
        <v>0</v>
      </c>
    </row>
    <row r="3526" spans="1:31">
      <c r="A3526" s="59" t="str">
        <f t="shared" si="442"/>
        <v/>
      </c>
      <c r="B3526" s="59" t="str">
        <f t="shared" si="440"/>
        <v/>
      </c>
      <c r="V3526" s="59" t="str">
        <f t="shared" si="443"/>
        <v/>
      </c>
      <c r="W3526" s="59" t="str">
        <f t="shared" si="441"/>
        <v/>
      </c>
      <c r="X3526" s="59" t="str">
        <f t="shared" si="444"/>
        <v/>
      </c>
      <c r="AC3526" s="50">
        <f t="shared" si="445"/>
        <v>0</v>
      </c>
      <c r="AD3526" s="43">
        <f t="shared" si="446"/>
        <v>0</v>
      </c>
      <c r="AE3526" s="50">
        <f t="shared" si="447"/>
        <v>0</v>
      </c>
    </row>
    <row r="3527" spans="1:31">
      <c r="A3527" s="59" t="str">
        <f t="shared" si="442"/>
        <v/>
      </c>
      <c r="B3527" s="59" t="str">
        <f t="shared" si="440"/>
        <v/>
      </c>
      <c r="V3527" s="59" t="str">
        <f t="shared" si="443"/>
        <v/>
      </c>
      <c r="W3527" s="59" t="str">
        <f t="shared" si="441"/>
        <v/>
      </c>
      <c r="X3527" s="59" t="str">
        <f t="shared" si="444"/>
        <v/>
      </c>
      <c r="AC3527" s="50">
        <f t="shared" si="445"/>
        <v>0</v>
      </c>
      <c r="AD3527" s="43">
        <f t="shared" si="446"/>
        <v>0</v>
      </c>
      <c r="AE3527" s="50">
        <f t="shared" si="447"/>
        <v>0</v>
      </c>
    </row>
    <row r="3528" spans="1:31">
      <c r="A3528" s="59" t="str">
        <f t="shared" si="442"/>
        <v/>
      </c>
      <c r="B3528" s="59" t="str">
        <f t="shared" si="440"/>
        <v/>
      </c>
      <c r="V3528" s="59" t="str">
        <f t="shared" si="443"/>
        <v/>
      </c>
      <c r="W3528" s="59" t="str">
        <f t="shared" si="441"/>
        <v/>
      </c>
      <c r="X3528" s="59" t="str">
        <f t="shared" si="444"/>
        <v/>
      </c>
      <c r="AC3528" s="50">
        <f t="shared" si="445"/>
        <v>0</v>
      </c>
      <c r="AD3528" s="43">
        <f t="shared" si="446"/>
        <v>0</v>
      </c>
      <c r="AE3528" s="50">
        <f t="shared" si="447"/>
        <v>0</v>
      </c>
    </row>
    <row r="3529" spans="1:31">
      <c r="A3529" s="59" t="str">
        <f t="shared" si="442"/>
        <v/>
      </c>
      <c r="B3529" s="59" t="str">
        <f t="shared" si="440"/>
        <v/>
      </c>
      <c r="V3529" s="59" t="str">
        <f t="shared" si="443"/>
        <v/>
      </c>
      <c r="W3529" s="59" t="str">
        <f t="shared" si="441"/>
        <v/>
      </c>
      <c r="X3529" s="59" t="str">
        <f t="shared" si="444"/>
        <v/>
      </c>
      <c r="AC3529" s="50">
        <f t="shared" si="445"/>
        <v>0</v>
      </c>
      <c r="AD3529" s="43">
        <f t="shared" si="446"/>
        <v>0</v>
      </c>
      <c r="AE3529" s="50">
        <f t="shared" si="447"/>
        <v>0</v>
      </c>
    </row>
    <row r="3530" spans="1:31">
      <c r="A3530" s="59" t="str">
        <f t="shared" si="442"/>
        <v/>
      </c>
      <c r="B3530" s="59" t="str">
        <f t="shared" si="440"/>
        <v/>
      </c>
      <c r="V3530" s="59" t="str">
        <f t="shared" si="443"/>
        <v/>
      </c>
      <c r="W3530" s="59" t="str">
        <f t="shared" si="441"/>
        <v/>
      </c>
      <c r="X3530" s="59" t="str">
        <f t="shared" si="444"/>
        <v/>
      </c>
      <c r="AC3530" s="50">
        <f t="shared" si="445"/>
        <v>0</v>
      </c>
      <c r="AD3530" s="43">
        <f t="shared" si="446"/>
        <v>0</v>
      </c>
      <c r="AE3530" s="50">
        <f t="shared" si="447"/>
        <v>0</v>
      </c>
    </row>
    <row r="3531" spans="1:31">
      <c r="A3531" s="59" t="str">
        <f t="shared" si="442"/>
        <v/>
      </c>
      <c r="B3531" s="59" t="str">
        <f t="shared" si="440"/>
        <v/>
      </c>
      <c r="V3531" s="59" t="str">
        <f t="shared" si="443"/>
        <v/>
      </c>
      <c r="W3531" s="59" t="str">
        <f t="shared" si="441"/>
        <v/>
      </c>
      <c r="X3531" s="59" t="str">
        <f t="shared" si="444"/>
        <v/>
      </c>
      <c r="AC3531" s="50">
        <f t="shared" si="445"/>
        <v>0</v>
      </c>
      <c r="AD3531" s="43">
        <f t="shared" si="446"/>
        <v>0</v>
      </c>
      <c r="AE3531" s="50">
        <f t="shared" si="447"/>
        <v>0</v>
      </c>
    </row>
    <row r="3532" spans="1:31">
      <c r="A3532" s="59" t="str">
        <f t="shared" si="442"/>
        <v/>
      </c>
      <c r="B3532" s="59" t="str">
        <f t="shared" si="440"/>
        <v/>
      </c>
      <c r="V3532" s="59" t="str">
        <f t="shared" si="443"/>
        <v/>
      </c>
      <c r="W3532" s="59" t="str">
        <f t="shared" si="441"/>
        <v/>
      </c>
      <c r="X3532" s="59" t="str">
        <f t="shared" si="444"/>
        <v/>
      </c>
      <c r="AC3532" s="50">
        <f t="shared" si="445"/>
        <v>0</v>
      </c>
      <c r="AD3532" s="43">
        <f t="shared" si="446"/>
        <v>0</v>
      </c>
      <c r="AE3532" s="50">
        <f t="shared" si="447"/>
        <v>0</v>
      </c>
    </row>
    <row r="3533" spans="1:31">
      <c r="A3533" s="59" t="str">
        <f t="shared" si="442"/>
        <v/>
      </c>
      <c r="B3533" s="59" t="str">
        <f t="shared" si="440"/>
        <v/>
      </c>
      <c r="V3533" s="59" t="str">
        <f t="shared" si="443"/>
        <v/>
      </c>
      <c r="W3533" s="59" t="str">
        <f t="shared" si="441"/>
        <v/>
      </c>
      <c r="X3533" s="59" t="str">
        <f t="shared" si="444"/>
        <v/>
      </c>
      <c r="AC3533" s="50">
        <f t="shared" si="445"/>
        <v>0</v>
      </c>
      <c r="AD3533" s="43">
        <f t="shared" si="446"/>
        <v>0</v>
      </c>
      <c r="AE3533" s="50">
        <f t="shared" si="447"/>
        <v>0</v>
      </c>
    </row>
    <row r="3534" spans="1:31">
      <c r="A3534" s="59" t="str">
        <f t="shared" si="442"/>
        <v/>
      </c>
      <c r="B3534" s="59" t="str">
        <f t="shared" si="440"/>
        <v/>
      </c>
      <c r="V3534" s="59" t="str">
        <f t="shared" si="443"/>
        <v/>
      </c>
      <c r="W3534" s="59" t="str">
        <f t="shared" si="441"/>
        <v/>
      </c>
      <c r="X3534" s="59" t="str">
        <f t="shared" si="444"/>
        <v/>
      </c>
      <c r="AC3534" s="50">
        <f t="shared" si="445"/>
        <v>0</v>
      </c>
      <c r="AD3534" s="43">
        <f t="shared" si="446"/>
        <v>0</v>
      </c>
      <c r="AE3534" s="50">
        <f t="shared" si="447"/>
        <v>0</v>
      </c>
    </row>
    <row r="3535" spans="1:31">
      <c r="A3535" s="59" t="str">
        <f t="shared" si="442"/>
        <v/>
      </c>
      <c r="B3535" s="59" t="str">
        <f t="shared" si="440"/>
        <v/>
      </c>
      <c r="V3535" s="59" t="str">
        <f t="shared" si="443"/>
        <v/>
      </c>
      <c r="W3535" s="59" t="str">
        <f t="shared" si="441"/>
        <v/>
      </c>
      <c r="X3535" s="59" t="str">
        <f t="shared" si="444"/>
        <v/>
      </c>
      <c r="AC3535" s="50">
        <f t="shared" si="445"/>
        <v>0</v>
      </c>
      <c r="AD3535" s="43">
        <f t="shared" si="446"/>
        <v>0</v>
      </c>
      <c r="AE3535" s="50">
        <f t="shared" si="447"/>
        <v>0</v>
      </c>
    </row>
    <row r="3536" spans="1:31">
      <c r="A3536" s="59" t="str">
        <f t="shared" si="442"/>
        <v/>
      </c>
      <c r="B3536" s="59" t="str">
        <f t="shared" si="440"/>
        <v/>
      </c>
      <c r="V3536" s="59" t="str">
        <f t="shared" si="443"/>
        <v/>
      </c>
      <c r="W3536" s="59" t="str">
        <f t="shared" si="441"/>
        <v/>
      </c>
      <c r="X3536" s="59" t="str">
        <f t="shared" si="444"/>
        <v/>
      </c>
      <c r="AC3536" s="50">
        <f t="shared" si="445"/>
        <v>0</v>
      </c>
      <c r="AD3536" s="43">
        <f t="shared" si="446"/>
        <v>0</v>
      </c>
      <c r="AE3536" s="50">
        <f t="shared" si="447"/>
        <v>0</v>
      </c>
    </row>
    <row r="3537" spans="1:31">
      <c r="A3537" s="59" t="str">
        <f t="shared" si="442"/>
        <v/>
      </c>
      <c r="B3537" s="59" t="str">
        <f t="shared" si="440"/>
        <v/>
      </c>
      <c r="V3537" s="59" t="str">
        <f t="shared" si="443"/>
        <v/>
      </c>
      <c r="W3537" s="59" t="str">
        <f t="shared" si="441"/>
        <v/>
      </c>
      <c r="X3537" s="59" t="str">
        <f t="shared" si="444"/>
        <v/>
      </c>
      <c r="AC3537" s="50">
        <f t="shared" si="445"/>
        <v>0</v>
      </c>
      <c r="AD3537" s="43">
        <f t="shared" si="446"/>
        <v>0</v>
      </c>
      <c r="AE3537" s="50">
        <f t="shared" si="447"/>
        <v>0</v>
      </c>
    </row>
    <row r="3538" spans="1:31">
      <c r="A3538" s="59" t="str">
        <f t="shared" si="442"/>
        <v/>
      </c>
      <c r="B3538" s="59" t="str">
        <f t="shared" si="440"/>
        <v/>
      </c>
      <c r="V3538" s="59" t="str">
        <f t="shared" si="443"/>
        <v/>
      </c>
      <c r="W3538" s="59" t="str">
        <f t="shared" si="441"/>
        <v/>
      </c>
      <c r="X3538" s="59" t="str">
        <f t="shared" si="444"/>
        <v/>
      </c>
      <c r="AC3538" s="50">
        <f t="shared" si="445"/>
        <v>0</v>
      </c>
      <c r="AD3538" s="43">
        <f t="shared" si="446"/>
        <v>0</v>
      </c>
      <c r="AE3538" s="50">
        <f t="shared" si="447"/>
        <v>0</v>
      </c>
    </row>
    <row r="3539" spans="1:31">
      <c r="A3539" s="59" t="str">
        <f t="shared" si="442"/>
        <v/>
      </c>
      <c r="B3539" s="59" t="str">
        <f t="shared" si="440"/>
        <v/>
      </c>
      <c r="V3539" s="59" t="str">
        <f t="shared" si="443"/>
        <v/>
      </c>
      <c r="W3539" s="59" t="str">
        <f t="shared" si="441"/>
        <v/>
      </c>
      <c r="X3539" s="59" t="str">
        <f t="shared" si="444"/>
        <v/>
      </c>
      <c r="AC3539" s="50">
        <f t="shared" si="445"/>
        <v>0</v>
      </c>
      <c r="AD3539" s="43">
        <f t="shared" si="446"/>
        <v>0</v>
      </c>
      <c r="AE3539" s="50">
        <f t="shared" si="447"/>
        <v>0</v>
      </c>
    </row>
    <row r="3540" spans="1:31">
      <c r="A3540" s="59" t="str">
        <f t="shared" si="442"/>
        <v/>
      </c>
      <c r="B3540" s="59" t="str">
        <f t="shared" si="440"/>
        <v/>
      </c>
      <c r="V3540" s="59" t="str">
        <f t="shared" si="443"/>
        <v/>
      </c>
      <c r="W3540" s="59" t="str">
        <f t="shared" si="441"/>
        <v/>
      </c>
      <c r="X3540" s="59" t="str">
        <f t="shared" si="444"/>
        <v/>
      </c>
      <c r="AC3540" s="50">
        <f t="shared" si="445"/>
        <v>0</v>
      </c>
      <c r="AD3540" s="43">
        <f t="shared" si="446"/>
        <v>0</v>
      </c>
      <c r="AE3540" s="50">
        <f t="shared" si="447"/>
        <v>0</v>
      </c>
    </row>
    <row r="3541" spans="1:31">
      <c r="A3541" s="59" t="str">
        <f t="shared" si="442"/>
        <v/>
      </c>
      <c r="B3541" s="59" t="str">
        <f t="shared" si="440"/>
        <v/>
      </c>
      <c r="V3541" s="59" t="str">
        <f t="shared" si="443"/>
        <v/>
      </c>
      <c r="W3541" s="59" t="str">
        <f t="shared" si="441"/>
        <v/>
      </c>
      <c r="X3541" s="59" t="str">
        <f t="shared" si="444"/>
        <v/>
      </c>
      <c r="AC3541" s="50">
        <f t="shared" si="445"/>
        <v>0</v>
      </c>
      <c r="AD3541" s="43">
        <f t="shared" si="446"/>
        <v>0</v>
      </c>
      <c r="AE3541" s="50">
        <f t="shared" si="447"/>
        <v>0</v>
      </c>
    </row>
    <row r="3542" spans="1:31">
      <c r="A3542" s="59" t="str">
        <f t="shared" si="442"/>
        <v/>
      </c>
      <c r="B3542" s="59" t="str">
        <f t="shared" si="440"/>
        <v/>
      </c>
      <c r="V3542" s="59" t="str">
        <f t="shared" si="443"/>
        <v/>
      </c>
      <c r="W3542" s="59" t="str">
        <f t="shared" si="441"/>
        <v/>
      </c>
      <c r="X3542" s="59" t="str">
        <f t="shared" si="444"/>
        <v/>
      </c>
      <c r="AC3542" s="50">
        <f t="shared" si="445"/>
        <v>0</v>
      </c>
      <c r="AD3542" s="43">
        <f t="shared" si="446"/>
        <v>0</v>
      </c>
      <c r="AE3542" s="50">
        <f t="shared" si="447"/>
        <v>0</v>
      </c>
    </row>
    <row r="3543" spans="1:31">
      <c r="A3543" s="59" t="str">
        <f t="shared" si="442"/>
        <v/>
      </c>
      <c r="B3543" s="59" t="str">
        <f t="shared" si="440"/>
        <v/>
      </c>
      <c r="V3543" s="59" t="str">
        <f t="shared" si="443"/>
        <v/>
      </c>
      <c r="W3543" s="59" t="str">
        <f t="shared" si="441"/>
        <v/>
      </c>
      <c r="X3543" s="59" t="str">
        <f t="shared" si="444"/>
        <v/>
      </c>
      <c r="AC3543" s="50">
        <f t="shared" si="445"/>
        <v>0</v>
      </c>
      <c r="AD3543" s="43">
        <f t="shared" si="446"/>
        <v>0</v>
      </c>
      <c r="AE3543" s="50">
        <f t="shared" si="447"/>
        <v>0</v>
      </c>
    </row>
    <row r="3544" spans="1:31">
      <c r="A3544" s="59" t="str">
        <f t="shared" si="442"/>
        <v/>
      </c>
      <c r="B3544" s="59" t="str">
        <f t="shared" si="440"/>
        <v/>
      </c>
      <c r="V3544" s="59" t="str">
        <f t="shared" si="443"/>
        <v/>
      </c>
      <c r="W3544" s="59" t="str">
        <f t="shared" si="441"/>
        <v/>
      </c>
      <c r="X3544" s="59" t="str">
        <f t="shared" si="444"/>
        <v/>
      </c>
      <c r="AC3544" s="50">
        <f t="shared" si="445"/>
        <v>0</v>
      </c>
      <c r="AD3544" s="43">
        <f t="shared" si="446"/>
        <v>0</v>
      </c>
      <c r="AE3544" s="50">
        <f t="shared" si="447"/>
        <v>0</v>
      </c>
    </row>
    <row r="3545" spans="1:31">
      <c r="A3545" s="59" t="str">
        <f t="shared" si="442"/>
        <v/>
      </c>
      <c r="B3545" s="59" t="str">
        <f t="shared" si="440"/>
        <v/>
      </c>
      <c r="V3545" s="59" t="str">
        <f t="shared" si="443"/>
        <v/>
      </c>
      <c r="W3545" s="59" t="str">
        <f t="shared" si="441"/>
        <v/>
      </c>
      <c r="X3545" s="59" t="str">
        <f t="shared" si="444"/>
        <v/>
      </c>
      <c r="AC3545" s="50">
        <f t="shared" si="445"/>
        <v>0</v>
      </c>
      <c r="AD3545" s="43">
        <f t="shared" si="446"/>
        <v>0</v>
      </c>
      <c r="AE3545" s="50">
        <f t="shared" si="447"/>
        <v>0</v>
      </c>
    </row>
    <row r="3546" spans="1:31">
      <c r="A3546" s="59" t="str">
        <f t="shared" si="442"/>
        <v/>
      </c>
      <c r="B3546" s="59" t="str">
        <f t="shared" si="440"/>
        <v/>
      </c>
      <c r="V3546" s="59" t="str">
        <f t="shared" si="443"/>
        <v/>
      </c>
      <c r="W3546" s="59" t="str">
        <f t="shared" si="441"/>
        <v/>
      </c>
      <c r="X3546" s="59" t="str">
        <f t="shared" si="444"/>
        <v/>
      </c>
      <c r="AC3546" s="50">
        <f t="shared" si="445"/>
        <v>0</v>
      </c>
      <c r="AD3546" s="43">
        <f t="shared" si="446"/>
        <v>0</v>
      </c>
      <c r="AE3546" s="50">
        <f t="shared" si="447"/>
        <v>0</v>
      </c>
    </row>
    <row r="3547" spans="1:31">
      <c r="A3547" s="59" t="str">
        <f t="shared" si="442"/>
        <v/>
      </c>
      <c r="B3547" s="59" t="str">
        <f t="shared" si="440"/>
        <v/>
      </c>
      <c r="V3547" s="59" t="str">
        <f t="shared" si="443"/>
        <v/>
      </c>
      <c r="W3547" s="59" t="str">
        <f t="shared" si="441"/>
        <v/>
      </c>
      <c r="X3547" s="59" t="str">
        <f t="shared" si="444"/>
        <v/>
      </c>
      <c r="AC3547" s="50">
        <f t="shared" si="445"/>
        <v>0</v>
      </c>
      <c r="AD3547" s="43">
        <f t="shared" si="446"/>
        <v>0</v>
      </c>
      <c r="AE3547" s="50">
        <f t="shared" si="447"/>
        <v>0</v>
      </c>
    </row>
    <row r="3548" spans="1:31">
      <c r="A3548" s="59" t="str">
        <f t="shared" si="442"/>
        <v/>
      </c>
      <c r="B3548" s="59" t="str">
        <f t="shared" si="440"/>
        <v/>
      </c>
      <c r="V3548" s="59" t="str">
        <f t="shared" si="443"/>
        <v/>
      </c>
      <c r="W3548" s="59" t="str">
        <f t="shared" si="441"/>
        <v/>
      </c>
      <c r="X3548" s="59" t="str">
        <f t="shared" si="444"/>
        <v/>
      </c>
      <c r="AC3548" s="50">
        <f t="shared" si="445"/>
        <v>0</v>
      </c>
      <c r="AD3548" s="43">
        <f t="shared" si="446"/>
        <v>0</v>
      </c>
      <c r="AE3548" s="50">
        <f t="shared" si="447"/>
        <v>0</v>
      </c>
    </row>
    <row r="3549" spans="1:31">
      <c r="A3549" s="59" t="str">
        <f t="shared" si="442"/>
        <v/>
      </c>
      <c r="B3549" s="59" t="str">
        <f t="shared" si="440"/>
        <v/>
      </c>
      <c r="V3549" s="59" t="str">
        <f t="shared" si="443"/>
        <v/>
      </c>
      <c r="W3549" s="59" t="str">
        <f t="shared" si="441"/>
        <v/>
      </c>
      <c r="X3549" s="59" t="str">
        <f t="shared" si="444"/>
        <v/>
      </c>
      <c r="AC3549" s="50">
        <f t="shared" si="445"/>
        <v>0</v>
      </c>
      <c r="AD3549" s="43">
        <f t="shared" si="446"/>
        <v>0</v>
      </c>
      <c r="AE3549" s="50">
        <f t="shared" si="447"/>
        <v>0</v>
      </c>
    </row>
    <row r="3550" spans="1:31">
      <c r="A3550" s="59" t="str">
        <f t="shared" si="442"/>
        <v/>
      </c>
      <c r="B3550" s="59" t="str">
        <f t="shared" si="440"/>
        <v/>
      </c>
      <c r="V3550" s="59" t="str">
        <f t="shared" si="443"/>
        <v/>
      </c>
      <c r="W3550" s="59" t="str">
        <f t="shared" si="441"/>
        <v/>
      </c>
      <c r="X3550" s="59" t="str">
        <f t="shared" si="444"/>
        <v/>
      </c>
      <c r="AC3550" s="50">
        <f t="shared" si="445"/>
        <v>0</v>
      </c>
      <c r="AD3550" s="43">
        <f t="shared" si="446"/>
        <v>0</v>
      </c>
      <c r="AE3550" s="50">
        <f t="shared" si="447"/>
        <v>0</v>
      </c>
    </row>
    <row r="3551" spans="1:31">
      <c r="A3551" s="59" t="str">
        <f t="shared" si="442"/>
        <v/>
      </c>
      <c r="B3551" s="59" t="str">
        <f t="shared" si="440"/>
        <v/>
      </c>
      <c r="V3551" s="59" t="str">
        <f t="shared" si="443"/>
        <v/>
      </c>
      <c r="W3551" s="59" t="str">
        <f t="shared" si="441"/>
        <v/>
      </c>
      <c r="X3551" s="59" t="str">
        <f t="shared" si="444"/>
        <v/>
      </c>
      <c r="AC3551" s="50">
        <f t="shared" si="445"/>
        <v>0</v>
      </c>
      <c r="AD3551" s="43">
        <f t="shared" si="446"/>
        <v>0</v>
      </c>
      <c r="AE3551" s="50">
        <f t="shared" si="447"/>
        <v>0</v>
      </c>
    </row>
    <row r="3552" spans="1:31">
      <c r="A3552" s="59" t="str">
        <f t="shared" si="442"/>
        <v/>
      </c>
      <c r="B3552" s="59" t="str">
        <f t="shared" si="440"/>
        <v/>
      </c>
      <c r="V3552" s="59" t="str">
        <f t="shared" si="443"/>
        <v/>
      </c>
      <c r="W3552" s="59" t="str">
        <f t="shared" si="441"/>
        <v/>
      </c>
      <c r="X3552" s="59" t="str">
        <f t="shared" si="444"/>
        <v/>
      </c>
      <c r="AC3552" s="50">
        <f t="shared" si="445"/>
        <v>0</v>
      </c>
      <c r="AD3552" s="43">
        <f t="shared" si="446"/>
        <v>0</v>
      </c>
      <c r="AE3552" s="50">
        <f t="shared" si="447"/>
        <v>0</v>
      </c>
    </row>
    <row r="3553" spans="1:31">
      <c r="A3553" s="59" t="str">
        <f t="shared" si="442"/>
        <v/>
      </c>
      <c r="B3553" s="59" t="str">
        <f t="shared" ref="B3553:B3616" si="448">IF(C3553&lt;&gt;"",LEFT(C3553,9),"")</f>
        <v/>
      </c>
      <c r="V3553" s="59" t="str">
        <f t="shared" si="443"/>
        <v/>
      </c>
      <c r="W3553" s="59" t="str">
        <f t="shared" si="441"/>
        <v/>
      </c>
      <c r="X3553" s="59" t="str">
        <f t="shared" si="444"/>
        <v/>
      </c>
      <c r="AC3553" s="50">
        <f t="shared" si="445"/>
        <v>0</v>
      </c>
      <c r="AD3553" s="43">
        <f t="shared" si="446"/>
        <v>0</v>
      </c>
      <c r="AE3553" s="50">
        <f t="shared" si="447"/>
        <v>0</v>
      </c>
    </row>
    <row r="3554" spans="1:31">
      <c r="A3554" s="59" t="str">
        <f t="shared" si="442"/>
        <v/>
      </c>
      <c r="B3554" s="59" t="str">
        <f t="shared" si="448"/>
        <v/>
      </c>
      <c r="V3554" s="59" t="str">
        <f t="shared" si="443"/>
        <v/>
      </c>
      <c r="W3554" s="59" t="str">
        <f t="shared" si="441"/>
        <v/>
      </c>
      <c r="X3554" s="59" t="str">
        <f t="shared" si="444"/>
        <v/>
      </c>
      <c r="AC3554" s="50">
        <f t="shared" si="445"/>
        <v>0</v>
      </c>
      <c r="AD3554" s="43">
        <f t="shared" si="446"/>
        <v>0</v>
      </c>
      <c r="AE3554" s="50">
        <f t="shared" si="447"/>
        <v>0</v>
      </c>
    </row>
    <row r="3555" spans="1:31">
      <c r="A3555" s="59" t="str">
        <f t="shared" si="442"/>
        <v/>
      </c>
      <c r="B3555" s="59" t="str">
        <f t="shared" si="448"/>
        <v/>
      </c>
      <c r="V3555" s="59" t="str">
        <f t="shared" si="443"/>
        <v/>
      </c>
      <c r="W3555" s="59" t="str">
        <f t="shared" si="441"/>
        <v/>
      </c>
      <c r="X3555" s="59" t="str">
        <f t="shared" si="444"/>
        <v/>
      </c>
      <c r="AC3555" s="50">
        <f t="shared" si="445"/>
        <v>0</v>
      </c>
      <c r="AD3555" s="43">
        <f t="shared" si="446"/>
        <v>0</v>
      </c>
      <c r="AE3555" s="50">
        <f t="shared" si="447"/>
        <v>0</v>
      </c>
    </row>
    <row r="3556" spans="1:31">
      <c r="A3556" s="59" t="str">
        <f t="shared" si="442"/>
        <v/>
      </c>
      <c r="B3556" s="59" t="str">
        <f t="shared" si="448"/>
        <v/>
      </c>
      <c r="V3556" s="59" t="str">
        <f t="shared" si="443"/>
        <v/>
      </c>
      <c r="W3556" s="59" t="str">
        <f t="shared" si="441"/>
        <v/>
      </c>
      <c r="X3556" s="59" t="str">
        <f t="shared" si="444"/>
        <v/>
      </c>
      <c r="AC3556" s="50">
        <f t="shared" si="445"/>
        <v>0</v>
      </c>
      <c r="AD3556" s="43">
        <f t="shared" si="446"/>
        <v>0</v>
      </c>
      <c r="AE3556" s="50">
        <f t="shared" si="447"/>
        <v>0</v>
      </c>
    </row>
    <row r="3557" spans="1:31">
      <c r="A3557" s="59" t="str">
        <f t="shared" si="442"/>
        <v/>
      </c>
      <c r="B3557" s="59" t="str">
        <f t="shared" si="448"/>
        <v/>
      </c>
      <c r="V3557" s="59" t="str">
        <f t="shared" si="443"/>
        <v/>
      </c>
      <c r="W3557" s="59" t="str">
        <f t="shared" si="441"/>
        <v/>
      </c>
      <c r="X3557" s="59" t="str">
        <f t="shared" si="444"/>
        <v/>
      </c>
      <c r="AC3557" s="50">
        <f t="shared" si="445"/>
        <v>0</v>
      </c>
      <c r="AD3557" s="43">
        <f t="shared" si="446"/>
        <v>0</v>
      </c>
      <c r="AE3557" s="50">
        <f t="shared" si="447"/>
        <v>0</v>
      </c>
    </row>
    <row r="3558" spans="1:31">
      <c r="A3558" s="59" t="str">
        <f t="shared" si="442"/>
        <v/>
      </c>
      <c r="B3558" s="59" t="str">
        <f t="shared" si="448"/>
        <v/>
      </c>
      <c r="V3558" s="59" t="str">
        <f t="shared" si="443"/>
        <v/>
      </c>
      <c r="W3558" s="59" t="str">
        <f t="shared" si="441"/>
        <v/>
      </c>
      <c r="X3558" s="59" t="str">
        <f t="shared" si="444"/>
        <v/>
      </c>
      <c r="AC3558" s="50">
        <f t="shared" si="445"/>
        <v>0</v>
      </c>
      <c r="AD3558" s="43">
        <f t="shared" si="446"/>
        <v>0</v>
      </c>
      <c r="AE3558" s="50">
        <f t="shared" si="447"/>
        <v>0</v>
      </c>
    </row>
    <row r="3559" spans="1:31">
      <c r="A3559" s="59" t="str">
        <f t="shared" si="442"/>
        <v/>
      </c>
      <c r="B3559" s="59" t="str">
        <f t="shared" si="448"/>
        <v/>
      </c>
      <c r="V3559" s="59" t="str">
        <f t="shared" si="443"/>
        <v/>
      </c>
      <c r="W3559" s="59" t="str">
        <f t="shared" si="441"/>
        <v/>
      </c>
      <c r="X3559" s="59" t="str">
        <f t="shared" si="444"/>
        <v/>
      </c>
      <c r="AC3559" s="50">
        <f t="shared" si="445"/>
        <v>0</v>
      </c>
      <c r="AD3559" s="43">
        <f t="shared" si="446"/>
        <v>0</v>
      </c>
      <c r="AE3559" s="50">
        <f t="shared" si="447"/>
        <v>0</v>
      </c>
    </row>
    <row r="3560" spans="1:31">
      <c r="A3560" s="59" t="str">
        <f t="shared" si="442"/>
        <v/>
      </c>
      <c r="B3560" s="59" t="str">
        <f t="shared" si="448"/>
        <v/>
      </c>
      <c r="V3560" s="59" t="str">
        <f t="shared" si="443"/>
        <v/>
      </c>
      <c r="W3560" s="59" t="str">
        <f t="shared" si="441"/>
        <v/>
      </c>
      <c r="X3560" s="59" t="str">
        <f t="shared" si="444"/>
        <v/>
      </c>
      <c r="AC3560" s="50">
        <f t="shared" si="445"/>
        <v>0</v>
      </c>
      <c r="AD3560" s="43">
        <f t="shared" si="446"/>
        <v>0</v>
      </c>
      <c r="AE3560" s="50">
        <f t="shared" si="447"/>
        <v>0</v>
      </c>
    </row>
    <row r="3561" spans="1:31">
      <c r="A3561" s="59" t="str">
        <f t="shared" si="442"/>
        <v/>
      </c>
      <c r="B3561" s="59" t="str">
        <f t="shared" si="448"/>
        <v/>
      </c>
      <c r="V3561" s="59" t="str">
        <f t="shared" si="443"/>
        <v/>
      </c>
      <c r="W3561" s="59" t="str">
        <f t="shared" si="441"/>
        <v/>
      </c>
      <c r="X3561" s="59" t="str">
        <f t="shared" si="444"/>
        <v/>
      </c>
      <c r="AC3561" s="50">
        <f t="shared" si="445"/>
        <v>0</v>
      </c>
      <c r="AD3561" s="43">
        <f t="shared" si="446"/>
        <v>0</v>
      </c>
      <c r="AE3561" s="50">
        <f t="shared" si="447"/>
        <v>0</v>
      </c>
    </row>
    <row r="3562" spans="1:31">
      <c r="A3562" s="59" t="str">
        <f t="shared" si="442"/>
        <v/>
      </c>
      <c r="B3562" s="59" t="str">
        <f t="shared" si="448"/>
        <v/>
      </c>
      <c r="V3562" s="59" t="str">
        <f t="shared" si="443"/>
        <v/>
      </c>
      <c r="W3562" s="59" t="str">
        <f t="shared" si="441"/>
        <v/>
      </c>
      <c r="X3562" s="59" t="str">
        <f t="shared" si="444"/>
        <v/>
      </c>
      <c r="AC3562" s="50">
        <f t="shared" si="445"/>
        <v>0</v>
      </c>
      <c r="AD3562" s="43">
        <f t="shared" si="446"/>
        <v>0</v>
      </c>
      <c r="AE3562" s="50">
        <f t="shared" si="447"/>
        <v>0</v>
      </c>
    </row>
    <row r="3563" spans="1:31">
      <c r="A3563" s="59" t="str">
        <f t="shared" si="442"/>
        <v/>
      </c>
      <c r="B3563" s="59" t="str">
        <f t="shared" si="448"/>
        <v/>
      </c>
      <c r="V3563" s="59" t="str">
        <f t="shared" si="443"/>
        <v/>
      </c>
      <c r="W3563" s="59" t="str">
        <f t="shared" si="441"/>
        <v/>
      </c>
      <c r="X3563" s="59" t="str">
        <f t="shared" si="444"/>
        <v/>
      </c>
      <c r="AC3563" s="50">
        <f t="shared" si="445"/>
        <v>0</v>
      </c>
      <c r="AD3563" s="43">
        <f t="shared" si="446"/>
        <v>0</v>
      </c>
      <c r="AE3563" s="50">
        <f t="shared" si="447"/>
        <v>0</v>
      </c>
    </row>
    <row r="3564" spans="1:31">
      <c r="A3564" s="59" t="str">
        <f t="shared" si="442"/>
        <v/>
      </c>
      <c r="B3564" s="59" t="str">
        <f t="shared" si="448"/>
        <v/>
      </c>
      <c r="V3564" s="59" t="str">
        <f t="shared" si="443"/>
        <v/>
      </c>
      <c r="W3564" s="59" t="str">
        <f t="shared" si="441"/>
        <v/>
      </c>
      <c r="X3564" s="59" t="str">
        <f t="shared" si="444"/>
        <v/>
      </c>
      <c r="AC3564" s="50">
        <f t="shared" si="445"/>
        <v>0</v>
      </c>
      <c r="AD3564" s="43">
        <f t="shared" si="446"/>
        <v>0</v>
      </c>
      <c r="AE3564" s="50">
        <f t="shared" si="447"/>
        <v>0</v>
      </c>
    </row>
    <row r="3565" spans="1:31">
      <c r="A3565" s="59" t="str">
        <f t="shared" si="442"/>
        <v/>
      </c>
      <c r="B3565" s="59" t="str">
        <f t="shared" si="448"/>
        <v/>
      </c>
      <c r="V3565" s="59" t="str">
        <f t="shared" si="443"/>
        <v/>
      </c>
      <c r="W3565" s="59" t="str">
        <f t="shared" si="441"/>
        <v/>
      </c>
      <c r="X3565" s="59" t="str">
        <f t="shared" si="444"/>
        <v/>
      </c>
      <c r="AC3565" s="50">
        <f t="shared" si="445"/>
        <v>0</v>
      </c>
      <c r="AD3565" s="43">
        <f t="shared" si="446"/>
        <v>0</v>
      </c>
      <c r="AE3565" s="50">
        <f t="shared" si="447"/>
        <v>0</v>
      </c>
    </row>
    <row r="3566" spans="1:31">
      <c r="A3566" s="59" t="str">
        <f t="shared" si="442"/>
        <v/>
      </c>
      <c r="B3566" s="59" t="str">
        <f t="shared" si="448"/>
        <v/>
      </c>
      <c r="V3566" s="59" t="str">
        <f t="shared" si="443"/>
        <v/>
      </c>
      <c r="W3566" s="59" t="str">
        <f t="shared" si="441"/>
        <v/>
      </c>
      <c r="X3566" s="59" t="str">
        <f t="shared" si="444"/>
        <v/>
      </c>
      <c r="AC3566" s="50">
        <f t="shared" si="445"/>
        <v>0</v>
      </c>
      <c r="AD3566" s="43">
        <f t="shared" si="446"/>
        <v>0</v>
      </c>
      <c r="AE3566" s="50">
        <f t="shared" si="447"/>
        <v>0</v>
      </c>
    </row>
    <row r="3567" spans="1:31">
      <c r="A3567" s="59" t="str">
        <f t="shared" si="442"/>
        <v/>
      </c>
      <c r="B3567" s="59" t="str">
        <f t="shared" si="448"/>
        <v/>
      </c>
      <c r="V3567" s="59" t="str">
        <f t="shared" si="443"/>
        <v/>
      </c>
      <c r="W3567" s="59" t="str">
        <f t="shared" si="441"/>
        <v/>
      </c>
      <c r="X3567" s="59" t="str">
        <f t="shared" si="444"/>
        <v/>
      </c>
      <c r="AC3567" s="50">
        <f t="shared" si="445"/>
        <v>0</v>
      </c>
      <c r="AD3567" s="43">
        <f t="shared" si="446"/>
        <v>0</v>
      </c>
      <c r="AE3567" s="50">
        <f t="shared" si="447"/>
        <v>0</v>
      </c>
    </row>
    <row r="3568" spans="1:31">
      <c r="A3568" s="59" t="str">
        <f t="shared" si="442"/>
        <v/>
      </c>
      <c r="B3568" s="59" t="str">
        <f t="shared" si="448"/>
        <v/>
      </c>
      <c r="V3568" s="59" t="str">
        <f t="shared" si="443"/>
        <v/>
      </c>
      <c r="W3568" s="59" t="str">
        <f t="shared" si="441"/>
        <v/>
      </c>
      <c r="X3568" s="59" t="str">
        <f t="shared" si="444"/>
        <v/>
      </c>
      <c r="AC3568" s="50">
        <f t="shared" si="445"/>
        <v>0</v>
      </c>
      <c r="AD3568" s="43">
        <f t="shared" si="446"/>
        <v>0</v>
      </c>
      <c r="AE3568" s="50">
        <f t="shared" si="447"/>
        <v>0</v>
      </c>
    </row>
    <row r="3569" spans="1:31">
      <c r="A3569" s="59" t="str">
        <f t="shared" si="442"/>
        <v/>
      </c>
      <c r="B3569" s="59" t="str">
        <f t="shared" si="448"/>
        <v/>
      </c>
      <c r="V3569" s="59" t="str">
        <f t="shared" si="443"/>
        <v/>
      </c>
      <c r="W3569" s="59" t="str">
        <f t="shared" si="441"/>
        <v/>
      </c>
      <c r="X3569" s="59" t="str">
        <f t="shared" si="444"/>
        <v/>
      </c>
      <c r="AC3569" s="50">
        <f t="shared" si="445"/>
        <v>0</v>
      </c>
      <c r="AD3569" s="43">
        <f t="shared" si="446"/>
        <v>0</v>
      </c>
      <c r="AE3569" s="50">
        <f t="shared" si="447"/>
        <v>0</v>
      </c>
    </row>
    <row r="3570" spans="1:31">
      <c r="A3570" s="59" t="str">
        <f t="shared" si="442"/>
        <v/>
      </c>
      <c r="B3570" s="59" t="str">
        <f t="shared" si="448"/>
        <v/>
      </c>
      <c r="V3570" s="59" t="str">
        <f t="shared" si="443"/>
        <v/>
      </c>
      <c r="W3570" s="59" t="str">
        <f t="shared" si="441"/>
        <v/>
      </c>
      <c r="X3570" s="59" t="str">
        <f t="shared" si="444"/>
        <v/>
      </c>
      <c r="AC3570" s="50">
        <f t="shared" si="445"/>
        <v>0</v>
      </c>
      <c r="AD3570" s="43">
        <f t="shared" si="446"/>
        <v>0</v>
      </c>
      <c r="AE3570" s="50">
        <f t="shared" si="447"/>
        <v>0</v>
      </c>
    </row>
    <row r="3571" spans="1:31">
      <c r="A3571" s="59" t="str">
        <f t="shared" si="442"/>
        <v/>
      </c>
      <c r="B3571" s="59" t="str">
        <f t="shared" si="448"/>
        <v/>
      </c>
      <c r="V3571" s="59" t="str">
        <f t="shared" si="443"/>
        <v/>
      </c>
      <c r="W3571" s="59" t="str">
        <f t="shared" si="441"/>
        <v/>
      </c>
      <c r="X3571" s="59" t="str">
        <f t="shared" si="444"/>
        <v/>
      </c>
      <c r="AC3571" s="50">
        <f t="shared" si="445"/>
        <v>0</v>
      </c>
      <c r="AD3571" s="43">
        <f t="shared" si="446"/>
        <v>0</v>
      </c>
      <c r="AE3571" s="50">
        <f t="shared" si="447"/>
        <v>0</v>
      </c>
    </row>
    <row r="3572" spans="1:31">
      <c r="A3572" s="59" t="str">
        <f t="shared" si="442"/>
        <v/>
      </c>
      <c r="B3572" s="59" t="str">
        <f t="shared" si="448"/>
        <v/>
      </c>
      <c r="V3572" s="59" t="str">
        <f t="shared" si="443"/>
        <v/>
      </c>
      <c r="W3572" s="59" t="str">
        <f t="shared" si="441"/>
        <v/>
      </c>
      <c r="X3572" s="59" t="str">
        <f t="shared" si="444"/>
        <v/>
      </c>
      <c r="AC3572" s="50">
        <f t="shared" si="445"/>
        <v>0</v>
      </c>
      <c r="AD3572" s="43">
        <f t="shared" si="446"/>
        <v>0</v>
      </c>
      <c r="AE3572" s="50">
        <f t="shared" si="447"/>
        <v>0</v>
      </c>
    </row>
    <row r="3573" spans="1:31">
      <c r="A3573" s="59" t="str">
        <f t="shared" si="442"/>
        <v/>
      </c>
      <c r="B3573" s="59" t="str">
        <f t="shared" si="448"/>
        <v/>
      </c>
      <c r="V3573" s="59" t="str">
        <f t="shared" si="443"/>
        <v/>
      </c>
      <c r="W3573" s="59" t="str">
        <f t="shared" si="441"/>
        <v/>
      </c>
      <c r="X3573" s="59" t="str">
        <f t="shared" si="444"/>
        <v/>
      </c>
      <c r="AC3573" s="50">
        <f t="shared" si="445"/>
        <v>0</v>
      </c>
      <c r="AD3573" s="43">
        <f t="shared" si="446"/>
        <v>0</v>
      </c>
      <c r="AE3573" s="50">
        <f t="shared" si="447"/>
        <v>0</v>
      </c>
    </row>
    <row r="3574" spans="1:31">
      <c r="A3574" s="59" t="str">
        <f t="shared" si="442"/>
        <v/>
      </c>
      <c r="B3574" s="59" t="str">
        <f t="shared" si="448"/>
        <v/>
      </c>
      <c r="V3574" s="59" t="str">
        <f t="shared" si="443"/>
        <v/>
      </c>
      <c r="W3574" s="59" t="str">
        <f t="shared" si="441"/>
        <v/>
      </c>
      <c r="X3574" s="59" t="str">
        <f t="shared" si="444"/>
        <v/>
      </c>
      <c r="AC3574" s="50">
        <f t="shared" si="445"/>
        <v>0</v>
      </c>
      <c r="AD3574" s="43">
        <f t="shared" si="446"/>
        <v>0</v>
      </c>
      <c r="AE3574" s="50">
        <f t="shared" si="447"/>
        <v>0</v>
      </c>
    </row>
    <row r="3575" spans="1:31">
      <c r="A3575" s="59" t="str">
        <f t="shared" si="442"/>
        <v/>
      </c>
      <c r="B3575" s="59" t="str">
        <f t="shared" si="448"/>
        <v/>
      </c>
      <c r="V3575" s="59" t="str">
        <f t="shared" si="443"/>
        <v/>
      </c>
      <c r="W3575" s="59" t="str">
        <f t="shared" si="441"/>
        <v/>
      </c>
      <c r="X3575" s="59" t="str">
        <f t="shared" si="444"/>
        <v/>
      </c>
      <c r="AC3575" s="50">
        <f t="shared" si="445"/>
        <v>0</v>
      </c>
      <c r="AD3575" s="43">
        <f t="shared" si="446"/>
        <v>0</v>
      </c>
      <c r="AE3575" s="50">
        <f t="shared" si="447"/>
        <v>0</v>
      </c>
    </row>
    <row r="3576" spans="1:31">
      <c r="A3576" s="59" t="str">
        <f t="shared" si="442"/>
        <v/>
      </c>
      <c r="B3576" s="59" t="str">
        <f t="shared" si="448"/>
        <v/>
      </c>
      <c r="V3576" s="59" t="str">
        <f t="shared" si="443"/>
        <v/>
      </c>
      <c r="W3576" s="59" t="str">
        <f t="shared" si="441"/>
        <v/>
      </c>
      <c r="X3576" s="59" t="str">
        <f t="shared" si="444"/>
        <v/>
      </c>
      <c r="AC3576" s="50">
        <f t="shared" si="445"/>
        <v>0</v>
      </c>
      <c r="AD3576" s="43">
        <f t="shared" si="446"/>
        <v>0</v>
      </c>
      <c r="AE3576" s="50">
        <f t="shared" si="447"/>
        <v>0</v>
      </c>
    </row>
    <row r="3577" spans="1:31">
      <c r="A3577" s="59" t="str">
        <f t="shared" si="442"/>
        <v/>
      </c>
      <c r="B3577" s="59" t="str">
        <f t="shared" si="448"/>
        <v/>
      </c>
      <c r="V3577" s="59" t="str">
        <f t="shared" si="443"/>
        <v/>
      </c>
      <c r="W3577" s="59" t="str">
        <f t="shared" si="441"/>
        <v/>
      </c>
      <c r="X3577" s="59" t="str">
        <f t="shared" si="444"/>
        <v/>
      </c>
      <c r="AC3577" s="50">
        <f t="shared" si="445"/>
        <v>0</v>
      </c>
      <c r="AD3577" s="43">
        <f t="shared" si="446"/>
        <v>0</v>
      </c>
      <c r="AE3577" s="50">
        <f t="shared" si="447"/>
        <v>0</v>
      </c>
    </row>
    <row r="3578" spans="1:31">
      <c r="A3578" s="59" t="str">
        <f t="shared" si="442"/>
        <v/>
      </c>
      <c r="B3578" s="59" t="str">
        <f t="shared" si="448"/>
        <v/>
      </c>
      <c r="V3578" s="59" t="str">
        <f t="shared" si="443"/>
        <v/>
      </c>
      <c r="W3578" s="59" t="str">
        <f t="shared" si="441"/>
        <v/>
      </c>
      <c r="X3578" s="59" t="str">
        <f t="shared" si="444"/>
        <v/>
      </c>
      <c r="AC3578" s="50">
        <f t="shared" si="445"/>
        <v>0</v>
      </c>
      <c r="AD3578" s="43">
        <f t="shared" si="446"/>
        <v>0</v>
      </c>
      <c r="AE3578" s="50">
        <f t="shared" si="447"/>
        <v>0</v>
      </c>
    </row>
    <row r="3579" spans="1:31">
      <c r="A3579" s="59" t="str">
        <f t="shared" si="442"/>
        <v/>
      </c>
      <c r="B3579" s="59" t="str">
        <f t="shared" si="448"/>
        <v/>
      </c>
      <c r="V3579" s="59" t="str">
        <f t="shared" si="443"/>
        <v/>
      </c>
      <c r="W3579" s="59" t="str">
        <f t="shared" si="441"/>
        <v/>
      </c>
      <c r="X3579" s="59" t="str">
        <f t="shared" si="444"/>
        <v/>
      </c>
      <c r="AC3579" s="50">
        <f t="shared" si="445"/>
        <v>0</v>
      </c>
      <c r="AD3579" s="43">
        <f t="shared" si="446"/>
        <v>0</v>
      </c>
      <c r="AE3579" s="50">
        <f t="shared" si="447"/>
        <v>0</v>
      </c>
    </row>
    <row r="3580" spans="1:31">
      <c r="A3580" s="59" t="str">
        <f t="shared" si="442"/>
        <v/>
      </c>
      <c r="B3580" s="59" t="str">
        <f t="shared" si="448"/>
        <v/>
      </c>
      <c r="V3580" s="59" t="str">
        <f t="shared" si="443"/>
        <v/>
      </c>
      <c r="W3580" s="59" t="str">
        <f t="shared" si="441"/>
        <v/>
      </c>
      <c r="X3580" s="59" t="str">
        <f t="shared" si="444"/>
        <v/>
      </c>
      <c r="AC3580" s="50">
        <f t="shared" si="445"/>
        <v>0</v>
      </c>
      <c r="AD3580" s="43">
        <f t="shared" si="446"/>
        <v>0</v>
      </c>
      <c r="AE3580" s="50">
        <f t="shared" si="447"/>
        <v>0</v>
      </c>
    </row>
    <row r="3581" spans="1:31">
      <c r="A3581" s="59" t="str">
        <f t="shared" si="442"/>
        <v/>
      </c>
      <c r="B3581" s="59" t="str">
        <f t="shared" si="448"/>
        <v/>
      </c>
      <c r="V3581" s="59" t="str">
        <f t="shared" si="443"/>
        <v/>
      </c>
      <c r="W3581" s="59" t="str">
        <f t="shared" si="441"/>
        <v/>
      </c>
      <c r="X3581" s="59" t="str">
        <f t="shared" si="444"/>
        <v/>
      </c>
      <c r="AC3581" s="50">
        <f t="shared" si="445"/>
        <v>0</v>
      </c>
      <c r="AD3581" s="43">
        <f t="shared" si="446"/>
        <v>0</v>
      </c>
      <c r="AE3581" s="50">
        <f t="shared" si="447"/>
        <v>0</v>
      </c>
    </row>
    <row r="3582" spans="1:31">
      <c r="A3582" s="59" t="str">
        <f t="shared" si="442"/>
        <v/>
      </c>
      <c r="B3582" s="59" t="str">
        <f t="shared" si="448"/>
        <v/>
      </c>
      <c r="V3582" s="59" t="str">
        <f t="shared" si="443"/>
        <v/>
      </c>
      <c r="W3582" s="59" t="str">
        <f t="shared" si="441"/>
        <v/>
      </c>
      <c r="X3582" s="59" t="str">
        <f t="shared" si="444"/>
        <v/>
      </c>
      <c r="AC3582" s="50">
        <f t="shared" si="445"/>
        <v>0</v>
      </c>
      <c r="AD3582" s="43">
        <f t="shared" si="446"/>
        <v>0</v>
      </c>
      <c r="AE3582" s="50">
        <f t="shared" si="447"/>
        <v>0</v>
      </c>
    </row>
    <row r="3583" spans="1:31">
      <c r="A3583" s="59" t="str">
        <f t="shared" si="442"/>
        <v/>
      </c>
      <c r="B3583" s="59" t="str">
        <f t="shared" si="448"/>
        <v/>
      </c>
      <c r="V3583" s="59" t="str">
        <f t="shared" si="443"/>
        <v/>
      </c>
      <c r="W3583" s="59" t="str">
        <f t="shared" si="441"/>
        <v/>
      </c>
      <c r="X3583" s="59" t="str">
        <f t="shared" si="444"/>
        <v/>
      </c>
      <c r="AC3583" s="50">
        <f t="shared" si="445"/>
        <v>0</v>
      </c>
      <c r="AD3583" s="43">
        <f t="shared" si="446"/>
        <v>0</v>
      </c>
      <c r="AE3583" s="50">
        <f t="shared" si="447"/>
        <v>0</v>
      </c>
    </row>
    <row r="3584" spans="1:31">
      <c r="A3584" s="59" t="str">
        <f t="shared" si="442"/>
        <v/>
      </c>
      <c r="B3584" s="59" t="str">
        <f t="shared" si="448"/>
        <v/>
      </c>
      <c r="V3584" s="59" t="str">
        <f t="shared" si="443"/>
        <v/>
      </c>
      <c r="W3584" s="59" t="str">
        <f t="shared" si="441"/>
        <v/>
      </c>
      <c r="X3584" s="59" t="str">
        <f t="shared" si="444"/>
        <v/>
      </c>
      <c r="AC3584" s="50">
        <f t="shared" si="445"/>
        <v>0</v>
      </c>
      <c r="AD3584" s="43">
        <f t="shared" si="446"/>
        <v>0</v>
      </c>
      <c r="AE3584" s="50">
        <f t="shared" si="447"/>
        <v>0</v>
      </c>
    </row>
    <row r="3585" spans="1:31">
      <c r="A3585" s="59" t="str">
        <f t="shared" si="442"/>
        <v/>
      </c>
      <c r="B3585" s="59" t="str">
        <f t="shared" si="448"/>
        <v/>
      </c>
      <c r="V3585" s="59" t="str">
        <f t="shared" si="443"/>
        <v/>
      </c>
      <c r="W3585" s="59" t="str">
        <f t="shared" si="441"/>
        <v/>
      </c>
      <c r="X3585" s="59" t="str">
        <f t="shared" si="444"/>
        <v/>
      </c>
      <c r="AC3585" s="50">
        <f t="shared" si="445"/>
        <v>0</v>
      </c>
      <c r="AD3585" s="43">
        <f t="shared" si="446"/>
        <v>0</v>
      </c>
      <c r="AE3585" s="50">
        <f t="shared" si="447"/>
        <v>0</v>
      </c>
    </row>
    <row r="3586" spans="1:31">
      <c r="A3586" s="59" t="str">
        <f t="shared" si="442"/>
        <v/>
      </c>
      <c r="B3586" s="59" t="str">
        <f t="shared" si="448"/>
        <v/>
      </c>
      <c r="V3586" s="59" t="str">
        <f t="shared" si="443"/>
        <v/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59" t="str">
        <f t="shared" si="444"/>
        <v/>
      </c>
      <c r="AC3586" s="50">
        <f t="shared" si="445"/>
        <v>0</v>
      </c>
      <c r="AD3586" s="43">
        <f t="shared" si="446"/>
        <v>0</v>
      </c>
      <c r="AE3586" s="50">
        <f t="shared" si="447"/>
        <v>0</v>
      </c>
    </row>
    <row r="3587" spans="1:31">
      <c r="A3587" s="59" t="str">
        <f t="shared" ref="A3587:A3650" si="450">IF(G3587&amp;Q3587&lt;&gt;"",W3587&amp;Q3587,"")</f>
        <v/>
      </c>
      <c r="B3587" s="59" t="str">
        <f t="shared" si="448"/>
        <v/>
      </c>
      <c r="V3587" s="59" t="str">
        <f t="shared" ref="V3587:V3650" si="451">W3587&amp;H3587</f>
        <v/>
      </c>
      <c r="W3587" s="59" t="str">
        <f t="shared" si="449"/>
        <v/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0</v>
      </c>
      <c r="AD3587" s="43">
        <f t="shared" ref="AD3587:AD3650" si="454">IFERROR(VALUE(MID($C3587,4,3)),0)</f>
        <v>0</v>
      </c>
      <c r="AE3587" s="50">
        <f t="shared" ref="AE3587:AE3650" si="455">VALUE(RIGHT("00"&amp;AC3587,2)&amp;RIGHT("000"&amp;AD3587,3))</f>
        <v>0</v>
      </c>
    </row>
    <row r="3588" spans="1:31">
      <c r="A3588" s="59" t="str">
        <f t="shared" si="450"/>
        <v/>
      </c>
      <c r="B3588" s="59" t="str">
        <f t="shared" si="448"/>
        <v/>
      </c>
      <c r="V3588" s="59" t="str">
        <f t="shared" si="451"/>
        <v/>
      </c>
      <c r="W3588" s="59" t="str">
        <f t="shared" si="449"/>
        <v/>
      </c>
      <c r="X3588" s="59" t="str">
        <f t="shared" si="452"/>
        <v/>
      </c>
      <c r="AC3588" s="50">
        <f t="shared" si="453"/>
        <v>0</v>
      </c>
      <c r="AD3588" s="43">
        <f t="shared" si="454"/>
        <v>0</v>
      </c>
      <c r="AE3588" s="50">
        <f t="shared" si="455"/>
        <v>0</v>
      </c>
    </row>
    <row r="3589" spans="1:31">
      <c r="A3589" s="59" t="str">
        <f t="shared" si="450"/>
        <v/>
      </c>
      <c r="B3589" s="59" t="str">
        <f t="shared" si="448"/>
        <v/>
      </c>
      <c r="V3589" s="59" t="str">
        <f t="shared" si="451"/>
        <v/>
      </c>
      <c r="W3589" s="59" t="str">
        <f t="shared" si="449"/>
        <v/>
      </c>
      <c r="X3589" s="59" t="str">
        <f t="shared" si="452"/>
        <v/>
      </c>
      <c r="AC3589" s="50">
        <f t="shared" si="453"/>
        <v>0</v>
      </c>
      <c r="AD3589" s="43">
        <f t="shared" si="454"/>
        <v>0</v>
      </c>
      <c r="AE3589" s="50">
        <f t="shared" si="455"/>
        <v>0</v>
      </c>
    </row>
    <row r="3590" spans="1:31">
      <c r="A3590" s="59" t="str">
        <f t="shared" si="450"/>
        <v/>
      </c>
      <c r="B3590" s="59" t="str">
        <f t="shared" si="448"/>
        <v/>
      </c>
      <c r="V3590" s="59" t="str">
        <f t="shared" si="451"/>
        <v/>
      </c>
      <c r="W3590" s="59" t="str">
        <f t="shared" si="449"/>
        <v/>
      </c>
      <c r="X3590" s="59" t="str">
        <f t="shared" si="452"/>
        <v/>
      </c>
      <c r="AC3590" s="50">
        <f t="shared" si="453"/>
        <v>0</v>
      </c>
      <c r="AD3590" s="43">
        <f t="shared" si="454"/>
        <v>0</v>
      </c>
      <c r="AE3590" s="50">
        <f t="shared" si="455"/>
        <v>0</v>
      </c>
    </row>
    <row r="3591" spans="1:31">
      <c r="A3591" s="59" t="str">
        <f t="shared" si="450"/>
        <v/>
      </c>
      <c r="B3591" s="59" t="str">
        <f t="shared" si="448"/>
        <v/>
      </c>
      <c r="V3591" s="59" t="str">
        <f t="shared" si="451"/>
        <v/>
      </c>
      <c r="W3591" s="59" t="str">
        <f t="shared" si="449"/>
        <v/>
      </c>
      <c r="X3591" s="59" t="str">
        <f t="shared" si="452"/>
        <v/>
      </c>
      <c r="AC3591" s="50">
        <f t="shared" si="453"/>
        <v>0</v>
      </c>
      <c r="AD3591" s="43">
        <f t="shared" si="454"/>
        <v>0</v>
      </c>
      <c r="AE3591" s="50">
        <f t="shared" si="455"/>
        <v>0</v>
      </c>
    </row>
    <row r="3592" spans="1:31">
      <c r="A3592" s="59" t="str">
        <f t="shared" si="450"/>
        <v/>
      </c>
      <c r="B3592" s="59" t="str">
        <f t="shared" si="448"/>
        <v/>
      </c>
      <c r="V3592" s="59" t="str">
        <f t="shared" si="451"/>
        <v/>
      </c>
      <c r="W3592" s="59" t="str">
        <f t="shared" si="449"/>
        <v/>
      </c>
      <c r="X3592" s="59" t="str">
        <f t="shared" si="452"/>
        <v/>
      </c>
      <c r="AC3592" s="50">
        <f t="shared" si="453"/>
        <v>0</v>
      </c>
      <c r="AD3592" s="43">
        <f t="shared" si="454"/>
        <v>0</v>
      </c>
      <c r="AE3592" s="50">
        <f t="shared" si="455"/>
        <v>0</v>
      </c>
    </row>
    <row r="3593" spans="1:31">
      <c r="A3593" s="59" t="str">
        <f t="shared" si="450"/>
        <v/>
      </c>
      <c r="B3593" s="59" t="str">
        <f t="shared" si="448"/>
        <v/>
      </c>
      <c r="V3593" s="59" t="str">
        <f t="shared" si="451"/>
        <v/>
      </c>
      <c r="W3593" s="59" t="str">
        <f t="shared" si="449"/>
        <v/>
      </c>
      <c r="X3593" s="59" t="str">
        <f t="shared" si="452"/>
        <v/>
      </c>
      <c r="AC3593" s="50">
        <f t="shared" si="453"/>
        <v>0</v>
      </c>
      <c r="AD3593" s="43">
        <f t="shared" si="454"/>
        <v>0</v>
      </c>
      <c r="AE3593" s="50">
        <f t="shared" si="455"/>
        <v>0</v>
      </c>
    </row>
    <row r="3594" spans="1:31">
      <c r="A3594" s="59" t="str">
        <f t="shared" si="450"/>
        <v/>
      </c>
      <c r="B3594" s="59" t="str">
        <f t="shared" si="448"/>
        <v/>
      </c>
      <c r="V3594" s="59" t="str">
        <f t="shared" si="451"/>
        <v/>
      </c>
      <c r="W3594" s="59" t="str">
        <f t="shared" si="449"/>
        <v/>
      </c>
      <c r="X3594" s="59" t="str">
        <f t="shared" si="452"/>
        <v/>
      </c>
      <c r="AC3594" s="50">
        <f t="shared" si="453"/>
        <v>0</v>
      </c>
      <c r="AD3594" s="43">
        <f t="shared" si="454"/>
        <v>0</v>
      </c>
      <c r="AE3594" s="50">
        <f t="shared" si="455"/>
        <v>0</v>
      </c>
    </row>
    <row r="3595" spans="1:31">
      <c r="A3595" s="59" t="str">
        <f t="shared" si="450"/>
        <v/>
      </c>
      <c r="B3595" s="59" t="str">
        <f t="shared" si="448"/>
        <v/>
      </c>
      <c r="V3595" s="59" t="str">
        <f t="shared" si="451"/>
        <v/>
      </c>
      <c r="W3595" s="59" t="str">
        <f t="shared" si="449"/>
        <v/>
      </c>
      <c r="X3595" s="59" t="str">
        <f t="shared" si="452"/>
        <v/>
      </c>
      <c r="AC3595" s="50">
        <f t="shared" si="453"/>
        <v>0</v>
      </c>
      <c r="AD3595" s="43">
        <f t="shared" si="454"/>
        <v>0</v>
      </c>
      <c r="AE3595" s="50">
        <f t="shared" si="455"/>
        <v>0</v>
      </c>
    </row>
    <row r="3596" spans="1:31">
      <c r="A3596" s="59" t="str">
        <f t="shared" si="450"/>
        <v/>
      </c>
      <c r="B3596" s="59" t="str">
        <f t="shared" si="448"/>
        <v/>
      </c>
      <c r="V3596" s="59" t="str">
        <f t="shared" si="451"/>
        <v/>
      </c>
      <c r="W3596" s="59" t="str">
        <f t="shared" si="449"/>
        <v/>
      </c>
      <c r="X3596" s="59" t="str">
        <f t="shared" si="452"/>
        <v/>
      </c>
      <c r="AC3596" s="50">
        <f t="shared" si="453"/>
        <v>0</v>
      </c>
      <c r="AD3596" s="43">
        <f t="shared" si="454"/>
        <v>0</v>
      </c>
      <c r="AE3596" s="50">
        <f t="shared" si="455"/>
        <v>0</v>
      </c>
    </row>
    <row r="3597" spans="1:31">
      <c r="A3597" s="59" t="str">
        <f t="shared" si="450"/>
        <v/>
      </c>
      <c r="B3597" s="59" t="str">
        <f t="shared" si="448"/>
        <v/>
      </c>
      <c r="V3597" s="59" t="str">
        <f t="shared" si="451"/>
        <v/>
      </c>
      <c r="W3597" s="59" t="str">
        <f t="shared" si="449"/>
        <v/>
      </c>
      <c r="X3597" s="59" t="str">
        <f t="shared" si="452"/>
        <v/>
      </c>
      <c r="AC3597" s="50">
        <f t="shared" si="453"/>
        <v>0</v>
      </c>
      <c r="AD3597" s="43">
        <f t="shared" si="454"/>
        <v>0</v>
      </c>
      <c r="AE3597" s="50">
        <f t="shared" si="455"/>
        <v>0</v>
      </c>
    </row>
    <row r="3598" spans="1:31">
      <c r="A3598" s="59" t="str">
        <f t="shared" si="450"/>
        <v/>
      </c>
      <c r="B3598" s="59" t="str">
        <f t="shared" si="448"/>
        <v/>
      </c>
      <c r="V3598" s="59" t="str">
        <f t="shared" si="451"/>
        <v/>
      </c>
      <c r="W3598" s="59" t="str">
        <f t="shared" si="449"/>
        <v/>
      </c>
      <c r="X3598" s="59" t="str">
        <f t="shared" si="452"/>
        <v/>
      </c>
      <c r="AC3598" s="50">
        <f t="shared" si="453"/>
        <v>0</v>
      </c>
      <c r="AD3598" s="43">
        <f t="shared" si="454"/>
        <v>0</v>
      </c>
      <c r="AE3598" s="50">
        <f t="shared" si="455"/>
        <v>0</v>
      </c>
    </row>
    <row r="3599" spans="1:31">
      <c r="A3599" s="59" t="str">
        <f t="shared" si="450"/>
        <v/>
      </c>
      <c r="B3599" s="59" t="str">
        <f t="shared" si="448"/>
        <v/>
      </c>
      <c r="V3599" s="59" t="str">
        <f t="shared" si="451"/>
        <v/>
      </c>
      <c r="W3599" s="59" t="str">
        <f t="shared" si="449"/>
        <v/>
      </c>
      <c r="X3599" s="59" t="str">
        <f t="shared" si="452"/>
        <v/>
      </c>
      <c r="AC3599" s="50">
        <f t="shared" si="453"/>
        <v>0</v>
      </c>
      <c r="AD3599" s="43">
        <f t="shared" si="454"/>
        <v>0</v>
      </c>
      <c r="AE3599" s="50">
        <f t="shared" si="455"/>
        <v>0</v>
      </c>
    </row>
    <row r="3600" spans="1:31">
      <c r="A3600" s="59" t="str">
        <f t="shared" si="450"/>
        <v/>
      </c>
      <c r="B3600" s="59" t="str">
        <f t="shared" si="448"/>
        <v/>
      </c>
      <c r="V3600" s="59" t="str">
        <f t="shared" si="451"/>
        <v/>
      </c>
      <c r="W3600" s="59" t="str">
        <f t="shared" si="449"/>
        <v/>
      </c>
      <c r="X3600" s="59" t="str">
        <f t="shared" si="452"/>
        <v/>
      </c>
      <c r="AC3600" s="50">
        <f t="shared" si="453"/>
        <v>0</v>
      </c>
      <c r="AD3600" s="43">
        <f t="shared" si="454"/>
        <v>0</v>
      </c>
      <c r="AE3600" s="50">
        <f t="shared" si="455"/>
        <v>0</v>
      </c>
    </row>
    <row r="3601" spans="1:31">
      <c r="A3601" s="59" t="str">
        <f t="shared" si="450"/>
        <v/>
      </c>
      <c r="B3601" s="59" t="str">
        <f t="shared" si="448"/>
        <v/>
      </c>
      <c r="V3601" s="59" t="str">
        <f t="shared" si="451"/>
        <v/>
      </c>
      <c r="W3601" s="59" t="str">
        <f t="shared" si="449"/>
        <v/>
      </c>
      <c r="X3601" s="59" t="str">
        <f t="shared" si="452"/>
        <v/>
      </c>
      <c r="AC3601" s="50">
        <f t="shared" si="453"/>
        <v>0</v>
      </c>
      <c r="AD3601" s="43">
        <f t="shared" si="454"/>
        <v>0</v>
      </c>
      <c r="AE3601" s="50">
        <f t="shared" si="455"/>
        <v>0</v>
      </c>
    </row>
    <row r="3602" spans="1:31">
      <c r="A3602" s="59" t="str">
        <f t="shared" si="450"/>
        <v/>
      </c>
      <c r="B3602" s="59" t="str">
        <f t="shared" si="448"/>
        <v/>
      </c>
      <c r="V3602" s="59" t="str">
        <f t="shared" si="451"/>
        <v/>
      </c>
      <c r="W3602" s="59" t="str">
        <f t="shared" si="449"/>
        <v/>
      </c>
      <c r="X3602" s="59" t="str">
        <f t="shared" si="452"/>
        <v/>
      </c>
      <c r="AC3602" s="50">
        <f t="shared" si="453"/>
        <v>0</v>
      </c>
      <c r="AD3602" s="43">
        <f t="shared" si="454"/>
        <v>0</v>
      </c>
      <c r="AE3602" s="50">
        <f t="shared" si="455"/>
        <v>0</v>
      </c>
    </row>
    <row r="3603" spans="1:31">
      <c r="A3603" s="59" t="str">
        <f t="shared" si="450"/>
        <v/>
      </c>
      <c r="B3603" s="59" t="str">
        <f t="shared" si="448"/>
        <v/>
      </c>
      <c r="V3603" s="59" t="str">
        <f t="shared" si="451"/>
        <v/>
      </c>
      <c r="W3603" s="59" t="str">
        <f t="shared" si="449"/>
        <v/>
      </c>
      <c r="X3603" s="59" t="str">
        <f t="shared" si="452"/>
        <v/>
      </c>
      <c r="AC3603" s="50">
        <f t="shared" si="453"/>
        <v>0</v>
      </c>
      <c r="AD3603" s="43">
        <f t="shared" si="454"/>
        <v>0</v>
      </c>
      <c r="AE3603" s="50">
        <f t="shared" si="455"/>
        <v>0</v>
      </c>
    </row>
    <row r="3604" spans="1:31">
      <c r="A3604" s="59" t="str">
        <f t="shared" si="450"/>
        <v/>
      </c>
      <c r="B3604" s="59" t="str">
        <f t="shared" si="448"/>
        <v/>
      </c>
      <c r="V3604" s="59" t="str">
        <f t="shared" si="451"/>
        <v/>
      </c>
      <c r="W3604" s="59" t="str">
        <f t="shared" si="449"/>
        <v/>
      </c>
      <c r="X3604" s="59" t="str">
        <f t="shared" si="452"/>
        <v/>
      </c>
      <c r="AC3604" s="50">
        <f t="shared" si="453"/>
        <v>0</v>
      </c>
      <c r="AD3604" s="43">
        <f t="shared" si="454"/>
        <v>0</v>
      </c>
      <c r="AE3604" s="50">
        <f t="shared" si="455"/>
        <v>0</v>
      </c>
    </row>
    <row r="3605" spans="1:31">
      <c r="A3605" s="59" t="str">
        <f t="shared" si="450"/>
        <v/>
      </c>
      <c r="B3605" s="59" t="str">
        <f t="shared" si="448"/>
        <v/>
      </c>
      <c r="V3605" s="59" t="str">
        <f t="shared" si="451"/>
        <v/>
      </c>
      <c r="W3605" s="59" t="str">
        <f t="shared" si="449"/>
        <v/>
      </c>
      <c r="X3605" s="59" t="str">
        <f t="shared" si="452"/>
        <v/>
      </c>
      <c r="AC3605" s="50">
        <f t="shared" si="453"/>
        <v>0</v>
      </c>
      <c r="AD3605" s="43">
        <f t="shared" si="454"/>
        <v>0</v>
      </c>
      <c r="AE3605" s="50">
        <f t="shared" si="455"/>
        <v>0</v>
      </c>
    </row>
    <row r="3606" spans="1:31">
      <c r="A3606" s="59" t="str">
        <f t="shared" si="450"/>
        <v/>
      </c>
      <c r="B3606" s="59" t="str">
        <f t="shared" si="448"/>
        <v/>
      </c>
      <c r="V3606" s="59" t="str">
        <f t="shared" si="451"/>
        <v/>
      </c>
      <c r="W3606" s="59" t="str">
        <f t="shared" si="449"/>
        <v/>
      </c>
      <c r="X3606" s="59" t="str">
        <f t="shared" si="452"/>
        <v/>
      </c>
      <c r="AC3606" s="50">
        <f t="shared" si="453"/>
        <v>0</v>
      </c>
      <c r="AD3606" s="43">
        <f t="shared" si="454"/>
        <v>0</v>
      </c>
      <c r="AE3606" s="50">
        <f t="shared" si="455"/>
        <v>0</v>
      </c>
    </row>
    <row r="3607" spans="1:31">
      <c r="A3607" s="59" t="str">
        <f t="shared" si="450"/>
        <v/>
      </c>
      <c r="B3607" s="59" t="str">
        <f t="shared" si="448"/>
        <v/>
      </c>
      <c r="V3607" s="59" t="str">
        <f t="shared" si="451"/>
        <v/>
      </c>
      <c r="W3607" s="59" t="str">
        <f t="shared" si="449"/>
        <v/>
      </c>
      <c r="X3607" s="59" t="str">
        <f t="shared" si="452"/>
        <v/>
      </c>
      <c r="AC3607" s="50">
        <f t="shared" si="453"/>
        <v>0</v>
      </c>
      <c r="AD3607" s="43">
        <f t="shared" si="454"/>
        <v>0</v>
      </c>
      <c r="AE3607" s="50">
        <f t="shared" si="455"/>
        <v>0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50"/>
  <sheetViews>
    <sheetView workbookViewId="0">
      <selection sqref="A1:S250"/>
    </sheetView>
  </sheetViews>
  <sheetFormatPr defaultRowHeight="15"/>
  <sheetData>
    <row r="1" spans="1:19">
      <c r="A1" s="130" t="s">
        <v>366</v>
      </c>
      <c r="B1" s="130" t="s">
        <v>367</v>
      </c>
      <c r="C1" s="130" t="s">
        <v>368</v>
      </c>
      <c r="D1" s="130" t="s">
        <v>369</v>
      </c>
      <c r="E1" s="130" t="s">
        <v>370</v>
      </c>
      <c r="F1" s="130" t="s">
        <v>371</v>
      </c>
      <c r="G1" s="130" t="s">
        <v>372</v>
      </c>
      <c r="H1" s="130" t="s">
        <v>373</v>
      </c>
      <c r="I1" s="130" t="s">
        <v>374</v>
      </c>
      <c r="J1" s="130" t="s">
        <v>375</v>
      </c>
      <c r="K1" s="130" t="s">
        <v>840</v>
      </c>
      <c r="L1" s="130" t="s">
        <v>841</v>
      </c>
      <c r="M1" s="130" t="s">
        <v>376</v>
      </c>
      <c r="N1" s="130" t="s">
        <v>377</v>
      </c>
      <c r="O1" s="130" t="s">
        <v>378</v>
      </c>
      <c r="P1" s="130" t="s">
        <v>379</v>
      </c>
      <c r="Q1" s="130" t="s">
        <v>380</v>
      </c>
      <c r="R1" s="130" t="s">
        <v>381</v>
      </c>
      <c r="S1" s="130" t="s">
        <v>842</v>
      </c>
    </row>
    <row r="2" spans="1:19">
      <c r="A2" s="131" t="s">
        <v>976</v>
      </c>
      <c r="B2" s="131" t="s">
        <v>977</v>
      </c>
      <c r="C2" s="131" t="s">
        <v>909</v>
      </c>
      <c r="D2" s="132">
        <v>0</v>
      </c>
      <c r="E2" s="131" t="s">
        <v>978</v>
      </c>
      <c r="F2" s="131" t="s">
        <v>217</v>
      </c>
      <c r="G2" s="131" t="s">
        <v>910</v>
      </c>
      <c r="H2" s="131" t="s">
        <v>327</v>
      </c>
      <c r="I2" s="131" t="s">
        <v>382</v>
      </c>
      <c r="J2" s="131" t="s">
        <v>887</v>
      </c>
      <c r="K2" s="131" t="s">
        <v>911</v>
      </c>
      <c r="L2" s="131" t="s">
        <v>912</v>
      </c>
      <c r="M2" s="131" t="s">
        <v>388</v>
      </c>
      <c r="N2" s="131" t="s">
        <v>43</v>
      </c>
      <c r="O2" s="131" t="s">
        <v>541</v>
      </c>
      <c r="P2" s="131" t="s">
        <v>979</v>
      </c>
      <c r="Q2" s="131" t="s">
        <v>980</v>
      </c>
      <c r="R2" s="131" t="s">
        <v>86</v>
      </c>
      <c r="S2" s="131"/>
    </row>
    <row r="3" spans="1:19">
      <c r="A3" s="131" t="s">
        <v>981</v>
      </c>
      <c r="B3" s="131" t="s">
        <v>982</v>
      </c>
      <c r="C3" s="131" t="s">
        <v>909</v>
      </c>
      <c r="D3" s="132">
        <v>0</v>
      </c>
      <c r="E3" s="131" t="s">
        <v>983</v>
      </c>
      <c r="F3" s="131" t="s">
        <v>244</v>
      </c>
      <c r="G3" s="131" t="s">
        <v>918</v>
      </c>
      <c r="H3" s="131" t="s">
        <v>327</v>
      </c>
      <c r="I3" s="131" t="s">
        <v>387</v>
      </c>
      <c r="J3" s="131" t="s">
        <v>887</v>
      </c>
      <c r="K3" s="131" t="s">
        <v>911</v>
      </c>
      <c r="L3" s="131" t="s">
        <v>912</v>
      </c>
      <c r="M3" s="131" t="s">
        <v>388</v>
      </c>
      <c r="N3" s="131"/>
      <c r="O3" s="131" t="s">
        <v>386</v>
      </c>
      <c r="P3" s="131" t="s">
        <v>979</v>
      </c>
      <c r="Q3" s="131" t="s">
        <v>984</v>
      </c>
      <c r="R3" s="131" t="s">
        <v>83</v>
      </c>
      <c r="S3" s="131"/>
    </row>
    <row r="4" spans="1:19">
      <c r="A4" s="131" t="s">
        <v>985</v>
      </c>
      <c r="B4" s="131" t="s">
        <v>986</v>
      </c>
      <c r="C4" s="131" t="s">
        <v>909</v>
      </c>
      <c r="D4" s="132">
        <v>0</v>
      </c>
      <c r="E4" s="131" t="s">
        <v>987</v>
      </c>
      <c r="F4" s="131" t="s">
        <v>195</v>
      </c>
      <c r="G4" s="131" t="s">
        <v>910</v>
      </c>
      <c r="H4" s="131" t="s">
        <v>356</v>
      </c>
      <c r="I4" s="131" t="s">
        <v>382</v>
      </c>
      <c r="J4" s="131" t="s">
        <v>887</v>
      </c>
      <c r="K4" s="131" t="s">
        <v>911</v>
      </c>
      <c r="L4" s="131" t="s">
        <v>914</v>
      </c>
      <c r="M4" s="131" t="s">
        <v>388</v>
      </c>
      <c r="N4" s="131" t="s">
        <v>43</v>
      </c>
      <c r="O4" s="131" t="s">
        <v>541</v>
      </c>
      <c r="P4" s="131" t="s">
        <v>979</v>
      </c>
      <c r="Q4" s="131" t="s">
        <v>988</v>
      </c>
      <c r="R4" s="131" t="s">
        <v>195</v>
      </c>
      <c r="S4" s="131"/>
    </row>
    <row r="5" spans="1:19">
      <c r="A5" s="131" t="s">
        <v>989</v>
      </c>
      <c r="B5" s="131" t="s">
        <v>990</v>
      </c>
      <c r="C5" s="131" t="s">
        <v>909</v>
      </c>
      <c r="D5" s="132">
        <v>0</v>
      </c>
      <c r="E5" s="131" t="s">
        <v>991</v>
      </c>
      <c r="F5" s="131" t="s">
        <v>307</v>
      </c>
      <c r="G5" s="131" t="s">
        <v>910</v>
      </c>
      <c r="H5" s="131" t="s">
        <v>327</v>
      </c>
      <c r="I5" s="131" t="s">
        <v>387</v>
      </c>
      <c r="J5" s="131" t="s">
        <v>887</v>
      </c>
      <c r="K5" s="131" t="s">
        <v>911</v>
      </c>
      <c r="L5" s="131" t="s">
        <v>912</v>
      </c>
      <c r="M5" s="131" t="s">
        <v>388</v>
      </c>
      <c r="N5" s="131" t="s">
        <v>43</v>
      </c>
      <c r="O5" s="131" t="s">
        <v>541</v>
      </c>
      <c r="P5" s="131" t="s">
        <v>979</v>
      </c>
      <c r="Q5" s="131" t="s">
        <v>992</v>
      </c>
      <c r="R5" s="131" t="s">
        <v>53</v>
      </c>
      <c r="S5" s="131"/>
    </row>
    <row r="6" spans="1:19">
      <c r="A6" s="131" t="s">
        <v>993</v>
      </c>
      <c r="B6" s="131" t="s">
        <v>994</v>
      </c>
      <c r="C6" s="131" t="s">
        <v>909</v>
      </c>
      <c r="D6" s="132">
        <v>0</v>
      </c>
      <c r="E6" s="131" t="s">
        <v>995</v>
      </c>
      <c r="F6" s="131" t="s">
        <v>231</v>
      </c>
      <c r="G6" s="131" t="s">
        <v>910</v>
      </c>
      <c r="H6" s="131" t="s">
        <v>327</v>
      </c>
      <c r="I6" s="131" t="s">
        <v>387</v>
      </c>
      <c r="J6" s="131" t="s">
        <v>887</v>
      </c>
      <c r="K6" s="131" t="s">
        <v>911</v>
      </c>
      <c r="L6" s="131" t="s">
        <v>914</v>
      </c>
      <c r="M6" s="131" t="s">
        <v>388</v>
      </c>
      <c r="N6" s="131" t="s">
        <v>43</v>
      </c>
      <c r="O6" s="131" t="s">
        <v>541</v>
      </c>
      <c r="P6" s="131" t="s">
        <v>979</v>
      </c>
      <c r="Q6" s="131" t="s">
        <v>996</v>
      </c>
      <c r="R6" s="131" t="s">
        <v>83</v>
      </c>
      <c r="S6" s="131"/>
    </row>
    <row r="7" spans="1:19">
      <c r="A7" s="131" t="s">
        <v>997</v>
      </c>
      <c r="B7" s="131" t="s">
        <v>998</v>
      </c>
      <c r="C7" s="131" t="s">
        <v>909</v>
      </c>
      <c r="D7" s="132">
        <v>0</v>
      </c>
      <c r="E7" s="131" t="s">
        <v>999</v>
      </c>
      <c r="F7" s="131" t="s">
        <v>199</v>
      </c>
      <c r="G7" s="131" t="s">
        <v>910</v>
      </c>
      <c r="H7" s="131" t="s">
        <v>356</v>
      </c>
      <c r="I7" s="131" t="s">
        <v>382</v>
      </c>
      <c r="J7" s="131" t="s">
        <v>887</v>
      </c>
      <c r="K7" s="131" t="s">
        <v>911</v>
      </c>
      <c r="L7" s="131" t="s">
        <v>914</v>
      </c>
      <c r="M7" s="131" t="s">
        <v>388</v>
      </c>
      <c r="N7" s="131" t="s">
        <v>43</v>
      </c>
      <c r="O7" s="131" t="s">
        <v>541</v>
      </c>
      <c r="P7" s="131" t="s">
        <v>979</v>
      </c>
      <c r="Q7" s="131" t="s">
        <v>1000</v>
      </c>
      <c r="R7" s="131" t="s">
        <v>199</v>
      </c>
      <c r="S7" s="131"/>
    </row>
    <row r="8" spans="1:19">
      <c r="A8" s="131" t="s">
        <v>1001</v>
      </c>
      <c r="B8" s="131" t="s">
        <v>1002</v>
      </c>
      <c r="C8" s="131" t="s">
        <v>909</v>
      </c>
      <c r="D8" s="132">
        <v>0</v>
      </c>
      <c r="E8" s="131" t="s">
        <v>1003</v>
      </c>
      <c r="F8" s="131" t="s">
        <v>71</v>
      </c>
      <c r="G8" s="131" t="s">
        <v>910</v>
      </c>
      <c r="H8" s="131" t="s">
        <v>356</v>
      </c>
      <c r="I8" s="131" t="s">
        <v>382</v>
      </c>
      <c r="J8" s="131" t="s">
        <v>887</v>
      </c>
      <c r="K8" s="131" t="s">
        <v>911</v>
      </c>
      <c r="L8" s="131" t="s">
        <v>914</v>
      </c>
      <c r="M8" s="131" t="s">
        <v>388</v>
      </c>
      <c r="N8" s="131" t="s">
        <v>43</v>
      </c>
      <c r="O8" s="131" t="s">
        <v>541</v>
      </c>
      <c r="P8" s="131" t="s">
        <v>979</v>
      </c>
      <c r="Q8" s="131" t="s">
        <v>1004</v>
      </c>
      <c r="R8" s="131" t="s">
        <v>71</v>
      </c>
      <c r="S8" s="131"/>
    </row>
    <row r="9" spans="1:19">
      <c r="A9" s="131" t="s">
        <v>1005</v>
      </c>
      <c r="B9" s="131" t="s">
        <v>1006</v>
      </c>
      <c r="C9" s="131" t="s">
        <v>909</v>
      </c>
      <c r="D9" s="132">
        <v>0</v>
      </c>
      <c r="E9" s="131" t="s">
        <v>1007</v>
      </c>
      <c r="F9" s="131" t="s">
        <v>53</v>
      </c>
      <c r="G9" s="131" t="s">
        <v>918</v>
      </c>
      <c r="H9" s="131" t="s">
        <v>327</v>
      </c>
      <c r="I9" s="131" t="s">
        <v>382</v>
      </c>
      <c r="J9" s="131" t="s">
        <v>887</v>
      </c>
      <c r="K9" s="131" t="s">
        <v>911</v>
      </c>
      <c r="L9" s="131" t="s">
        <v>914</v>
      </c>
      <c r="M9" s="131" t="s">
        <v>388</v>
      </c>
      <c r="N9" s="131"/>
      <c r="O9" s="131" t="s">
        <v>541</v>
      </c>
      <c r="P9" s="131" t="s">
        <v>979</v>
      </c>
      <c r="Q9" s="131" t="s">
        <v>1008</v>
      </c>
      <c r="R9" s="131" t="s">
        <v>53</v>
      </c>
      <c r="S9" s="131"/>
    </row>
    <row r="10" spans="1:19">
      <c r="A10" s="131" t="s">
        <v>1009</v>
      </c>
      <c r="B10" s="131" t="s">
        <v>1010</v>
      </c>
      <c r="C10" s="131" t="s">
        <v>909</v>
      </c>
      <c r="D10" s="132">
        <v>0</v>
      </c>
      <c r="E10" s="131" t="s">
        <v>1011</v>
      </c>
      <c r="F10" s="131" t="s">
        <v>120</v>
      </c>
      <c r="G10" s="131" t="s">
        <v>910</v>
      </c>
      <c r="H10" s="131" t="s">
        <v>327</v>
      </c>
      <c r="I10" s="131" t="s">
        <v>387</v>
      </c>
      <c r="J10" s="131" t="s">
        <v>887</v>
      </c>
      <c r="K10" s="131" t="s">
        <v>911</v>
      </c>
      <c r="L10" s="131" t="s">
        <v>914</v>
      </c>
      <c r="M10" s="131" t="s">
        <v>388</v>
      </c>
      <c r="N10" s="131" t="s">
        <v>43</v>
      </c>
      <c r="O10" s="131" t="s">
        <v>541</v>
      </c>
      <c r="P10" s="131" t="s">
        <v>979</v>
      </c>
      <c r="Q10" s="131" t="s">
        <v>996</v>
      </c>
      <c r="R10" s="131" t="s">
        <v>91</v>
      </c>
      <c r="S10" s="131"/>
    </row>
    <row r="11" spans="1:19">
      <c r="A11" s="131" t="s">
        <v>1012</v>
      </c>
      <c r="B11" s="131" t="s">
        <v>1013</v>
      </c>
      <c r="C11" s="131" t="s">
        <v>909</v>
      </c>
      <c r="D11" s="132">
        <v>0</v>
      </c>
      <c r="E11" s="131" t="s">
        <v>1014</v>
      </c>
      <c r="F11" s="131" t="s">
        <v>55</v>
      </c>
      <c r="G11" s="131" t="s">
        <v>918</v>
      </c>
      <c r="H11" s="131" t="s">
        <v>327</v>
      </c>
      <c r="I11" s="131" t="s">
        <v>382</v>
      </c>
      <c r="J11" s="131" t="s">
        <v>887</v>
      </c>
      <c r="K11" s="131" t="s">
        <v>911</v>
      </c>
      <c r="L11" s="131" t="s">
        <v>912</v>
      </c>
      <c r="M11" s="131" t="s">
        <v>388</v>
      </c>
      <c r="N11" s="131"/>
      <c r="O11" s="131" t="s">
        <v>541</v>
      </c>
      <c r="P11" s="131" t="s">
        <v>979</v>
      </c>
      <c r="Q11" s="131" t="s">
        <v>1015</v>
      </c>
      <c r="R11" s="131" t="s">
        <v>71</v>
      </c>
      <c r="S11" s="131"/>
    </row>
    <row r="12" spans="1:19">
      <c r="A12" s="131" t="s">
        <v>1016</v>
      </c>
      <c r="B12" s="131" t="s">
        <v>1017</v>
      </c>
      <c r="C12" s="131" t="s">
        <v>909</v>
      </c>
      <c r="D12" s="132">
        <v>0</v>
      </c>
      <c r="E12" s="131" t="s">
        <v>1018</v>
      </c>
      <c r="F12" s="131" t="s">
        <v>301</v>
      </c>
      <c r="G12" s="131" t="s">
        <v>910</v>
      </c>
      <c r="H12" s="131" t="s">
        <v>327</v>
      </c>
      <c r="I12" s="131" t="s">
        <v>382</v>
      </c>
      <c r="J12" s="131" t="s">
        <v>887</v>
      </c>
      <c r="K12" s="131" t="s">
        <v>911</v>
      </c>
      <c r="L12" s="131" t="s">
        <v>914</v>
      </c>
      <c r="M12" s="131" t="s">
        <v>388</v>
      </c>
      <c r="N12" s="131" t="s">
        <v>43</v>
      </c>
      <c r="O12" s="131" t="s">
        <v>541</v>
      </c>
      <c r="P12" s="131" t="s">
        <v>979</v>
      </c>
      <c r="Q12" s="131" t="s">
        <v>1019</v>
      </c>
      <c r="R12" s="131" t="s">
        <v>53</v>
      </c>
      <c r="S12" s="131"/>
    </row>
    <row r="13" spans="1:19">
      <c r="A13" s="131" t="s">
        <v>1020</v>
      </c>
      <c r="B13" s="131" t="s">
        <v>1021</v>
      </c>
      <c r="C13" s="131" t="s">
        <v>909</v>
      </c>
      <c r="D13" s="132">
        <v>0</v>
      </c>
      <c r="E13" s="131" t="s">
        <v>1022</v>
      </c>
      <c r="F13" s="131" t="s">
        <v>71</v>
      </c>
      <c r="G13" s="131" t="s">
        <v>910</v>
      </c>
      <c r="H13" s="131" t="s">
        <v>327</v>
      </c>
      <c r="I13" s="131" t="s">
        <v>382</v>
      </c>
      <c r="J13" s="131" t="s">
        <v>887</v>
      </c>
      <c r="K13" s="131" t="s">
        <v>911</v>
      </c>
      <c r="L13" s="131" t="s">
        <v>912</v>
      </c>
      <c r="M13" s="131" t="s">
        <v>388</v>
      </c>
      <c r="N13" s="131" t="s">
        <v>43</v>
      </c>
      <c r="O13" s="131" t="s">
        <v>541</v>
      </c>
      <c r="P13" s="131" t="s">
        <v>979</v>
      </c>
      <c r="Q13" s="131" t="s">
        <v>1004</v>
      </c>
      <c r="R13" s="131" t="s">
        <v>71</v>
      </c>
      <c r="S13" s="131"/>
    </row>
    <row r="14" spans="1:19">
      <c r="A14" s="131" t="s">
        <v>1023</v>
      </c>
      <c r="B14" s="131" t="s">
        <v>1024</v>
      </c>
      <c r="C14" s="131" t="s">
        <v>1025</v>
      </c>
      <c r="D14" s="133">
        <v>58</v>
      </c>
      <c r="E14" s="131" t="s">
        <v>1026</v>
      </c>
      <c r="F14" s="131" t="s">
        <v>71</v>
      </c>
      <c r="G14" s="131" t="s">
        <v>910</v>
      </c>
      <c r="H14" s="131" t="s">
        <v>783</v>
      </c>
      <c r="I14" s="131" t="s">
        <v>382</v>
      </c>
      <c r="J14" s="131" t="s">
        <v>887</v>
      </c>
      <c r="K14" s="131" t="s">
        <v>911</v>
      </c>
      <c r="L14" s="131" t="s">
        <v>912</v>
      </c>
      <c r="M14" s="131" t="s">
        <v>388</v>
      </c>
      <c r="N14" s="131" t="s">
        <v>43</v>
      </c>
      <c r="O14" s="131" t="s">
        <v>541</v>
      </c>
      <c r="P14" s="131" t="s">
        <v>979</v>
      </c>
      <c r="Q14" s="131" t="s">
        <v>1027</v>
      </c>
      <c r="R14" s="131" t="s">
        <v>71</v>
      </c>
      <c r="S14" s="131"/>
    </row>
    <row r="15" spans="1:19">
      <c r="A15" s="131" t="s">
        <v>1028</v>
      </c>
      <c r="B15" s="131" t="s">
        <v>1024</v>
      </c>
      <c r="C15" s="131" t="s">
        <v>1029</v>
      </c>
      <c r="D15" s="133">
        <v>56</v>
      </c>
      <c r="E15" s="131" t="s">
        <v>1026</v>
      </c>
      <c r="F15" s="131" t="s">
        <v>71</v>
      </c>
      <c r="G15" s="131" t="s">
        <v>910</v>
      </c>
      <c r="H15" s="131" t="s">
        <v>783</v>
      </c>
      <c r="I15" s="131" t="s">
        <v>382</v>
      </c>
      <c r="J15" s="131" t="s">
        <v>887</v>
      </c>
      <c r="K15" s="131" t="s">
        <v>911</v>
      </c>
      <c r="L15" s="131" t="s">
        <v>912</v>
      </c>
      <c r="M15" s="131" t="s">
        <v>388</v>
      </c>
      <c r="N15" s="131" t="s">
        <v>43</v>
      </c>
      <c r="O15" s="131" t="s">
        <v>541</v>
      </c>
      <c r="P15" s="131" t="s">
        <v>979</v>
      </c>
      <c r="Q15" s="131" t="s">
        <v>1027</v>
      </c>
      <c r="R15" s="131" t="s">
        <v>71</v>
      </c>
      <c r="S15" s="131"/>
    </row>
    <row r="16" spans="1:19">
      <c r="A16" s="131" t="s">
        <v>1030</v>
      </c>
      <c r="B16" s="131" t="s">
        <v>1031</v>
      </c>
      <c r="C16" s="131" t="s">
        <v>909</v>
      </c>
      <c r="D16" s="132">
        <v>0</v>
      </c>
      <c r="E16" s="131" t="s">
        <v>1032</v>
      </c>
      <c r="F16" s="131" t="s">
        <v>53</v>
      </c>
      <c r="G16" s="131" t="s">
        <v>910</v>
      </c>
      <c r="H16" s="131" t="s">
        <v>327</v>
      </c>
      <c r="I16" s="131" t="s">
        <v>382</v>
      </c>
      <c r="J16" s="131" t="s">
        <v>887</v>
      </c>
      <c r="K16" s="131" t="s">
        <v>911</v>
      </c>
      <c r="L16" s="131" t="s">
        <v>912</v>
      </c>
      <c r="M16" s="131" t="s">
        <v>388</v>
      </c>
      <c r="N16" s="131" t="s">
        <v>43</v>
      </c>
      <c r="O16" s="131" t="s">
        <v>386</v>
      </c>
      <c r="P16" s="131" t="s">
        <v>979</v>
      </c>
      <c r="Q16" s="131" t="s">
        <v>1033</v>
      </c>
      <c r="R16" s="131" t="s">
        <v>53</v>
      </c>
      <c r="S16" s="131" t="s">
        <v>913</v>
      </c>
    </row>
    <row r="17" spans="1:19">
      <c r="A17" s="131" t="s">
        <v>1034</v>
      </c>
      <c r="B17" s="131" t="s">
        <v>1035</v>
      </c>
      <c r="C17" s="131" t="s">
        <v>909</v>
      </c>
      <c r="D17" s="132">
        <v>0</v>
      </c>
      <c r="E17" s="131" t="s">
        <v>1036</v>
      </c>
      <c r="F17" s="131" t="s">
        <v>53</v>
      </c>
      <c r="G17" s="131" t="s">
        <v>910</v>
      </c>
      <c r="H17" s="131" t="s">
        <v>356</v>
      </c>
      <c r="I17" s="131" t="s">
        <v>382</v>
      </c>
      <c r="J17" s="131" t="s">
        <v>887</v>
      </c>
      <c r="K17" s="131" t="s">
        <v>911</v>
      </c>
      <c r="L17" s="131" t="s">
        <v>914</v>
      </c>
      <c r="M17" s="131" t="s">
        <v>388</v>
      </c>
      <c r="N17" s="131" t="s">
        <v>43</v>
      </c>
      <c r="O17" s="131" t="s">
        <v>386</v>
      </c>
      <c r="P17" s="131" t="s">
        <v>979</v>
      </c>
      <c r="Q17" s="131" t="s">
        <v>1008</v>
      </c>
      <c r="R17" s="131" t="s">
        <v>53</v>
      </c>
      <c r="S17" s="131" t="s">
        <v>913</v>
      </c>
    </row>
    <row r="18" spans="1:19">
      <c r="A18" s="131" t="s">
        <v>1037</v>
      </c>
      <c r="B18" s="131" t="s">
        <v>1038</v>
      </c>
      <c r="C18" s="131" t="s">
        <v>909</v>
      </c>
      <c r="D18" s="132">
        <v>0</v>
      </c>
      <c r="E18" s="131" t="s">
        <v>1039</v>
      </c>
      <c r="F18" s="131" t="s">
        <v>195</v>
      </c>
      <c r="G18" s="131" t="s">
        <v>910</v>
      </c>
      <c r="H18" s="131" t="s">
        <v>327</v>
      </c>
      <c r="I18" s="131" t="s">
        <v>382</v>
      </c>
      <c r="J18" s="131" t="s">
        <v>887</v>
      </c>
      <c r="K18" s="131" t="s">
        <v>911</v>
      </c>
      <c r="L18" s="131" t="s">
        <v>914</v>
      </c>
      <c r="M18" s="131" t="s">
        <v>388</v>
      </c>
      <c r="N18" s="131" t="s">
        <v>43</v>
      </c>
      <c r="O18" s="131" t="s">
        <v>386</v>
      </c>
      <c r="P18" s="131" t="s">
        <v>979</v>
      </c>
      <c r="Q18" s="131" t="s">
        <v>988</v>
      </c>
      <c r="R18" s="131" t="s">
        <v>195</v>
      </c>
      <c r="S18" s="131" t="s">
        <v>913</v>
      </c>
    </row>
    <row r="19" spans="1:19">
      <c r="A19" s="131" t="s">
        <v>1040</v>
      </c>
      <c r="B19" s="131" t="s">
        <v>1041</v>
      </c>
      <c r="C19" s="131" t="s">
        <v>909</v>
      </c>
      <c r="D19" s="132">
        <v>0</v>
      </c>
      <c r="E19" s="131" t="s">
        <v>1042</v>
      </c>
      <c r="F19" s="131" t="s">
        <v>68</v>
      </c>
      <c r="G19" s="131" t="s">
        <v>910</v>
      </c>
      <c r="H19" s="131" t="s">
        <v>327</v>
      </c>
      <c r="I19" s="131" t="s">
        <v>382</v>
      </c>
      <c r="J19" s="131" t="s">
        <v>887</v>
      </c>
      <c r="K19" s="131" t="s">
        <v>911</v>
      </c>
      <c r="L19" s="131" t="s">
        <v>914</v>
      </c>
      <c r="M19" s="131" t="s">
        <v>388</v>
      </c>
      <c r="N19" s="131" t="s">
        <v>43</v>
      </c>
      <c r="O19" s="131" t="s">
        <v>386</v>
      </c>
      <c r="P19" s="131" t="s">
        <v>979</v>
      </c>
      <c r="Q19" s="131" t="s">
        <v>1043</v>
      </c>
      <c r="R19" s="131" t="s">
        <v>68</v>
      </c>
      <c r="S19" s="131" t="s">
        <v>913</v>
      </c>
    </row>
    <row r="20" spans="1:19">
      <c r="A20" s="131" t="s">
        <v>1044</v>
      </c>
      <c r="B20" s="131" t="s">
        <v>1045</v>
      </c>
      <c r="C20" s="131" t="s">
        <v>909</v>
      </c>
      <c r="D20" s="132">
        <v>0</v>
      </c>
      <c r="E20" s="131" t="s">
        <v>1046</v>
      </c>
      <c r="F20" s="131" t="s">
        <v>53</v>
      </c>
      <c r="G20" s="131" t="s">
        <v>910</v>
      </c>
      <c r="H20" s="131" t="s">
        <v>356</v>
      </c>
      <c r="I20" s="131" t="s">
        <v>382</v>
      </c>
      <c r="J20" s="131" t="s">
        <v>887</v>
      </c>
      <c r="K20" s="131" t="s">
        <v>1047</v>
      </c>
      <c r="L20" s="131" t="s">
        <v>1048</v>
      </c>
      <c r="M20" s="131" t="s">
        <v>388</v>
      </c>
      <c r="N20" s="131" t="s">
        <v>43</v>
      </c>
      <c r="O20" s="131" t="s">
        <v>386</v>
      </c>
      <c r="P20" s="131" t="s">
        <v>979</v>
      </c>
      <c r="Q20" s="131" t="s">
        <v>1049</v>
      </c>
      <c r="R20" s="131" t="s">
        <v>53</v>
      </c>
      <c r="S20" s="131" t="s">
        <v>913</v>
      </c>
    </row>
    <row r="21" spans="1:19">
      <c r="A21" s="131" t="s">
        <v>1050</v>
      </c>
      <c r="B21" s="131" t="s">
        <v>1051</v>
      </c>
      <c r="C21" s="131" t="s">
        <v>909</v>
      </c>
      <c r="D21" s="132">
        <v>0</v>
      </c>
      <c r="E21" s="131" t="s">
        <v>1052</v>
      </c>
      <c r="F21" s="131" t="s">
        <v>53</v>
      </c>
      <c r="G21" s="131" t="s">
        <v>910</v>
      </c>
      <c r="H21" s="131" t="s">
        <v>356</v>
      </c>
      <c r="I21" s="131" t="s">
        <v>382</v>
      </c>
      <c r="J21" s="131" t="s">
        <v>887</v>
      </c>
      <c r="K21" s="131" t="s">
        <v>1047</v>
      </c>
      <c r="L21" s="131" t="s">
        <v>1053</v>
      </c>
      <c r="M21" s="131" t="s">
        <v>388</v>
      </c>
      <c r="N21" s="131" t="s">
        <v>43</v>
      </c>
      <c r="O21" s="131" t="s">
        <v>386</v>
      </c>
      <c r="P21" s="131" t="s">
        <v>979</v>
      </c>
      <c r="Q21" s="131" t="s">
        <v>1049</v>
      </c>
      <c r="R21" s="131" t="s">
        <v>53</v>
      </c>
      <c r="S21" s="131" t="s">
        <v>913</v>
      </c>
    </row>
    <row r="22" spans="1:19">
      <c r="A22" s="131" t="s">
        <v>1054</v>
      </c>
      <c r="B22" s="131" t="s">
        <v>1055</v>
      </c>
      <c r="C22" s="131" t="s">
        <v>909</v>
      </c>
      <c r="D22" s="132">
        <v>0</v>
      </c>
      <c r="E22" s="131" t="s">
        <v>1056</v>
      </c>
      <c r="F22" s="131" t="s">
        <v>78</v>
      </c>
      <c r="G22" s="131" t="s">
        <v>910</v>
      </c>
      <c r="H22" s="131" t="s">
        <v>327</v>
      </c>
      <c r="I22" s="131" t="s">
        <v>382</v>
      </c>
      <c r="J22" s="131" t="s">
        <v>887</v>
      </c>
      <c r="K22" s="131" t="s">
        <v>911</v>
      </c>
      <c r="L22" s="131" t="s">
        <v>914</v>
      </c>
      <c r="M22" s="131" t="s">
        <v>388</v>
      </c>
      <c r="N22" s="131" t="s">
        <v>43</v>
      </c>
      <c r="O22" s="131" t="s">
        <v>386</v>
      </c>
      <c r="P22" s="131" t="s">
        <v>979</v>
      </c>
      <c r="Q22" s="131" t="s">
        <v>1057</v>
      </c>
      <c r="R22" s="131" t="s">
        <v>78</v>
      </c>
      <c r="S22" s="131" t="s">
        <v>913</v>
      </c>
    </row>
    <row r="23" spans="1:19">
      <c r="A23" s="131" t="s">
        <v>1058</v>
      </c>
      <c r="B23" s="131" t="s">
        <v>1059</v>
      </c>
      <c r="C23" s="131" t="s">
        <v>909</v>
      </c>
      <c r="D23" s="132">
        <v>0</v>
      </c>
      <c r="E23" s="131" t="s">
        <v>1060</v>
      </c>
      <c r="F23" s="131" t="s">
        <v>53</v>
      </c>
      <c r="G23" s="131" t="s">
        <v>910</v>
      </c>
      <c r="H23" s="131" t="s">
        <v>356</v>
      </c>
      <c r="I23" s="131" t="s">
        <v>382</v>
      </c>
      <c r="J23" s="131" t="s">
        <v>887</v>
      </c>
      <c r="K23" s="131" t="s">
        <v>911</v>
      </c>
      <c r="L23" s="131" t="s">
        <v>915</v>
      </c>
      <c r="M23" s="131" t="s">
        <v>388</v>
      </c>
      <c r="N23" s="131" t="s">
        <v>43</v>
      </c>
      <c r="O23" s="131" t="s">
        <v>541</v>
      </c>
      <c r="P23" s="131" t="s">
        <v>979</v>
      </c>
      <c r="Q23" s="131" t="s">
        <v>1008</v>
      </c>
      <c r="R23" s="131" t="s">
        <v>53</v>
      </c>
      <c r="S23" s="131" t="s">
        <v>913</v>
      </c>
    </row>
    <row r="24" spans="1:19">
      <c r="A24" s="131" t="s">
        <v>1061</v>
      </c>
      <c r="B24" s="131" t="s">
        <v>1062</v>
      </c>
      <c r="C24" s="131" t="s">
        <v>909</v>
      </c>
      <c r="D24" s="132">
        <v>0</v>
      </c>
      <c r="E24" s="131" t="s">
        <v>1063</v>
      </c>
      <c r="F24" s="131" t="s">
        <v>1064</v>
      </c>
      <c r="G24" s="131" t="s">
        <v>910</v>
      </c>
      <c r="H24" s="131" t="s">
        <v>327</v>
      </c>
      <c r="I24" s="131" t="s">
        <v>387</v>
      </c>
      <c r="J24" s="131" t="s">
        <v>887</v>
      </c>
      <c r="K24" s="131" t="s">
        <v>911</v>
      </c>
      <c r="L24" s="131" t="s">
        <v>914</v>
      </c>
      <c r="M24" s="131" t="s">
        <v>388</v>
      </c>
      <c r="N24" s="131" t="s">
        <v>43</v>
      </c>
      <c r="O24" s="131" t="s">
        <v>541</v>
      </c>
      <c r="P24" s="131" t="s">
        <v>979</v>
      </c>
      <c r="Q24" s="131" t="s">
        <v>996</v>
      </c>
      <c r="R24" s="131" t="s">
        <v>68</v>
      </c>
      <c r="S24" s="131" t="s">
        <v>913</v>
      </c>
    </row>
    <row r="25" spans="1:19">
      <c r="A25" s="131" t="s">
        <v>1065</v>
      </c>
      <c r="B25" s="131" t="s">
        <v>1066</v>
      </c>
      <c r="C25" s="131" t="s">
        <v>909</v>
      </c>
      <c r="D25" s="132">
        <v>0</v>
      </c>
      <c r="E25" s="131" t="s">
        <v>1067</v>
      </c>
      <c r="F25" s="131" t="s">
        <v>1068</v>
      </c>
      <c r="G25" s="131" t="s">
        <v>910</v>
      </c>
      <c r="H25" s="131" t="s">
        <v>327</v>
      </c>
      <c r="I25" s="131" t="s">
        <v>387</v>
      </c>
      <c r="J25" s="131" t="s">
        <v>887</v>
      </c>
      <c r="K25" s="131" t="s">
        <v>911</v>
      </c>
      <c r="L25" s="131" t="s">
        <v>914</v>
      </c>
      <c r="M25" s="131" t="s">
        <v>388</v>
      </c>
      <c r="N25" s="131" t="s">
        <v>43</v>
      </c>
      <c r="O25" s="131" t="s">
        <v>541</v>
      </c>
      <c r="P25" s="131" t="s">
        <v>979</v>
      </c>
      <c r="Q25" s="131" t="s">
        <v>996</v>
      </c>
      <c r="R25" s="131" t="s">
        <v>286</v>
      </c>
      <c r="S25" s="131" t="s">
        <v>913</v>
      </c>
    </row>
    <row r="26" spans="1:19">
      <c r="A26" s="131" t="s">
        <v>1069</v>
      </c>
      <c r="B26" s="131" t="s">
        <v>1070</v>
      </c>
      <c r="C26" s="131" t="s">
        <v>909</v>
      </c>
      <c r="D26" s="132">
        <v>0</v>
      </c>
      <c r="E26" s="131" t="s">
        <v>1071</v>
      </c>
      <c r="F26" s="131" t="s">
        <v>293</v>
      </c>
      <c r="G26" s="131" t="s">
        <v>918</v>
      </c>
      <c r="H26" s="131" t="s">
        <v>327</v>
      </c>
      <c r="I26" s="131" t="s">
        <v>382</v>
      </c>
      <c r="J26" s="131" t="s">
        <v>887</v>
      </c>
      <c r="K26" s="131" t="s">
        <v>911</v>
      </c>
      <c r="L26" s="131" t="s">
        <v>912</v>
      </c>
      <c r="M26" s="131" t="s">
        <v>388</v>
      </c>
      <c r="N26" s="131"/>
      <c r="O26" s="131" t="s">
        <v>386</v>
      </c>
      <c r="P26" s="131" t="s">
        <v>979</v>
      </c>
      <c r="Q26" s="131" t="s">
        <v>1008</v>
      </c>
      <c r="R26" s="131" t="s">
        <v>53</v>
      </c>
      <c r="S26" s="131" t="s">
        <v>913</v>
      </c>
    </row>
    <row r="27" spans="1:19">
      <c r="A27" s="131" t="s">
        <v>1072</v>
      </c>
      <c r="B27" s="131" t="s">
        <v>1073</v>
      </c>
      <c r="C27" s="131" t="s">
        <v>909</v>
      </c>
      <c r="D27" s="132">
        <v>0</v>
      </c>
      <c r="E27" s="131" t="s">
        <v>1074</v>
      </c>
      <c r="F27" s="131" t="s">
        <v>293</v>
      </c>
      <c r="G27" s="131" t="s">
        <v>918</v>
      </c>
      <c r="H27" s="131" t="s">
        <v>327</v>
      </c>
      <c r="I27" s="131" t="s">
        <v>382</v>
      </c>
      <c r="J27" s="131" t="s">
        <v>887</v>
      </c>
      <c r="K27" s="131" t="s">
        <v>1047</v>
      </c>
      <c r="L27" s="131" t="s">
        <v>1053</v>
      </c>
      <c r="M27" s="131" t="s">
        <v>388</v>
      </c>
      <c r="N27" s="131"/>
      <c r="O27" s="131" t="s">
        <v>386</v>
      </c>
      <c r="P27" s="131" t="s">
        <v>979</v>
      </c>
      <c r="Q27" s="131" t="s">
        <v>1008</v>
      </c>
      <c r="R27" s="131" t="s">
        <v>53</v>
      </c>
      <c r="S27" s="131" t="s">
        <v>913</v>
      </c>
    </row>
    <row r="28" spans="1:19">
      <c r="A28" s="131" t="s">
        <v>1075</v>
      </c>
      <c r="B28" s="131" t="s">
        <v>1076</v>
      </c>
      <c r="C28" s="131" t="s">
        <v>909</v>
      </c>
      <c r="D28" s="132">
        <v>0</v>
      </c>
      <c r="E28" s="131" t="s">
        <v>1077</v>
      </c>
      <c r="F28" s="131" t="s">
        <v>293</v>
      </c>
      <c r="G28" s="131" t="s">
        <v>918</v>
      </c>
      <c r="H28" s="131" t="s">
        <v>327</v>
      </c>
      <c r="I28" s="131" t="s">
        <v>382</v>
      </c>
      <c r="J28" s="131" t="s">
        <v>887</v>
      </c>
      <c r="K28" s="131" t="s">
        <v>1047</v>
      </c>
      <c r="L28" s="131" t="s">
        <v>1048</v>
      </c>
      <c r="M28" s="131" t="s">
        <v>388</v>
      </c>
      <c r="N28" s="131"/>
      <c r="O28" s="131" t="s">
        <v>386</v>
      </c>
      <c r="P28" s="131" t="s">
        <v>979</v>
      </c>
      <c r="Q28" s="131" t="s">
        <v>1008</v>
      </c>
      <c r="R28" s="131" t="s">
        <v>53</v>
      </c>
      <c r="S28" s="131" t="s">
        <v>913</v>
      </c>
    </row>
    <row r="29" spans="1:19">
      <c r="A29" s="131" t="s">
        <v>1078</v>
      </c>
      <c r="B29" s="131" t="s">
        <v>1079</v>
      </c>
      <c r="C29" s="131" t="s">
        <v>909</v>
      </c>
      <c r="D29" s="132">
        <v>0</v>
      </c>
      <c r="E29" s="131" t="s">
        <v>1080</v>
      </c>
      <c r="F29" s="131" t="s">
        <v>71</v>
      </c>
      <c r="G29" s="131" t="s">
        <v>910</v>
      </c>
      <c r="H29" s="131" t="s">
        <v>327</v>
      </c>
      <c r="I29" s="131" t="s">
        <v>382</v>
      </c>
      <c r="J29" s="131" t="s">
        <v>887</v>
      </c>
      <c r="K29" s="131" t="s">
        <v>911</v>
      </c>
      <c r="L29" s="131" t="s">
        <v>914</v>
      </c>
      <c r="M29" s="131" t="s">
        <v>388</v>
      </c>
      <c r="N29" s="131" t="s">
        <v>43</v>
      </c>
      <c r="O29" s="131" t="s">
        <v>541</v>
      </c>
      <c r="P29" s="131" t="s">
        <v>979</v>
      </c>
      <c r="Q29" s="131" t="s">
        <v>1081</v>
      </c>
      <c r="R29" s="131" t="s">
        <v>71</v>
      </c>
      <c r="S29" s="131" t="s">
        <v>913</v>
      </c>
    </row>
    <row r="30" spans="1:19">
      <c r="A30" s="131" t="s">
        <v>1082</v>
      </c>
      <c r="B30" s="131" t="s">
        <v>1083</v>
      </c>
      <c r="C30" s="131" t="s">
        <v>909</v>
      </c>
      <c r="D30" s="132">
        <v>0</v>
      </c>
      <c r="E30" s="131" t="s">
        <v>1084</v>
      </c>
      <c r="F30" s="131" t="s">
        <v>149</v>
      </c>
      <c r="G30" s="131" t="s">
        <v>1085</v>
      </c>
      <c r="H30" s="131" t="s">
        <v>327</v>
      </c>
      <c r="I30" s="131" t="s">
        <v>387</v>
      </c>
      <c r="J30" s="131" t="s">
        <v>887</v>
      </c>
      <c r="K30" s="131" t="s">
        <v>911</v>
      </c>
      <c r="L30" s="131" t="s">
        <v>914</v>
      </c>
      <c r="M30" s="131" t="s">
        <v>388</v>
      </c>
      <c r="N30" s="131" t="s">
        <v>43</v>
      </c>
      <c r="O30" s="131" t="s">
        <v>386</v>
      </c>
      <c r="P30" s="131" t="s">
        <v>979</v>
      </c>
      <c r="Q30" s="131" t="s">
        <v>1086</v>
      </c>
      <c r="R30" s="131" t="s">
        <v>60</v>
      </c>
      <c r="S30" s="131" t="s">
        <v>913</v>
      </c>
    </row>
    <row r="31" spans="1:19">
      <c r="A31" s="131" t="s">
        <v>1087</v>
      </c>
      <c r="B31" s="131" t="s">
        <v>1088</v>
      </c>
      <c r="C31" s="131" t="s">
        <v>909</v>
      </c>
      <c r="D31" s="132">
        <v>0</v>
      </c>
      <c r="E31" s="131" t="s">
        <v>1089</v>
      </c>
      <c r="F31" s="131" t="s">
        <v>237</v>
      </c>
      <c r="G31" s="131" t="s">
        <v>1085</v>
      </c>
      <c r="H31" s="131" t="s">
        <v>327</v>
      </c>
      <c r="I31" s="131" t="s">
        <v>387</v>
      </c>
      <c r="J31" s="131" t="s">
        <v>887</v>
      </c>
      <c r="K31" s="131" t="s">
        <v>911</v>
      </c>
      <c r="L31" s="131" t="s">
        <v>914</v>
      </c>
      <c r="M31" s="131" t="s">
        <v>388</v>
      </c>
      <c r="N31" s="131" t="s">
        <v>43</v>
      </c>
      <c r="O31" s="131" t="s">
        <v>386</v>
      </c>
      <c r="P31" s="131" t="s">
        <v>979</v>
      </c>
      <c r="Q31" s="131" t="s">
        <v>1090</v>
      </c>
      <c r="R31" s="131" t="s">
        <v>83</v>
      </c>
      <c r="S31" s="131" t="s">
        <v>913</v>
      </c>
    </row>
    <row r="32" spans="1:19">
      <c r="A32" s="131" t="s">
        <v>1091</v>
      </c>
      <c r="B32" s="131" t="s">
        <v>1092</v>
      </c>
      <c r="C32" s="131" t="s">
        <v>909</v>
      </c>
      <c r="D32" s="132">
        <v>0</v>
      </c>
      <c r="E32" s="131" t="s">
        <v>1093</v>
      </c>
      <c r="F32" s="131" t="s">
        <v>1094</v>
      </c>
      <c r="G32" s="131" t="s">
        <v>910</v>
      </c>
      <c r="H32" s="131" t="s">
        <v>327</v>
      </c>
      <c r="I32" s="131" t="s">
        <v>382</v>
      </c>
      <c r="J32" s="131" t="s">
        <v>887</v>
      </c>
      <c r="K32" s="131" t="s">
        <v>911</v>
      </c>
      <c r="L32" s="131" t="s">
        <v>914</v>
      </c>
      <c r="M32" s="131" t="s">
        <v>388</v>
      </c>
      <c r="N32" s="131" t="s">
        <v>43</v>
      </c>
      <c r="O32" s="131" t="s">
        <v>386</v>
      </c>
      <c r="P32" s="131" t="s">
        <v>979</v>
      </c>
      <c r="Q32" s="131" t="s">
        <v>1095</v>
      </c>
      <c r="R32" s="131" t="s">
        <v>60</v>
      </c>
      <c r="S32" s="131" t="s">
        <v>913</v>
      </c>
    </row>
    <row r="33" spans="1:19">
      <c r="A33" s="131" t="s">
        <v>1096</v>
      </c>
      <c r="B33" s="131" t="s">
        <v>1097</v>
      </c>
      <c r="C33" s="131" t="s">
        <v>909</v>
      </c>
      <c r="D33" s="132">
        <v>0</v>
      </c>
      <c r="E33" s="131" t="s">
        <v>1098</v>
      </c>
      <c r="F33" s="131" t="s">
        <v>248</v>
      </c>
      <c r="G33" s="131" t="s">
        <v>1099</v>
      </c>
      <c r="H33" s="131" t="s">
        <v>356</v>
      </c>
      <c r="I33" s="131" t="s">
        <v>382</v>
      </c>
      <c r="J33" s="131" t="s">
        <v>887</v>
      </c>
      <c r="K33" s="131" t="s">
        <v>911</v>
      </c>
      <c r="L33" s="131" t="s">
        <v>912</v>
      </c>
      <c r="M33" s="131" t="s">
        <v>388</v>
      </c>
      <c r="N33" s="131" t="s">
        <v>43</v>
      </c>
      <c r="O33" s="131" t="s">
        <v>541</v>
      </c>
      <c r="P33" s="131" t="s">
        <v>979</v>
      </c>
      <c r="Q33" s="131" t="s">
        <v>1100</v>
      </c>
      <c r="R33" s="131" t="s">
        <v>71</v>
      </c>
      <c r="S33" s="131" t="s">
        <v>913</v>
      </c>
    </row>
    <row r="34" spans="1:19">
      <c r="A34" s="131" t="s">
        <v>1101</v>
      </c>
      <c r="B34" s="131" t="s">
        <v>1102</v>
      </c>
      <c r="C34" s="131" t="s">
        <v>909</v>
      </c>
      <c r="D34" s="132">
        <v>0</v>
      </c>
      <c r="E34" s="131" t="s">
        <v>1103</v>
      </c>
      <c r="F34" s="131" t="s">
        <v>1104</v>
      </c>
      <c r="G34" s="131" t="s">
        <v>910</v>
      </c>
      <c r="H34" s="131" t="s">
        <v>327</v>
      </c>
      <c r="I34" s="131" t="s">
        <v>382</v>
      </c>
      <c r="J34" s="131" t="s">
        <v>887</v>
      </c>
      <c r="K34" s="131" t="s">
        <v>911</v>
      </c>
      <c r="L34" s="131" t="s">
        <v>912</v>
      </c>
      <c r="M34" s="131" t="s">
        <v>388</v>
      </c>
      <c r="N34" s="131" t="s">
        <v>43</v>
      </c>
      <c r="O34" s="131" t="s">
        <v>386</v>
      </c>
      <c r="P34" s="131" t="s">
        <v>979</v>
      </c>
      <c r="Q34" s="131" t="s">
        <v>1019</v>
      </c>
      <c r="R34" s="131" t="s">
        <v>86</v>
      </c>
      <c r="S34" s="131" t="s">
        <v>913</v>
      </c>
    </row>
    <row r="35" spans="1:19">
      <c r="A35" s="131" t="s">
        <v>1105</v>
      </c>
      <c r="B35" s="131" t="s">
        <v>1106</v>
      </c>
      <c r="C35" s="131" t="s">
        <v>909</v>
      </c>
      <c r="D35" s="132">
        <v>0</v>
      </c>
      <c r="E35" s="131" t="s">
        <v>1107</v>
      </c>
      <c r="F35" s="131" t="s">
        <v>678</v>
      </c>
      <c r="G35" s="131" t="s">
        <v>918</v>
      </c>
      <c r="H35" s="131" t="s">
        <v>356</v>
      </c>
      <c r="I35" s="131" t="s">
        <v>382</v>
      </c>
      <c r="J35" s="131" t="s">
        <v>887</v>
      </c>
      <c r="K35" s="131" t="s">
        <v>911</v>
      </c>
      <c r="L35" s="131" t="s">
        <v>914</v>
      </c>
      <c r="M35" s="131" t="s">
        <v>388</v>
      </c>
      <c r="N35" s="131"/>
      <c r="O35" s="131" t="s">
        <v>386</v>
      </c>
      <c r="P35" s="131" t="s">
        <v>979</v>
      </c>
      <c r="Q35" s="131" t="s">
        <v>996</v>
      </c>
      <c r="R35" s="131" t="s">
        <v>71</v>
      </c>
      <c r="S35" s="131" t="s">
        <v>913</v>
      </c>
    </row>
    <row r="36" spans="1:19">
      <c r="A36" s="131" t="s">
        <v>1108</v>
      </c>
      <c r="B36" s="131" t="s">
        <v>1109</v>
      </c>
      <c r="C36" s="131" t="s">
        <v>909</v>
      </c>
      <c r="D36" s="132">
        <v>0</v>
      </c>
      <c r="E36" s="131" t="s">
        <v>1110</v>
      </c>
      <c r="F36" s="131" t="s">
        <v>246</v>
      </c>
      <c r="G36" s="131" t="s">
        <v>918</v>
      </c>
      <c r="H36" s="131" t="s">
        <v>356</v>
      </c>
      <c r="I36" s="131" t="s">
        <v>382</v>
      </c>
      <c r="J36" s="131" t="s">
        <v>887</v>
      </c>
      <c r="K36" s="131" t="s">
        <v>1111</v>
      </c>
      <c r="L36" s="131" t="s">
        <v>1112</v>
      </c>
      <c r="M36" s="131" t="s">
        <v>388</v>
      </c>
      <c r="N36" s="131"/>
      <c r="O36" s="131" t="s">
        <v>386</v>
      </c>
      <c r="P36" s="131" t="s">
        <v>979</v>
      </c>
      <c r="Q36" s="131" t="s">
        <v>1113</v>
      </c>
      <c r="R36" s="131" t="s">
        <v>83</v>
      </c>
      <c r="S36" s="131" t="s">
        <v>913</v>
      </c>
    </row>
    <row r="37" spans="1:19">
      <c r="A37" s="131" t="s">
        <v>1114</v>
      </c>
      <c r="B37" s="131" t="s">
        <v>1115</v>
      </c>
      <c r="C37" s="131" t="s">
        <v>909</v>
      </c>
      <c r="D37" s="132">
        <v>0</v>
      </c>
      <c r="E37" s="131" t="s">
        <v>1116</v>
      </c>
      <c r="F37" s="131" t="s">
        <v>769</v>
      </c>
      <c r="G37" s="131" t="s">
        <v>910</v>
      </c>
      <c r="H37" s="131" t="s">
        <v>356</v>
      </c>
      <c r="I37" s="131" t="s">
        <v>382</v>
      </c>
      <c r="J37" s="131" t="s">
        <v>887</v>
      </c>
      <c r="K37" s="131" t="s">
        <v>911</v>
      </c>
      <c r="L37" s="131" t="s">
        <v>914</v>
      </c>
      <c r="M37" s="131" t="s">
        <v>388</v>
      </c>
      <c r="N37" s="131" t="s">
        <v>43</v>
      </c>
      <c r="O37" s="131" t="s">
        <v>541</v>
      </c>
      <c r="P37" s="131" t="s">
        <v>979</v>
      </c>
      <c r="Q37" s="131" t="s">
        <v>1019</v>
      </c>
      <c r="R37" s="131" t="s">
        <v>86</v>
      </c>
      <c r="S37" s="131" t="s">
        <v>913</v>
      </c>
    </row>
    <row r="38" spans="1:19">
      <c r="A38" s="131" t="s">
        <v>1117</v>
      </c>
      <c r="B38" s="131" t="s">
        <v>1118</v>
      </c>
      <c r="C38" s="131" t="s">
        <v>909</v>
      </c>
      <c r="D38" s="132">
        <v>0</v>
      </c>
      <c r="E38" s="131" t="s">
        <v>1119</v>
      </c>
      <c r="F38" s="131" t="s">
        <v>690</v>
      </c>
      <c r="G38" s="131" t="s">
        <v>910</v>
      </c>
      <c r="H38" s="131" t="s">
        <v>327</v>
      </c>
      <c r="I38" s="131" t="s">
        <v>382</v>
      </c>
      <c r="J38" s="131" t="s">
        <v>887</v>
      </c>
      <c r="K38" s="131" t="s">
        <v>911</v>
      </c>
      <c r="L38" s="131" t="s">
        <v>915</v>
      </c>
      <c r="M38" s="131" t="s">
        <v>388</v>
      </c>
      <c r="N38" s="131" t="s">
        <v>43</v>
      </c>
      <c r="O38" s="131" t="s">
        <v>386</v>
      </c>
      <c r="P38" s="131" t="s">
        <v>979</v>
      </c>
      <c r="Q38" s="131" t="s">
        <v>1120</v>
      </c>
      <c r="R38" s="131" t="s">
        <v>53</v>
      </c>
      <c r="S38" s="131" t="s">
        <v>913</v>
      </c>
    </row>
    <row r="39" spans="1:19">
      <c r="A39" s="131" t="s">
        <v>1121</v>
      </c>
      <c r="B39" s="131" t="s">
        <v>1122</v>
      </c>
      <c r="C39" s="131" t="s">
        <v>909</v>
      </c>
      <c r="D39" s="132">
        <v>0</v>
      </c>
      <c r="E39" s="131" t="s">
        <v>1123</v>
      </c>
      <c r="F39" s="131" t="s">
        <v>212</v>
      </c>
      <c r="G39" s="131" t="s">
        <v>1085</v>
      </c>
      <c r="H39" s="131" t="s">
        <v>327</v>
      </c>
      <c r="I39" s="131" t="s">
        <v>387</v>
      </c>
      <c r="J39" s="131" t="s">
        <v>887</v>
      </c>
      <c r="K39" s="131" t="s">
        <v>911</v>
      </c>
      <c r="L39" s="131" t="s">
        <v>914</v>
      </c>
      <c r="M39" s="131" t="s">
        <v>388</v>
      </c>
      <c r="N39" s="131"/>
      <c r="O39" s="131" t="s">
        <v>386</v>
      </c>
      <c r="P39" s="131" t="s">
        <v>979</v>
      </c>
      <c r="Q39" s="131" t="s">
        <v>992</v>
      </c>
      <c r="R39" s="131" t="s">
        <v>68</v>
      </c>
      <c r="S39" s="131" t="s">
        <v>913</v>
      </c>
    </row>
    <row r="40" spans="1:19">
      <c r="A40" s="131" t="s">
        <v>1124</v>
      </c>
      <c r="B40" s="131" t="s">
        <v>1125</v>
      </c>
      <c r="C40" s="131" t="s">
        <v>909</v>
      </c>
      <c r="D40" s="132">
        <v>0</v>
      </c>
      <c r="E40" s="131" t="s">
        <v>1126</v>
      </c>
      <c r="F40" s="131" t="s">
        <v>149</v>
      </c>
      <c r="G40" s="131" t="s">
        <v>910</v>
      </c>
      <c r="H40" s="131" t="s">
        <v>356</v>
      </c>
      <c r="I40" s="131" t="s">
        <v>382</v>
      </c>
      <c r="J40" s="131" t="s">
        <v>887</v>
      </c>
      <c r="K40" s="131" t="s">
        <v>911</v>
      </c>
      <c r="L40" s="131" t="s">
        <v>914</v>
      </c>
      <c r="M40" s="131" t="s">
        <v>388</v>
      </c>
      <c r="N40" s="131" t="s">
        <v>43</v>
      </c>
      <c r="O40" s="131" t="s">
        <v>541</v>
      </c>
      <c r="P40" s="131" t="s">
        <v>979</v>
      </c>
      <c r="Q40" s="131" t="s">
        <v>1127</v>
      </c>
      <c r="R40" s="131" t="s">
        <v>60</v>
      </c>
      <c r="S40" s="131" t="s">
        <v>913</v>
      </c>
    </row>
    <row r="41" spans="1:19">
      <c r="A41" s="131" t="s">
        <v>1128</v>
      </c>
      <c r="B41" s="131" t="s">
        <v>1129</v>
      </c>
      <c r="C41" s="131" t="s">
        <v>909</v>
      </c>
      <c r="D41" s="132">
        <v>0</v>
      </c>
      <c r="E41" s="131" t="s">
        <v>1130</v>
      </c>
      <c r="F41" s="131" t="s">
        <v>53</v>
      </c>
      <c r="G41" s="131" t="s">
        <v>910</v>
      </c>
      <c r="H41" s="131" t="s">
        <v>327</v>
      </c>
      <c r="I41" s="131" t="s">
        <v>382</v>
      </c>
      <c r="J41" s="131" t="s">
        <v>887</v>
      </c>
      <c r="K41" s="131" t="s">
        <v>911</v>
      </c>
      <c r="L41" s="131" t="s">
        <v>914</v>
      </c>
      <c r="M41" s="131" t="s">
        <v>388</v>
      </c>
      <c r="N41" s="131" t="s">
        <v>43</v>
      </c>
      <c r="O41" s="131" t="s">
        <v>386</v>
      </c>
      <c r="P41" s="131" t="s">
        <v>979</v>
      </c>
      <c r="Q41" s="131" t="s">
        <v>1008</v>
      </c>
      <c r="R41" s="131" t="s">
        <v>53</v>
      </c>
      <c r="S41" s="131" t="s">
        <v>913</v>
      </c>
    </row>
    <row r="42" spans="1:19">
      <c r="A42" s="131" t="s">
        <v>1131</v>
      </c>
      <c r="B42" s="131" t="s">
        <v>1132</v>
      </c>
      <c r="C42" s="131" t="s">
        <v>909</v>
      </c>
      <c r="D42" s="132">
        <v>0</v>
      </c>
      <c r="E42" s="131" t="s">
        <v>1133</v>
      </c>
      <c r="F42" s="131" t="s">
        <v>71</v>
      </c>
      <c r="G42" s="131" t="s">
        <v>918</v>
      </c>
      <c r="H42" s="131" t="s">
        <v>356</v>
      </c>
      <c r="I42" s="131" t="s">
        <v>382</v>
      </c>
      <c r="J42" s="131" t="s">
        <v>887</v>
      </c>
      <c r="K42" s="131" t="s">
        <v>911</v>
      </c>
      <c r="L42" s="131" t="s">
        <v>912</v>
      </c>
      <c r="M42" s="131" t="s">
        <v>388</v>
      </c>
      <c r="N42" s="131"/>
      <c r="O42" s="131" t="s">
        <v>386</v>
      </c>
      <c r="P42" s="131" t="s">
        <v>979</v>
      </c>
      <c r="Q42" s="131" t="s">
        <v>1134</v>
      </c>
      <c r="R42" s="131" t="s">
        <v>71</v>
      </c>
      <c r="S42" s="131" t="s">
        <v>913</v>
      </c>
    </row>
    <row r="43" spans="1:19">
      <c r="A43" s="131" t="s">
        <v>1135</v>
      </c>
      <c r="B43" s="131" t="s">
        <v>1136</v>
      </c>
      <c r="C43" s="131" t="s">
        <v>909</v>
      </c>
      <c r="D43" s="132">
        <v>0</v>
      </c>
      <c r="E43" s="131" t="s">
        <v>1137</v>
      </c>
      <c r="F43" s="131" t="s">
        <v>307</v>
      </c>
      <c r="G43" s="131" t="s">
        <v>910</v>
      </c>
      <c r="H43" s="131" t="s">
        <v>327</v>
      </c>
      <c r="I43" s="131" t="s">
        <v>382</v>
      </c>
      <c r="J43" s="131" t="s">
        <v>887</v>
      </c>
      <c r="K43" s="131" t="s">
        <v>911</v>
      </c>
      <c r="L43" s="131" t="s">
        <v>912</v>
      </c>
      <c r="M43" s="131" t="s">
        <v>388</v>
      </c>
      <c r="N43" s="131" t="s">
        <v>43</v>
      </c>
      <c r="O43" s="131" t="s">
        <v>541</v>
      </c>
      <c r="P43" s="131" t="s">
        <v>979</v>
      </c>
      <c r="Q43" s="131" t="s">
        <v>1138</v>
      </c>
      <c r="R43" s="131" t="s">
        <v>53</v>
      </c>
      <c r="S43" s="131" t="s">
        <v>913</v>
      </c>
    </row>
    <row r="44" spans="1:19">
      <c r="A44" s="131" t="s">
        <v>1139</v>
      </c>
      <c r="B44" s="131" t="s">
        <v>1140</v>
      </c>
      <c r="C44" s="131" t="s">
        <v>909</v>
      </c>
      <c r="D44" s="132">
        <v>0</v>
      </c>
      <c r="E44" s="131" t="s">
        <v>1141</v>
      </c>
      <c r="F44" s="131" t="s">
        <v>594</v>
      </c>
      <c r="G44" s="131" t="s">
        <v>910</v>
      </c>
      <c r="H44" s="131" t="s">
        <v>327</v>
      </c>
      <c r="I44" s="131" t="s">
        <v>382</v>
      </c>
      <c r="J44" s="131" t="s">
        <v>887</v>
      </c>
      <c r="K44" s="131" t="s">
        <v>911</v>
      </c>
      <c r="L44" s="131" t="s">
        <v>915</v>
      </c>
      <c r="M44" s="131" t="s">
        <v>388</v>
      </c>
      <c r="N44" s="131" t="s">
        <v>43</v>
      </c>
      <c r="O44" s="131" t="s">
        <v>541</v>
      </c>
      <c r="P44" s="131" t="s">
        <v>979</v>
      </c>
      <c r="Q44" s="131" t="s">
        <v>1019</v>
      </c>
      <c r="R44" s="131" t="s">
        <v>71</v>
      </c>
      <c r="S44" s="131" t="s">
        <v>913</v>
      </c>
    </row>
    <row r="45" spans="1:19">
      <c r="A45" s="131" t="s">
        <v>1142</v>
      </c>
      <c r="B45" s="131" t="s">
        <v>1143</v>
      </c>
      <c r="C45" s="131" t="s">
        <v>909</v>
      </c>
      <c r="D45" s="132">
        <v>0</v>
      </c>
      <c r="E45" s="131" t="s">
        <v>1144</v>
      </c>
      <c r="F45" s="131" t="s">
        <v>302</v>
      </c>
      <c r="G45" s="131" t="s">
        <v>918</v>
      </c>
      <c r="H45" s="131" t="s">
        <v>356</v>
      </c>
      <c r="I45" s="131" t="s">
        <v>382</v>
      </c>
      <c r="J45" s="131" t="s">
        <v>887</v>
      </c>
      <c r="K45" s="131" t="s">
        <v>1047</v>
      </c>
      <c r="L45" s="131" t="s">
        <v>1048</v>
      </c>
      <c r="M45" s="131" t="s">
        <v>388</v>
      </c>
      <c r="N45" s="131"/>
      <c r="O45" s="131" t="s">
        <v>386</v>
      </c>
      <c r="P45" s="131" t="s">
        <v>979</v>
      </c>
      <c r="Q45" s="131" t="s">
        <v>1145</v>
      </c>
      <c r="R45" s="131" t="s">
        <v>53</v>
      </c>
      <c r="S45" s="131" t="s">
        <v>913</v>
      </c>
    </row>
    <row r="46" spans="1:19">
      <c r="A46" s="131" t="s">
        <v>1146</v>
      </c>
      <c r="B46" s="131" t="s">
        <v>1147</v>
      </c>
      <c r="C46" s="131" t="s">
        <v>909</v>
      </c>
      <c r="D46" s="132">
        <v>0</v>
      </c>
      <c r="E46" s="131" t="s">
        <v>1148</v>
      </c>
      <c r="F46" s="131" t="s">
        <v>847</v>
      </c>
      <c r="G46" s="131" t="s">
        <v>910</v>
      </c>
      <c r="H46" s="131" t="s">
        <v>327</v>
      </c>
      <c r="I46" s="131" t="s">
        <v>382</v>
      </c>
      <c r="J46" s="131" t="s">
        <v>887</v>
      </c>
      <c r="K46" s="131" t="s">
        <v>911</v>
      </c>
      <c r="L46" s="131" t="s">
        <v>914</v>
      </c>
      <c r="M46" s="131" t="s">
        <v>388</v>
      </c>
      <c r="N46" s="131" t="s">
        <v>43</v>
      </c>
      <c r="O46" s="131" t="s">
        <v>386</v>
      </c>
      <c r="P46" s="131" t="s">
        <v>979</v>
      </c>
      <c r="Q46" s="131" t="s">
        <v>1149</v>
      </c>
      <c r="R46" s="131" t="s">
        <v>60</v>
      </c>
      <c r="S46" s="131" t="s">
        <v>913</v>
      </c>
    </row>
    <row r="47" spans="1:19">
      <c r="A47" s="131" t="s">
        <v>1150</v>
      </c>
      <c r="B47" s="131" t="s">
        <v>1151</v>
      </c>
      <c r="C47" s="131" t="s">
        <v>909</v>
      </c>
      <c r="D47" s="132">
        <v>0</v>
      </c>
      <c r="E47" s="131" t="s">
        <v>1152</v>
      </c>
      <c r="F47" s="131" t="s">
        <v>298</v>
      </c>
      <c r="G47" s="131" t="s">
        <v>918</v>
      </c>
      <c r="H47" s="131" t="s">
        <v>327</v>
      </c>
      <c r="I47" s="131" t="s">
        <v>382</v>
      </c>
      <c r="J47" s="131" t="s">
        <v>887</v>
      </c>
      <c r="K47" s="131" t="s">
        <v>911</v>
      </c>
      <c r="L47" s="131" t="s">
        <v>914</v>
      </c>
      <c r="M47" s="131" t="s">
        <v>388</v>
      </c>
      <c r="N47" s="131"/>
      <c r="O47" s="131" t="s">
        <v>541</v>
      </c>
      <c r="P47" s="131" t="s">
        <v>979</v>
      </c>
      <c r="Q47" s="131" t="s">
        <v>1000</v>
      </c>
      <c r="R47" s="131" t="s">
        <v>53</v>
      </c>
      <c r="S47" s="131" t="s">
        <v>913</v>
      </c>
    </row>
    <row r="48" spans="1:19">
      <c r="A48" s="131" t="s">
        <v>1153</v>
      </c>
      <c r="B48" s="131" t="s">
        <v>1154</v>
      </c>
      <c r="C48" s="131" t="s">
        <v>909</v>
      </c>
      <c r="D48" s="132">
        <v>0</v>
      </c>
      <c r="E48" s="131" t="s">
        <v>1155</v>
      </c>
      <c r="F48" s="131" t="s">
        <v>769</v>
      </c>
      <c r="G48" s="131" t="s">
        <v>910</v>
      </c>
      <c r="H48" s="131" t="s">
        <v>327</v>
      </c>
      <c r="I48" s="131" t="s">
        <v>382</v>
      </c>
      <c r="J48" s="131" t="s">
        <v>887</v>
      </c>
      <c r="K48" s="131" t="s">
        <v>911</v>
      </c>
      <c r="L48" s="131" t="s">
        <v>914</v>
      </c>
      <c r="M48" s="131" t="s">
        <v>388</v>
      </c>
      <c r="N48" s="131" t="s">
        <v>43</v>
      </c>
      <c r="O48" s="131" t="s">
        <v>541</v>
      </c>
      <c r="P48" s="131" t="s">
        <v>979</v>
      </c>
      <c r="Q48" s="131" t="s">
        <v>1019</v>
      </c>
      <c r="R48" s="131" t="s">
        <v>86</v>
      </c>
      <c r="S48" s="131" t="s">
        <v>913</v>
      </c>
    </row>
    <row r="49" spans="1:19">
      <c r="A49" s="131" t="s">
        <v>1156</v>
      </c>
      <c r="B49" s="131" t="s">
        <v>1157</v>
      </c>
      <c r="C49" s="131" t="s">
        <v>1158</v>
      </c>
      <c r="D49" s="133">
        <v>59</v>
      </c>
      <c r="E49" s="133">
        <v>60222553</v>
      </c>
      <c r="F49" s="131" t="s">
        <v>233</v>
      </c>
      <c r="G49" s="131" t="s">
        <v>910</v>
      </c>
      <c r="H49" s="131" t="s">
        <v>325</v>
      </c>
      <c r="I49" s="131" t="s">
        <v>387</v>
      </c>
      <c r="J49" s="131" t="s">
        <v>887</v>
      </c>
      <c r="K49" s="131"/>
      <c r="L49" s="131"/>
      <c r="M49" s="131" t="s">
        <v>388</v>
      </c>
      <c r="N49" s="131" t="s">
        <v>43</v>
      </c>
      <c r="O49" s="131" t="s">
        <v>541</v>
      </c>
      <c r="P49" s="131" t="s">
        <v>979</v>
      </c>
      <c r="Q49" s="131" t="s">
        <v>1004</v>
      </c>
      <c r="R49" s="131" t="s">
        <v>71</v>
      </c>
      <c r="S49" s="131"/>
    </row>
    <row r="50" spans="1:19">
      <c r="A50" s="131" t="s">
        <v>1159</v>
      </c>
      <c r="B50" s="131" t="s">
        <v>1157</v>
      </c>
      <c r="C50" s="131" t="s">
        <v>1160</v>
      </c>
      <c r="D50" s="133">
        <v>57</v>
      </c>
      <c r="E50" s="133">
        <v>60222553</v>
      </c>
      <c r="F50" s="131" t="s">
        <v>233</v>
      </c>
      <c r="G50" s="131" t="s">
        <v>910</v>
      </c>
      <c r="H50" s="131" t="s">
        <v>325</v>
      </c>
      <c r="I50" s="131" t="s">
        <v>387</v>
      </c>
      <c r="J50" s="131" t="s">
        <v>887</v>
      </c>
      <c r="K50" s="131"/>
      <c r="L50" s="131"/>
      <c r="M50" s="131" t="s">
        <v>388</v>
      </c>
      <c r="N50" s="131" t="s">
        <v>43</v>
      </c>
      <c r="O50" s="131" t="s">
        <v>541</v>
      </c>
      <c r="P50" s="131" t="s">
        <v>979</v>
      </c>
      <c r="Q50" s="131" t="s">
        <v>1004</v>
      </c>
      <c r="R50" s="131" t="s">
        <v>71</v>
      </c>
      <c r="S50" s="131"/>
    </row>
    <row r="51" spans="1:19">
      <c r="A51" s="131" t="s">
        <v>1161</v>
      </c>
      <c r="B51" s="131" t="s">
        <v>1162</v>
      </c>
      <c r="C51" s="131" t="s">
        <v>909</v>
      </c>
      <c r="D51" s="132">
        <v>0</v>
      </c>
      <c r="E51" s="133">
        <v>60222551</v>
      </c>
      <c r="F51" s="131" t="s">
        <v>53</v>
      </c>
      <c r="G51" s="131" t="s">
        <v>910</v>
      </c>
      <c r="H51" s="131" t="s">
        <v>327</v>
      </c>
      <c r="I51" s="131" t="s">
        <v>382</v>
      </c>
      <c r="J51" s="131" t="s">
        <v>887</v>
      </c>
      <c r="K51" s="131"/>
      <c r="L51" s="131"/>
      <c r="M51" s="131" t="s">
        <v>388</v>
      </c>
      <c r="N51" s="131" t="s">
        <v>43</v>
      </c>
      <c r="O51" s="131" t="s">
        <v>541</v>
      </c>
      <c r="P51" s="131" t="s">
        <v>979</v>
      </c>
      <c r="Q51" s="131" t="s">
        <v>1008</v>
      </c>
      <c r="R51" s="131" t="s">
        <v>53</v>
      </c>
      <c r="S51" s="131"/>
    </row>
    <row r="52" spans="1:19">
      <c r="A52" s="131" t="s">
        <v>1163</v>
      </c>
      <c r="B52" s="131" t="s">
        <v>1164</v>
      </c>
      <c r="C52" s="131" t="s">
        <v>1158</v>
      </c>
      <c r="D52" s="133">
        <v>59</v>
      </c>
      <c r="E52" s="131" t="s">
        <v>1165</v>
      </c>
      <c r="F52" s="131" t="s">
        <v>231</v>
      </c>
      <c r="G52" s="131" t="s">
        <v>910</v>
      </c>
      <c r="H52" s="131" t="s">
        <v>325</v>
      </c>
      <c r="I52" s="131" t="s">
        <v>382</v>
      </c>
      <c r="J52" s="131" t="s">
        <v>887</v>
      </c>
      <c r="K52" s="131" t="s">
        <v>911</v>
      </c>
      <c r="L52" s="131" t="s">
        <v>914</v>
      </c>
      <c r="M52" s="131" t="s">
        <v>388</v>
      </c>
      <c r="N52" s="131" t="s">
        <v>43</v>
      </c>
      <c r="O52" s="131" t="s">
        <v>541</v>
      </c>
      <c r="P52" s="131" t="s">
        <v>979</v>
      </c>
      <c r="Q52" s="131" t="s">
        <v>1090</v>
      </c>
      <c r="R52" s="131" t="s">
        <v>83</v>
      </c>
      <c r="S52" s="131"/>
    </row>
    <row r="53" spans="1:19">
      <c r="A53" s="131" t="s">
        <v>1166</v>
      </c>
      <c r="B53" s="131" t="s">
        <v>1164</v>
      </c>
      <c r="C53" s="131" t="s">
        <v>1167</v>
      </c>
      <c r="D53" s="133">
        <v>55</v>
      </c>
      <c r="E53" s="131" t="s">
        <v>1165</v>
      </c>
      <c r="F53" s="131" t="s">
        <v>231</v>
      </c>
      <c r="G53" s="131" t="s">
        <v>910</v>
      </c>
      <c r="H53" s="131" t="s">
        <v>325</v>
      </c>
      <c r="I53" s="131" t="s">
        <v>382</v>
      </c>
      <c r="J53" s="131" t="s">
        <v>887</v>
      </c>
      <c r="K53" s="131" t="s">
        <v>911</v>
      </c>
      <c r="L53" s="131" t="s">
        <v>914</v>
      </c>
      <c r="M53" s="131" t="s">
        <v>388</v>
      </c>
      <c r="N53" s="131" t="s">
        <v>43</v>
      </c>
      <c r="O53" s="131" t="s">
        <v>541</v>
      </c>
      <c r="P53" s="131" t="s">
        <v>979</v>
      </c>
      <c r="Q53" s="131" t="s">
        <v>1090</v>
      </c>
      <c r="R53" s="131" t="s">
        <v>83</v>
      </c>
      <c r="S53" s="131"/>
    </row>
    <row r="54" spans="1:19">
      <c r="A54" s="131" t="s">
        <v>1168</v>
      </c>
      <c r="B54" s="131" t="s">
        <v>1169</v>
      </c>
      <c r="C54" s="131" t="s">
        <v>1158</v>
      </c>
      <c r="D54" s="133">
        <v>59</v>
      </c>
      <c r="E54" s="131" t="s">
        <v>1170</v>
      </c>
      <c r="F54" s="131" t="s">
        <v>53</v>
      </c>
      <c r="G54" s="131" t="s">
        <v>910</v>
      </c>
      <c r="H54" s="131" t="s">
        <v>325</v>
      </c>
      <c r="I54" s="131" t="s">
        <v>382</v>
      </c>
      <c r="J54" s="131" t="s">
        <v>887</v>
      </c>
      <c r="K54" s="131" t="s">
        <v>1047</v>
      </c>
      <c r="L54" s="131" t="s">
        <v>1048</v>
      </c>
      <c r="M54" s="131" t="s">
        <v>388</v>
      </c>
      <c r="N54" s="131" t="s">
        <v>43</v>
      </c>
      <c r="O54" s="131" t="s">
        <v>541</v>
      </c>
      <c r="P54" s="131" t="s">
        <v>979</v>
      </c>
      <c r="Q54" s="131" t="s">
        <v>1008</v>
      </c>
      <c r="R54" s="131" t="s">
        <v>53</v>
      </c>
      <c r="S54" s="131"/>
    </row>
    <row r="55" spans="1:19">
      <c r="A55" s="131" t="s">
        <v>1171</v>
      </c>
      <c r="B55" s="131" t="s">
        <v>1172</v>
      </c>
      <c r="C55" s="131" t="s">
        <v>1158</v>
      </c>
      <c r="D55" s="133">
        <v>59</v>
      </c>
      <c r="E55" s="133">
        <v>60222498</v>
      </c>
      <c r="F55" s="131" t="s">
        <v>68</v>
      </c>
      <c r="G55" s="131" t="s">
        <v>910</v>
      </c>
      <c r="H55" s="131" t="s">
        <v>325</v>
      </c>
      <c r="I55" s="131" t="s">
        <v>387</v>
      </c>
      <c r="J55" s="131" t="s">
        <v>887</v>
      </c>
      <c r="K55" s="131"/>
      <c r="L55" s="131"/>
      <c r="M55" s="131" t="s">
        <v>388</v>
      </c>
      <c r="N55" s="131" t="s">
        <v>43</v>
      </c>
      <c r="O55" s="131" t="s">
        <v>541</v>
      </c>
      <c r="P55" s="131" t="s">
        <v>979</v>
      </c>
      <c r="Q55" s="131" t="s">
        <v>1173</v>
      </c>
      <c r="R55" s="131" t="s">
        <v>68</v>
      </c>
      <c r="S55" s="131"/>
    </row>
    <row r="56" spans="1:19">
      <c r="A56" s="131" t="s">
        <v>1174</v>
      </c>
      <c r="B56" s="131" t="s">
        <v>1172</v>
      </c>
      <c r="C56" s="131" t="s">
        <v>1160</v>
      </c>
      <c r="D56" s="133">
        <v>57</v>
      </c>
      <c r="E56" s="133">
        <v>60222498</v>
      </c>
      <c r="F56" s="131" t="s">
        <v>68</v>
      </c>
      <c r="G56" s="131" t="s">
        <v>910</v>
      </c>
      <c r="H56" s="131" t="s">
        <v>325</v>
      </c>
      <c r="I56" s="131" t="s">
        <v>387</v>
      </c>
      <c r="J56" s="131" t="s">
        <v>887</v>
      </c>
      <c r="K56" s="131"/>
      <c r="L56" s="131"/>
      <c r="M56" s="131" t="s">
        <v>388</v>
      </c>
      <c r="N56" s="131" t="s">
        <v>43</v>
      </c>
      <c r="O56" s="131" t="s">
        <v>541</v>
      </c>
      <c r="P56" s="131" t="s">
        <v>979</v>
      </c>
      <c r="Q56" s="131" t="s">
        <v>1173</v>
      </c>
      <c r="R56" s="131" t="s">
        <v>68</v>
      </c>
      <c r="S56" s="131"/>
    </row>
    <row r="57" spans="1:19">
      <c r="A57" s="131" t="s">
        <v>1175</v>
      </c>
      <c r="B57" s="131" t="s">
        <v>1176</v>
      </c>
      <c r="C57" s="131" t="s">
        <v>909</v>
      </c>
      <c r="D57" s="132">
        <v>0</v>
      </c>
      <c r="E57" s="131" t="s">
        <v>1177</v>
      </c>
      <c r="F57" s="131" t="s">
        <v>83</v>
      </c>
      <c r="G57" s="131" t="s">
        <v>910</v>
      </c>
      <c r="H57" s="131" t="s">
        <v>356</v>
      </c>
      <c r="I57" s="131" t="s">
        <v>382</v>
      </c>
      <c r="J57" s="131" t="s">
        <v>887</v>
      </c>
      <c r="K57" s="131" t="s">
        <v>1047</v>
      </c>
      <c r="L57" s="131" t="s">
        <v>1053</v>
      </c>
      <c r="M57" s="131" t="s">
        <v>388</v>
      </c>
      <c r="N57" s="131" t="s">
        <v>43</v>
      </c>
      <c r="O57" s="131" t="s">
        <v>386</v>
      </c>
      <c r="P57" s="131" t="s">
        <v>979</v>
      </c>
      <c r="Q57" s="131" t="s">
        <v>1090</v>
      </c>
      <c r="R57" s="131" t="s">
        <v>83</v>
      </c>
      <c r="S57" s="131"/>
    </row>
    <row r="58" spans="1:19">
      <c r="A58" s="131" t="s">
        <v>1178</v>
      </c>
      <c r="B58" s="131" t="s">
        <v>1179</v>
      </c>
      <c r="C58" s="131" t="s">
        <v>909</v>
      </c>
      <c r="D58" s="132">
        <v>0</v>
      </c>
      <c r="E58" s="131" t="s">
        <v>1180</v>
      </c>
      <c r="F58" s="131" t="s">
        <v>53</v>
      </c>
      <c r="G58" s="131" t="s">
        <v>910</v>
      </c>
      <c r="H58" s="131" t="s">
        <v>356</v>
      </c>
      <c r="I58" s="131" t="s">
        <v>382</v>
      </c>
      <c r="J58" s="131" t="s">
        <v>887</v>
      </c>
      <c r="K58" s="131" t="s">
        <v>911</v>
      </c>
      <c r="L58" s="131" t="s">
        <v>914</v>
      </c>
      <c r="M58" s="131" t="s">
        <v>388</v>
      </c>
      <c r="N58" s="131" t="s">
        <v>43</v>
      </c>
      <c r="O58" s="131" t="s">
        <v>386</v>
      </c>
      <c r="P58" s="131" t="s">
        <v>979</v>
      </c>
      <c r="Q58" s="131" t="s">
        <v>1015</v>
      </c>
      <c r="R58" s="131" t="s">
        <v>53</v>
      </c>
      <c r="S58" s="131"/>
    </row>
    <row r="59" spans="1:19">
      <c r="A59" s="131" t="s">
        <v>1181</v>
      </c>
      <c r="B59" s="131" t="s">
        <v>1182</v>
      </c>
      <c r="C59" s="131" t="s">
        <v>1158</v>
      </c>
      <c r="D59" s="133">
        <v>59</v>
      </c>
      <c r="E59" s="133">
        <v>60222449</v>
      </c>
      <c r="F59" s="131" t="s">
        <v>68</v>
      </c>
      <c r="G59" s="131" t="s">
        <v>910</v>
      </c>
      <c r="H59" s="131" t="s">
        <v>325</v>
      </c>
      <c r="I59" s="131" t="s">
        <v>387</v>
      </c>
      <c r="J59" s="131" t="s">
        <v>887</v>
      </c>
      <c r="K59" s="131"/>
      <c r="L59" s="131"/>
      <c r="M59" s="131" t="s">
        <v>388</v>
      </c>
      <c r="N59" s="131" t="s">
        <v>43</v>
      </c>
      <c r="O59" s="131" t="s">
        <v>386</v>
      </c>
      <c r="P59" s="131" t="s">
        <v>979</v>
      </c>
      <c r="Q59" s="131" t="s">
        <v>992</v>
      </c>
      <c r="R59" s="131" t="s">
        <v>68</v>
      </c>
      <c r="S59" s="131"/>
    </row>
    <row r="60" spans="1:19">
      <c r="A60" s="131" t="s">
        <v>1183</v>
      </c>
      <c r="B60" s="131" t="s">
        <v>1182</v>
      </c>
      <c r="C60" s="131" t="s">
        <v>1160</v>
      </c>
      <c r="D60" s="133">
        <v>57</v>
      </c>
      <c r="E60" s="133">
        <v>60222449</v>
      </c>
      <c r="F60" s="131" t="s">
        <v>68</v>
      </c>
      <c r="G60" s="131" t="s">
        <v>910</v>
      </c>
      <c r="H60" s="131" t="s">
        <v>325</v>
      </c>
      <c r="I60" s="131" t="s">
        <v>387</v>
      </c>
      <c r="J60" s="131" t="s">
        <v>887</v>
      </c>
      <c r="K60" s="131"/>
      <c r="L60" s="131"/>
      <c r="M60" s="131" t="s">
        <v>388</v>
      </c>
      <c r="N60" s="131" t="s">
        <v>43</v>
      </c>
      <c r="O60" s="131" t="s">
        <v>386</v>
      </c>
      <c r="P60" s="131" t="s">
        <v>979</v>
      </c>
      <c r="Q60" s="131" t="s">
        <v>992</v>
      </c>
      <c r="R60" s="131" t="s">
        <v>68</v>
      </c>
      <c r="S60" s="131"/>
    </row>
    <row r="61" spans="1:19">
      <c r="A61" s="131" t="s">
        <v>1184</v>
      </c>
      <c r="B61" s="131" t="s">
        <v>1182</v>
      </c>
      <c r="C61" s="131" t="s">
        <v>1167</v>
      </c>
      <c r="D61" s="133">
        <v>55</v>
      </c>
      <c r="E61" s="133">
        <v>60222449</v>
      </c>
      <c r="F61" s="131" t="s">
        <v>68</v>
      </c>
      <c r="G61" s="131" t="s">
        <v>910</v>
      </c>
      <c r="H61" s="131" t="s">
        <v>325</v>
      </c>
      <c r="I61" s="131" t="s">
        <v>387</v>
      </c>
      <c r="J61" s="131" t="s">
        <v>887</v>
      </c>
      <c r="K61" s="131"/>
      <c r="L61" s="131"/>
      <c r="M61" s="131" t="s">
        <v>388</v>
      </c>
      <c r="N61" s="131" t="s">
        <v>43</v>
      </c>
      <c r="O61" s="131" t="s">
        <v>386</v>
      </c>
      <c r="P61" s="131" t="s">
        <v>979</v>
      </c>
      <c r="Q61" s="131" t="s">
        <v>992</v>
      </c>
      <c r="R61" s="131" t="s">
        <v>68</v>
      </c>
      <c r="S61" s="131"/>
    </row>
    <row r="62" spans="1:19">
      <c r="A62" s="131" t="s">
        <v>1185</v>
      </c>
      <c r="B62" s="131" t="s">
        <v>1186</v>
      </c>
      <c r="C62" s="131" t="s">
        <v>909</v>
      </c>
      <c r="D62" s="132">
        <v>0</v>
      </c>
      <c r="E62" s="131" t="s">
        <v>1187</v>
      </c>
      <c r="F62" s="131" t="s">
        <v>68</v>
      </c>
      <c r="G62" s="131" t="s">
        <v>910</v>
      </c>
      <c r="H62" s="131" t="s">
        <v>327</v>
      </c>
      <c r="I62" s="131" t="s">
        <v>387</v>
      </c>
      <c r="J62" s="131" t="s">
        <v>887</v>
      </c>
      <c r="K62" s="131" t="s">
        <v>911</v>
      </c>
      <c r="L62" s="131" t="s">
        <v>914</v>
      </c>
      <c r="M62" s="131" t="s">
        <v>388</v>
      </c>
      <c r="N62" s="131" t="s">
        <v>43</v>
      </c>
      <c r="O62" s="131" t="s">
        <v>386</v>
      </c>
      <c r="P62" s="131" t="s">
        <v>979</v>
      </c>
      <c r="Q62" s="131" t="s">
        <v>1043</v>
      </c>
      <c r="R62" s="131" t="s">
        <v>68</v>
      </c>
      <c r="S62" s="131"/>
    </row>
    <row r="63" spans="1:19">
      <c r="A63" s="131" t="s">
        <v>1188</v>
      </c>
      <c r="B63" s="131" t="s">
        <v>1189</v>
      </c>
      <c r="C63" s="131" t="s">
        <v>1158</v>
      </c>
      <c r="D63" s="133">
        <v>59</v>
      </c>
      <c r="E63" s="133">
        <v>60222382</v>
      </c>
      <c r="F63" s="131" t="s">
        <v>83</v>
      </c>
      <c r="G63" s="131" t="s">
        <v>910</v>
      </c>
      <c r="H63" s="131" t="s">
        <v>325</v>
      </c>
      <c r="I63" s="131" t="s">
        <v>382</v>
      </c>
      <c r="J63" s="131" t="s">
        <v>887</v>
      </c>
      <c r="K63" s="131"/>
      <c r="L63" s="131"/>
      <c r="M63" s="131" t="s">
        <v>388</v>
      </c>
      <c r="N63" s="131" t="s">
        <v>43</v>
      </c>
      <c r="O63" s="131" t="s">
        <v>386</v>
      </c>
      <c r="P63" s="131" t="s">
        <v>979</v>
      </c>
      <c r="Q63" s="131" t="s">
        <v>1190</v>
      </c>
      <c r="R63" s="131" t="s">
        <v>83</v>
      </c>
      <c r="S63" s="131"/>
    </row>
    <row r="64" spans="1:19">
      <c r="A64" s="131" t="s">
        <v>1191</v>
      </c>
      <c r="B64" s="131" t="s">
        <v>1189</v>
      </c>
      <c r="C64" s="131" t="s">
        <v>1160</v>
      </c>
      <c r="D64" s="133">
        <v>57</v>
      </c>
      <c r="E64" s="133">
        <v>60222382</v>
      </c>
      <c r="F64" s="131" t="s">
        <v>83</v>
      </c>
      <c r="G64" s="131" t="s">
        <v>910</v>
      </c>
      <c r="H64" s="131" t="s">
        <v>325</v>
      </c>
      <c r="I64" s="131" t="s">
        <v>382</v>
      </c>
      <c r="J64" s="131" t="s">
        <v>887</v>
      </c>
      <c r="K64" s="131"/>
      <c r="L64" s="131"/>
      <c r="M64" s="131" t="s">
        <v>388</v>
      </c>
      <c r="N64" s="131" t="s">
        <v>43</v>
      </c>
      <c r="O64" s="131" t="s">
        <v>386</v>
      </c>
      <c r="P64" s="131" t="s">
        <v>979</v>
      </c>
      <c r="Q64" s="131" t="s">
        <v>1190</v>
      </c>
      <c r="R64" s="131" t="s">
        <v>83</v>
      </c>
      <c r="S64" s="131"/>
    </row>
    <row r="65" spans="1:19">
      <c r="A65" s="131" t="s">
        <v>1192</v>
      </c>
      <c r="B65" s="131" t="s">
        <v>1189</v>
      </c>
      <c r="C65" s="131" t="s">
        <v>1167</v>
      </c>
      <c r="D65" s="133">
        <v>55</v>
      </c>
      <c r="E65" s="133">
        <v>60222382</v>
      </c>
      <c r="F65" s="131" t="s">
        <v>83</v>
      </c>
      <c r="G65" s="131" t="s">
        <v>910</v>
      </c>
      <c r="H65" s="131" t="s">
        <v>325</v>
      </c>
      <c r="I65" s="131" t="s">
        <v>382</v>
      </c>
      <c r="J65" s="131" t="s">
        <v>887</v>
      </c>
      <c r="K65" s="131"/>
      <c r="L65" s="131"/>
      <c r="M65" s="131" t="s">
        <v>388</v>
      </c>
      <c r="N65" s="131" t="s">
        <v>43</v>
      </c>
      <c r="O65" s="131" t="s">
        <v>386</v>
      </c>
      <c r="P65" s="131" t="s">
        <v>979</v>
      </c>
      <c r="Q65" s="131" t="s">
        <v>1190</v>
      </c>
      <c r="R65" s="131" t="s">
        <v>83</v>
      </c>
      <c r="S65" s="131"/>
    </row>
    <row r="66" spans="1:19">
      <c r="A66" s="131" t="s">
        <v>1193</v>
      </c>
      <c r="B66" s="131" t="s">
        <v>1194</v>
      </c>
      <c r="C66" s="131" t="s">
        <v>909</v>
      </c>
      <c r="D66" s="132">
        <v>0</v>
      </c>
      <c r="E66" s="133">
        <v>60222375</v>
      </c>
      <c r="F66" s="131" t="s">
        <v>78</v>
      </c>
      <c r="G66" s="131" t="s">
        <v>910</v>
      </c>
      <c r="H66" s="131" t="s">
        <v>327</v>
      </c>
      <c r="I66" s="131" t="s">
        <v>382</v>
      </c>
      <c r="J66" s="131" t="s">
        <v>887</v>
      </c>
      <c r="K66" s="131"/>
      <c r="L66" s="131"/>
      <c r="M66" s="131" t="s">
        <v>388</v>
      </c>
      <c r="N66" s="131" t="s">
        <v>43</v>
      </c>
      <c r="O66" s="131" t="s">
        <v>386</v>
      </c>
      <c r="P66" s="131" t="s">
        <v>979</v>
      </c>
      <c r="Q66" s="131" t="s">
        <v>1195</v>
      </c>
      <c r="R66" s="131" t="s">
        <v>78</v>
      </c>
      <c r="S66" s="131"/>
    </row>
    <row r="67" spans="1:19">
      <c r="A67" s="131" t="s">
        <v>1196</v>
      </c>
      <c r="B67" s="131" t="s">
        <v>1197</v>
      </c>
      <c r="C67" s="131" t="s">
        <v>1158</v>
      </c>
      <c r="D67" s="133">
        <v>59</v>
      </c>
      <c r="E67" s="133">
        <v>60222332</v>
      </c>
      <c r="F67" s="131" t="s">
        <v>53</v>
      </c>
      <c r="G67" s="131" t="s">
        <v>918</v>
      </c>
      <c r="H67" s="131" t="s">
        <v>325</v>
      </c>
      <c r="I67" s="131" t="s">
        <v>382</v>
      </c>
      <c r="J67" s="131" t="s">
        <v>887</v>
      </c>
      <c r="K67" s="131"/>
      <c r="L67" s="131"/>
      <c r="M67" s="131" t="s">
        <v>388</v>
      </c>
      <c r="N67" s="131"/>
      <c r="O67" s="131" t="s">
        <v>386</v>
      </c>
      <c r="P67" s="131" t="s">
        <v>979</v>
      </c>
      <c r="Q67" s="131" t="s">
        <v>1008</v>
      </c>
      <c r="R67" s="131" t="s">
        <v>53</v>
      </c>
      <c r="S67" s="131"/>
    </row>
    <row r="68" spans="1:19">
      <c r="A68" s="131" t="s">
        <v>1198</v>
      </c>
      <c r="B68" s="131" t="s">
        <v>1197</v>
      </c>
      <c r="C68" s="131" t="s">
        <v>1160</v>
      </c>
      <c r="D68" s="133">
        <v>57</v>
      </c>
      <c r="E68" s="133">
        <v>60222332</v>
      </c>
      <c r="F68" s="131" t="s">
        <v>53</v>
      </c>
      <c r="G68" s="131" t="s">
        <v>918</v>
      </c>
      <c r="H68" s="131" t="s">
        <v>325</v>
      </c>
      <c r="I68" s="131" t="s">
        <v>382</v>
      </c>
      <c r="J68" s="131" t="s">
        <v>887</v>
      </c>
      <c r="K68" s="131"/>
      <c r="L68" s="131"/>
      <c r="M68" s="131" t="s">
        <v>388</v>
      </c>
      <c r="N68" s="131"/>
      <c r="O68" s="131" t="s">
        <v>386</v>
      </c>
      <c r="P68" s="131" t="s">
        <v>979</v>
      </c>
      <c r="Q68" s="131" t="s">
        <v>1008</v>
      </c>
      <c r="R68" s="131" t="s">
        <v>53</v>
      </c>
      <c r="S68" s="131"/>
    </row>
    <row r="69" spans="1:19">
      <c r="A69" s="131" t="s">
        <v>1199</v>
      </c>
      <c r="B69" s="131" t="s">
        <v>1197</v>
      </c>
      <c r="C69" s="131" t="s">
        <v>1167</v>
      </c>
      <c r="D69" s="133">
        <v>55</v>
      </c>
      <c r="E69" s="133">
        <v>60222332</v>
      </c>
      <c r="F69" s="131" t="s">
        <v>53</v>
      </c>
      <c r="G69" s="131" t="s">
        <v>918</v>
      </c>
      <c r="H69" s="131" t="s">
        <v>325</v>
      </c>
      <c r="I69" s="131" t="s">
        <v>382</v>
      </c>
      <c r="J69" s="131" t="s">
        <v>887</v>
      </c>
      <c r="K69" s="131"/>
      <c r="L69" s="131"/>
      <c r="M69" s="131" t="s">
        <v>388</v>
      </c>
      <c r="N69" s="131"/>
      <c r="O69" s="131" t="s">
        <v>386</v>
      </c>
      <c r="P69" s="131" t="s">
        <v>979</v>
      </c>
      <c r="Q69" s="131" t="s">
        <v>1008</v>
      </c>
      <c r="R69" s="131" t="s">
        <v>53</v>
      </c>
      <c r="S69" s="131"/>
    </row>
    <row r="70" spans="1:19">
      <c r="A70" s="131" t="s">
        <v>1200</v>
      </c>
      <c r="B70" s="131" t="s">
        <v>1201</v>
      </c>
      <c r="C70" s="131" t="s">
        <v>1160</v>
      </c>
      <c r="D70" s="133">
        <v>57</v>
      </c>
      <c r="E70" s="133">
        <v>60222327</v>
      </c>
      <c r="F70" s="131" t="s">
        <v>53</v>
      </c>
      <c r="G70" s="131" t="s">
        <v>910</v>
      </c>
      <c r="H70" s="131" t="s">
        <v>325</v>
      </c>
      <c r="I70" s="131" t="s">
        <v>382</v>
      </c>
      <c r="J70" s="131" t="s">
        <v>887</v>
      </c>
      <c r="K70" s="131"/>
      <c r="L70" s="131"/>
      <c r="M70" s="131" t="s">
        <v>388</v>
      </c>
      <c r="N70" s="131" t="s">
        <v>43</v>
      </c>
      <c r="O70" s="131" t="s">
        <v>541</v>
      </c>
      <c r="P70" s="131" t="s">
        <v>979</v>
      </c>
      <c r="Q70" s="131" t="s">
        <v>1008</v>
      </c>
      <c r="R70" s="131" t="s">
        <v>53</v>
      </c>
      <c r="S70" s="131"/>
    </row>
    <row r="71" spans="1:19">
      <c r="A71" s="131" t="s">
        <v>1202</v>
      </c>
      <c r="B71" s="131" t="s">
        <v>1203</v>
      </c>
      <c r="C71" s="131" t="s">
        <v>1158</v>
      </c>
      <c r="D71" s="133">
        <v>59</v>
      </c>
      <c r="E71" s="131" t="s">
        <v>1204</v>
      </c>
      <c r="F71" s="131" t="s">
        <v>55</v>
      </c>
      <c r="G71" s="131" t="s">
        <v>910</v>
      </c>
      <c r="H71" s="131" t="s">
        <v>325</v>
      </c>
      <c r="I71" s="131" t="s">
        <v>382</v>
      </c>
      <c r="J71" s="131" t="s">
        <v>887</v>
      </c>
      <c r="K71" s="131" t="s">
        <v>911</v>
      </c>
      <c r="L71" s="131" t="s">
        <v>914</v>
      </c>
      <c r="M71" s="131" t="s">
        <v>388</v>
      </c>
      <c r="N71" s="131" t="s">
        <v>43</v>
      </c>
      <c r="O71" s="131" t="s">
        <v>541</v>
      </c>
      <c r="P71" s="131" t="s">
        <v>979</v>
      </c>
      <c r="Q71" s="131" t="s">
        <v>1015</v>
      </c>
      <c r="R71" s="131" t="s">
        <v>71</v>
      </c>
      <c r="S71" s="131"/>
    </row>
    <row r="72" spans="1:19">
      <c r="A72" s="131" t="s">
        <v>1205</v>
      </c>
      <c r="B72" s="131" t="s">
        <v>1203</v>
      </c>
      <c r="C72" s="131" t="s">
        <v>1167</v>
      </c>
      <c r="D72" s="133">
        <v>55</v>
      </c>
      <c r="E72" s="131" t="s">
        <v>1204</v>
      </c>
      <c r="F72" s="131" t="s">
        <v>55</v>
      </c>
      <c r="G72" s="131" t="s">
        <v>910</v>
      </c>
      <c r="H72" s="131" t="s">
        <v>325</v>
      </c>
      <c r="I72" s="131" t="s">
        <v>382</v>
      </c>
      <c r="J72" s="131" t="s">
        <v>887</v>
      </c>
      <c r="K72" s="131" t="s">
        <v>911</v>
      </c>
      <c r="L72" s="131" t="s">
        <v>914</v>
      </c>
      <c r="M72" s="131" t="s">
        <v>388</v>
      </c>
      <c r="N72" s="131" t="s">
        <v>43</v>
      </c>
      <c r="O72" s="131" t="s">
        <v>541</v>
      </c>
      <c r="P72" s="131" t="s">
        <v>979</v>
      </c>
      <c r="Q72" s="131" t="s">
        <v>1015</v>
      </c>
      <c r="R72" s="131" t="s">
        <v>71</v>
      </c>
      <c r="S72" s="131"/>
    </row>
    <row r="73" spans="1:19">
      <c r="A73" s="131" t="s">
        <v>1206</v>
      </c>
      <c r="B73" s="131" t="s">
        <v>1207</v>
      </c>
      <c r="C73" s="131" t="s">
        <v>909</v>
      </c>
      <c r="D73" s="132">
        <v>0</v>
      </c>
      <c r="E73" s="133">
        <v>60222258</v>
      </c>
      <c r="F73" s="131" t="s">
        <v>269</v>
      </c>
      <c r="G73" s="131" t="s">
        <v>910</v>
      </c>
      <c r="H73" s="131" t="s">
        <v>356</v>
      </c>
      <c r="I73" s="131" t="s">
        <v>382</v>
      </c>
      <c r="J73" s="131" t="s">
        <v>887</v>
      </c>
      <c r="K73" s="131"/>
      <c r="L73" s="131"/>
      <c r="M73" s="131" t="s">
        <v>388</v>
      </c>
      <c r="N73" s="131" t="s">
        <v>43</v>
      </c>
      <c r="O73" s="131" t="s">
        <v>386</v>
      </c>
      <c r="P73" s="131" t="s">
        <v>979</v>
      </c>
      <c r="Q73" s="131" t="s">
        <v>1208</v>
      </c>
      <c r="R73" s="131" t="s">
        <v>60</v>
      </c>
      <c r="S73" s="131"/>
    </row>
    <row r="74" spans="1:19">
      <c r="A74" s="131" t="s">
        <v>1209</v>
      </c>
      <c r="B74" s="131" t="s">
        <v>1210</v>
      </c>
      <c r="C74" s="131" t="s">
        <v>1158</v>
      </c>
      <c r="D74" s="133">
        <v>59</v>
      </c>
      <c r="E74" s="133">
        <v>60222255</v>
      </c>
      <c r="F74" s="131" t="s">
        <v>847</v>
      </c>
      <c r="G74" s="131" t="s">
        <v>910</v>
      </c>
      <c r="H74" s="131" t="s">
        <v>325</v>
      </c>
      <c r="I74" s="131" t="s">
        <v>382</v>
      </c>
      <c r="J74" s="131" t="s">
        <v>887</v>
      </c>
      <c r="K74" s="131"/>
      <c r="L74" s="131"/>
      <c r="M74" s="131" t="s">
        <v>388</v>
      </c>
      <c r="N74" s="131" t="s">
        <v>43</v>
      </c>
      <c r="O74" s="131" t="s">
        <v>386</v>
      </c>
      <c r="P74" s="131" t="s">
        <v>979</v>
      </c>
      <c r="Q74" s="131" t="s">
        <v>1211</v>
      </c>
      <c r="R74" s="131" t="s">
        <v>60</v>
      </c>
      <c r="S74" s="131"/>
    </row>
    <row r="75" spans="1:19">
      <c r="A75" s="131" t="s">
        <v>1212</v>
      </c>
      <c r="B75" s="131" t="s">
        <v>1210</v>
      </c>
      <c r="C75" s="131" t="s">
        <v>1160</v>
      </c>
      <c r="D75" s="133">
        <v>57</v>
      </c>
      <c r="E75" s="133">
        <v>60222255</v>
      </c>
      <c r="F75" s="131" t="s">
        <v>847</v>
      </c>
      <c r="G75" s="131" t="s">
        <v>910</v>
      </c>
      <c r="H75" s="131" t="s">
        <v>325</v>
      </c>
      <c r="I75" s="131" t="s">
        <v>382</v>
      </c>
      <c r="J75" s="131" t="s">
        <v>887</v>
      </c>
      <c r="K75" s="131"/>
      <c r="L75" s="131"/>
      <c r="M75" s="131" t="s">
        <v>388</v>
      </c>
      <c r="N75" s="131" t="s">
        <v>43</v>
      </c>
      <c r="O75" s="131" t="s">
        <v>386</v>
      </c>
      <c r="P75" s="131" t="s">
        <v>979</v>
      </c>
      <c r="Q75" s="131" t="s">
        <v>1211</v>
      </c>
      <c r="R75" s="131" t="s">
        <v>60</v>
      </c>
      <c r="S75" s="131"/>
    </row>
    <row r="76" spans="1:19">
      <c r="A76" s="131" t="s">
        <v>1213</v>
      </c>
      <c r="B76" s="131" t="s">
        <v>1210</v>
      </c>
      <c r="C76" s="131" t="s">
        <v>1167</v>
      </c>
      <c r="D76" s="133">
        <v>55</v>
      </c>
      <c r="E76" s="133">
        <v>60222255</v>
      </c>
      <c r="F76" s="131" t="s">
        <v>847</v>
      </c>
      <c r="G76" s="131" t="s">
        <v>910</v>
      </c>
      <c r="H76" s="131" t="s">
        <v>325</v>
      </c>
      <c r="I76" s="131" t="s">
        <v>382</v>
      </c>
      <c r="J76" s="131" t="s">
        <v>887</v>
      </c>
      <c r="K76" s="131"/>
      <c r="L76" s="131"/>
      <c r="M76" s="131" t="s">
        <v>388</v>
      </c>
      <c r="N76" s="131" t="s">
        <v>43</v>
      </c>
      <c r="O76" s="131" t="s">
        <v>386</v>
      </c>
      <c r="P76" s="131" t="s">
        <v>979</v>
      </c>
      <c r="Q76" s="131" t="s">
        <v>1211</v>
      </c>
      <c r="R76" s="131" t="s">
        <v>60</v>
      </c>
      <c r="S76" s="131"/>
    </row>
    <row r="77" spans="1:19">
      <c r="A77" s="131" t="s">
        <v>1214</v>
      </c>
      <c r="B77" s="131" t="s">
        <v>1215</v>
      </c>
      <c r="C77" s="131" t="s">
        <v>1158</v>
      </c>
      <c r="D77" s="133">
        <v>59</v>
      </c>
      <c r="E77" s="133">
        <v>60222249</v>
      </c>
      <c r="F77" s="131" t="s">
        <v>71</v>
      </c>
      <c r="G77" s="131" t="s">
        <v>910</v>
      </c>
      <c r="H77" s="131" t="s">
        <v>325</v>
      </c>
      <c r="I77" s="131" t="s">
        <v>382</v>
      </c>
      <c r="J77" s="131" t="s">
        <v>887</v>
      </c>
      <c r="K77" s="131"/>
      <c r="L77" s="131"/>
      <c r="M77" s="131" t="s">
        <v>388</v>
      </c>
      <c r="N77" s="131" t="s">
        <v>43</v>
      </c>
      <c r="O77" s="131" t="s">
        <v>541</v>
      </c>
      <c r="P77" s="131" t="s">
        <v>979</v>
      </c>
      <c r="Q77" s="131" t="s">
        <v>1100</v>
      </c>
      <c r="R77" s="131" t="s">
        <v>71</v>
      </c>
      <c r="S77" s="131"/>
    </row>
    <row r="78" spans="1:19">
      <c r="A78" s="131" t="s">
        <v>1216</v>
      </c>
      <c r="B78" s="131" t="s">
        <v>1215</v>
      </c>
      <c r="C78" s="131" t="s">
        <v>1160</v>
      </c>
      <c r="D78" s="133">
        <v>57</v>
      </c>
      <c r="E78" s="133">
        <v>60222249</v>
      </c>
      <c r="F78" s="131" t="s">
        <v>71</v>
      </c>
      <c r="G78" s="131" t="s">
        <v>910</v>
      </c>
      <c r="H78" s="131" t="s">
        <v>325</v>
      </c>
      <c r="I78" s="131" t="s">
        <v>382</v>
      </c>
      <c r="J78" s="131" t="s">
        <v>887</v>
      </c>
      <c r="K78" s="131"/>
      <c r="L78" s="131"/>
      <c r="M78" s="131" t="s">
        <v>388</v>
      </c>
      <c r="N78" s="131" t="s">
        <v>43</v>
      </c>
      <c r="O78" s="131" t="s">
        <v>541</v>
      </c>
      <c r="P78" s="131" t="s">
        <v>979</v>
      </c>
      <c r="Q78" s="131" t="s">
        <v>1100</v>
      </c>
      <c r="R78" s="131" t="s">
        <v>71</v>
      </c>
      <c r="S78" s="131"/>
    </row>
    <row r="79" spans="1:19">
      <c r="A79" s="131" t="s">
        <v>1217</v>
      </c>
      <c r="B79" s="131" t="s">
        <v>1215</v>
      </c>
      <c r="C79" s="131" t="s">
        <v>1167</v>
      </c>
      <c r="D79" s="133">
        <v>55</v>
      </c>
      <c r="E79" s="133">
        <v>60222249</v>
      </c>
      <c r="F79" s="131" t="s">
        <v>71</v>
      </c>
      <c r="G79" s="131" t="s">
        <v>910</v>
      </c>
      <c r="H79" s="131" t="s">
        <v>325</v>
      </c>
      <c r="I79" s="131" t="s">
        <v>382</v>
      </c>
      <c r="J79" s="131" t="s">
        <v>887</v>
      </c>
      <c r="K79" s="131"/>
      <c r="L79" s="131"/>
      <c r="M79" s="131" t="s">
        <v>388</v>
      </c>
      <c r="N79" s="131" t="s">
        <v>43</v>
      </c>
      <c r="O79" s="131" t="s">
        <v>541</v>
      </c>
      <c r="P79" s="131" t="s">
        <v>979</v>
      </c>
      <c r="Q79" s="131" t="s">
        <v>1100</v>
      </c>
      <c r="R79" s="131" t="s">
        <v>71</v>
      </c>
      <c r="S79" s="131"/>
    </row>
    <row r="80" spans="1:19">
      <c r="A80" s="131" t="s">
        <v>1218</v>
      </c>
      <c r="B80" s="131" t="s">
        <v>1219</v>
      </c>
      <c r="C80" s="131" t="s">
        <v>1158</v>
      </c>
      <c r="D80" s="133">
        <v>59</v>
      </c>
      <c r="E80" s="133">
        <v>60222227</v>
      </c>
      <c r="F80" s="131" t="s">
        <v>57</v>
      </c>
      <c r="G80" s="131" t="s">
        <v>910</v>
      </c>
      <c r="H80" s="131" t="s">
        <v>325</v>
      </c>
      <c r="I80" s="131" t="s">
        <v>382</v>
      </c>
      <c r="J80" s="131" t="s">
        <v>887</v>
      </c>
      <c r="K80" s="131"/>
      <c r="L80" s="131"/>
      <c r="M80" s="131" t="s">
        <v>388</v>
      </c>
      <c r="N80" s="131" t="s">
        <v>43</v>
      </c>
      <c r="O80" s="131" t="s">
        <v>541</v>
      </c>
      <c r="P80" s="131" t="s">
        <v>979</v>
      </c>
      <c r="Q80" s="131" t="s">
        <v>1220</v>
      </c>
      <c r="R80" s="131" t="s">
        <v>57</v>
      </c>
      <c r="S80" s="131"/>
    </row>
    <row r="81" spans="1:19">
      <c r="A81" s="131" t="s">
        <v>1221</v>
      </c>
      <c r="B81" s="131" t="s">
        <v>1219</v>
      </c>
      <c r="C81" s="131" t="s">
        <v>1160</v>
      </c>
      <c r="D81" s="133">
        <v>57</v>
      </c>
      <c r="E81" s="133">
        <v>60222227</v>
      </c>
      <c r="F81" s="131" t="s">
        <v>57</v>
      </c>
      <c r="G81" s="131" t="s">
        <v>910</v>
      </c>
      <c r="H81" s="131" t="s">
        <v>325</v>
      </c>
      <c r="I81" s="131" t="s">
        <v>382</v>
      </c>
      <c r="J81" s="131" t="s">
        <v>887</v>
      </c>
      <c r="K81" s="131"/>
      <c r="L81" s="131"/>
      <c r="M81" s="131" t="s">
        <v>388</v>
      </c>
      <c r="N81" s="131" t="s">
        <v>43</v>
      </c>
      <c r="O81" s="131" t="s">
        <v>541</v>
      </c>
      <c r="P81" s="131" t="s">
        <v>979</v>
      </c>
      <c r="Q81" s="131" t="s">
        <v>1220</v>
      </c>
      <c r="R81" s="131" t="s">
        <v>57</v>
      </c>
      <c r="S81" s="131"/>
    </row>
    <row r="82" spans="1:19">
      <c r="A82" s="131" t="s">
        <v>1222</v>
      </c>
      <c r="B82" s="131" t="s">
        <v>1223</v>
      </c>
      <c r="C82" s="131" t="s">
        <v>1158</v>
      </c>
      <c r="D82" s="133">
        <v>59</v>
      </c>
      <c r="E82" s="133">
        <v>60222226</v>
      </c>
      <c r="F82" s="131" t="s">
        <v>195</v>
      </c>
      <c r="G82" s="131" t="s">
        <v>910</v>
      </c>
      <c r="H82" s="131" t="s">
        <v>325</v>
      </c>
      <c r="I82" s="131" t="s">
        <v>382</v>
      </c>
      <c r="J82" s="131" t="s">
        <v>887</v>
      </c>
      <c r="K82" s="131"/>
      <c r="L82" s="131"/>
      <c r="M82" s="131" t="s">
        <v>388</v>
      </c>
      <c r="N82" s="131" t="s">
        <v>43</v>
      </c>
      <c r="O82" s="131" t="s">
        <v>541</v>
      </c>
      <c r="P82" s="131" t="s">
        <v>979</v>
      </c>
      <c r="Q82" s="131" t="s">
        <v>988</v>
      </c>
      <c r="R82" s="131" t="s">
        <v>195</v>
      </c>
      <c r="S82" s="131"/>
    </row>
    <row r="83" spans="1:19">
      <c r="A83" s="131" t="s">
        <v>1224</v>
      </c>
      <c r="B83" s="131" t="s">
        <v>1223</v>
      </c>
      <c r="C83" s="131" t="s">
        <v>1160</v>
      </c>
      <c r="D83" s="133">
        <v>57</v>
      </c>
      <c r="E83" s="133">
        <v>60222226</v>
      </c>
      <c r="F83" s="131" t="s">
        <v>195</v>
      </c>
      <c r="G83" s="131" t="s">
        <v>910</v>
      </c>
      <c r="H83" s="131" t="s">
        <v>325</v>
      </c>
      <c r="I83" s="131" t="s">
        <v>382</v>
      </c>
      <c r="J83" s="131" t="s">
        <v>887</v>
      </c>
      <c r="K83" s="131"/>
      <c r="L83" s="131"/>
      <c r="M83" s="131" t="s">
        <v>388</v>
      </c>
      <c r="N83" s="131" t="s">
        <v>43</v>
      </c>
      <c r="O83" s="131" t="s">
        <v>541</v>
      </c>
      <c r="P83" s="131" t="s">
        <v>979</v>
      </c>
      <c r="Q83" s="131" t="s">
        <v>988</v>
      </c>
      <c r="R83" s="131" t="s">
        <v>195</v>
      </c>
      <c r="S83" s="131"/>
    </row>
    <row r="84" spans="1:19">
      <c r="A84" s="131" t="s">
        <v>1225</v>
      </c>
      <c r="B84" s="131" t="s">
        <v>1223</v>
      </c>
      <c r="C84" s="131" t="s">
        <v>1167</v>
      </c>
      <c r="D84" s="133">
        <v>55</v>
      </c>
      <c r="E84" s="133">
        <v>60222226</v>
      </c>
      <c r="F84" s="131" t="s">
        <v>195</v>
      </c>
      <c r="G84" s="131" t="s">
        <v>910</v>
      </c>
      <c r="H84" s="131" t="s">
        <v>325</v>
      </c>
      <c r="I84" s="131" t="s">
        <v>382</v>
      </c>
      <c r="J84" s="131" t="s">
        <v>887</v>
      </c>
      <c r="K84" s="131"/>
      <c r="L84" s="131"/>
      <c r="M84" s="131" t="s">
        <v>388</v>
      </c>
      <c r="N84" s="131" t="s">
        <v>43</v>
      </c>
      <c r="O84" s="131" t="s">
        <v>541</v>
      </c>
      <c r="P84" s="131" t="s">
        <v>979</v>
      </c>
      <c r="Q84" s="131" t="s">
        <v>988</v>
      </c>
      <c r="R84" s="131" t="s">
        <v>195</v>
      </c>
      <c r="S84" s="131"/>
    </row>
    <row r="85" spans="1:19">
      <c r="A85" s="131" t="s">
        <v>1226</v>
      </c>
      <c r="B85" s="131" t="s">
        <v>1227</v>
      </c>
      <c r="C85" s="131" t="s">
        <v>909</v>
      </c>
      <c r="D85" s="132">
        <v>0</v>
      </c>
      <c r="E85" s="131" t="s">
        <v>1228</v>
      </c>
      <c r="F85" s="131" t="s">
        <v>53</v>
      </c>
      <c r="G85" s="131" t="s">
        <v>910</v>
      </c>
      <c r="H85" s="131" t="s">
        <v>327</v>
      </c>
      <c r="I85" s="131" t="s">
        <v>382</v>
      </c>
      <c r="J85" s="131" t="s">
        <v>887</v>
      </c>
      <c r="K85" s="131" t="s">
        <v>921</v>
      </c>
      <c r="L85" s="131" t="s">
        <v>1229</v>
      </c>
      <c r="M85" s="131" t="s">
        <v>388</v>
      </c>
      <c r="N85" s="131" t="s">
        <v>43</v>
      </c>
      <c r="O85" s="131" t="s">
        <v>541</v>
      </c>
      <c r="P85" s="131" t="s">
        <v>979</v>
      </c>
      <c r="Q85" s="131" t="s">
        <v>1008</v>
      </c>
      <c r="R85" s="131" t="s">
        <v>53</v>
      </c>
      <c r="S85" s="131"/>
    </row>
    <row r="86" spans="1:19">
      <c r="A86" s="131" t="s">
        <v>1230</v>
      </c>
      <c r="B86" s="131" t="s">
        <v>1231</v>
      </c>
      <c r="C86" s="131" t="s">
        <v>909</v>
      </c>
      <c r="D86" s="132">
        <v>0</v>
      </c>
      <c r="E86" s="131" t="s">
        <v>1232</v>
      </c>
      <c r="F86" s="131" t="s">
        <v>55</v>
      </c>
      <c r="G86" s="131" t="s">
        <v>910</v>
      </c>
      <c r="H86" s="131" t="s">
        <v>327</v>
      </c>
      <c r="I86" s="131" t="s">
        <v>382</v>
      </c>
      <c r="J86" s="131" t="s">
        <v>887</v>
      </c>
      <c r="K86" s="131" t="s">
        <v>921</v>
      </c>
      <c r="L86" s="131" t="s">
        <v>1233</v>
      </c>
      <c r="M86" s="131" t="s">
        <v>388</v>
      </c>
      <c r="N86" s="131" t="s">
        <v>43</v>
      </c>
      <c r="O86" s="131" t="s">
        <v>386</v>
      </c>
      <c r="P86" s="131" t="s">
        <v>979</v>
      </c>
      <c r="Q86" s="131" t="s">
        <v>1015</v>
      </c>
      <c r="R86" s="131" t="s">
        <v>71</v>
      </c>
      <c r="S86" s="131"/>
    </row>
    <row r="87" spans="1:19">
      <c r="A87" s="131" t="s">
        <v>1234</v>
      </c>
      <c r="B87" s="131" t="s">
        <v>1235</v>
      </c>
      <c r="C87" s="131" t="s">
        <v>909</v>
      </c>
      <c r="D87" s="132">
        <v>0</v>
      </c>
      <c r="E87" s="133">
        <v>60144011</v>
      </c>
      <c r="F87" s="131" t="s">
        <v>83</v>
      </c>
      <c r="G87" s="131" t="s">
        <v>1236</v>
      </c>
      <c r="H87" s="131" t="s">
        <v>340</v>
      </c>
      <c r="I87" s="131" t="s">
        <v>387</v>
      </c>
      <c r="J87" s="131" t="s">
        <v>887</v>
      </c>
      <c r="K87" s="131"/>
      <c r="L87" s="131"/>
      <c r="M87" s="131" t="s">
        <v>389</v>
      </c>
      <c r="N87" s="131"/>
      <c r="O87" s="131" t="s">
        <v>386</v>
      </c>
      <c r="P87" s="131" t="s">
        <v>979</v>
      </c>
      <c r="Q87" s="131" t="s">
        <v>1190</v>
      </c>
      <c r="R87" s="131" t="s">
        <v>83</v>
      </c>
      <c r="S87" s="131"/>
    </row>
    <row r="88" spans="1:19">
      <c r="A88" s="131" t="s">
        <v>1237</v>
      </c>
      <c r="B88" s="131" t="s">
        <v>1238</v>
      </c>
      <c r="C88" s="131" t="s">
        <v>909</v>
      </c>
      <c r="D88" s="132">
        <v>0</v>
      </c>
      <c r="E88" s="133">
        <v>60144009</v>
      </c>
      <c r="F88" s="131" t="s">
        <v>120</v>
      </c>
      <c r="G88" s="131" t="s">
        <v>1236</v>
      </c>
      <c r="H88" s="131" t="s">
        <v>340</v>
      </c>
      <c r="I88" s="131" t="s">
        <v>387</v>
      </c>
      <c r="J88" s="131" t="s">
        <v>887</v>
      </c>
      <c r="K88" s="131"/>
      <c r="L88" s="131"/>
      <c r="M88" s="131" t="s">
        <v>389</v>
      </c>
      <c r="N88" s="131"/>
      <c r="O88" s="131" t="s">
        <v>386</v>
      </c>
      <c r="P88" s="131" t="s">
        <v>979</v>
      </c>
      <c r="Q88" s="131" t="s">
        <v>1239</v>
      </c>
      <c r="R88" s="131" t="s">
        <v>91</v>
      </c>
      <c r="S88" s="131"/>
    </row>
    <row r="89" spans="1:19">
      <c r="A89" s="131" t="s">
        <v>1240</v>
      </c>
      <c r="B89" s="131" t="s">
        <v>1241</v>
      </c>
      <c r="C89" s="131" t="s">
        <v>909</v>
      </c>
      <c r="D89" s="132">
        <v>0</v>
      </c>
      <c r="E89" s="131" t="s">
        <v>1242</v>
      </c>
      <c r="F89" s="131" t="s">
        <v>55</v>
      </c>
      <c r="G89" s="131" t="s">
        <v>1236</v>
      </c>
      <c r="H89" s="131" t="s">
        <v>340</v>
      </c>
      <c r="I89" s="131" t="s">
        <v>382</v>
      </c>
      <c r="J89" s="131" t="s">
        <v>887</v>
      </c>
      <c r="K89" s="131" t="s">
        <v>921</v>
      </c>
      <c r="L89" s="131" t="s">
        <v>1243</v>
      </c>
      <c r="M89" s="131" t="s">
        <v>389</v>
      </c>
      <c r="N89" s="131"/>
      <c r="O89" s="131" t="s">
        <v>386</v>
      </c>
      <c r="P89" s="131" t="s">
        <v>979</v>
      </c>
      <c r="Q89" s="131" t="s">
        <v>1244</v>
      </c>
      <c r="R89" s="131" t="s">
        <v>71</v>
      </c>
      <c r="S89" s="131"/>
    </row>
    <row r="90" spans="1:19">
      <c r="A90" s="131" t="s">
        <v>1245</v>
      </c>
      <c r="B90" s="131" t="s">
        <v>1246</v>
      </c>
      <c r="C90" s="131" t="s">
        <v>909</v>
      </c>
      <c r="D90" s="132">
        <v>0</v>
      </c>
      <c r="E90" s="131" t="s">
        <v>1247</v>
      </c>
      <c r="F90" s="131" t="s">
        <v>57</v>
      </c>
      <c r="G90" s="131" t="s">
        <v>918</v>
      </c>
      <c r="H90" s="131" t="s">
        <v>327</v>
      </c>
      <c r="I90" s="131" t="s">
        <v>382</v>
      </c>
      <c r="J90" s="131" t="s">
        <v>887</v>
      </c>
      <c r="K90" s="131" t="s">
        <v>921</v>
      </c>
      <c r="L90" s="131" t="s">
        <v>1243</v>
      </c>
      <c r="M90" s="131" t="s">
        <v>388</v>
      </c>
      <c r="N90" s="131"/>
      <c r="O90" s="131" t="s">
        <v>386</v>
      </c>
      <c r="P90" s="131" t="s">
        <v>979</v>
      </c>
      <c r="Q90" s="131" t="s">
        <v>996</v>
      </c>
      <c r="R90" s="131" t="s">
        <v>57</v>
      </c>
      <c r="S90" s="131"/>
    </row>
    <row r="91" spans="1:19">
      <c r="A91" s="131" t="s">
        <v>1248</v>
      </c>
      <c r="B91" s="131" t="s">
        <v>1249</v>
      </c>
      <c r="C91" s="131" t="s">
        <v>909</v>
      </c>
      <c r="D91" s="132">
        <v>0</v>
      </c>
      <c r="E91" s="131" t="s">
        <v>1250</v>
      </c>
      <c r="F91" s="131" t="s">
        <v>302</v>
      </c>
      <c r="G91" s="131" t="s">
        <v>1236</v>
      </c>
      <c r="H91" s="131" t="s">
        <v>342</v>
      </c>
      <c r="I91" s="131" t="s">
        <v>382</v>
      </c>
      <c r="J91" s="131" t="s">
        <v>887</v>
      </c>
      <c r="K91" s="131" t="s">
        <v>921</v>
      </c>
      <c r="L91" s="131" t="s">
        <v>1229</v>
      </c>
      <c r="M91" s="131" t="s">
        <v>389</v>
      </c>
      <c r="N91" s="131"/>
      <c r="O91" s="131" t="s">
        <v>386</v>
      </c>
      <c r="P91" s="131" t="s">
        <v>979</v>
      </c>
      <c r="Q91" s="131" t="s">
        <v>1251</v>
      </c>
      <c r="R91" s="131" t="s">
        <v>53</v>
      </c>
      <c r="S91" s="131"/>
    </row>
    <row r="92" spans="1:19">
      <c r="A92" s="131" t="s">
        <v>1252</v>
      </c>
      <c r="B92" s="131" t="s">
        <v>1253</v>
      </c>
      <c r="C92" s="131" t="s">
        <v>909</v>
      </c>
      <c r="D92" s="132">
        <v>0</v>
      </c>
      <c r="E92" s="131" t="s">
        <v>1254</v>
      </c>
      <c r="F92" s="131" t="s">
        <v>302</v>
      </c>
      <c r="G92" s="131" t="s">
        <v>910</v>
      </c>
      <c r="H92" s="131" t="s">
        <v>327</v>
      </c>
      <c r="I92" s="131" t="s">
        <v>382</v>
      </c>
      <c r="J92" s="131" t="s">
        <v>887</v>
      </c>
      <c r="K92" s="131" t="s">
        <v>921</v>
      </c>
      <c r="L92" s="131" t="s">
        <v>1229</v>
      </c>
      <c r="M92" s="131" t="s">
        <v>388</v>
      </c>
      <c r="N92" s="131" t="s">
        <v>43</v>
      </c>
      <c r="O92" s="131" t="s">
        <v>386</v>
      </c>
      <c r="P92" s="131" t="s">
        <v>979</v>
      </c>
      <c r="Q92" s="131" t="s">
        <v>1015</v>
      </c>
      <c r="R92" s="131" t="s">
        <v>53</v>
      </c>
      <c r="S92" s="131"/>
    </row>
    <row r="93" spans="1:19">
      <c r="A93" s="131" t="s">
        <v>1255</v>
      </c>
      <c r="B93" s="131" t="s">
        <v>1256</v>
      </c>
      <c r="C93" s="131" t="s">
        <v>909</v>
      </c>
      <c r="D93" s="132">
        <v>0</v>
      </c>
      <c r="E93" s="131" t="s">
        <v>1257</v>
      </c>
      <c r="F93" s="131" t="s">
        <v>78</v>
      </c>
      <c r="G93" s="131" t="s">
        <v>1236</v>
      </c>
      <c r="H93" s="131" t="s">
        <v>340</v>
      </c>
      <c r="I93" s="131" t="s">
        <v>382</v>
      </c>
      <c r="J93" s="131" t="s">
        <v>887</v>
      </c>
      <c r="K93" s="131" t="s">
        <v>921</v>
      </c>
      <c r="L93" s="131" t="s">
        <v>1229</v>
      </c>
      <c r="M93" s="131" t="s">
        <v>389</v>
      </c>
      <c r="N93" s="131"/>
      <c r="O93" s="131" t="s">
        <v>386</v>
      </c>
      <c r="P93" s="131" t="s">
        <v>979</v>
      </c>
      <c r="Q93" s="131" t="s">
        <v>1251</v>
      </c>
      <c r="R93" s="131" t="s">
        <v>78</v>
      </c>
      <c r="S93" s="131"/>
    </row>
    <row r="94" spans="1:19">
      <c r="A94" s="131" t="s">
        <v>1258</v>
      </c>
      <c r="B94" s="131" t="s">
        <v>1259</v>
      </c>
      <c r="C94" s="131" t="s">
        <v>909</v>
      </c>
      <c r="D94" s="132">
        <v>0</v>
      </c>
      <c r="E94" s="131" t="s">
        <v>1260</v>
      </c>
      <c r="F94" s="131" t="s">
        <v>83</v>
      </c>
      <c r="G94" s="131" t="s">
        <v>1236</v>
      </c>
      <c r="H94" s="131" t="s">
        <v>342</v>
      </c>
      <c r="I94" s="131" t="s">
        <v>382</v>
      </c>
      <c r="J94" s="131" t="s">
        <v>887</v>
      </c>
      <c r="K94" s="131" t="s">
        <v>921</v>
      </c>
      <c r="L94" s="131" t="s">
        <v>1229</v>
      </c>
      <c r="M94" s="131" t="s">
        <v>389</v>
      </c>
      <c r="N94" s="131"/>
      <c r="O94" s="131" t="s">
        <v>386</v>
      </c>
      <c r="P94" s="131" t="s">
        <v>979</v>
      </c>
      <c r="Q94" s="131" t="s">
        <v>1261</v>
      </c>
      <c r="R94" s="131" t="s">
        <v>83</v>
      </c>
      <c r="S94" s="131"/>
    </row>
    <row r="95" spans="1:19">
      <c r="A95" s="131" t="s">
        <v>1262</v>
      </c>
      <c r="B95" s="131" t="s">
        <v>1263</v>
      </c>
      <c r="C95" s="131" t="s">
        <v>909</v>
      </c>
      <c r="D95" s="132">
        <v>0</v>
      </c>
      <c r="E95" s="131" t="s">
        <v>1264</v>
      </c>
      <c r="F95" s="131" t="s">
        <v>78</v>
      </c>
      <c r="G95" s="131" t="s">
        <v>1265</v>
      </c>
      <c r="H95" s="131" t="s">
        <v>327</v>
      </c>
      <c r="I95" s="131" t="s">
        <v>382</v>
      </c>
      <c r="J95" s="131" t="s">
        <v>887</v>
      </c>
      <c r="K95" s="131" t="s">
        <v>921</v>
      </c>
      <c r="L95" s="131" t="s">
        <v>1229</v>
      </c>
      <c r="M95" s="131" t="s">
        <v>388</v>
      </c>
      <c r="N95" s="131" t="s">
        <v>43</v>
      </c>
      <c r="O95" s="131" t="s">
        <v>386</v>
      </c>
      <c r="P95" s="131" t="s">
        <v>979</v>
      </c>
      <c r="Q95" s="131" t="s">
        <v>1266</v>
      </c>
      <c r="R95" s="131" t="s">
        <v>78</v>
      </c>
      <c r="S95" s="131"/>
    </row>
    <row r="96" spans="1:19">
      <c r="A96" s="131" t="s">
        <v>1267</v>
      </c>
      <c r="B96" s="131" t="s">
        <v>1268</v>
      </c>
      <c r="C96" s="131" t="s">
        <v>909</v>
      </c>
      <c r="D96" s="132">
        <v>0</v>
      </c>
      <c r="E96" s="131" t="s">
        <v>1269</v>
      </c>
      <c r="F96" s="131" t="s">
        <v>53</v>
      </c>
      <c r="G96" s="131" t="s">
        <v>910</v>
      </c>
      <c r="H96" s="131" t="s">
        <v>356</v>
      </c>
      <c r="I96" s="131" t="s">
        <v>382</v>
      </c>
      <c r="J96" s="131" t="s">
        <v>887</v>
      </c>
      <c r="K96" s="131" t="s">
        <v>921</v>
      </c>
      <c r="L96" s="131" t="s">
        <v>1229</v>
      </c>
      <c r="M96" s="131" t="s">
        <v>388</v>
      </c>
      <c r="N96" s="131" t="s">
        <v>43</v>
      </c>
      <c r="O96" s="131" t="s">
        <v>386</v>
      </c>
      <c r="P96" s="131" t="s">
        <v>979</v>
      </c>
      <c r="Q96" s="131" t="s">
        <v>1008</v>
      </c>
      <c r="R96" s="131" t="s">
        <v>53</v>
      </c>
      <c r="S96" s="131"/>
    </row>
    <row r="97" spans="1:19">
      <c r="A97" s="131" t="s">
        <v>1270</v>
      </c>
      <c r="B97" s="131" t="s">
        <v>1271</v>
      </c>
      <c r="C97" s="131" t="s">
        <v>909</v>
      </c>
      <c r="D97" s="132">
        <v>0</v>
      </c>
      <c r="E97" s="131" t="s">
        <v>1272</v>
      </c>
      <c r="F97" s="131" t="s">
        <v>53</v>
      </c>
      <c r="G97" s="131" t="s">
        <v>918</v>
      </c>
      <c r="H97" s="131" t="s">
        <v>327</v>
      </c>
      <c r="I97" s="131" t="s">
        <v>382</v>
      </c>
      <c r="J97" s="131" t="s">
        <v>887</v>
      </c>
      <c r="K97" s="131" t="s">
        <v>921</v>
      </c>
      <c r="L97" s="131" t="s">
        <v>1229</v>
      </c>
      <c r="M97" s="131" t="s">
        <v>388</v>
      </c>
      <c r="N97" s="131"/>
      <c r="O97" s="131" t="s">
        <v>386</v>
      </c>
      <c r="P97" s="131" t="s">
        <v>979</v>
      </c>
      <c r="Q97" s="131" t="s">
        <v>1008</v>
      </c>
      <c r="R97" s="131" t="s">
        <v>53</v>
      </c>
      <c r="S97" s="131"/>
    </row>
    <row r="98" spans="1:19">
      <c r="A98" s="131" t="s">
        <v>1273</v>
      </c>
      <c r="B98" s="131" t="s">
        <v>1274</v>
      </c>
      <c r="C98" s="131" t="s">
        <v>909</v>
      </c>
      <c r="D98" s="132">
        <v>0</v>
      </c>
      <c r="E98" s="131" t="s">
        <v>1275</v>
      </c>
      <c r="F98" s="131" t="s">
        <v>78</v>
      </c>
      <c r="G98" s="131" t="s">
        <v>918</v>
      </c>
      <c r="H98" s="131" t="s">
        <v>327</v>
      </c>
      <c r="I98" s="131" t="s">
        <v>382</v>
      </c>
      <c r="J98" s="131" t="s">
        <v>887</v>
      </c>
      <c r="K98" s="131" t="s">
        <v>921</v>
      </c>
      <c r="L98" s="131" t="s">
        <v>1229</v>
      </c>
      <c r="M98" s="131" t="s">
        <v>388</v>
      </c>
      <c r="N98" s="131"/>
      <c r="O98" s="131" t="s">
        <v>386</v>
      </c>
      <c r="P98" s="131" t="s">
        <v>979</v>
      </c>
      <c r="Q98" s="131" t="s">
        <v>1266</v>
      </c>
      <c r="R98" s="131" t="s">
        <v>78</v>
      </c>
      <c r="S98" s="131"/>
    </row>
    <row r="99" spans="1:19">
      <c r="A99" s="131" t="s">
        <v>1276</v>
      </c>
      <c r="B99" s="131" t="s">
        <v>1277</v>
      </c>
      <c r="C99" s="131" t="s">
        <v>909</v>
      </c>
      <c r="D99" s="132">
        <v>0</v>
      </c>
      <c r="E99" s="131" t="s">
        <v>1278</v>
      </c>
      <c r="F99" s="131" t="s">
        <v>71</v>
      </c>
      <c r="G99" s="131" t="s">
        <v>910</v>
      </c>
      <c r="H99" s="131" t="s">
        <v>356</v>
      </c>
      <c r="I99" s="131" t="s">
        <v>382</v>
      </c>
      <c r="J99" s="131" t="s">
        <v>887</v>
      </c>
      <c r="K99" s="131" t="s">
        <v>921</v>
      </c>
      <c r="L99" s="131" t="s">
        <v>1279</v>
      </c>
      <c r="M99" s="131" t="s">
        <v>388</v>
      </c>
      <c r="N99" s="131" t="s">
        <v>43</v>
      </c>
      <c r="O99" s="131" t="s">
        <v>386</v>
      </c>
      <c r="P99" s="131" t="s">
        <v>979</v>
      </c>
      <c r="Q99" s="131" t="s">
        <v>1280</v>
      </c>
      <c r="R99" s="131" t="s">
        <v>71</v>
      </c>
      <c r="S99" s="131"/>
    </row>
    <row r="100" spans="1:19">
      <c r="A100" s="131" t="s">
        <v>1281</v>
      </c>
      <c r="B100" s="131" t="s">
        <v>1282</v>
      </c>
      <c r="C100" s="131" t="s">
        <v>909</v>
      </c>
      <c r="D100" s="132">
        <v>0</v>
      </c>
      <c r="E100" s="131" t="s">
        <v>1283</v>
      </c>
      <c r="F100" s="131" t="s">
        <v>71</v>
      </c>
      <c r="G100" s="131" t="s">
        <v>918</v>
      </c>
      <c r="H100" s="131" t="s">
        <v>327</v>
      </c>
      <c r="I100" s="131" t="s">
        <v>382</v>
      </c>
      <c r="J100" s="131" t="s">
        <v>887</v>
      </c>
      <c r="K100" s="131" t="s">
        <v>921</v>
      </c>
      <c r="L100" s="131" t="s">
        <v>1279</v>
      </c>
      <c r="M100" s="131" t="s">
        <v>388</v>
      </c>
      <c r="N100" s="131"/>
      <c r="O100" s="131" t="s">
        <v>386</v>
      </c>
      <c r="P100" s="131" t="s">
        <v>979</v>
      </c>
      <c r="Q100" s="131" t="s">
        <v>996</v>
      </c>
      <c r="R100" s="131" t="s">
        <v>71</v>
      </c>
      <c r="S100" s="131"/>
    </row>
    <row r="101" spans="1:19">
      <c r="A101" s="131" t="s">
        <v>1284</v>
      </c>
      <c r="B101" s="131" t="s">
        <v>1285</v>
      </c>
      <c r="C101" s="131" t="s">
        <v>909</v>
      </c>
      <c r="D101" s="132">
        <v>0</v>
      </c>
      <c r="E101" s="131" t="s">
        <v>1286</v>
      </c>
      <c r="F101" s="131" t="s">
        <v>71</v>
      </c>
      <c r="G101" s="131" t="s">
        <v>1236</v>
      </c>
      <c r="H101" s="131" t="s">
        <v>340</v>
      </c>
      <c r="I101" s="131" t="s">
        <v>382</v>
      </c>
      <c r="J101" s="131" t="s">
        <v>887</v>
      </c>
      <c r="K101" s="131" t="s">
        <v>921</v>
      </c>
      <c r="L101" s="131" t="s">
        <v>1279</v>
      </c>
      <c r="M101" s="131" t="s">
        <v>389</v>
      </c>
      <c r="N101" s="131"/>
      <c r="O101" s="131" t="s">
        <v>386</v>
      </c>
      <c r="P101" s="131" t="s">
        <v>979</v>
      </c>
      <c r="Q101" s="131" t="s">
        <v>1280</v>
      </c>
      <c r="R101" s="131" t="s">
        <v>71</v>
      </c>
      <c r="S101" s="131"/>
    </row>
    <row r="102" spans="1:19">
      <c r="A102" s="131" t="s">
        <v>1287</v>
      </c>
      <c r="B102" s="131" t="s">
        <v>1288</v>
      </c>
      <c r="C102" s="131" t="s">
        <v>909</v>
      </c>
      <c r="D102" s="132">
        <v>0</v>
      </c>
      <c r="E102" s="131" t="s">
        <v>1289</v>
      </c>
      <c r="F102" s="131" t="s">
        <v>71</v>
      </c>
      <c r="G102" s="131" t="s">
        <v>1236</v>
      </c>
      <c r="H102" s="131" t="s">
        <v>342</v>
      </c>
      <c r="I102" s="131" t="s">
        <v>382</v>
      </c>
      <c r="J102" s="131" t="s">
        <v>887</v>
      </c>
      <c r="K102" s="131" t="s">
        <v>921</v>
      </c>
      <c r="L102" s="131" t="s">
        <v>1279</v>
      </c>
      <c r="M102" s="131" t="s">
        <v>389</v>
      </c>
      <c r="N102" s="131"/>
      <c r="O102" s="131" t="s">
        <v>386</v>
      </c>
      <c r="P102" s="131" t="s">
        <v>979</v>
      </c>
      <c r="Q102" s="131" t="s">
        <v>1244</v>
      </c>
      <c r="R102" s="131" t="s">
        <v>71</v>
      </c>
      <c r="S102" s="131"/>
    </row>
    <row r="103" spans="1:19">
      <c r="A103" s="131" t="s">
        <v>1290</v>
      </c>
      <c r="B103" s="131" t="s">
        <v>1291</v>
      </c>
      <c r="C103" s="131" t="s">
        <v>909</v>
      </c>
      <c r="D103" s="132">
        <v>0</v>
      </c>
      <c r="E103" s="131" t="s">
        <v>1292</v>
      </c>
      <c r="F103" s="131" t="s">
        <v>60</v>
      </c>
      <c r="G103" s="131" t="s">
        <v>910</v>
      </c>
      <c r="H103" s="131" t="s">
        <v>327</v>
      </c>
      <c r="I103" s="131" t="s">
        <v>382</v>
      </c>
      <c r="J103" s="131" t="s">
        <v>887</v>
      </c>
      <c r="K103" s="131" t="s">
        <v>1293</v>
      </c>
      <c r="L103" s="131" t="s">
        <v>1294</v>
      </c>
      <c r="M103" s="131" t="s">
        <v>388</v>
      </c>
      <c r="N103" s="131" t="s">
        <v>43</v>
      </c>
      <c r="O103" s="131" t="s">
        <v>386</v>
      </c>
      <c r="P103" s="131" t="s">
        <v>979</v>
      </c>
      <c r="Q103" s="131" t="s">
        <v>1295</v>
      </c>
      <c r="R103" s="131" t="s">
        <v>60</v>
      </c>
      <c r="S103" s="131"/>
    </row>
    <row r="104" spans="1:19">
      <c r="A104" s="131" t="s">
        <v>1296</v>
      </c>
      <c r="B104" s="131" t="s">
        <v>1297</v>
      </c>
      <c r="C104" s="131" t="s">
        <v>909</v>
      </c>
      <c r="D104" s="132">
        <v>0</v>
      </c>
      <c r="E104" s="131" t="s">
        <v>1298</v>
      </c>
      <c r="F104" s="131" t="s">
        <v>71</v>
      </c>
      <c r="G104" s="131" t="s">
        <v>910</v>
      </c>
      <c r="H104" s="131" t="s">
        <v>356</v>
      </c>
      <c r="I104" s="131" t="s">
        <v>382</v>
      </c>
      <c r="J104" s="131" t="s">
        <v>887</v>
      </c>
      <c r="K104" s="131" t="s">
        <v>1299</v>
      </c>
      <c r="L104" s="131" t="s">
        <v>1300</v>
      </c>
      <c r="M104" s="131" t="s">
        <v>388</v>
      </c>
      <c r="N104" s="131" t="s">
        <v>43</v>
      </c>
      <c r="O104" s="131" t="s">
        <v>386</v>
      </c>
      <c r="P104" s="131" t="s">
        <v>979</v>
      </c>
      <c r="Q104" s="131" t="s">
        <v>1301</v>
      </c>
      <c r="R104" s="131" t="s">
        <v>71</v>
      </c>
      <c r="S104" s="131"/>
    </row>
    <row r="105" spans="1:19">
      <c r="A105" s="131" t="s">
        <v>1302</v>
      </c>
      <c r="B105" s="131" t="s">
        <v>1303</v>
      </c>
      <c r="C105" s="131" t="s">
        <v>909</v>
      </c>
      <c r="D105" s="132">
        <v>0</v>
      </c>
      <c r="E105" s="131" t="s">
        <v>1304</v>
      </c>
      <c r="F105" s="131" t="s">
        <v>86</v>
      </c>
      <c r="G105" s="131" t="s">
        <v>1236</v>
      </c>
      <c r="H105" s="131" t="s">
        <v>340</v>
      </c>
      <c r="I105" s="131" t="s">
        <v>382</v>
      </c>
      <c r="J105" s="131" t="s">
        <v>887</v>
      </c>
      <c r="K105" s="131" t="s">
        <v>911</v>
      </c>
      <c r="L105" s="131" t="s">
        <v>914</v>
      </c>
      <c r="M105" s="131" t="s">
        <v>389</v>
      </c>
      <c r="N105" s="131"/>
      <c r="O105" s="131" t="s">
        <v>386</v>
      </c>
      <c r="P105" s="131" t="s">
        <v>979</v>
      </c>
      <c r="Q105" s="131" t="s">
        <v>1095</v>
      </c>
      <c r="R105" s="131" t="s">
        <v>86</v>
      </c>
      <c r="S105" s="131"/>
    </row>
    <row r="106" spans="1:19">
      <c r="A106" s="131" t="s">
        <v>1305</v>
      </c>
      <c r="B106" s="131" t="s">
        <v>1306</v>
      </c>
      <c r="C106" s="131" t="s">
        <v>909</v>
      </c>
      <c r="D106" s="132">
        <v>0</v>
      </c>
      <c r="E106" s="131" t="s">
        <v>1307</v>
      </c>
      <c r="F106" s="131" t="s">
        <v>121</v>
      </c>
      <c r="G106" s="131" t="s">
        <v>1236</v>
      </c>
      <c r="H106" s="131" t="s">
        <v>340</v>
      </c>
      <c r="I106" s="131" t="s">
        <v>382</v>
      </c>
      <c r="J106" s="131" t="s">
        <v>887</v>
      </c>
      <c r="K106" s="131" t="s">
        <v>911</v>
      </c>
      <c r="L106" s="131" t="s">
        <v>914</v>
      </c>
      <c r="M106" s="131" t="s">
        <v>389</v>
      </c>
      <c r="N106" s="131"/>
      <c r="O106" s="131" t="s">
        <v>386</v>
      </c>
      <c r="P106" s="131" t="s">
        <v>979</v>
      </c>
      <c r="Q106" s="131" t="s">
        <v>1308</v>
      </c>
      <c r="R106" s="131" t="s">
        <v>121</v>
      </c>
      <c r="S106" s="131"/>
    </row>
    <row r="107" spans="1:19">
      <c r="A107" s="131" t="s">
        <v>1309</v>
      </c>
      <c r="B107" s="131" t="s">
        <v>1310</v>
      </c>
      <c r="C107" s="131" t="s">
        <v>909</v>
      </c>
      <c r="D107" s="132">
        <v>0</v>
      </c>
      <c r="E107" s="131" t="s">
        <v>1311</v>
      </c>
      <c r="F107" s="131" t="s">
        <v>53</v>
      </c>
      <c r="G107" s="131" t="s">
        <v>1236</v>
      </c>
      <c r="H107" s="131" t="s">
        <v>340</v>
      </c>
      <c r="I107" s="131" t="s">
        <v>382</v>
      </c>
      <c r="J107" s="131" t="s">
        <v>887</v>
      </c>
      <c r="K107" s="131" t="s">
        <v>911</v>
      </c>
      <c r="L107" s="131" t="s">
        <v>914</v>
      </c>
      <c r="M107" s="131" t="s">
        <v>389</v>
      </c>
      <c r="N107" s="131"/>
      <c r="O107" s="131" t="s">
        <v>386</v>
      </c>
      <c r="P107" s="131" t="s">
        <v>979</v>
      </c>
      <c r="Q107" s="131" t="s">
        <v>1312</v>
      </c>
      <c r="R107" s="131" t="s">
        <v>53</v>
      </c>
      <c r="S107" s="131"/>
    </row>
    <row r="108" spans="1:19">
      <c r="A108" s="131" t="s">
        <v>1313</v>
      </c>
      <c r="B108" s="131" t="s">
        <v>1314</v>
      </c>
      <c r="C108" s="131" t="s">
        <v>909</v>
      </c>
      <c r="D108" s="132">
        <v>0</v>
      </c>
      <c r="E108" s="131" t="s">
        <v>1315</v>
      </c>
      <c r="F108" s="131" t="s">
        <v>53</v>
      </c>
      <c r="G108" s="131" t="s">
        <v>1236</v>
      </c>
      <c r="H108" s="131" t="s">
        <v>340</v>
      </c>
      <c r="I108" s="131" t="s">
        <v>382</v>
      </c>
      <c r="J108" s="131" t="s">
        <v>887</v>
      </c>
      <c r="K108" s="131" t="s">
        <v>911</v>
      </c>
      <c r="L108" s="131" t="s">
        <v>914</v>
      </c>
      <c r="M108" s="131" t="s">
        <v>389</v>
      </c>
      <c r="N108" s="131"/>
      <c r="O108" s="131" t="s">
        <v>386</v>
      </c>
      <c r="P108" s="131" t="s">
        <v>979</v>
      </c>
      <c r="Q108" s="131" t="s">
        <v>1316</v>
      </c>
      <c r="R108" s="131" t="s">
        <v>53</v>
      </c>
      <c r="S108" s="131"/>
    </row>
    <row r="109" spans="1:19">
      <c r="A109" s="131" t="s">
        <v>1317</v>
      </c>
      <c r="B109" s="131" t="s">
        <v>1318</v>
      </c>
      <c r="C109" s="131" t="s">
        <v>909</v>
      </c>
      <c r="D109" s="132">
        <v>0</v>
      </c>
      <c r="E109" s="131" t="s">
        <v>1319</v>
      </c>
      <c r="F109" s="131" t="s">
        <v>205</v>
      </c>
      <c r="G109" s="131" t="s">
        <v>1236</v>
      </c>
      <c r="H109" s="131" t="s">
        <v>340</v>
      </c>
      <c r="I109" s="131" t="s">
        <v>382</v>
      </c>
      <c r="J109" s="131" t="s">
        <v>887</v>
      </c>
      <c r="K109" s="131" t="s">
        <v>911</v>
      </c>
      <c r="L109" s="131" t="s">
        <v>914</v>
      </c>
      <c r="M109" s="131" t="s">
        <v>389</v>
      </c>
      <c r="N109" s="131"/>
      <c r="O109" s="131" t="s">
        <v>386</v>
      </c>
      <c r="P109" s="131" t="s">
        <v>979</v>
      </c>
      <c r="Q109" s="131" t="s">
        <v>1220</v>
      </c>
      <c r="R109" s="131" t="s">
        <v>63</v>
      </c>
      <c r="S109" s="131"/>
    </row>
    <row r="110" spans="1:19">
      <c r="A110" s="131" t="s">
        <v>1320</v>
      </c>
      <c r="B110" s="131" t="s">
        <v>1321</v>
      </c>
      <c r="C110" s="131" t="s">
        <v>909</v>
      </c>
      <c r="D110" s="132">
        <v>0</v>
      </c>
      <c r="E110" s="133">
        <v>60141650</v>
      </c>
      <c r="F110" s="131" t="s">
        <v>195</v>
      </c>
      <c r="G110" s="131" t="s">
        <v>1236</v>
      </c>
      <c r="H110" s="131" t="s">
        <v>340</v>
      </c>
      <c r="I110" s="131" t="s">
        <v>382</v>
      </c>
      <c r="J110" s="131" t="s">
        <v>887</v>
      </c>
      <c r="K110" s="131"/>
      <c r="L110" s="131"/>
      <c r="M110" s="131" t="s">
        <v>389</v>
      </c>
      <c r="N110" s="131"/>
      <c r="O110" s="131" t="s">
        <v>386</v>
      </c>
      <c r="P110" s="131" t="s">
        <v>979</v>
      </c>
      <c r="Q110" s="131" t="s">
        <v>988</v>
      </c>
      <c r="R110" s="131" t="s">
        <v>195</v>
      </c>
      <c r="S110" s="131"/>
    </row>
    <row r="111" spans="1:19">
      <c r="A111" s="131" t="s">
        <v>1322</v>
      </c>
      <c r="B111" s="131" t="s">
        <v>1323</v>
      </c>
      <c r="C111" s="131" t="s">
        <v>909</v>
      </c>
      <c r="D111" s="132">
        <v>0</v>
      </c>
      <c r="E111" s="133">
        <v>60141649</v>
      </c>
      <c r="F111" s="131" t="s">
        <v>71</v>
      </c>
      <c r="G111" s="131" t="s">
        <v>1236</v>
      </c>
      <c r="H111" s="131" t="s">
        <v>340</v>
      </c>
      <c r="I111" s="131" t="s">
        <v>382</v>
      </c>
      <c r="J111" s="131" t="s">
        <v>887</v>
      </c>
      <c r="K111" s="131"/>
      <c r="L111" s="131"/>
      <c r="M111" s="131" t="s">
        <v>389</v>
      </c>
      <c r="N111" s="131"/>
      <c r="O111" s="131" t="s">
        <v>386</v>
      </c>
      <c r="P111" s="131" t="s">
        <v>979</v>
      </c>
      <c r="Q111" s="131" t="s">
        <v>1324</v>
      </c>
      <c r="R111" s="131" t="s">
        <v>71</v>
      </c>
      <c r="S111" s="131"/>
    </row>
    <row r="112" spans="1:19">
      <c r="A112" s="131" t="s">
        <v>1325</v>
      </c>
      <c r="B112" s="131" t="s">
        <v>1326</v>
      </c>
      <c r="C112" s="131" t="s">
        <v>909</v>
      </c>
      <c r="D112" s="132">
        <v>0</v>
      </c>
      <c r="E112" s="133">
        <v>60141613</v>
      </c>
      <c r="F112" s="131" t="s">
        <v>199</v>
      </c>
      <c r="G112" s="131" t="s">
        <v>1236</v>
      </c>
      <c r="H112" s="131" t="s">
        <v>340</v>
      </c>
      <c r="I112" s="131" t="s">
        <v>382</v>
      </c>
      <c r="J112" s="131" t="s">
        <v>887</v>
      </c>
      <c r="K112" s="131"/>
      <c r="L112" s="131"/>
      <c r="M112" s="131" t="s">
        <v>389</v>
      </c>
      <c r="N112" s="131"/>
      <c r="O112" s="131" t="s">
        <v>386</v>
      </c>
      <c r="P112" s="131" t="s">
        <v>979</v>
      </c>
      <c r="Q112" s="131" t="s">
        <v>1327</v>
      </c>
      <c r="R112" s="131" t="s">
        <v>199</v>
      </c>
      <c r="S112" s="131"/>
    </row>
    <row r="113" spans="1:19">
      <c r="A113" s="131" t="s">
        <v>1328</v>
      </c>
      <c r="B113" s="131" t="s">
        <v>1329</v>
      </c>
      <c r="C113" s="131" t="s">
        <v>909</v>
      </c>
      <c r="D113" s="132">
        <v>0</v>
      </c>
      <c r="E113" s="131" t="s">
        <v>1330</v>
      </c>
      <c r="F113" s="131" t="s">
        <v>83</v>
      </c>
      <c r="G113" s="131" t="s">
        <v>1236</v>
      </c>
      <c r="H113" s="131" t="s">
        <v>340</v>
      </c>
      <c r="I113" s="131" t="s">
        <v>382</v>
      </c>
      <c r="J113" s="131" t="s">
        <v>887</v>
      </c>
      <c r="K113" s="131" t="s">
        <v>1047</v>
      </c>
      <c r="L113" s="131" t="s">
        <v>1053</v>
      </c>
      <c r="M113" s="131" t="s">
        <v>389</v>
      </c>
      <c r="N113" s="131"/>
      <c r="O113" s="131" t="s">
        <v>386</v>
      </c>
      <c r="P113" s="131" t="s">
        <v>979</v>
      </c>
      <c r="Q113" s="131" t="s">
        <v>1090</v>
      </c>
      <c r="R113" s="131" t="s">
        <v>83</v>
      </c>
      <c r="S113" s="131"/>
    </row>
    <row r="114" spans="1:19">
      <c r="A114" s="131" t="s">
        <v>1331</v>
      </c>
      <c r="B114" s="131" t="s">
        <v>1332</v>
      </c>
      <c r="C114" s="131" t="s">
        <v>1158</v>
      </c>
      <c r="D114" s="133">
        <v>59</v>
      </c>
      <c r="E114" s="133">
        <v>60141477</v>
      </c>
      <c r="F114" s="131" t="s">
        <v>53</v>
      </c>
      <c r="G114" s="131" t="s">
        <v>910</v>
      </c>
      <c r="H114" s="131" t="s">
        <v>325</v>
      </c>
      <c r="I114" s="131" t="s">
        <v>382</v>
      </c>
      <c r="J114" s="131" t="s">
        <v>887</v>
      </c>
      <c r="K114" s="131"/>
      <c r="L114" s="131"/>
      <c r="M114" s="131" t="s">
        <v>388</v>
      </c>
      <c r="N114" s="131" t="s">
        <v>43</v>
      </c>
      <c r="O114" s="131" t="s">
        <v>386</v>
      </c>
      <c r="P114" s="131" t="s">
        <v>979</v>
      </c>
      <c r="Q114" s="131" t="s">
        <v>1008</v>
      </c>
      <c r="R114" s="131" t="s">
        <v>53</v>
      </c>
      <c r="S114" s="131"/>
    </row>
    <row r="115" spans="1:19">
      <c r="A115" s="131" t="s">
        <v>1333</v>
      </c>
      <c r="B115" s="131" t="s">
        <v>1332</v>
      </c>
      <c r="C115" s="131" t="s">
        <v>1160</v>
      </c>
      <c r="D115" s="133">
        <v>57</v>
      </c>
      <c r="E115" s="133">
        <v>60141477</v>
      </c>
      <c r="F115" s="131" t="s">
        <v>53</v>
      </c>
      <c r="G115" s="131" t="s">
        <v>910</v>
      </c>
      <c r="H115" s="131" t="s">
        <v>325</v>
      </c>
      <c r="I115" s="131" t="s">
        <v>382</v>
      </c>
      <c r="J115" s="131" t="s">
        <v>887</v>
      </c>
      <c r="K115" s="131"/>
      <c r="L115" s="131"/>
      <c r="M115" s="131" t="s">
        <v>388</v>
      </c>
      <c r="N115" s="131" t="s">
        <v>43</v>
      </c>
      <c r="O115" s="131" t="s">
        <v>386</v>
      </c>
      <c r="P115" s="131" t="s">
        <v>979</v>
      </c>
      <c r="Q115" s="131" t="s">
        <v>1008</v>
      </c>
      <c r="R115" s="131" t="s">
        <v>53</v>
      </c>
      <c r="S115" s="131"/>
    </row>
    <row r="116" spans="1:19">
      <c r="A116" s="131" t="s">
        <v>1334</v>
      </c>
      <c r="B116" s="131" t="s">
        <v>1332</v>
      </c>
      <c r="C116" s="131" t="s">
        <v>1167</v>
      </c>
      <c r="D116" s="133">
        <v>55</v>
      </c>
      <c r="E116" s="133">
        <v>60141477</v>
      </c>
      <c r="F116" s="131" t="s">
        <v>53</v>
      </c>
      <c r="G116" s="131" t="s">
        <v>910</v>
      </c>
      <c r="H116" s="131" t="s">
        <v>325</v>
      </c>
      <c r="I116" s="131" t="s">
        <v>382</v>
      </c>
      <c r="J116" s="131" t="s">
        <v>887</v>
      </c>
      <c r="K116" s="131"/>
      <c r="L116" s="131"/>
      <c r="M116" s="131" t="s">
        <v>388</v>
      </c>
      <c r="N116" s="131" t="s">
        <v>43</v>
      </c>
      <c r="O116" s="131" t="s">
        <v>386</v>
      </c>
      <c r="P116" s="131" t="s">
        <v>979</v>
      </c>
      <c r="Q116" s="131" t="s">
        <v>1008</v>
      </c>
      <c r="R116" s="131" t="s">
        <v>53</v>
      </c>
      <c r="S116" s="131"/>
    </row>
    <row r="117" spans="1:19">
      <c r="A117" s="131" t="s">
        <v>1335</v>
      </c>
      <c r="B117" s="131" t="s">
        <v>1336</v>
      </c>
      <c r="C117" s="131" t="s">
        <v>1025</v>
      </c>
      <c r="D117" s="133">
        <v>58</v>
      </c>
      <c r="E117" s="131" t="s">
        <v>1337</v>
      </c>
      <c r="F117" s="131" t="s">
        <v>78</v>
      </c>
      <c r="G117" s="131" t="s">
        <v>1338</v>
      </c>
      <c r="H117" s="131" t="s">
        <v>327</v>
      </c>
      <c r="I117" s="131" t="s">
        <v>382</v>
      </c>
      <c r="J117" s="131" t="s">
        <v>887</v>
      </c>
      <c r="K117" s="131" t="s">
        <v>1047</v>
      </c>
      <c r="L117" s="131" t="s">
        <v>1048</v>
      </c>
      <c r="M117" s="131" t="s">
        <v>388</v>
      </c>
      <c r="N117" s="131" t="s">
        <v>43</v>
      </c>
      <c r="O117" s="131" t="s">
        <v>386</v>
      </c>
      <c r="P117" s="131" t="s">
        <v>979</v>
      </c>
      <c r="Q117" s="131" t="s">
        <v>1145</v>
      </c>
      <c r="R117" s="131" t="s">
        <v>78</v>
      </c>
      <c r="S117" s="131"/>
    </row>
    <row r="118" spans="1:19">
      <c r="A118" s="131" t="s">
        <v>1339</v>
      </c>
      <c r="B118" s="131" t="s">
        <v>1336</v>
      </c>
      <c r="C118" s="131" t="s">
        <v>1029</v>
      </c>
      <c r="D118" s="133">
        <v>56</v>
      </c>
      <c r="E118" s="131" t="s">
        <v>1337</v>
      </c>
      <c r="F118" s="131" t="s">
        <v>78</v>
      </c>
      <c r="G118" s="131" t="s">
        <v>1338</v>
      </c>
      <c r="H118" s="131" t="s">
        <v>327</v>
      </c>
      <c r="I118" s="131" t="s">
        <v>382</v>
      </c>
      <c r="J118" s="131" t="s">
        <v>887</v>
      </c>
      <c r="K118" s="131" t="s">
        <v>1047</v>
      </c>
      <c r="L118" s="131" t="s">
        <v>1048</v>
      </c>
      <c r="M118" s="131" t="s">
        <v>388</v>
      </c>
      <c r="N118" s="131" t="s">
        <v>43</v>
      </c>
      <c r="O118" s="131" t="s">
        <v>386</v>
      </c>
      <c r="P118" s="131" t="s">
        <v>979</v>
      </c>
      <c r="Q118" s="131" t="s">
        <v>1145</v>
      </c>
      <c r="R118" s="131" t="s">
        <v>78</v>
      </c>
      <c r="S118" s="131"/>
    </row>
    <row r="119" spans="1:19">
      <c r="A119" s="131" t="s">
        <v>1340</v>
      </c>
      <c r="B119" s="131" t="s">
        <v>1341</v>
      </c>
      <c r="C119" s="131" t="s">
        <v>1025</v>
      </c>
      <c r="D119" s="133">
        <v>58</v>
      </c>
      <c r="E119" s="131" t="s">
        <v>1342</v>
      </c>
      <c r="F119" s="131" t="s">
        <v>286</v>
      </c>
      <c r="G119" s="131" t="s">
        <v>1338</v>
      </c>
      <c r="H119" s="131" t="s">
        <v>327</v>
      </c>
      <c r="I119" s="131" t="s">
        <v>382</v>
      </c>
      <c r="J119" s="131" t="s">
        <v>887</v>
      </c>
      <c r="K119" s="131" t="s">
        <v>1047</v>
      </c>
      <c r="L119" s="131" t="s">
        <v>1053</v>
      </c>
      <c r="M119" s="131" t="s">
        <v>388</v>
      </c>
      <c r="N119" s="131" t="s">
        <v>43</v>
      </c>
      <c r="O119" s="131" t="s">
        <v>386</v>
      </c>
      <c r="P119" s="131" t="s">
        <v>979</v>
      </c>
      <c r="Q119" s="131" t="s">
        <v>1343</v>
      </c>
      <c r="R119" s="131" t="s">
        <v>286</v>
      </c>
      <c r="S119" s="131"/>
    </row>
    <row r="120" spans="1:19">
      <c r="A120" s="131" t="s">
        <v>1344</v>
      </c>
      <c r="B120" s="131" t="s">
        <v>1341</v>
      </c>
      <c r="C120" s="131" t="s">
        <v>1029</v>
      </c>
      <c r="D120" s="133">
        <v>56</v>
      </c>
      <c r="E120" s="131" t="s">
        <v>1342</v>
      </c>
      <c r="F120" s="131" t="s">
        <v>286</v>
      </c>
      <c r="G120" s="131" t="s">
        <v>1338</v>
      </c>
      <c r="H120" s="131" t="s">
        <v>327</v>
      </c>
      <c r="I120" s="131" t="s">
        <v>382</v>
      </c>
      <c r="J120" s="131" t="s">
        <v>887</v>
      </c>
      <c r="K120" s="131" t="s">
        <v>1047</v>
      </c>
      <c r="L120" s="131" t="s">
        <v>1053</v>
      </c>
      <c r="M120" s="131" t="s">
        <v>388</v>
      </c>
      <c r="N120" s="131" t="s">
        <v>43</v>
      </c>
      <c r="O120" s="131" t="s">
        <v>386</v>
      </c>
      <c r="P120" s="131" t="s">
        <v>979</v>
      </c>
      <c r="Q120" s="131" t="s">
        <v>1343</v>
      </c>
      <c r="R120" s="131" t="s">
        <v>286</v>
      </c>
      <c r="S120" s="131"/>
    </row>
    <row r="121" spans="1:19">
      <c r="A121" s="131" t="s">
        <v>1345</v>
      </c>
      <c r="B121" s="131" t="s">
        <v>1346</v>
      </c>
      <c r="C121" s="131" t="s">
        <v>1347</v>
      </c>
      <c r="D121" s="133">
        <v>60</v>
      </c>
      <c r="E121" s="131" t="s">
        <v>1348</v>
      </c>
      <c r="F121" s="131" t="s">
        <v>53</v>
      </c>
      <c r="G121" s="131" t="s">
        <v>910</v>
      </c>
      <c r="H121" s="131" t="s">
        <v>783</v>
      </c>
      <c r="I121" s="131" t="s">
        <v>382</v>
      </c>
      <c r="J121" s="131" t="s">
        <v>887</v>
      </c>
      <c r="K121" s="131" t="s">
        <v>911</v>
      </c>
      <c r="L121" s="131" t="s">
        <v>914</v>
      </c>
      <c r="M121" s="131" t="s">
        <v>388</v>
      </c>
      <c r="N121" s="131" t="s">
        <v>43</v>
      </c>
      <c r="O121" s="131" t="s">
        <v>541</v>
      </c>
      <c r="P121" s="131" t="s">
        <v>979</v>
      </c>
      <c r="Q121" s="131" t="s">
        <v>1349</v>
      </c>
      <c r="R121" s="131" t="s">
        <v>53</v>
      </c>
      <c r="S121" s="131"/>
    </row>
    <row r="122" spans="1:19">
      <c r="A122" s="131" t="s">
        <v>1350</v>
      </c>
      <c r="B122" s="131" t="s">
        <v>1351</v>
      </c>
      <c r="C122" s="131" t="s">
        <v>1025</v>
      </c>
      <c r="D122" s="133">
        <v>58</v>
      </c>
      <c r="E122" s="131" t="s">
        <v>1352</v>
      </c>
      <c r="F122" s="131" t="s">
        <v>53</v>
      </c>
      <c r="G122" s="131" t="s">
        <v>1338</v>
      </c>
      <c r="H122" s="131" t="s">
        <v>327</v>
      </c>
      <c r="I122" s="131" t="s">
        <v>382</v>
      </c>
      <c r="J122" s="131" t="s">
        <v>887</v>
      </c>
      <c r="K122" s="131" t="s">
        <v>1111</v>
      </c>
      <c r="L122" s="131" t="s">
        <v>1112</v>
      </c>
      <c r="M122" s="131" t="s">
        <v>388</v>
      </c>
      <c r="N122" s="131" t="s">
        <v>43</v>
      </c>
      <c r="O122" s="131" t="s">
        <v>386</v>
      </c>
      <c r="P122" s="131" t="s">
        <v>979</v>
      </c>
      <c r="Q122" s="131" t="s">
        <v>1008</v>
      </c>
      <c r="R122" s="131" t="s">
        <v>53</v>
      </c>
      <c r="S122" s="131"/>
    </row>
    <row r="123" spans="1:19">
      <c r="A123" s="131" t="s">
        <v>1353</v>
      </c>
      <c r="B123" s="131" t="s">
        <v>1351</v>
      </c>
      <c r="C123" s="131" t="s">
        <v>1029</v>
      </c>
      <c r="D123" s="133">
        <v>56</v>
      </c>
      <c r="E123" s="131" t="s">
        <v>1352</v>
      </c>
      <c r="F123" s="131" t="s">
        <v>53</v>
      </c>
      <c r="G123" s="131" t="s">
        <v>1338</v>
      </c>
      <c r="H123" s="131" t="s">
        <v>327</v>
      </c>
      <c r="I123" s="131" t="s">
        <v>382</v>
      </c>
      <c r="J123" s="131" t="s">
        <v>887</v>
      </c>
      <c r="K123" s="131" t="s">
        <v>1111</v>
      </c>
      <c r="L123" s="131" t="s">
        <v>1112</v>
      </c>
      <c r="M123" s="131" t="s">
        <v>388</v>
      </c>
      <c r="N123" s="131" t="s">
        <v>43</v>
      </c>
      <c r="O123" s="131" t="s">
        <v>386</v>
      </c>
      <c r="P123" s="131" t="s">
        <v>979</v>
      </c>
      <c r="Q123" s="131" t="s">
        <v>1008</v>
      </c>
      <c r="R123" s="131" t="s">
        <v>53</v>
      </c>
      <c r="S123" s="131"/>
    </row>
    <row r="124" spans="1:19">
      <c r="A124" s="131" t="s">
        <v>1354</v>
      </c>
      <c r="B124" s="131" t="s">
        <v>1355</v>
      </c>
      <c r="C124" s="131" t="s">
        <v>1025</v>
      </c>
      <c r="D124" s="133">
        <v>58</v>
      </c>
      <c r="E124" s="131" t="s">
        <v>1356</v>
      </c>
      <c r="F124" s="131" t="s">
        <v>71</v>
      </c>
      <c r="G124" s="131" t="s">
        <v>910</v>
      </c>
      <c r="H124" s="131" t="s">
        <v>783</v>
      </c>
      <c r="I124" s="131" t="s">
        <v>382</v>
      </c>
      <c r="J124" s="131" t="s">
        <v>887</v>
      </c>
      <c r="K124" s="131" t="s">
        <v>911</v>
      </c>
      <c r="L124" s="131" t="s">
        <v>912</v>
      </c>
      <c r="M124" s="131" t="s">
        <v>388</v>
      </c>
      <c r="N124" s="131" t="s">
        <v>43</v>
      </c>
      <c r="O124" s="131" t="s">
        <v>541</v>
      </c>
      <c r="P124" s="131" t="s">
        <v>979</v>
      </c>
      <c r="Q124" s="131" t="s">
        <v>1357</v>
      </c>
      <c r="R124" s="131" t="s">
        <v>71</v>
      </c>
      <c r="S124" s="131"/>
    </row>
    <row r="125" spans="1:19">
      <c r="A125" s="131" t="s">
        <v>1358</v>
      </c>
      <c r="B125" s="131" t="s">
        <v>1355</v>
      </c>
      <c r="C125" s="131" t="s">
        <v>1029</v>
      </c>
      <c r="D125" s="133">
        <v>56</v>
      </c>
      <c r="E125" s="131" t="s">
        <v>1356</v>
      </c>
      <c r="F125" s="131" t="s">
        <v>71</v>
      </c>
      <c r="G125" s="131" t="s">
        <v>910</v>
      </c>
      <c r="H125" s="131" t="s">
        <v>783</v>
      </c>
      <c r="I125" s="131" t="s">
        <v>382</v>
      </c>
      <c r="J125" s="131" t="s">
        <v>887</v>
      </c>
      <c r="K125" s="131" t="s">
        <v>911</v>
      </c>
      <c r="L125" s="131" t="s">
        <v>912</v>
      </c>
      <c r="M125" s="131" t="s">
        <v>388</v>
      </c>
      <c r="N125" s="131" t="s">
        <v>43</v>
      </c>
      <c r="O125" s="131" t="s">
        <v>541</v>
      </c>
      <c r="P125" s="131" t="s">
        <v>979</v>
      </c>
      <c r="Q125" s="131" t="s">
        <v>1357</v>
      </c>
      <c r="R125" s="131" t="s">
        <v>71</v>
      </c>
      <c r="S125" s="131"/>
    </row>
    <row r="126" spans="1:19">
      <c r="A126" s="131" t="s">
        <v>1359</v>
      </c>
      <c r="B126" s="131" t="s">
        <v>1360</v>
      </c>
      <c r="C126" s="131" t="s">
        <v>909</v>
      </c>
      <c r="D126" s="132">
        <v>0</v>
      </c>
      <c r="E126" s="131" t="s">
        <v>1361</v>
      </c>
      <c r="F126" s="131" t="s">
        <v>83</v>
      </c>
      <c r="G126" s="131" t="s">
        <v>1236</v>
      </c>
      <c r="H126" s="131" t="s">
        <v>342</v>
      </c>
      <c r="I126" s="131" t="s">
        <v>382</v>
      </c>
      <c r="J126" s="131" t="s">
        <v>887</v>
      </c>
      <c r="K126" s="131" t="s">
        <v>1047</v>
      </c>
      <c r="L126" s="131" t="s">
        <v>1048</v>
      </c>
      <c r="M126" s="131" t="s">
        <v>389</v>
      </c>
      <c r="N126" s="131"/>
      <c r="O126" s="131" t="s">
        <v>386</v>
      </c>
      <c r="P126" s="131" t="s">
        <v>979</v>
      </c>
      <c r="Q126" s="131" t="s">
        <v>1362</v>
      </c>
      <c r="R126" s="131" t="s">
        <v>83</v>
      </c>
      <c r="S126" s="131"/>
    </row>
    <row r="127" spans="1:19">
      <c r="A127" s="131" t="s">
        <v>1363</v>
      </c>
      <c r="B127" s="131" t="s">
        <v>1364</v>
      </c>
      <c r="C127" s="131" t="s">
        <v>909</v>
      </c>
      <c r="D127" s="132">
        <v>0</v>
      </c>
      <c r="E127" s="131" t="s">
        <v>1365</v>
      </c>
      <c r="F127" s="131" t="s">
        <v>277</v>
      </c>
      <c r="G127" s="131" t="s">
        <v>1236</v>
      </c>
      <c r="H127" s="131" t="s">
        <v>342</v>
      </c>
      <c r="I127" s="131" t="s">
        <v>382</v>
      </c>
      <c r="J127" s="131" t="s">
        <v>887</v>
      </c>
      <c r="K127" s="131" t="s">
        <v>1047</v>
      </c>
      <c r="L127" s="131" t="s">
        <v>1366</v>
      </c>
      <c r="M127" s="131" t="s">
        <v>389</v>
      </c>
      <c r="N127" s="131"/>
      <c r="O127" s="131" t="s">
        <v>386</v>
      </c>
      <c r="P127" s="131" t="s">
        <v>979</v>
      </c>
      <c r="Q127" s="131" t="s">
        <v>1362</v>
      </c>
      <c r="R127" s="131" t="s">
        <v>83</v>
      </c>
      <c r="S127" s="131"/>
    </row>
    <row r="128" spans="1:19">
      <c r="A128" s="131" t="s">
        <v>1367</v>
      </c>
      <c r="B128" s="131" t="s">
        <v>1368</v>
      </c>
      <c r="C128" s="131" t="s">
        <v>909</v>
      </c>
      <c r="D128" s="132">
        <v>0</v>
      </c>
      <c r="E128" s="131" t="s">
        <v>1369</v>
      </c>
      <c r="F128" s="131" t="s">
        <v>83</v>
      </c>
      <c r="G128" s="131" t="s">
        <v>1236</v>
      </c>
      <c r="H128" s="131" t="s">
        <v>342</v>
      </c>
      <c r="I128" s="131" t="s">
        <v>382</v>
      </c>
      <c r="J128" s="131" t="s">
        <v>887</v>
      </c>
      <c r="K128" s="131" t="s">
        <v>1047</v>
      </c>
      <c r="L128" s="131" t="s">
        <v>1370</v>
      </c>
      <c r="M128" s="131" t="s">
        <v>389</v>
      </c>
      <c r="N128" s="131"/>
      <c r="O128" s="131" t="s">
        <v>386</v>
      </c>
      <c r="P128" s="131" t="s">
        <v>979</v>
      </c>
      <c r="Q128" s="131" t="s">
        <v>1362</v>
      </c>
      <c r="R128" s="131" t="s">
        <v>83</v>
      </c>
      <c r="S128" s="131"/>
    </row>
    <row r="129" spans="1:19">
      <c r="A129" s="131" t="s">
        <v>1371</v>
      </c>
      <c r="B129" s="131" t="s">
        <v>1372</v>
      </c>
      <c r="C129" s="131" t="s">
        <v>909</v>
      </c>
      <c r="D129" s="132">
        <v>0</v>
      </c>
      <c r="E129" s="131" t="s">
        <v>1373</v>
      </c>
      <c r="F129" s="131" t="s">
        <v>53</v>
      </c>
      <c r="G129" s="131" t="s">
        <v>1236</v>
      </c>
      <c r="H129" s="131" t="s">
        <v>342</v>
      </c>
      <c r="I129" s="131" t="s">
        <v>382</v>
      </c>
      <c r="J129" s="131" t="s">
        <v>887</v>
      </c>
      <c r="K129" s="131" t="s">
        <v>1047</v>
      </c>
      <c r="L129" s="131" t="s">
        <v>1374</v>
      </c>
      <c r="M129" s="131" t="s">
        <v>389</v>
      </c>
      <c r="N129" s="131"/>
      <c r="O129" s="131" t="s">
        <v>386</v>
      </c>
      <c r="P129" s="131" t="s">
        <v>979</v>
      </c>
      <c r="Q129" s="131" t="s">
        <v>1362</v>
      </c>
      <c r="R129" s="131" t="s">
        <v>53</v>
      </c>
      <c r="S129" s="131"/>
    </row>
    <row r="130" spans="1:19">
      <c r="A130" s="131" t="s">
        <v>1375</v>
      </c>
      <c r="B130" s="131" t="s">
        <v>1376</v>
      </c>
      <c r="C130" s="131" t="s">
        <v>909</v>
      </c>
      <c r="D130" s="132">
        <v>0</v>
      </c>
      <c r="E130" s="133">
        <v>12881461</v>
      </c>
      <c r="F130" s="131" t="s">
        <v>53</v>
      </c>
      <c r="G130" s="131" t="s">
        <v>918</v>
      </c>
      <c r="H130" s="131" t="s">
        <v>327</v>
      </c>
      <c r="I130" s="131" t="s">
        <v>382</v>
      </c>
      <c r="J130" s="131" t="s">
        <v>887</v>
      </c>
      <c r="K130" s="131"/>
      <c r="L130" s="131"/>
      <c r="M130" s="131" t="s">
        <v>388</v>
      </c>
      <c r="N130" s="131"/>
      <c r="O130" s="131" t="s">
        <v>386</v>
      </c>
      <c r="P130" s="131" t="s">
        <v>979</v>
      </c>
      <c r="Q130" s="131" t="s">
        <v>1008</v>
      </c>
      <c r="R130" s="131" t="s">
        <v>53</v>
      </c>
      <c r="S130" s="131"/>
    </row>
    <row r="131" spans="1:19">
      <c r="A131" s="131" t="s">
        <v>1377</v>
      </c>
      <c r="B131" s="131" t="s">
        <v>1378</v>
      </c>
      <c r="C131" s="131" t="s">
        <v>909</v>
      </c>
      <c r="D131" s="132">
        <v>0</v>
      </c>
      <c r="E131" s="133">
        <v>12573358</v>
      </c>
      <c r="F131" s="131" t="s">
        <v>57</v>
      </c>
      <c r="G131" s="131" t="s">
        <v>910</v>
      </c>
      <c r="H131" s="131" t="s">
        <v>356</v>
      </c>
      <c r="I131" s="131" t="s">
        <v>382</v>
      </c>
      <c r="J131" s="131" t="s">
        <v>887</v>
      </c>
      <c r="K131" s="131"/>
      <c r="L131" s="131"/>
      <c r="M131" s="131" t="s">
        <v>388</v>
      </c>
      <c r="N131" s="131" t="s">
        <v>43</v>
      </c>
      <c r="O131" s="131" t="s">
        <v>386</v>
      </c>
      <c r="P131" s="131" t="s">
        <v>979</v>
      </c>
      <c r="Q131" s="131" t="s">
        <v>996</v>
      </c>
      <c r="R131" s="131" t="s">
        <v>57</v>
      </c>
      <c r="S131" s="131"/>
    </row>
    <row r="132" spans="1:19">
      <c r="A132" s="131" t="s">
        <v>1379</v>
      </c>
      <c r="B132" s="131" t="s">
        <v>1380</v>
      </c>
      <c r="C132" s="131" t="s">
        <v>1347</v>
      </c>
      <c r="D132" s="133">
        <v>60</v>
      </c>
      <c r="E132" s="131" t="s">
        <v>1381</v>
      </c>
      <c r="F132" s="131" t="s">
        <v>121</v>
      </c>
      <c r="G132" s="131" t="s">
        <v>918</v>
      </c>
      <c r="H132" s="131" t="s">
        <v>327</v>
      </c>
      <c r="I132" s="131" t="s">
        <v>382</v>
      </c>
      <c r="J132" s="131" t="s">
        <v>887</v>
      </c>
      <c r="K132" s="131" t="s">
        <v>911</v>
      </c>
      <c r="L132" s="131" t="s">
        <v>914</v>
      </c>
      <c r="M132" s="131" t="s">
        <v>388</v>
      </c>
      <c r="N132" s="131"/>
      <c r="O132" s="131" t="s">
        <v>541</v>
      </c>
      <c r="P132" s="131" t="s">
        <v>979</v>
      </c>
      <c r="Q132" s="131" t="s">
        <v>1382</v>
      </c>
      <c r="R132" s="131" t="s">
        <v>121</v>
      </c>
      <c r="S132" s="131"/>
    </row>
    <row r="133" spans="1:19">
      <c r="A133" s="131" t="s">
        <v>1383</v>
      </c>
      <c r="B133" s="131" t="s">
        <v>1384</v>
      </c>
      <c r="C133" s="131" t="s">
        <v>909</v>
      </c>
      <c r="D133" s="132">
        <v>0</v>
      </c>
      <c r="E133" s="131" t="s">
        <v>1385</v>
      </c>
      <c r="F133" s="131" t="s">
        <v>83</v>
      </c>
      <c r="G133" s="131" t="s">
        <v>910</v>
      </c>
      <c r="H133" s="131" t="s">
        <v>327</v>
      </c>
      <c r="I133" s="131" t="s">
        <v>382</v>
      </c>
      <c r="J133" s="131" t="s">
        <v>887</v>
      </c>
      <c r="K133" s="131" t="s">
        <v>911</v>
      </c>
      <c r="L133" s="131" t="s">
        <v>914</v>
      </c>
      <c r="M133" s="131" t="s">
        <v>388</v>
      </c>
      <c r="N133" s="131" t="s">
        <v>43</v>
      </c>
      <c r="O133" s="131" t="s">
        <v>386</v>
      </c>
      <c r="P133" s="131" t="s">
        <v>979</v>
      </c>
      <c r="Q133" s="131" t="s">
        <v>1386</v>
      </c>
      <c r="R133" s="131" t="s">
        <v>83</v>
      </c>
      <c r="S133" s="131"/>
    </row>
    <row r="134" spans="1:19">
      <c r="A134" s="131" t="s">
        <v>1387</v>
      </c>
      <c r="B134" s="131" t="s">
        <v>1388</v>
      </c>
      <c r="C134" s="131" t="s">
        <v>909</v>
      </c>
      <c r="D134" s="132">
        <v>0</v>
      </c>
      <c r="E134" s="133">
        <v>12505780</v>
      </c>
      <c r="F134" s="131" t="s">
        <v>65</v>
      </c>
      <c r="G134" s="131" t="s">
        <v>1236</v>
      </c>
      <c r="H134" s="131" t="s">
        <v>340</v>
      </c>
      <c r="I134" s="131" t="s">
        <v>382</v>
      </c>
      <c r="J134" s="131" t="s">
        <v>887</v>
      </c>
      <c r="K134" s="131"/>
      <c r="L134" s="131"/>
      <c r="M134" s="131" t="s">
        <v>389</v>
      </c>
      <c r="N134" s="131"/>
      <c r="O134" s="131" t="s">
        <v>386</v>
      </c>
      <c r="P134" s="131" t="s">
        <v>979</v>
      </c>
      <c r="Q134" s="131" t="s">
        <v>1389</v>
      </c>
      <c r="R134" s="131" t="s">
        <v>65</v>
      </c>
      <c r="S134" s="131"/>
    </row>
    <row r="135" spans="1:19">
      <c r="A135" s="131" t="s">
        <v>1390</v>
      </c>
      <c r="B135" s="131" t="s">
        <v>1391</v>
      </c>
      <c r="C135" s="131" t="s">
        <v>909</v>
      </c>
      <c r="D135" s="132">
        <v>0</v>
      </c>
      <c r="E135" s="133">
        <v>12505779</v>
      </c>
      <c r="F135" s="131" t="s">
        <v>53</v>
      </c>
      <c r="G135" s="131" t="s">
        <v>1236</v>
      </c>
      <c r="H135" s="131" t="s">
        <v>340</v>
      </c>
      <c r="I135" s="131" t="s">
        <v>382</v>
      </c>
      <c r="J135" s="131" t="s">
        <v>887</v>
      </c>
      <c r="K135" s="131"/>
      <c r="L135" s="131"/>
      <c r="M135" s="131" t="s">
        <v>389</v>
      </c>
      <c r="N135" s="131"/>
      <c r="O135" s="131" t="s">
        <v>386</v>
      </c>
      <c r="P135" s="131" t="s">
        <v>979</v>
      </c>
      <c r="Q135" s="131" t="s">
        <v>1008</v>
      </c>
      <c r="R135" s="131" t="s">
        <v>53</v>
      </c>
      <c r="S135" s="131"/>
    </row>
    <row r="136" spans="1:19">
      <c r="A136" s="131" t="s">
        <v>1392</v>
      </c>
      <c r="B136" s="131" t="s">
        <v>1393</v>
      </c>
      <c r="C136" s="131" t="s">
        <v>909</v>
      </c>
      <c r="D136" s="132">
        <v>0</v>
      </c>
      <c r="E136" s="133">
        <v>12505772</v>
      </c>
      <c r="F136" s="131" t="s">
        <v>121</v>
      </c>
      <c r="G136" s="131" t="s">
        <v>1394</v>
      </c>
      <c r="H136" s="131" t="s">
        <v>340</v>
      </c>
      <c r="I136" s="131" t="s">
        <v>382</v>
      </c>
      <c r="J136" s="131" t="s">
        <v>887</v>
      </c>
      <c r="K136" s="131"/>
      <c r="L136" s="131"/>
      <c r="M136" s="131" t="s">
        <v>389</v>
      </c>
      <c r="N136" s="131"/>
      <c r="O136" s="131" t="s">
        <v>386</v>
      </c>
      <c r="P136" s="131" t="s">
        <v>979</v>
      </c>
      <c r="Q136" s="131" t="s">
        <v>1308</v>
      </c>
      <c r="R136" s="131" t="s">
        <v>121</v>
      </c>
      <c r="S136" s="131"/>
    </row>
    <row r="137" spans="1:19">
      <c r="A137" s="131" t="s">
        <v>1395</v>
      </c>
      <c r="B137" s="131" t="s">
        <v>1396</v>
      </c>
      <c r="C137" s="131" t="s">
        <v>909</v>
      </c>
      <c r="D137" s="132">
        <v>0</v>
      </c>
      <c r="E137" s="133">
        <v>12505771</v>
      </c>
      <c r="F137" s="131" t="s">
        <v>195</v>
      </c>
      <c r="G137" s="131" t="s">
        <v>1394</v>
      </c>
      <c r="H137" s="131" t="s">
        <v>340</v>
      </c>
      <c r="I137" s="131" t="s">
        <v>382</v>
      </c>
      <c r="J137" s="131" t="s">
        <v>887</v>
      </c>
      <c r="K137" s="131"/>
      <c r="L137" s="131"/>
      <c r="M137" s="131" t="s">
        <v>389</v>
      </c>
      <c r="N137" s="131"/>
      <c r="O137" s="131" t="s">
        <v>386</v>
      </c>
      <c r="P137" s="131" t="s">
        <v>979</v>
      </c>
      <c r="Q137" s="131" t="s">
        <v>988</v>
      </c>
      <c r="R137" s="131" t="s">
        <v>195</v>
      </c>
      <c r="S137" s="131"/>
    </row>
    <row r="138" spans="1:19">
      <c r="A138" s="131" t="s">
        <v>1397</v>
      </c>
      <c r="B138" s="131" t="s">
        <v>1398</v>
      </c>
      <c r="C138" s="131" t="s">
        <v>909</v>
      </c>
      <c r="D138" s="132">
        <v>0</v>
      </c>
      <c r="E138" s="131" t="s">
        <v>1399</v>
      </c>
      <c r="F138" s="131" t="s">
        <v>252</v>
      </c>
      <c r="G138" s="131" t="s">
        <v>1236</v>
      </c>
      <c r="H138" s="131" t="s">
        <v>340</v>
      </c>
      <c r="I138" s="131" t="s">
        <v>382</v>
      </c>
      <c r="J138" s="131" t="s">
        <v>887</v>
      </c>
      <c r="K138" s="131" t="s">
        <v>911</v>
      </c>
      <c r="L138" s="131" t="s">
        <v>915</v>
      </c>
      <c r="M138" s="131" t="s">
        <v>389</v>
      </c>
      <c r="N138" s="131"/>
      <c r="O138" s="131" t="s">
        <v>386</v>
      </c>
      <c r="P138" s="131" t="s">
        <v>979</v>
      </c>
      <c r="Q138" s="131" t="s">
        <v>1349</v>
      </c>
      <c r="R138" s="131" t="s">
        <v>71</v>
      </c>
      <c r="S138" s="131"/>
    </row>
    <row r="139" spans="1:19">
      <c r="A139" s="131" t="s">
        <v>1400</v>
      </c>
      <c r="B139" s="131" t="s">
        <v>1401</v>
      </c>
      <c r="C139" s="131" t="s">
        <v>909</v>
      </c>
      <c r="D139" s="132">
        <v>0</v>
      </c>
      <c r="E139" s="131" t="s">
        <v>1402</v>
      </c>
      <c r="F139" s="131" t="s">
        <v>121</v>
      </c>
      <c r="G139" s="131" t="s">
        <v>1236</v>
      </c>
      <c r="H139" s="131" t="s">
        <v>340</v>
      </c>
      <c r="I139" s="131" t="s">
        <v>382</v>
      </c>
      <c r="J139" s="131" t="s">
        <v>887</v>
      </c>
      <c r="K139" s="131" t="s">
        <v>911</v>
      </c>
      <c r="L139" s="131" t="s">
        <v>912</v>
      </c>
      <c r="M139" s="131" t="s">
        <v>389</v>
      </c>
      <c r="N139" s="131"/>
      <c r="O139" s="131" t="s">
        <v>386</v>
      </c>
      <c r="P139" s="131" t="s">
        <v>979</v>
      </c>
      <c r="Q139" s="131" t="s">
        <v>1308</v>
      </c>
      <c r="R139" s="131" t="s">
        <v>121</v>
      </c>
      <c r="S139" s="131"/>
    </row>
    <row r="140" spans="1:19">
      <c r="A140" s="131" t="s">
        <v>1403</v>
      </c>
      <c r="B140" s="131" t="s">
        <v>1404</v>
      </c>
      <c r="C140" s="131" t="s">
        <v>909</v>
      </c>
      <c r="D140" s="132">
        <v>0</v>
      </c>
      <c r="E140" s="131" t="s">
        <v>1405</v>
      </c>
      <c r="F140" s="131" t="s">
        <v>53</v>
      </c>
      <c r="G140" s="131" t="s">
        <v>1236</v>
      </c>
      <c r="H140" s="131" t="s">
        <v>340</v>
      </c>
      <c r="I140" s="131" t="s">
        <v>382</v>
      </c>
      <c r="J140" s="131" t="s">
        <v>887</v>
      </c>
      <c r="K140" s="131" t="s">
        <v>911</v>
      </c>
      <c r="L140" s="131" t="s">
        <v>914</v>
      </c>
      <c r="M140" s="131" t="s">
        <v>389</v>
      </c>
      <c r="N140" s="131"/>
      <c r="O140" s="131" t="s">
        <v>386</v>
      </c>
      <c r="P140" s="131" t="s">
        <v>979</v>
      </c>
      <c r="Q140" s="131" t="s">
        <v>1008</v>
      </c>
      <c r="R140" s="131" t="s">
        <v>53</v>
      </c>
      <c r="S140" s="131"/>
    </row>
    <row r="141" spans="1:19">
      <c r="A141" s="131" t="s">
        <v>1406</v>
      </c>
      <c r="B141" s="131" t="s">
        <v>1407</v>
      </c>
      <c r="C141" s="131" t="s">
        <v>909</v>
      </c>
      <c r="D141" s="132">
        <v>0</v>
      </c>
      <c r="E141" s="131" t="s">
        <v>1408</v>
      </c>
      <c r="F141" s="131" t="s">
        <v>71</v>
      </c>
      <c r="G141" s="131" t="s">
        <v>1236</v>
      </c>
      <c r="H141" s="131" t="s">
        <v>340</v>
      </c>
      <c r="I141" s="131" t="s">
        <v>382</v>
      </c>
      <c r="J141" s="131" t="s">
        <v>887</v>
      </c>
      <c r="K141" s="131" t="s">
        <v>911</v>
      </c>
      <c r="L141" s="131" t="s">
        <v>914</v>
      </c>
      <c r="M141" s="131" t="s">
        <v>389</v>
      </c>
      <c r="N141" s="131"/>
      <c r="O141" s="131" t="s">
        <v>386</v>
      </c>
      <c r="P141" s="131" t="s">
        <v>979</v>
      </c>
      <c r="Q141" s="131" t="s">
        <v>1015</v>
      </c>
      <c r="R141" s="131" t="s">
        <v>71</v>
      </c>
      <c r="S141" s="131"/>
    </row>
    <row r="142" spans="1:19">
      <c r="A142" s="131" t="s">
        <v>1409</v>
      </c>
      <c r="B142" s="131" t="s">
        <v>1410</v>
      </c>
      <c r="C142" s="131" t="s">
        <v>909</v>
      </c>
      <c r="D142" s="132">
        <v>0</v>
      </c>
      <c r="E142" s="131" t="s">
        <v>1411</v>
      </c>
      <c r="F142" s="131" t="s">
        <v>71</v>
      </c>
      <c r="G142" s="131" t="s">
        <v>1236</v>
      </c>
      <c r="H142" s="131" t="s">
        <v>340</v>
      </c>
      <c r="I142" s="131" t="s">
        <v>382</v>
      </c>
      <c r="J142" s="131" t="s">
        <v>887</v>
      </c>
      <c r="K142" s="131" t="s">
        <v>911</v>
      </c>
      <c r="L142" s="131" t="s">
        <v>916</v>
      </c>
      <c r="M142" s="131" t="s">
        <v>389</v>
      </c>
      <c r="N142" s="131"/>
      <c r="O142" s="131" t="s">
        <v>386</v>
      </c>
      <c r="P142" s="131" t="s">
        <v>979</v>
      </c>
      <c r="Q142" s="131" t="s">
        <v>1015</v>
      </c>
      <c r="R142" s="131" t="s">
        <v>71</v>
      </c>
      <c r="S142" s="131"/>
    </row>
    <row r="143" spans="1:19">
      <c r="A143" s="131" t="s">
        <v>1412</v>
      </c>
      <c r="B143" s="131" t="s">
        <v>1413</v>
      </c>
      <c r="C143" s="131" t="s">
        <v>909</v>
      </c>
      <c r="D143" s="132">
        <v>0</v>
      </c>
      <c r="E143" s="133">
        <v>12489441</v>
      </c>
      <c r="F143" s="131" t="s">
        <v>68</v>
      </c>
      <c r="G143" s="131" t="s">
        <v>1236</v>
      </c>
      <c r="H143" s="131" t="s">
        <v>340</v>
      </c>
      <c r="I143" s="131" t="s">
        <v>382</v>
      </c>
      <c r="J143" s="131" t="s">
        <v>887</v>
      </c>
      <c r="K143" s="131"/>
      <c r="L143" s="131"/>
      <c r="M143" s="131" t="s">
        <v>389</v>
      </c>
      <c r="N143" s="131"/>
      <c r="O143" s="131" t="s">
        <v>386</v>
      </c>
      <c r="P143" s="131" t="s">
        <v>979</v>
      </c>
      <c r="Q143" s="131" t="s">
        <v>992</v>
      </c>
      <c r="R143" s="131" t="s">
        <v>68</v>
      </c>
      <c r="S143" s="131"/>
    </row>
    <row r="144" spans="1:19">
      <c r="A144" s="131" t="s">
        <v>1414</v>
      </c>
      <c r="B144" s="131" t="s">
        <v>1415</v>
      </c>
      <c r="C144" s="131" t="s">
        <v>909</v>
      </c>
      <c r="D144" s="132">
        <v>0</v>
      </c>
      <c r="E144" s="133">
        <v>12489435</v>
      </c>
      <c r="F144" s="131" t="s">
        <v>121</v>
      </c>
      <c r="G144" s="131" t="s">
        <v>1236</v>
      </c>
      <c r="H144" s="131" t="s">
        <v>340</v>
      </c>
      <c r="I144" s="131" t="s">
        <v>382</v>
      </c>
      <c r="J144" s="131" t="s">
        <v>887</v>
      </c>
      <c r="K144" s="131"/>
      <c r="L144" s="131"/>
      <c r="M144" s="131" t="s">
        <v>389</v>
      </c>
      <c r="N144" s="131"/>
      <c r="O144" s="131" t="s">
        <v>386</v>
      </c>
      <c r="P144" s="131" t="s">
        <v>979</v>
      </c>
      <c r="Q144" s="131" t="s">
        <v>1416</v>
      </c>
      <c r="R144" s="131" t="s">
        <v>121</v>
      </c>
      <c r="S144" s="131"/>
    </row>
    <row r="145" spans="1:19">
      <c r="A145" s="131" t="s">
        <v>1417</v>
      </c>
      <c r="B145" s="131" t="s">
        <v>1418</v>
      </c>
      <c r="C145" s="131" t="s">
        <v>909</v>
      </c>
      <c r="D145" s="132">
        <v>0</v>
      </c>
      <c r="E145" s="133">
        <v>12489434</v>
      </c>
      <c r="F145" s="131" t="s">
        <v>277</v>
      </c>
      <c r="G145" s="131" t="s">
        <v>1236</v>
      </c>
      <c r="H145" s="131" t="s">
        <v>340</v>
      </c>
      <c r="I145" s="131" t="s">
        <v>382</v>
      </c>
      <c r="J145" s="131" t="s">
        <v>887</v>
      </c>
      <c r="K145" s="131"/>
      <c r="L145" s="131"/>
      <c r="M145" s="131" t="s">
        <v>389</v>
      </c>
      <c r="N145" s="131"/>
      <c r="O145" s="131" t="s">
        <v>386</v>
      </c>
      <c r="P145" s="131" t="s">
        <v>979</v>
      </c>
      <c r="Q145" s="131" t="s">
        <v>1419</v>
      </c>
      <c r="R145" s="131" t="s">
        <v>83</v>
      </c>
      <c r="S145" s="131"/>
    </row>
    <row r="146" spans="1:19">
      <c r="A146" s="131" t="s">
        <v>1420</v>
      </c>
      <c r="B146" s="131" t="s">
        <v>1421</v>
      </c>
      <c r="C146" s="131" t="s">
        <v>909</v>
      </c>
      <c r="D146" s="132">
        <v>0</v>
      </c>
      <c r="E146" s="133">
        <v>12309046</v>
      </c>
      <c r="F146" s="131" t="s">
        <v>158</v>
      </c>
      <c r="G146" s="131" t="s">
        <v>910</v>
      </c>
      <c r="H146" s="131" t="s">
        <v>356</v>
      </c>
      <c r="I146" s="131" t="s">
        <v>382</v>
      </c>
      <c r="J146" s="131" t="s">
        <v>887</v>
      </c>
      <c r="K146" s="131"/>
      <c r="L146" s="131"/>
      <c r="M146" s="131" t="s">
        <v>388</v>
      </c>
      <c r="N146" s="131" t="s">
        <v>43</v>
      </c>
      <c r="O146" s="131" t="s">
        <v>386</v>
      </c>
      <c r="P146" s="131" t="s">
        <v>979</v>
      </c>
      <c r="Q146" s="131" t="s">
        <v>1422</v>
      </c>
      <c r="R146" s="131" t="s">
        <v>60</v>
      </c>
      <c r="S146" s="131"/>
    </row>
    <row r="147" spans="1:19">
      <c r="A147" s="131" t="s">
        <v>1423</v>
      </c>
      <c r="B147" s="131" t="s">
        <v>1424</v>
      </c>
      <c r="C147" s="131" t="s">
        <v>909</v>
      </c>
      <c r="D147" s="132">
        <v>0</v>
      </c>
      <c r="E147" s="131" t="s">
        <v>1425</v>
      </c>
      <c r="F147" s="131" t="s">
        <v>53</v>
      </c>
      <c r="G147" s="131" t="s">
        <v>910</v>
      </c>
      <c r="H147" s="131" t="s">
        <v>327</v>
      </c>
      <c r="I147" s="131" t="s">
        <v>382</v>
      </c>
      <c r="J147" s="131" t="s">
        <v>887</v>
      </c>
      <c r="K147" s="131" t="s">
        <v>1047</v>
      </c>
      <c r="L147" s="131" t="s">
        <v>1048</v>
      </c>
      <c r="M147" s="131" t="s">
        <v>388</v>
      </c>
      <c r="N147" s="131" t="s">
        <v>43</v>
      </c>
      <c r="O147" s="131" t="s">
        <v>386</v>
      </c>
      <c r="P147" s="131" t="s">
        <v>979</v>
      </c>
      <c r="Q147" s="131" t="s">
        <v>1008</v>
      </c>
      <c r="R147" s="131" t="s">
        <v>53</v>
      </c>
      <c r="S147" s="131"/>
    </row>
    <row r="148" spans="1:19">
      <c r="A148" s="131" t="s">
        <v>1426</v>
      </c>
      <c r="B148" s="131" t="s">
        <v>1427</v>
      </c>
      <c r="C148" s="131" t="s">
        <v>909</v>
      </c>
      <c r="D148" s="132">
        <v>0</v>
      </c>
      <c r="E148" s="131" t="s">
        <v>1428</v>
      </c>
      <c r="F148" s="131" t="s">
        <v>53</v>
      </c>
      <c r="G148" s="131" t="s">
        <v>910</v>
      </c>
      <c r="H148" s="131" t="s">
        <v>327</v>
      </c>
      <c r="I148" s="131" t="s">
        <v>382</v>
      </c>
      <c r="J148" s="131" t="s">
        <v>887</v>
      </c>
      <c r="K148" s="131" t="s">
        <v>1047</v>
      </c>
      <c r="L148" s="131" t="s">
        <v>1053</v>
      </c>
      <c r="M148" s="131" t="s">
        <v>388</v>
      </c>
      <c r="N148" s="131" t="s">
        <v>43</v>
      </c>
      <c r="O148" s="131" t="s">
        <v>386</v>
      </c>
      <c r="P148" s="131" t="s">
        <v>979</v>
      </c>
      <c r="Q148" s="131" t="s">
        <v>1008</v>
      </c>
      <c r="R148" s="131" t="s">
        <v>53</v>
      </c>
      <c r="S148" s="131"/>
    </row>
    <row r="149" spans="1:19">
      <c r="A149" s="131" t="s">
        <v>1429</v>
      </c>
      <c r="B149" s="131" t="s">
        <v>1430</v>
      </c>
      <c r="C149" s="131" t="s">
        <v>1029</v>
      </c>
      <c r="D149" s="133">
        <v>56</v>
      </c>
      <c r="E149" s="131" t="s">
        <v>1431</v>
      </c>
      <c r="F149" s="131" t="s">
        <v>53</v>
      </c>
      <c r="G149" s="131" t="s">
        <v>1338</v>
      </c>
      <c r="H149" s="131" t="s">
        <v>327</v>
      </c>
      <c r="I149" s="131" t="s">
        <v>382</v>
      </c>
      <c r="J149" s="131" t="s">
        <v>887</v>
      </c>
      <c r="K149" s="131" t="s">
        <v>1047</v>
      </c>
      <c r="L149" s="131" t="s">
        <v>1048</v>
      </c>
      <c r="M149" s="131" t="s">
        <v>388</v>
      </c>
      <c r="N149" s="131" t="s">
        <v>43</v>
      </c>
      <c r="O149" s="131" t="s">
        <v>386</v>
      </c>
      <c r="P149" s="131" t="s">
        <v>979</v>
      </c>
      <c r="Q149" s="131" t="s">
        <v>1008</v>
      </c>
      <c r="R149" s="131" t="s">
        <v>53</v>
      </c>
      <c r="S149" s="131"/>
    </row>
    <row r="150" spans="1:19">
      <c r="A150" s="131" t="s">
        <v>1432</v>
      </c>
      <c r="B150" s="131" t="s">
        <v>1433</v>
      </c>
      <c r="C150" s="131" t="s">
        <v>909</v>
      </c>
      <c r="D150" s="132">
        <v>0</v>
      </c>
      <c r="E150" s="133">
        <v>12162668</v>
      </c>
      <c r="F150" s="131" t="s">
        <v>53</v>
      </c>
      <c r="G150" s="131" t="s">
        <v>910</v>
      </c>
      <c r="H150" s="131" t="s">
        <v>356</v>
      </c>
      <c r="I150" s="131" t="s">
        <v>382</v>
      </c>
      <c r="J150" s="131" t="s">
        <v>887</v>
      </c>
      <c r="K150" s="131"/>
      <c r="L150" s="131"/>
      <c r="M150" s="131" t="s">
        <v>388</v>
      </c>
      <c r="N150" s="131" t="s">
        <v>43</v>
      </c>
      <c r="O150" s="131" t="s">
        <v>386</v>
      </c>
      <c r="P150" s="131" t="s">
        <v>979</v>
      </c>
      <c r="Q150" s="131" t="s">
        <v>1008</v>
      </c>
      <c r="R150" s="131" t="s">
        <v>53</v>
      </c>
      <c r="S150" s="131"/>
    </row>
    <row r="151" spans="1:19">
      <c r="A151" s="131" t="s">
        <v>1434</v>
      </c>
      <c r="B151" s="131" t="s">
        <v>1435</v>
      </c>
      <c r="C151" s="131" t="s">
        <v>909</v>
      </c>
      <c r="D151" s="132">
        <v>0</v>
      </c>
      <c r="E151" s="131" t="s">
        <v>1436</v>
      </c>
      <c r="F151" s="131" t="s">
        <v>53</v>
      </c>
      <c r="G151" s="131" t="s">
        <v>1236</v>
      </c>
      <c r="H151" s="131" t="s">
        <v>340</v>
      </c>
      <c r="I151" s="131" t="s">
        <v>382</v>
      </c>
      <c r="J151" s="131" t="s">
        <v>887</v>
      </c>
      <c r="K151" s="131" t="s">
        <v>1047</v>
      </c>
      <c r="L151" s="131" t="s">
        <v>1048</v>
      </c>
      <c r="M151" s="131" t="s">
        <v>389</v>
      </c>
      <c r="N151" s="131"/>
      <c r="O151" s="131" t="s">
        <v>386</v>
      </c>
      <c r="P151" s="131" t="s">
        <v>979</v>
      </c>
      <c r="Q151" s="131" t="s">
        <v>1362</v>
      </c>
      <c r="R151" s="131" t="s">
        <v>53</v>
      </c>
      <c r="S151" s="131"/>
    </row>
    <row r="152" spans="1:19">
      <c r="A152" s="131" t="s">
        <v>1437</v>
      </c>
      <c r="B152" s="131" t="s">
        <v>1438</v>
      </c>
      <c r="C152" s="131" t="s">
        <v>909</v>
      </c>
      <c r="D152" s="132">
        <v>0</v>
      </c>
      <c r="E152" s="131" t="s">
        <v>1439</v>
      </c>
      <c r="F152" s="131" t="s">
        <v>53</v>
      </c>
      <c r="G152" s="131" t="s">
        <v>1236</v>
      </c>
      <c r="H152" s="131" t="s">
        <v>340</v>
      </c>
      <c r="I152" s="131" t="s">
        <v>382</v>
      </c>
      <c r="J152" s="131" t="s">
        <v>887</v>
      </c>
      <c r="K152" s="131" t="s">
        <v>911</v>
      </c>
      <c r="L152" s="131" t="s">
        <v>914</v>
      </c>
      <c r="M152" s="131" t="s">
        <v>389</v>
      </c>
      <c r="N152" s="131"/>
      <c r="O152" s="131" t="s">
        <v>386</v>
      </c>
      <c r="P152" s="131" t="s">
        <v>979</v>
      </c>
      <c r="Q152" s="131" t="s">
        <v>1049</v>
      </c>
      <c r="R152" s="131" t="s">
        <v>53</v>
      </c>
      <c r="S152" s="131"/>
    </row>
    <row r="153" spans="1:19">
      <c r="A153" s="131" t="s">
        <v>1440</v>
      </c>
      <c r="B153" s="131" t="s">
        <v>1441</v>
      </c>
      <c r="C153" s="131" t="s">
        <v>909</v>
      </c>
      <c r="D153" s="132">
        <v>0</v>
      </c>
      <c r="E153" s="131" t="s">
        <v>1442</v>
      </c>
      <c r="F153" s="131" t="s">
        <v>71</v>
      </c>
      <c r="G153" s="131" t="s">
        <v>1236</v>
      </c>
      <c r="H153" s="131" t="s">
        <v>340</v>
      </c>
      <c r="I153" s="131" t="s">
        <v>382</v>
      </c>
      <c r="J153" s="131" t="s">
        <v>887</v>
      </c>
      <c r="K153" s="131" t="s">
        <v>911</v>
      </c>
      <c r="L153" s="131" t="s">
        <v>912</v>
      </c>
      <c r="M153" s="131" t="s">
        <v>389</v>
      </c>
      <c r="N153" s="131"/>
      <c r="O153" s="131" t="s">
        <v>386</v>
      </c>
      <c r="P153" s="131" t="s">
        <v>979</v>
      </c>
      <c r="Q153" s="131" t="s">
        <v>1443</v>
      </c>
      <c r="R153" s="131" t="s">
        <v>71</v>
      </c>
      <c r="S153" s="131"/>
    </row>
    <row r="154" spans="1:19">
      <c r="A154" s="131" t="s">
        <v>1444</v>
      </c>
      <c r="B154" s="131" t="s">
        <v>1445</v>
      </c>
      <c r="C154" s="131" t="s">
        <v>909</v>
      </c>
      <c r="D154" s="132">
        <v>0</v>
      </c>
      <c r="E154" s="133">
        <v>12033128</v>
      </c>
      <c r="F154" s="131" t="s">
        <v>53</v>
      </c>
      <c r="G154" s="131" t="s">
        <v>1236</v>
      </c>
      <c r="H154" s="131" t="s">
        <v>340</v>
      </c>
      <c r="I154" s="131" t="s">
        <v>382</v>
      </c>
      <c r="J154" s="131" t="s">
        <v>887</v>
      </c>
      <c r="K154" s="131"/>
      <c r="L154" s="131"/>
      <c r="M154" s="131" t="s">
        <v>389</v>
      </c>
      <c r="N154" s="131"/>
      <c r="O154" s="131" t="s">
        <v>386</v>
      </c>
      <c r="P154" s="131" t="s">
        <v>979</v>
      </c>
      <c r="Q154" s="131" t="s">
        <v>1008</v>
      </c>
      <c r="R154" s="131" t="s">
        <v>53</v>
      </c>
      <c r="S154" s="131"/>
    </row>
    <row r="155" spans="1:19">
      <c r="A155" s="131" t="s">
        <v>1446</v>
      </c>
      <c r="B155" s="131" t="s">
        <v>1447</v>
      </c>
      <c r="C155" s="131" t="s">
        <v>909</v>
      </c>
      <c r="D155" s="132">
        <v>0</v>
      </c>
      <c r="E155" s="133">
        <v>12033103</v>
      </c>
      <c r="F155" s="131" t="s">
        <v>53</v>
      </c>
      <c r="G155" s="131" t="s">
        <v>1236</v>
      </c>
      <c r="H155" s="131" t="s">
        <v>340</v>
      </c>
      <c r="I155" s="131" t="s">
        <v>382</v>
      </c>
      <c r="J155" s="131" t="s">
        <v>887</v>
      </c>
      <c r="K155" s="131"/>
      <c r="L155" s="131"/>
      <c r="M155" s="131" t="s">
        <v>389</v>
      </c>
      <c r="N155" s="131"/>
      <c r="O155" s="131" t="s">
        <v>386</v>
      </c>
      <c r="P155" s="131" t="s">
        <v>979</v>
      </c>
      <c r="Q155" s="131" t="s">
        <v>1008</v>
      </c>
      <c r="R155" s="131" t="s">
        <v>53</v>
      </c>
      <c r="S155" s="131"/>
    </row>
    <row r="156" spans="1:19">
      <c r="A156" s="131" t="s">
        <v>1448</v>
      </c>
      <c r="B156" s="131" t="s">
        <v>1449</v>
      </c>
      <c r="C156" s="131" t="s">
        <v>909</v>
      </c>
      <c r="D156" s="132">
        <v>0</v>
      </c>
      <c r="E156" s="133">
        <v>12033099</v>
      </c>
      <c r="F156" s="131" t="s">
        <v>195</v>
      </c>
      <c r="G156" s="131" t="s">
        <v>1236</v>
      </c>
      <c r="H156" s="131" t="s">
        <v>340</v>
      </c>
      <c r="I156" s="131" t="s">
        <v>382</v>
      </c>
      <c r="J156" s="131" t="s">
        <v>887</v>
      </c>
      <c r="K156" s="131"/>
      <c r="L156" s="131"/>
      <c r="M156" s="131" t="s">
        <v>389</v>
      </c>
      <c r="N156" s="131"/>
      <c r="O156" s="131" t="s">
        <v>386</v>
      </c>
      <c r="P156" s="131" t="s">
        <v>979</v>
      </c>
      <c r="Q156" s="131" t="s">
        <v>988</v>
      </c>
      <c r="R156" s="131" t="s">
        <v>195</v>
      </c>
      <c r="S156" s="131"/>
    </row>
    <row r="157" spans="1:19">
      <c r="A157" s="131" t="s">
        <v>1450</v>
      </c>
      <c r="B157" s="131" t="s">
        <v>1451</v>
      </c>
      <c r="C157" s="131" t="s">
        <v>909</v>
      </c>
      <c r="D157" s="132">
        <v>0</v>
      </c>
      <c r="E157" s="133">
        <v>12033078</v>
      </c>
      <c r="F157" s="131" t="s">
        <v>53</v>
      </c>
      <c r="G157" s="131" t="s">
        <v>1236</v>
      </c>
      <c r="H157" s="131" t="s">
        <v>340</v>
      </c>
      <c r="I157" s="131" t="s">
        <v>382</v>
      </c>
      <c r="J157" s="131" t="s">
        <v>887</v>
      </c>
      <c r="K157" s="131"/>
      <c r="L157" s="131"/>
      <c r="M157" s="131" t="s">
        <v>389</v>
      </c>
      <c r="N157" s="131"/>
      <c r="O157" s="131" t="s">
        <v>386</v>
      </c>
      <c r="P157" s="131" t="s">
        <v>979</v>
      </c>
      <c r="Q157" s="131" t="s">
        <v>1008</v>
      </c>
      <c r="R157" s="131" t="s">
        <v>53</v>
      </c>
      <c r="S157" s="131"/>
    </row>
    <row r="158" spans="1:19">
      <c r="A158" s="131" t="s">
        <v>1452</v>
      </c>
      <c r="B158" s="131" t="s">
        <v>1453</v>
      </c>
      <c r="C158" s="131" t="s">
        <v>909</v>
      </c>
      <c r="D158" s="132">
        <v>0</v>
      </c>
      <c r="E158" s="133">
        <v>12033074</v>
      </c>
      <c r="F158" s="131" t="s">
        <v>55</v>
      </c>
      <c r="G158" s="131" t="s">
        <v>1236</v>
      </c>
      <c r="H158" s="131" t="s">
        <v>340</v>
      </c>
      <c r="I158" s="131" t="s">
        <v>382</v>
      </c>
      <c r="J158" s="131" t="s">
        <v>887</v>
      </c>
      <c r="K158" s="131"/>
      <c r="L158" s="131"/>
      <c r="M158" s="131" t="s">
        <v>389</v>
      </c>
      <c r="N158" s="131"/>
      <c r="O158" s="131" t="s">
        <v>386</v>
      </c>
      <c r="P158" s="131" t="s">
        <v>979</v>
      </c>
      <c r="Q158" s="131" t="s">
        <v>1454</v>
      </c>
      <c r="R158" s="131" t="s">
        <v>71</v>
      </c>
      <c r="S158" s="131"/>
    </row>
    <row r="159" spans="1:19">
      <c r="A159" s="131" t="s">
        <v>1455</v>
      </c>
      <c r="B159" s="131" t="s">
        <v>1456</v>
      </c>
      <c r="C159" s="131" t="s">
        <v>909</v>
      </c>
      <c r="D159" s="132">
        <v>0</v>
      </c>
      <c r="E159" s="133">
        <v>11601067</v>
      </c>
      <c r="F159" s="131" t="s">
        <v>71</v>
      </c>
      <c r="G159" s="131" t="s">
        <v>1236</v>
      </c>
      <c r="H159" s="131" t="s">
        <v>342</v>
      </c>
      <c r="I159" s="131" t="s">
        <v>382</v>
      </c>
      <c r="J159" s="131" t="s">
        <v>887</v>
      </c>
      <c r="K159" s="131"/>
      <c r="L159" s="131"/>
      <c r="M159" s="131" t="s">
        <v>389</v>
      </c>
      <c r="N159" s="131"/>
      <c r="O159" s="131" t="s">
        <v>386</v>
      </c>
      <c r="P159" s="131" t="s">
        <v>979</v>
      </c>
      <c r="Q159" s="131" t="s">
        <v>1457</v>
      </c>
      <c r="R159" s="131" t="s">
        <v>71</v>
      </c>
      <c r="S159" s="131"/>
    </row>
    <row r="160" spans="1:19">
      <c r="A160" s="131" t="s">
        <v>1458</v>
      </c>
      <c r="B160" s="131" t="s">
        <v>1459</v>
      </c>
      <c r="C160" s="131" t="s">
        <v>909</v>
      </c>
      <c r="D160" s="132">
        <v>0</v>
      </c>
      <c r="E160" s="133">
        <v>11601006</v>
      </c>
      <c r="F160" s="131" t="s">
        <v>780</v>
      </c>
      <c r="G160" s="131" t="s">
        <v>1236</v>
      </c>
      <c r="H160" s="131" t="s">
        <v>342</v>
      </c>
      <c r="I160" s="131" t="s">
        <v>382</v>
      </c>
      <c r="J160" s="131" t="s">
        <v>887</v>
      </c>
      <c r="K160" s="131"/>
      <c r="L160" s="131"/>
      <c r="M160" s="131" t="s">
        <v>389</v>
      </c>
      <c r="N160" s="131"/>
      <c r="O160" s="131" t="s">
        <v>386</v>
      </c>
      <c r="P160" s="131" t="s">
        <v>979</v>
      </c>
      <c r="Q160" s="131" t="s">
        <v>1460</v>
      </c>
      <c r="R160" s="131" t="s">
        <v>71</v>
      </c>
      <c r="S160" s="131"/>
    </row>
    <row r="161" spans="1:19">
      <c r="A161" s="131" t="s">
        <v>1461</v>
      </c>
      <c r="B161" s="131" t="s">
        <v>1462</v>
      </c>
      <c r="C161" s="131" t="s">
        <v>909</v>
      </c>
      <c r="D161" s="132">
        <v>0</v>
      </c>
      <c r="E161" s="133">
        <v>11600974</v>
      </c>
      <c r="F161" s="131" t="s">
        <v>83</v>
      </c>
      <c r="G161" s="131" t="s">
        <v>1236</v>
      </c>
      <c r="H161" s="131" t="s">
        <v>342</v>
      </c>
      <c r="I161" s="131" t="s">
        <v>382</v>
      </c>
      <c r="J161" s="131" t="s">
        <v>887</v>
      </c>
      <c r="K161" s="131"/>
      <c r="L161" s="131"/>
      <c r="M161" s="131" t="s">
        <v>389</v>
      </c>
      <c r="N161" s="131"/>
      <c r="O161" s="131" t="s">
        <v>386</v>
      </c>
      <c r="P161" s="131" t="s">
        <v>979</v>
      </c>
      <c r="Q161" s="131" t="s">
        <v>1149</v>
      </c>
      <c r="R161" s="131" t="s">
        <v>83</v>
      </c>
      <c r="S161" s="131"/>
    </row>
    <row r="162" spans="1:19">
      <c r="A162" s="131" t="s">
        <v>1463</v>
      </c>
      <c r="B162" s="131" t="s">
        <v>1464</v>
      </c>
      <c r="C162" s="131" t="s">
        <v>909</v>
      </c>
      <c r="D162" s="132">
        <v>0</v>
      </c>
      <c r="E162" s="131" t="s">
        <v>1465</v>
      </c>
      <c r="F162" s="131" t="s">
        <v>55</v>
      </c>
      <c r="G162" s="131" t="s">
        <v>1236</v>
      </c>
      <c r="H162" s="131" t="s">
        <v>340</v>
      </c>
      <c r="I162" s="131" t="s">
        <v>382</v>
      </c>
      <c r="J162" s="131" t="s">
        <v>887</v>
      </c>
      <c r="K162" s="131" t="s">
        <v>1111</v>
      </c>
      <c r="L162" s="131" t="s">
        <v>1466</v>
      </c>
      <c r="M162" s="131" t="s">
        <v>389</v>
      </c>
      <c r="N162" s="131"/>
      <c r="O162" s="131" t="s">
        <v>386</v>
      </c>
      <c r="P162" s="131" t="s">
        <v>979</v>
      </c>
      <c r="Q162" s="131" t="s">
        <v>1239</v>
      </c>
      <c r="R162" s="131" t="s">
        <v>71</v>
      </c>
      <c r="S162" s="131"/>
    </row>
    <row r="163" spans="1:19">
      <c r="A163" s="131" t="s">
        <v>1467</v>
      </c>
      <c r="B163" s="131" t="s">
        <v>1468</v>
      </c>
      <c r="C163" s="131" t="s">
        <v>909</v>
      </c>
      <c r="D163" s="132">
        <v>0</v>
      </c>
      <c r="E163" s="131" t="s">
        <v>1469</v>
      </c>
      <c r="F163" s="131" t="s">
        <v>746</v>
      </c>
      <c r="G163" s="131" t="s">
        <v>1236</v>
      </c>
      <c r="H163" s="131" t="s">
        <v>342</v>
      </c>
      <c r="I163" s="131" t="s">
        <v>382</v>
      </c>
      <c r="J163" s="131" t="s">
        <v>887</v>
      </c>
      <c r="K163" s="131" t="s">
        <v>911</v>
      </c>
      <c r="L163" s="131" t="s">
        <v>912</v>
      </c>
      <c r="M163" s="131" t="s">
        <v>389</v>
      </c>
      <c r="N163" s="131"/>
      <c r="O163" s="131" t="s">
        <v>386</v>
      </c>
      <c r="P163" s="131" t="s">
        <v>979</v>
      </c>
      <c r="Q163" s="131" t="s">
        <v>1362</v>
      </c>
      <c r="R163" s="131" t="s">
        <v>83</v>
      </c>
      <c r="S163" s="131"/>
    </row>
    <row r="164" spans="1:19">
      <c r="A164" s="131" t="s">
        <v>1470</v>
      </c>
      <c r="B164" s="131" t="s">
        <v>1471</v>
      </c>
      <c r="C164" s="131" t="s">
        <v>909</v>
      </c>
      <c r="D164" s="132">
        <v>0</v>
      </c>
      <c r="E164" s="131" t="s">
        <v>1472</v>
      </c>
      <c r="F164" s="131" t="s">
        <v>246</v>
      </c>
      <c r="G164" s="131" t="s">
        <v>1236</v>
      </c>
      <c r="H164" s="131" t="s">
        <v>342</v>
      </c>
      <c r="I164" s="131" t="s">
        <v>382</v>
      </c>
      <c r="J164" s="131" t="s">
        <v>887</v>
      </c>
      <c r="K164" s="131" t="s">
        <v>911</v>
      </c>
      <c r="L164" s="131" t="s">
        <v>914</v>
      </c>
      <c r="M164" s="131" t="s">
        <v>389</v>
      </c>
      <c r="N164" s="131"/>
      <c r="O164" s="131" t="s">
        <v>386</v>
      </c>
      <c r="P164" s="131" t="s">
        <v>979</v>
      </c>
      <c r="Q164" s="131" t="s">
        <v>1362</v>
      </c>
      <c r="R164" s="131" t="s">
        <v>83</v>
      </c>
      <c r="S164" s="131"/>
    </row>
    <row r="165" spans="1:19">
      <c r="A165" s="131" t="s">
        <v>1473</v>
      </c>
      <c r="B165" s="131" t="s">
        <v>1474</v>
      </c>
      <c r="C165" s="131" t="s">
        <v>909</v>
      </c>
      <c r="D165" s="132">
        <v>0</v>
      </c>
      <c r="E165" s="131" t="s">
        <v>1475</v>
      </c>
      <c r="F165" s="131" t="s">
        <v>57</v>
      </c>
      <c r="G165" s="131" t="s">
        <v>910</v>
      </c>
      <c r="H165" s="131" t="s">
        <v>327</v>
      </c>
      <c r="I165" s="131" t="s">
        <v>382</v>
      </c>
      <c r="J165" s="131" t="s">
        <v>887</v>
      </c>
      <c r="K165" s="131" t="s">
        <v>911</v>
      </c>
      <c r="L165" s="131" t="s">
        <v>912</v>
      </c>
      <c r="M165" s="131" t="s">
        <v>388</v>
      </c>
      <c r="N165" s="131" t="s">
        <v>43</v>
      </c>
      <c r="O165" s="131" t="s">
        <v>386</v>
      </c>
      <c r="P165" s="131" t="s">
        <v>979</v>
      </c>
      <c r="Q165" s="131" t="s">
        <v>1095</v>
      </c>
      <c r="R165" s="131" t="s">
        <v>57</v>
      </c>
      <c r="S165" s="131"/>
    </row>
    <row r="166" spans="1:19">
      <c r="A166" s="131" t="s">
        <v>1476</v>
      </c>
      <c r="B166" s="131" t="s">
        <v>1477</v>
      </c>
      <c r="C166" s="131" t="s">
        <v>909</v>
      </c>
      <c r="D166" s="132">
        <v>0</v>
      </c>
      <c r="E166" s="133">
        <v>11277642</v>
      </c>
      <c r="F166" s="131" t="s">
        <v>250</v>
      </c>
      <c r="G166" s="131" t="s">
        <v>1236</v>
      </c>
      <c r="H166" s="131" t="s">
        <v>342</v>
      </c>
      <c r="I166" s="131" t="s">
        <v>382</v>
      </c>
      <c r="J166" s="131" t="s">
        <v>887</v>
      </c>
      <c r="K166" s="131"/>
      <c r="L166" s="131"/>
      <c r="M166" s="131" t="s">
        <v>389</v>
      </c>
      <c r="N166" s="131"/>
      <c r="O166" s="131" t="s">
        <v>386</v>
      </c>
      <c r="P166" s="131" t="s">
        <v>979</v>
      </c>
      <c r="Q166" s="131" t="s">
        <v>1478</v>
      </c>
      <c r="R166" s="131" t="s">
        <v>71</v>
      </c>
      <c r="S166" s="131"/>
    </row>
    <row r="167" spans="1:19">
      <c r="A167" s="131" t="s">
        <v>1479</v>
      </c>
      <c r="B167" s="131" t="s">
        <v>1480</v>
      </c>
      <c r="C167" s="131" t="s">
        <v>1025</v>
      </c>
      <c r="D167" s="133">
        <v>58</v>
      </c>
      <c r="E167" s="133">
        <v>11179873</v>
      </c>
      <c r="F167" s="131" t="s">
        <v>83</v>
      </c>
      <c r="G167" s="131" t="s">
        <v>1481</v>
      </c>
      <c r="H167" s="131" t="s">
        <v>327</v>
      </c>
      <c r="I167" s="131" t="s">
        <v>382</v>
      </c>
      <c r="J167" s="131" t="s">
        <v>887</v>
      </c>
      <c r="K167" s="131"/>
      <c r="L167" s="131"/>
      <c r="M167" s="131" t="s">
        <v>388</v>
      </c>
      <c r="N167" s="131"/>
      <c r="O167" s="131" t="s">
        <v>386</v>
      </c>
      <c r="P167" s="131" t="s">
        <v>979</v>
      </c>
      <c r="Q167" s="131" t="s">
        <v>1482</v>
      </c>
      <c r="R167" s="131" t="s">
        <v>83</v>
      </c>
      <c r="S167" s="131"/>
    </row>
    <row r="168" spans="1:19">
      <c r="A168" s="131" t="s">
        <v>1483</v>
      </c>
      <c r="B168" s="131" t="s">
        <v>1480</v>
      </c>
      <c r="C168" s="131" t="s">
        <v>1029</v>
      </c>
      <c r="D168" s="133">
        <v>56</v>
      </c>
      <c r="E168" s="133">
        <v>11179873</v>
      </c>
      <c r="F168" s="131" t="s">
        <v>83</v>
      </c>
      <c r="G168" s="131" t="s">
        <v>1481</v>
      </c>
      <c r="H168" s="131" t="s">
        <v>327</v>
      </c>
      <c r="I168" s="131" t="s">
        <v>382</v>
      </c>
      <c r="J168" s="131" t="s">
        <v>887</v>
      </c>
      <c r="K168" s="131"/>
      <c r="L168" s="131"/>
      <c r="M168" s="131" t="s">
        <v>388</v>
      </c>
      <c r="N168" s="131"/>
      <c r="O168" s="131" t="s">
        <v>386</v>
      </c>
      <c r="P168" s="131" t="s">
        <v>979</v>
      </c>
      <c r="Q168" s="131" t="s">
        <v>1482</v>
      </c>
      <c r="R168" s="131" t="s">
        <v>83</v>
      </c>
      <c r="S168" s="131"/>
    </row>
    <row r="169" spans="1:19">
      <c r="A169" s="131" t="s">
        <v>1484</v>
      </c>
      <c r="B169" s="131" t="s">
        <v>1485</v>
      </c>
      <c r="C169" s="131" t="s">
        <v>909</v>
      </c>
      <c r="D169" s="132">
        <v>0</v>
      </c>
      <c r="E169" s="133">
        <v>11179866</v>
      </c>
      <c r="F169" s="131" t="s">
        <v>53</v>
      </c>
      <c r="G169" s="131" t="s">
        <v>910</v>
      </c>
      <c r="H169" s="131" t="s">
        <v>327</v>
      </c>
      <c r="I169" s="131" t="s">
        <v>382</v>
      </c>
      <c r="J169" s="131" t="s">
        <v>887</v>
      </c>
      <c r="K169" s="131"/>
      <c r="L169" s="131"/>
      <c r="M169" s="131" t="s">
        <v>388</v>
      </c>
      <c r="N169" s="131" t="s">
        <v>43</v>
      </c>
      <c r="O169" s="131" t="s">
        <v>386</v>
      </c>
      <c r="P169" s="131" t="s">
        <v>979</v>
      </c>
      <c r="Q169" s="131" t="s">
        <v>1033</v>
      </c>
      <c r="R169" s="131" t="s">
        <v>53</v>
      </c>
      <c r="S169" s="131"/>
    </row>
    <row r="170" spans="1:19">
      <c r="A170" s="131" t="s">
        <v>1486</v>
      </c>
      <c r="B170" s="131" t="s">
        <v>1487</v>
      </c>
      <c r="C170" s="131" t="s">
        <v>909</v>
      </c>
      <c r="D170" s="132">
        <v>0</v>
      </c>
      <c r="E170" s="133">
        <v>11179834</v>
      </c>
      <c r="F170" s="131" t="s">
        <v>83</v>
      </c>
      <c r="G170" s="131" t="s">
        <v>910</v>
      </c>
      <c r="H170" s="131" t="s">
        <v>327</v>
      </c>
      <c r="I170" s="131" t="s">
        <v>382</v>
      </c>
      <c r="J170" s="131" t="s">
        <v>887</v>
      </c>
      <c r="K170" s="131"/>
      <c r="L170" s="131"/>
      <c r="M170" s="131" t="s">
        <v>388</v>
      </c>
      <c r="N170" s="131" t="s">
        <v>43</v>
      </c>
      <c r="O170" s="131" t="s">
        <v>386</v>
      </c>
      <c r="P170" s="131" t="s">
        <v>979</v>
      </c>
      <c r="Q170" s="131" t="s">
        <v>1488</v>
      </c>
      <c r="R170" s="131" t="s">
        <v>83</v>
      </c>
      <c r="S170" s="131"/>
    </row>
    <row r="171" spans="1:19">
      <c r="A171" s="131" t="s">
        <v>1489</v>
      </c>
      <c r="B171" s="131" t="s">
        <v>1490</v>
      </c>
      <c r="C171" s="131" t="s">
        <v>909</v>
      </c>
      <c r="D171" s="132">
        <v>0</v>
      </c>
      <c r="E171" s="133">
        <v>11179831</v>
      </c>
      <c r="F171" s="131" t="s">
        <v>55</v>
      </c>
      <c r="G171" s="131" t="s">
        <v>910</v>
      </c>
      <c r="H171" s="131" t="s">
        <v>327</v>
      </c>
      <c r="I171" s="131" t="s">
        <v>382</v>
      </c>
      <c r="J171" s="131" t="s">
        <v>887</v>
      </c>
      <c r="K171" s="131"/>
      <c r="L171" s="131"/>
      <c r="M171" s="131" t="s">
        <v>388</v>
      </c>
      <c r="N171" s="131" t="s">
        <v>43</v>
      </c>
      <c r="O171" s="131" t="s">
        <v>386</v>
      </c>
      <c r="P171" s="131" t="s">
        <v>979</v>
      </c>
      <c r="Q171" s="131" t="s">
        <v>996</v>
      </c>
      <c r="R171" s="131" t="s">
        <v>71</v>
      </c>
      <c r="S171" s="131"/>
    </row>
    <row r="172" spans="1:19">
      <c r="A172" s="131" t="s">
        <v>1491</v>
      </c>
      <c r="B172" s="131" t="s">
        <v>1492</v>
      </c>
      <c r="C172" s="131" t="s">
        <v>1347</v>
      </c>
      <c r="D172" s="133">
        <v>60</v>
      </c>
      <c r="E172" s="131" t="s">
        <v>1493</v>
      </c>
      <c r="F172" s="131" t="s">
        <v>53</v>
      </c>
      <c r="G172" s="131" t="s">
        <v>1338</v>
      </c>
      <c r="H172" s="131" t="s">
        <v>327</v>
      </c>
      <c r="I172" s="131" t="s">
        <v>382</v>
      </c>
      <c r="J172" s="131" t="s">
        <v>887</v>
      </c>
      <c r="K172" s="131" t="s">
        <v>911</v>
      </c>
      <c r="L172" s="131" t="s">
        <v>914</v>
      </c>
      <c r="M172" s="131" t="s">
        <v>388</v>
      </c>
      <c r="N172" s="131" t="s">
        <v>43</v>
      </c>
      <c r="O172" s="131" t="s">
        <v>541</v>
      </c>
      <c r="P172" s="131" t="s">
        <v>979</v>
      </c>
      <c r="Q172" s="131" t="s">
        <v>1049</v>
      </c>
      <c r="R172" s="131" t="s">
        <v>53</v>
      </c>
      <c r="S172" s="131"/>
    </row>
    <row r="173" spans="1:19">
      <c r="A173" s="131" t="s">
        <v>1494</v>
      </c>
      <c r="B173" s="131" t="s">
        <v>1492</v>
      </c>
      <c r="C173" s="131" t="s">
        <v>1025</v>
      </c>
      <c r="D173" s="133">
        <v>58</v>
      </c>
      <c r="E173" s="131" t="s">
        <v>1493</v>
      </c>
      <c r="F173" s="131" t="s">
        <v>53</v>
      </c>
      <c r="G173" s="131" t="s">
        <v>1338</v>
      </c>
      <c r="H173" s="131" t="s">
        <v>327</v>
      </c>
      <c r="I173" s="131" t="s">
        <v>382</v>
      </c>
      <c r="J173" s="131" t="s">
        <v>887</v>
      </c>
      <c r="K173" s="131" t="s">
        <v>911</v>
      </c>
      <c r="L173" s="131" t="s">
        <v>914</v>
      </c>
      <c r="M173" s="131" t="s">
        <v>388</v>
      </c>
      <c r="N173" s="131" t="s">
        <v>43</v>
      </c>
      <c r="O173" s="131" t="s">
        <v>541</v>
      </c>
      <c r="P173" s="131" t="s">
        <v>979</v>
      </c>
      <c r="Q173" s="131" t="s">
        <v>1049</v>
      </c>
      <c r="R173" s="131" t="s">
        <v>53</v>
      </c>
      <c r="S173" s="131"/>
    </row>
    <row r="174" spans="1:19">
      <c r="A174" s="131" t="s">
        <v>1495</v>
      </c>
      <c r="B174" s="131" t="s">
        <v>1492</v>
      </c>
      <c r="C174" s="131" t="s">
        <v>1029</v>
      </c>
      <c r="D174" s="133">
        <v>56</v>
      </c>
      <c r="E174" s="131" t="s">
        <v>1493</v>
      </c>
      <c r="F174" s="131" t="s">
        <v>53</v>
      </c>
      <c r="G174" s="131" t="s">
        <v>1338</v>
      </c>
      <c r="H174" s="131" t="s">
        <v>327</v>
      </c>
      <c r="I174" s="131" t="s">
        <v>382</v>
      </c>
      <c r="J174" s="131" t="s">
        <v>887</v>
      </c>
      <c r="K174" s="131" t="s">
        <v>911</v>
      </c>
      <c r="L174" s="131" t="s">
        <v>914</v>
      </c>
      <c r="M174" s="131" t="s">
        <v>388</v>
      </c>
      <c r="N174" s="131" t="s">
        <v>43</v>
      </c>
      <c r="O174" s="131" t="s">
        <v>541</v>
      </c>
      <c r="P174" s="131" t="s">
        <v>979</v>
      </c>
      <c r="Q174" s="131" t="s">
        <v>1049</v>
      </c>
      <c r="R174" s="131" t="s">
        <v>53</v>
      </c>
      <c r="S174" s="131"/>
    </row>
    <row r="175" spans="1:19">
      <c r="A175" s="131" t="s">
        <v>1496</v>
      </c>
      <c r="B175" s="131" t="s">
        <v>1497</v>
      </c>
      <c r="C175" s="131" t="s">
        <v>909</v>
      </c>
      <c r="D175" s="132">
        <v>0</v>
      </c>
      <c r="E175" s="131" t="s">
        <v>1498</v>
      </c>
      <c r="F175" s="131" t="s">
        <v>592</v>
      </c>
      <c r="G175" s="131" t="s">
        <v>918</v>
      </c>
      <c r="H175" s="131" t="s">
        <v>327</v>
      </c>
      <c r="I175" s="131" t="s">
        <v>382</v>
      </c>
      <c r="J175" s="131" t="s">
        <v>887</v>
      </c>
      <c r="K175" s="131" t="s">
        <v>911</v>
      </c>
      <c r="L175" s="131" t="s">
        <v>917</v>
      </c>
      <c r="M175" s="131" t="s">
        <v>388</v>
      </c>
      <c r="N175" s="131"/>
      <c r="O175" s="131" t="s">
        <v>541</v>
      </c>
      <c r="P175" s="131" t="s">
        <v>979</v>
      </c>
      <c r="Q175" s="131" t="s">
        <v>1499</v>
      </c>
      <c r="R175" s="131" t="s">
        <v>71</v>
      </c>
      <c r="S175" s="131"/>
    </row>
    <row r="176" spans="1:19">
      <c r="A176" s="131" t="s">
        <v>1500</v>
      </c>
      <c r="B176" s="131" t="s">
        <v>1501</v>
      </c>
      <c r="C176" s="131" t="s">
        <v>909</v>
      </c>
      <c r="D176" s="132">
        <v>0</v>
      </c>
      <c r="E176" s="131" t="s">
        <v>1502</v>
      </c>
      <c r="F176" s="131" t="s">
        <v>55</v>
      </c>
      <c r="G176" s="131" t="s">
        <v>918</v>
      </c>
      <c r="H176" s="131" t="s">
        <v>327</v>
      </c>
      <c r="I176" s="131" t="s">
        <v>382</v>
      </c>
      <c r="J176" s="131" t="s">
        <v>887</v>
      </c>
      <c r="K176" s="131" t="s">
        <v>911</v>
      </c>
      <c r="L176" s="131" t="s">
        <v>915</v>
      </c>
      <c r="M176" s="131" t="s">
        <v>388</v>
      </c>
      <c r="N176" s="131"/>
      <c r="O176" s="131" t="s">
        <v>541</v>
      </c>
      <c r="P176" s="131" t="s">
        <v>979</v>
      </c>
      <c r="Q176" s="131" t="s">
        <v>1362</v>
      </c>
      <c r="R176" s="131" t="s">
        <v>71</v>
      </c>
      <c r="S176" s="131"/>
    </row>
    <row r="177" spans="1:19">
      <c r="A177" s="131" t="s">
        <v>1503</v>
      </c>
      <c r="B177" s="131" t="s">
        <v>1504</v>
      </c>
      <c r="C177" s="131" t="s">
        <v>909</v>
      </c>
      <c r="D177" s="132">
        <v>0</v>
      </c>
      <c r="E177" s="131" t="s">
        <v>1505</v>
      </c>
      <c r="F177" s="131" t="s">
        <v>78</v>
      </c>
      <c r="G177" s="131" t="s">
        <v>910</v>
      </c>
      <c r="H177" s="131" t="s">
        <v>327</v>
      </c>
      <c r="I177" s="131" t="s">
        <v>382</v>
      </c>
      <c r="J177" s="131" t="s">
        <v>887</v>
      </c>
      <c r="K177" s="131" t="s">
        <v>911</v>
      </c>
      <c r="L177" s="131" t="s">
        <v>914</v>
      </c>
      <c r="M177" s="131" t="s">
        <v>388</v>
      </c>
      <c r="N177" s="131" t="s">
        <v>43</v>
      </c>
      <c r="O177" s="131" t="s">
        <v>541</v>
      </c>
      <c r="P177" s="131" t="s">
        <v>979</v>
      </c>
      <c r="Q177" s="131" t="s">
        <v>1506</v>
      </c>
      <c r="R177" s="131" t="s">
        <v>78</v>
      </c>
      <c r="S177" s="131"/>
    </row>
    <row r="178" spans="1:19">
      <c r="A178" s="131" t="s">
        <v>1507</v>
      </c>
      <c r="B178" s="131" t="s">
        <v>1508</v>
      </c>
      <c r="C178" s="131" t="s">
        <v>909</v>
      </c>
      <c r="D178" s="132">
        <v>0</v>
      </c>
      <c r="E178" s="131" t="s">
        <v>1509</v>
      </c>
      <c r="F178" s="131" t="s">
        <v>57</v>
      </c>
      <c r="G178" s="131" t="s">
        <v>910</v>
      </c>
      <c r="H178" s="131" t="s">
        <v>327</v>
      </c>
      <c r="I178" s="131" t="s">
        <v>387</v>
      </c>
      <c r="J178" s="131" t="s">
        <v>887</v>
      </c>
      <c r="K178" s="131" t="s">
        <v>911</v>
      </c>
      <c r="L178" s="131" t="s">
        <v>914</v>
      </c>
      <c r="M178" s="131" t="s">
        <v>388</v>
      </c>
      <c r="N178" s="131" t="s">
        <v>43</v>
      </c>
      <c r="O178" s="131" t="s">
        <v>541</v>
      </c>
      <c r="P178" s="131" t="s">
        <v>979</v>
      </c>
      <c r="Q178" s="131" t="s">
        <v>996</v>
      </c>
      <c r="R178" s="131" t="s">
        <v>57</v>
      </c>
      <c r="S178" s="131"/>
    </row>
    <row r="179" spans="1:19">
      <c r="A179" s="131" t="s">
        <v>1510</v>
      </c>
      <c r="B179" s="131" t="s">
        <v>1511</v>
      </c>
      <c r="C179" s="131" t="s">
        <v>909</v>
      </c>
      <c r="D179" s="132">
        <v>0</v>
      </c>
      <c r="E179" s="131" t="s">
        <v>1512</v>
      </c>
      <c r="F179" s="131" t="s">
        <v>53</v>
      </c>
      <c r="G179" s="131" t="s">
        <v>910</v>
      </c>
      <c r="H179" s="131" t="s">
        <v>327</v>
      </c>
      <c r="I179" s="131" t="s">
        <v>382</v>
      </c>
      <c r="J179" s="131" t="s">
        <v>887</v>
      </c>
      <c r="K179" s="131" t="s">
        <v>911</v>
      </c>
      <c r="L179" s="131" t="s">
        <v>914</v>
      </c>
      <c r="M179" s="131" t="s">
        <v>388</v>
      </c>
      <c r="N179" s="131" t="s">
        <v>43</v>
      </c>
      <c r="O179" s="131" t="s">
        <v>541</v>
      </c>
      <c r="P179" s="131" t="s">
        <v>979</v>
      </c>
      <c r="Q179" s="131" t="s">
        <v>1008</v>
      </c>
      <c r="R179" s="131" t="s">
        <v>53</v>
      </c>
      <c r="S179" s="131"/>
    </row>
    <row r="180" spans="1:19">
      <c r="A180" s="131" t="s">
        <v>1513</v>
      </c>
      <c r="B180" s="131" t="s">
        <v>1514</v>
      </c>
      <c r="C180" s="131" t="s">
        <v>1160</v>
      </c>
      <c r="D180" s="133">
        <v>57</v>
      </c>
      <c r="E180" s="131" t="s">
        <v>1515</v>
      </c>
      <c r="F180" s="131" t="s">
        <v>53</v>
      </c>
      <c r="G180" s="131" t="s">
        <v>918</v>
      </c>
      <c r="H180" s="131" t="s">
        <v>783</v>
      </c>
      <c r="I180" s="131" t="s">
        <v>382</v>
      </c>
      <c r="J180" s="131" t="s">
        <v>887</v>
      </c>
      <c r="K180" s="131" t="s">
        <v>911</v>
      </c>
      <c r="L180" s="131" t="s">
        <v>1516</v>
      </c>
      <c r="M180" s="131" t="s">
        <v>388</v>
      </c>
      <c r="N180" s="131"/>
      <c r="O180" s="131" t="s">
        <v>541</v>
      </c>
      <c r="P180" s="131" t="s">
        <v>979</v>
      </c>
      <c r="Q180" s="131" t="s">
        <v>1362</v>
      </c>
      <c r="R180" s="131" t="s">
        <v>53</v>
      </c>
      <c r="S180" s="131"/>
    </row>
    <row r="181" spans="1:19">
      <c r="A181" s="131" t="s">
        <v>1517</v>
      </c>
      <c r="B181" s="131" t="s">
        <v>1518</v>
      </c>
      <c r="C181" s="131" t="s">
        <v>909</v>
      </c>
      <c r="D181" s="132">
        <v>0</v>
      </c>
      <c r="E181" s="131" t="s">
        <v>1519</v>
      </c>
      <c r="F181" s="131" t="s">
        <v>53</v>
      </c>
      <c r="G181" s="131" t="s">
        <v>910</v>
      </c>
      <c r="H181" s="131" t="s">
        <v>356</v>
      </c>
      <c r="I181" s="131" t="s">
        <v>382</v>
      </c>
      <c r="J181" s="131" t="s">
        <v>887</v>
      </c>
      <c r="K181" s="131" t="s">
        <v>911</v>
      </c>
      <c r="L181" s="131" t="s">
        <v>912</v>
      </c>
      <c r="M181" s="131" t="s">
        <v>388</v>
      </c>
      <c r="N181" s="131" t="s">
        <v>43</v>
      </c>
      <c r="O181" s="131" t="s">
        <v>541</v>
      </c>
      <c r="P181" s="131" t="s">
        <v>979</v>
      </c>
      <c r="Q181" s="131" t="s">
        <v>1049</v>
      </c>
      <c r="R181" s="131" t="s">
        <v>53</v>
      </c>
      <c r="S181" s="131"/>
    </row>
    <row r="182" spans="1:19">
      <c r="A182" s="131" t="s">
        <v>1520</v>
      </c>
      <c r="B182" s="131" t="s">
        <v>1521</v>
      </c>
      <c r="C182" s="131" t="s">
        <v>909</v>
      </c>
      <c r="D182" s="132">
        <v>0</v>
      </c>
      <c r="E182" s="131" t="s">
        <v>1522</v>
      </c>
      <c r="F182" s="131" t="s">
        <v>57</v>
      </c>
      <c r="G182" s="131" t="s">
        <v>918</v>
      </c>
      <c r="H182" s="131" t="s">
        <v>356</v>
      </c>
      <c r="I182" s="131" t="s">
        <v>382</v>
      </c>
      <c r="J182" s="131" t="s">
        <v>887</v>
      </c>
      <c r="K182" s="131" t="s">
        <v>911</v>
      </c>
      <c r="L182" s="131" t="s">
        <v>914</v>
      </c>
      <c r="M182" s="131" t="s">
        <v>388</v>
      </c>
      <c r="N182" s="131"/>
      <c r="O182" s="131" t="s">
        <v>541</v>
      </c>
      <c r="P182" s="131" t="s">
        <v>979</v>
      </c>
      <c r="Q182" s="131" t="s">
        <v>1523</v>
      </c>
      <c r="R182" s="131" t="s">
        <v>57</v>
      </c>
      <c r="S182" s="131"/>
    </row>
    <row r="183" spans="1:19">
      <c r="A183" s="131" t="s">
        <v>1524</v>
      </c>
      <c r="B183" s="131" t="s">
        <v>1525</v>
      </c>
      <c r="C183" s="131" t="s">
        <v>909</v>
      </c>
      <c r="D183" s="132">
        <v>0</v>
      </c>
      <c r="E183" s="131" t="s">
        <v>1526</v>
      </c>
      <c r="F183" s="131" t="s">
        <v>149</v>
      </c>
      <c r="G183" s="131" t="s">
        <v>910</v>
      </c>
      <c r="H183" s="131" t="s">
        <v>356</v>
      </c>
      <c r="I183" s="131" t="s">
        <v>382</v>
      </c>
      <c r="J183" s="131" t="s">
        <v>887</v>
      </c>
      <c r="K183" s="131" t="s">
        <v>911</v>
      </c>
      <c r="L183" s="131" t="s">
        <v>914</v>
      </c>
      <c r="M183" s="131" t="s">
        <v>388</v>
      </c>
      <c r="N183" s="131" t="s">
        <v>43</v>
      </c>
      <c r="O183" s="131" t="s">
        <v>541</v>
      </c>
      <c r="P183" s="131" t="s">
        <v>979</v>
      </c>
      <c r="Q183" s="131" t="s">
        <v>1527</v>
      </c>
      <c r="R183" s="131" t="s">
        <v>60</v>
      </c>
      <c r="S183" s="131"/>
    </row>
    <row r="184" spans="1:19">
      <c r="A184" s="131" t="s">
        <v>1528</v>
      </c>
      <c r="B184" s="131" t="s">
        <v>1529</v>
      </c>
      <c r="C184" s="131" t="s">
        <v>909</v>
      </c>
      <c r="D184" s="132">
        <v>0</v>
      </c>
      <c r="E184" s="131" t="s">
        <v>1530</v>
      </c>
      <c r="F184" s="131" t="s">
        <v>66</v>
      </c>
      <c r="G184" s="131" t="s">
        <v>910</v>
      </c>
      <c r="H184" s="131" t="s">
        <v>356</v>
      </c>
      <c r="I184" s="131" t="s">
        <v>382</v>
      </c>
      <c r="J184" s="131" t="s">
        <v>887</v>
      </c>
      <c r="K184" s="131" t="s">
        <v>911</v>
      </c>
      <c r="L184" s="131" t="s">
        <v>914</v>
      </c>
      <c r="M184" s="131" t="s">
        <v>388</v>
      </c>
      <c r="N184" s="131" t="s">
        <v>43</v>
      </c>
      <c r="O184" s="131" t="s">
        <v>541</v>
      </c>
      <c r="P184" s="131" t="s">
        <v>979</v>
      </c>
      <c r="Q184" s="131" t="s">
        <v>1531</v>
      </c>
      <c r="R184" s="131" t="s">
        <v>63</v>
      </c>
      <c r="S184" s="131"/>
    </row>
    <row r="185" spans="1:19">
      <c r="A185" s="131" t="s">
        <v>1532</v>
      </c>
      <c r="B185" s="131" t="s">
        <v>1533</v>
      </c>
      <c r="C185" s="131" t="s">
        <v>909</v>
      </c>
      <c r="D185" s="132">
        <v>0</v>
      </c>
      <c r="E185" s="131" t="s">
        <v>1534</v>
      </c>
      <c r="F185" s="131" t="s">
        <v>119</v>
      </c>
      <c r="G185" s="131" t="s">
        <v>910</v>
      </c>
      <c r="H185" s="131" t="s">
        <v>356</v>
      </c>
      <c r="I185" s="131" t="s">
        <v>382</v>
      </c>
      <c r="J185" s="131" t="s">
        <v>887</v>
      </c>
      <c r="K185" s="131" t="s">
        <v>911</v>
      </c>
      <c r="L185" s="131" t="s">
        <v>914</v>
      </c>
      <c r="M185" s="131" t="s">
        <v>388</v>
      </c>
      <c r="N185" s="131" t="s">
        <v>43</v>
      </c>
      <c r="O185" s="131" t="s">
        <v>541</v>
      </c>
      <c r="P185" s="131" t="s">
        <v>979</v>
      </c>
      <c r="Q185" s="131" t="s">
        <v>1362</v>
      </c>
      <c r="R185" s="131" t="s">
        <v>57</v>
      </c>
      <c r="S185" s="131"/>
    </row>
    <row r="186" spans="1:19">
      <c r="A186" s="131" t="s">
        <v>1535</v>
      </c>
      <c r="B186" s="131" t="s">
        <v>1536</v>
      </c>
      <c r="C186" s="131" t="s">
        <v>909</v>
      </c>
      <c r="D186" s="132">
        <v>0</v>
      </c>
      <c r="E186" s="131" t="s">
        <v>1537</v>
      </c>
      <c r="F186" s="131" t="s">
        <v>53</v>
      </c>
      <c r="G186" s="131" t="s">
        <v>910</v>
      </c>
      <c r="H186" s="131" t="s">
        <v>327</v>
      </c>
      <c r="I186" s="131" t="s">
        <v>382</v>
      </c>
      <c r="J186" s="131" t="s">
        <v>887</v>
      </c>
      <c r="K186" s="131" t="s">
        <v>911</v>
      </c>
      <c r="L186" s="131" t="s">
        <v>914</v>
      </c>
      <c r="M186" s="131" t="s">
        <v>388</v>
      </c>
      <c r="N186" s="131" t="s">
        <v>43</v>
      </c>
      <c r="O186" s="131" t="s">
        <v>541</v>
      </c>
      <c r="P186" s="131" t="s">
        <v>979</v>
      </c>
      <c r="Q186" s="131" t="s">
        <v>1008</v>
      </c>
      <c r="R186" s="131" t="s">
        <v>53</v>
      </c>
      <c r="S186" s="131"/>
    </row>
    <row r="187" spans="1:19">
      <c r="A187" s="131" t="s">
        <v>1538</v>
      </c>
      <c r="B187" s="131" t="s">
        <v>1539</v>
      </c>
      <c r="C187" s="131" t="s">
        <v>909</v>
      </c>
      <c r="D187" s="132">
        <v>0</v>
      </c>
      <c r="E187" s="131" t="s">
        <v>1540</v>
      </c>
      <c r="F187" s="131" t="s">
        <v>63</v>
      </c>
      <c r="G187" s="131" t="s">
        <v>910</v>
      </c>
      <c r="H187" s="131" t="s">
        <v>327</v>
      </c>
      <c r="I187" s="131" t="s">
        <v>382</v>
      </c>
      <c r="J187" s="131" t="s">
        <v>887</v>
      </c>
      <c r="K187" s="131" t="s">
        <v>911</v>
      </c>
      <c r="L187" s="131" t="s">
        <v>914</v>
      </c>
      <c r="M187" s="131" t="s">
        <v>388</v>
      </c>
      <c r="N187" s="131" t="s">
        <v>43</v>
      </c>
      <c r="O187" s="131" t="s">
        <v>541</v>
      </c>
      <c r="P187" s="131" t="s">
        <v>979</v>
      </c>
      <c r="Q187" s="131" t="s">
        <v>1220</v>
      </c>
      <c r="R187" s="131" t="s">
        <v>63</v>
      </c>
      <c r="S187" s="131"/>
    </row>
    <row r="188" spans="1:19">
      <c r="A188" s="131" t="s">
        <v>1541</v>
      </c>
      <c r="B188" s="131" t="s">
        <v>1542</v>
      </c>
      <c r="C188" s="131" t="s">
        <v>909</v>
      </c>
      <c r="D188" s="132">
        <v>0</v>
      </c>
      <c r="E188" s="131" t="s">
        <v>1543</v>
      </c>
      <c r="F188" s="131" t="s">
        <v>57</v>
      </c>
      <c r="G188" s="131" t="s">
        <v>910</v>
      </c>
      <c r="H188" s="131" t="s">
        <v>356</v>
      </c>
      <c r="I188" s="131" t="s">
        <v>382</v>
      </c>
      <c r="J188" s="131" t="s">
        <v>887</v>
      </c>
      <c r="K188" s="131" t="s">
        <v>911</v>
      </c>
      <c r="L188" s="131" t="s">
        <v>914</v>
      </c>
      <c r="M188" s="131" t="s">
        <v>388</v>
      </c>
      <c r="N188" s="131" t="s">
        <v>43</v>
      </c>
      <c r="O188" s="131" t="s">
        <v>541</v>
      </c>
      <c r="P188" s="131" t="s">
        <v>979</v>
      </c>
      <c r="Q188" s="131" t="s">
        <v>996</v>
      </c>
      <c r="R188" s="131" t="s">
        <v>57</v>
      </c>
      <c r="S188" s="131"/>
    </row>
    <row r="189" spans="1:19">
      <c r="A189" s="131" t="s">
        <v>1544</v>
      </c>
      <c r="B189" s="131" t="s">
        <v>1545</v>
      </c>
      <c r="C189" s="131" t="s">
        <v>909</v>
      </c>
      <c r="D189" s="132">
        <v>0</v>
      </c>
      <c r="E189" s="131" t="s">
        <v>1546</v>
      </c>
      <c r="F189" s="131" t="s">
        <v>53</v>
      </c>
      <c r="G189" s="131" t="s">
        <v>910</v>
      </c>
      <c r="H189" s="131" t="s">
        <v>327</v>
      </c>
      <c r="I189" s="131" t="s">
        <v>387</v>
      </c>
      <c r="J189" s="131" t="s">
        <v>887</v>
      </c>
      <c r="K189" s="131" t="s">
        <v>911</v>
      </c>
      <c r="L189" s="131" t="s">
        <v>914</v>
      </c>
      <c r="M189" s="131" t="s">
        <v>388</v>
      </c>
      <c r="N189" s="131" t="s">
        <v>43</v>
      </c>
      <c r="O189" s="131" t="s">
        <v>541</v>
      </c>
      <c r="P189" s="131" t="s">
        <v>979</v>
      </c>
      <c r="Q189" s="131" t="s">
        <v>1049</v>
      </c>
      <c r="R189" s="131" t="s">
        <v>53</v>
      </c>
      <c r="S189" s="131"/>
    </row>
    <row r="190" spans="1:19">
      <c r="A190" s="131" t="s">
        <v>1547</v>
      </c>
      <c r="B190" s="131" t="s">
        <v>1548</v>
      </c>
      <c r="C190" s="131" t="s">
        <v>909</v>
      </c>
      <c r="D190" s="132">
        <v>0</v>
      </c>
      <c r="E190" s="131" t="s">
        <v>1549</v>
      </c>
      <c r="F190" s="131" t="s">
        <v>53</v>
      </c>
      <c r="G190" s="131" t="s">
        <v>910</v>
      </c>
      <c r="H190" s="131" t="s">
        <v>327</v>
      </c>
      <c r="I190" s="131" t="s">
        <v>387</v>
      </c>
      <c r="J190" s="131" t="s">
        <v>887</v>
      </c>
      <c r="K190" s="131" t="s">
        <v>911</v>
      </c>
      <c r="L190" s="131" t="s">
        <v>914</v>
      </c>
      <c r="M190" s="131" t="s">
        <v>388</v>
      </c>
      <c r="N190" s="131" t="s">
        <v>43</v>
      </c>
      <c r="O190" s="131" t="s">
        <v>541</v>
      </c>
      <c r="P190" s="131" t="s">
        <v>979</v>
      </c>
      <c r="Q190" s="131" t="s">
        <v>1033</v>
      </c>
      <c r="R190" s="131" t="s">
        <v>53</v>
      </c>
      <c r="S190" s="131"/>
    </row>
    <row r="191" spans="1:19">
      <c r="A191" s="131" t="s">
        <v>1550</v>
      </c>
      <c r="B191" s="131" t="s">
        <v>1551</v>
      </c>
      <c r="C191" s="131" t="s">
        <v>909</v>
      </c>
      <c r="D191" s="132">
        <v>0</v>
      </c>
      <c r="E191" s="131" t="s">
        <v>1552</v>
      </c>
      <c r="F191" s="131" t="s">
        <v>53</v>
      </c>
      <c r="G191" s="131" t="s">
        <v>910</v>
      </c>
      <c r="H191" s="131" t="s">
        <v>327</v>
      </c>
      <c r="I191" s="131" t="s">
        <v>382</v>
      </c>
      <c r="J191" s="131" t="s">
        <v>887</v>
      </c>
      <c r="K191" s="131" t="s">
        <v>911</v>
      </c>
      <c r="L191" s="131" t="s">
        <v>912</v>
      </c>
      <c r="M191" s="131" t="s">
        <v>388</v>
      </c>
      <c r="N191" s="131" t="s">
        <v>43</v>
      </c>
      <c r="O191" s="131" t="s">
        <v>541</v>
      </c>
      <c r="P191" s="131" t="s">
        <v>979</v>
      </c>
      <c r="Q191" s="131" t="s">
        <v>1008</v>
      </c>
      <c r="R191" s="131" t="s">
        <v>53</v>
      </c>
      <c r="S191" s="131"/>
    </row>
    <row r="192" spans="1:19">
      <c r="A192" s="131" t="s">
        <v>1553</v>
      </c>
      <c r="B192" s="131" t="s">
        <v>1554</v>
      </c>
      <c r="C192" s="131" t="s">
        <v>909</v>
      </c>
      <c r="D192" s="132">
        <v>0</v>
      </c>
      <c r="E192" s="131" t="s">
        <v>1555</v>
      </c>
      <c r="F192" s="131" t="s">
        <v>158</v>
      </c>
      <c r="G192" s="131" t="s">
        <v>910</v>
      </c>
      <c r="H192" s="131" t="s">
        <v>327</v>
      </c>
      <c r="I192" s="131" t="s">
        <v>382</v>
      </c>
      <c r="J192" s="131" t="s">
        <v>887</v>
      </c>
      <c r="K192" s="131" t="s">
        <v>911</v>
      </c>
      <c r="L192" s="131" t="s">
        <v>914</v>
      </c>
      <c r="M192" s="131" t="s">
        <v>388</v>
      </c>
      <c r="N192" s="131" t="s">
        <v>43</v>
      </c>
      <c r="O192" s="131" t="s">
        <v>541</v>
      </c>
      <c r="P192" s="131" t="s">
        <v>979</v>
      </c>
      <c r="Q192" s="131" t="s">
        <v>1556</v>
      </c>
      <c r="R192" s="131" t="s">
        <v>60</v>
      </c>
      <c r="S192" s="131"/>
    </row>
    <row r="193" spans="1:19">
      <c r="A193" s="131" t="s">
        <v>1557</v>
      </c>
      <c r="B193" s="131" t="s">
        <v>1558</v>
      </c>
      <c r="C193" s="131" t="s">
        <v>1025</v>
      </c>
      <c r="D193" s="133">
        <v>58</v>
      </c>
      <c r="E193" s="131" t="s">
        <v>1559</v>
      </c>
      <c r="F193" s="131" t="s">
        <v>53</v>
      </c>
      <c r="G193" s="131" t="s">
        <v>1481</v>
      </c>
      <c r="H193" s="131" t="s">
        <v>327</v>
      </c>
      <c r="I193" s="131" t="s">
        <v>382</v>
      </c>
      <c r="J193" s="131" t="s">
        <v>887</v>
      </c>
      <c r="K193" s="131" t="s">
        <v>911</v>
      </c>
      <c r="L193" s="131" t="s">
        <v>914</v>
      </c>
      <c r="M193" s="131" t="s">
        <v>388</v>
      </c>
      <c r="N193" s="131"/>
      <c r="O193" s="131" t="s">
        <v>541</v>
      </c>
      <c r="P193" s="131" t="s">
        <v>979</v>
      </c>
      <c r="Q193" s="131" t="s">
        <v>1560</v>
      </c>
      <c r="R193" s="131" t="s">
        <v>53</v>
      </c>
      <c r="S193" s="131"/>
    </row>
    <row r="194" spans="1:19">
      <c r="A194" s="131" t="s">
        <v>1561</v>
      </c>
      <c r="B194" s="131" t="s">
        <v>1558</v>
      </c>
      <c r="C194" s="131" t="s">
        <v>1029</v>
      </c>
      <c r="D194" s="133">
        <v>56</v>
      </c>
      <c r="E194" s="131" t="s">
        <v>1559</v>
      </c>
      <c r="F194" s="131" t="s">
        <v>53</v>
      </c>
      <c r="G194" s="131" t="s">
        <v>1481</v>
      </c>
      <c r="H194" s="131" t="s">
        <v>327</v>
      </c>
      <c r="I194" s="131" t="s">
        <v>382</v>
      </c>
      <c r="J194" s="131" t="s">
        <v>887</v>
      </c>
      <c r="K194" s="131" t="s">
        <v>911</v>
      </c>
      <c r="L194" s="131" t="s">
        <v>914</v>
      </c>
      <c r="M194" s="131" t="s">
        <v>388</v>
      </c>
      <c r="N194" s="131"/>
      <c r="O194" s="131" t="s">
        <v>541</v>
      </c>
      <c r="P194" s="131" t="s">
        <v>979</v>
      </c>
      <c r="Q194" s="131" t="s">
        <v>1560</v>
      </c>
      <c r="R194" s="131" t="s">
        <v>53</v>
      </c>
      <c r="S194" s="131"/>
    </row>
    <row r="195" spans="1:19">
      <c r="A195" s="131" t="s">
        <v>1562</v>
      </c>
      <c r="B195" s="131" t="s">
        <v>1563</v>
      </c>
      <c r="C195" s="131" t="s">
        <v>909</v>
      </c>
      <c r="D195" s="132">
        <v>0</v>
      </c>
      <c r="E195" s="131" t="s">
        <v>1564</v>
      </c>
      <c r="F195" s="131" t="s">
        <v>237</v>
      </c>
      <c r="G195" s="131" t="s">
        <v>910</v>
      </c>
      <c r="H195" s="131" t="s">
        <v>356</v>
      </c>
      <c r="I195" s="131" t="s">
        <v>382</v>
      </c>
      <c r="J195" s="131" t="s">
        <v>887</v>
      </c>
      <c r="K195" s="131" t="s">
        <v>911</v>
      </c>
      <c r="L195" s="131" t="s">
        <v>914</v>
      </c>
      <c r="M195" s="131" t="s">
        <v>388</v>
      </c>
      <c r="N195" s="131" t="s">
        <v>43</v>
      </c>
      <c r="O195" s="131" t="s">
        <v>541</v>
      </c>
      <c r="P195" s="131" t="s">
        <v>979</v>
      </c>
      <c r="Q195" s="131" t="s">
        <v>1482</v>
      </c>
      <c r="R195" s="131" t="s">
        <v>83</v>
      </c>
      <c r="S195" s="131"/>
    </row>
    <row r="196" spans="1:19">
      <c r="A196" s="131" t="s">
        <v>1565</v>
      </c>
      <c r="B196" s="131" t="s">
        <v>1566</v>
      </c>
      <c r="C196" s="131" t="s">
        <v>909</v>
      </c>
      <c r="D196" s="132">
        <v>0</v>
      </c>
      <c r="E196" s="131" t="s">
        <v>1567</v>
      </c>
      <c r="F196" s="131" t="s">
        <v>179</v>
      </c>
      <c r="G196" s="131" t="s">
        <v>910</v>
      </c>
      <c r="H196" s="131" t="s">
        <v>356</v>
      </c>
      <c r="I196" s="131" t="s">
        <v>382</v>
      </c>
      <c r="J196" s="131" t="s">
        <v>887</v>
      </c>
      <c r="K196" s="131" t="s">
        <v>911</v>
      </c>
      <c r="L196" s="131" t="s">
        <v>914</v>
      </c>
      <c r="M196" s="131" t="s">
        <v>388</v>
      </c>
      <c r="N196" s="131" t="s">
        <v>43</v>
      </c>
      <c r="O196" s="131" t="s">
        <v>541</v>
      </c>
      <c r="P196" s="131" t="s">
        <v>979</v>
      </c>
      <c r="Q196" s="131" t="s">
        <v>1057</v>
      </c>
      <c r="R196" s="131" t="s">
        <v>78</v>
      </c>
      <c r="S196" s="131"/>
    </row>
    <row r="197" spans="1:19">
      <c r="A197" s="131" t="s">
        <v>1568</v>
      </c>
      <c r="B197" s="131" t="s">
        <v>1569</v>
      </c>
      <c r="C197" s="131" t="s">
        <v>909</v>
      </c>
      <c r="D197" s="132">
        <v>0</v>
      </c>
      <c r="E197" s="131" t="s">
        <v>1570</v>
      </c>
      <c r="F197" s="131" t="s">
        <v>845</v>
      </c>
      <c r="G197" s="131" t="s">
        <v>910</v>
      </c>
      <c r="H197" s="131" t="s">
        <v>356</v>
      </c>
      <c r="I197" s="131" t="s">
        <v>382</v>
      </c>
      <c r="J197" s="131" t="s">
        <v>887</v>
      </c>
      <c r="K197" s="131" t="s">
        <v>911</v>
      </c>
      <c r="L197" s="131" t="s">
        <v>914</v>
      </c>
      <c r="M197" s="131" t="s">
        <v>388</v>
      </c>
      <c r="N197" s="131" t="s">
        <v>43</v>
      </c>
      <c r="O197" s="131" t="s">
        <v>541</v>
      </c>
      <c r="P197" s="131" t="s">
        <v>979</v>
      </c>
      <c r="Q197" s="131" t="s">
        <v>1008</v>
      </c>
      <c r="R197" s="131" t="s">
        <v>60</v>
      </c>
      <c r="S197" s="131"/>
    </row>
    <row r="198" spans="1:19">
      <c r="A198" s="131" t="s">
        <v>1571</v>
      </c>
      <c r="B198" s="131" t="s">
        <v>1572</v>
      </c>
      <c r="C198" s="131" t="s">
        <v>909</v>
      </c>
      <c r="D198" s="132">
        <v>0</v>
      </c>
      <c r="E198" s="134">
        <v>11576724</v>
      </c>
      <c r="F198" s="131" t="s">
        <v>55</v>
      </c>
      <c r="G198" s="131" t="s">
        <v>918</v>
      </c>
      <c r="H198" s="131" t="s">
        <v>327</v>
      </c>
      <c r="I198" s="131" t="s">
        <v>382</v>
      </c>
      <c r="J198" s="131" t="s">
        <v>887</v>
      </c>
      <c r="K198" s="131"/>
      <c r="L198" s="131"/>
      <c r="M198" s="131" t="s">
        <v>388</v>
      </c>
      <c r="N198" s="131"/>
      <c r="O198" s="131" t="s">
        <v>541</v>
      </c>
      <c r="P198" s="131" t="s">
        <v>979</v>
      </c>
      <c r="Q198" s="131" t="s">
        <v>1499</v>
      </c>
      <c r="R198" s="131" t="s">
        <v>71</v>
      </c>
      <c r="S198" s="131"/>
    </row>
    <row r="199" spans="1:19">
      <c r="A199" s="131" t="s">
        <v>1573</v>
      </c>
      <c r="B199" s="131" t="s">
        <v>1574</v>
      </c>
      <c r="C199" s="131" t="s">
        <v>909</v>
      </c>
      <c r="D199" s="132">
        <v>0</v>
      </c>
      <c r="E199" s="131" t="s">
        <v>1575</v>
      </c>
      <c r="F199" s="131" t="s">
        <v>53</v>
      </c>
      <c r="G199" s="131" t="s">
        <v>918</v>
      </c>
      <c r="H199" s="131" t="s">
        <v>327</v>
      </c>
      <c r="I199" s="131" t="s">
        <v>382</v>
      </c>
      <c r="J199" s="131" t="s">
        <v>887</v>
      </c>
      <c r="K199" s="131" t="s">
        <v>1047</v>
      </c>
      <c r="L199" s="131" t="s">
        <v>1048</v>
      </c>
      <c r="M199" s="131" t="s">
        <v>388</v>
      </c>
      <c r="N199" s="131"/>
      <c r="O199" s="131" t="s">
        <v>541</v>
      </c>
      <c r="P199" s="131" t="s">
        <v>979</v>
      </c>
      <c r="Q199" s="131" t="s">
        <v>1362</v>
      </c>
      <c r="R199" s="131" t="s">
        <v>53</v>
      </c>
      <c r="S199" s="131"/>
    </row>
    <row r="200" spans="1:19">
      <c r="A200" s="131" t="s">
        <v>1576</v>
      </c>
      <c r="B200" s="131" t="s">
        <v>1577</v>
      </c>
      <c r="C200" s="131" t="s">
        <v>909</v>
      </c>
      <c r="D200" s="132">
        <v>0</v>
      </c>
      <c r="E200" s="131" t="s">
        <v>1578</v>
      </c>
      <c r="F200" s="131" t="s">
        <v>248</v>
      </c>
      <c r="G200" s="131" t="s">
        <v>910</v>
      </c>
      <c r="H200" s="131" t="s">
        <v>356</v>
      </c>
      <c r="I200" s="131" t="s">
        <v>382</v>
      </c>
      <c r="J200" s="131" t="s">
        <v>887</v>
      </c>
      <c r="K200" s="131" t="s">
        <v>911</v>
      </c>
      <c r="L200" s="131" t="s">
        <v>912</v>
      </c>
      <c r="M200" s="131" t="s">
        <v>388</v>
      </c>
      <c r="N200" s="131" t="s">
        <v>43</v>
      </c>
      <c r="O200" s="131" t="s">
        <v>541</v>
      </c>
      <c r="P200" s="131" t="s">
        <v>979</v>
      </c>
      <c r="Q200" s="131" t="s">
        <v>1579</v>
      </c>
      <c r="R200" s="131" t="s">
        <v>71</v>
      </c>
      <c r="S200" s="131"/>
    </row>
    <row r="201" spans="1:19">
      <c r="A201" s="131" t="s">
        <v>1580</v>
      </c>
      <c r="B201" s="131" t="s">
        <v>1581</v>
      </c>
      <c r="C201" s="131" t="s">
        <v>1025</v>
      </c>
      <c r="D201" s="133">
        <v>58</v>
      </c>
      <c r="E201" s="131" t="s">
        <v>1582</v>
      </c>
      <c r="F201" s="131" t="s">
        <v>53</v>
      </c>
      <c r="G201" s="131" t="s">
        <v>910</v>
      </c>
      <c r="H201" s="131" t="s">
        <v>783</v>
      </c>
      <c r="I201" s="131" t="s">
        <v>382</v>
      </c>
      <c r="J201" s="131" t="s">
        <v>887</v>
      </c>
      <c r="K201" s="131" t="s">
        <v>911</v>
      </c>
      <c r="L201" s="131" t="s">
        <v>914</v>
      </c>
      <c r="M201" s="131" t="s">
        <v>388</v>
      </c>
      <c r="N201" s="131" t="s">
        <v>43</v>
      </c>
      <c r="O201" s="131" t="s">
        <v>541</v>
      </c>
      <c r="P201" s="131" t="s">
        <v>979</v>
      </c>
      <c r="Q201" s="131" t="s">
        <v>1049</v>
      </c>
      <c r="R201" s="131" t="s">
        <v>53</v>
      </c>
      <c r="S201" s="131"/>
    </row>
    <row r="202" spans="1:19">
      <c r="A202" s="131" t="s">
        <v>1583</v>
      </c>
      <c r="B202" s="131" t="s">
        <v>1581</v>
      </c>
      <c r="C202" s="131" t="s">
        <v>1029</v>
      </c>
      <c r="D202" s="133">
        <v>56</v>
      </c>
      <c r="E202" s="131" t="s">
        <v>1582</v>
      </c>
      <c r="F202" s="131" t="s">
        <v>53</v>
      </c>
      <c r="G202" s="131" t="s">
        <v>910</v>
      </c>
      <c r="H202" s="131" t="s">
        <v>783</v>
      </c>
      <c r="I202" s="131" t="s">
        <v>382</v>
      </c>
      <c r="J202" s="131" t="s">
        <v>887</v>
      </c>
      <c r="K202" s="131" t="s">
        <v>911</v>
      </c>
      <c r="L202" s="131" t="s">
        <v>914</v>
      </c>
      <c r="M202" s="131" t="s">
        <v>388</v>
      </c>
      <c r="N202" s="131" t="s">
        <v>43</v>
      </c>
      <c r="O202" s="131" t="s">
        <v>541</v>
      </c>
      <c r="P202" s="131" t="s">
        <v>979</v>
      </c>
      <c r="Q202" s="131" t="s">
        <v>1049</v>
      </c>
      <c r="R202" s="131" t="s">
        <v>53</v>
      </c>
      <c r="S202" s="131"/>
    </row>
    <row r="203" spans="1:19">
      <c r="A203" s="131" t="s">
        <v>1584</v>
      </c>
      <c r="B203" s="131" t="s">
        <v>1585</v>
      </c>
      <c r="C203" s="131" t="s">
        <v>909</v>
      </c>
      <c r="D203" s="132">
        <v>0</v>
      </c>
      <c r="E203" s="131" t="s">
        <v>1586</v>
      </c>
      <c r="F203" s="131" t="s">
        <v>71</v>
      </c>
      <c r="G203" s="131" t="s">
        <v>910</v>
      </c>
      <c r="H203" s="131" t="s">
        <v>327</v>
      </c>
      <c r="I203" s="131" t="s">
        <v>382</v>
      </c>
      <c r="J203" s="131" t="s">
        <v>887</v>
      </c>
      <c r="K203" s="131" t="s">
        <v>911</v>
      </c>
      <c r="L203" s="131" t="s">
        <v>914</v>
      </c>
      <c r="M203" s="131" t="s">
        <v>388</v>
      </c>
      <c r="N203" s="131" t="s">
        <v>43</v>
      </c>
      <c r="O203" s="131" t="s">
        <v>541</v>
      </c>
      <c r="P203" s="131" t="s">
        <v>979</v>
      </c>
      <c r="Q203" s="131" t="s">
        <v>1579</v>
      </c>
      <c r="R203" s="131" t="s">
        <v>71</v>
      </c>
      <c r="S203" s="131"/>
    </row>
    <row r="204" spans="1:19">
      <c r="A204" s="131" t="s">
        <v>1587</v>
      </c>
      <c r="B204" s="131" t="s">
        <v>1588</v>
      </c>
      <c r="C204" s="131" t="s">
        <v>909</v>
      </c>
      <c r="D204" s="132">
        <v>0</v>
      </c>
      <c r="E204" s="131" t="s">
        <v>1589</v>
      </c>
      <c r="F204" s="131" t="s">
        <v>68</v>
      </c>
      <c r="G204" s="131" t="s">
        <v>910</v>
      </c>
      <c r="H204" s="131" t="s">
        <v>327</v>
      </c>
      <c r="I204" s="131" t="s">
        <v>387</v>
      </c>
      <c r="J204" s="131" t="s">
        <v>887</v>
      </c>
      <c r="K204" s="131" t="s">
        <v>911</v>
      </c>
      <c r="L204" s="131" t="s">
        <v>914</v>
      </c>
      <c r="M204" s="131" t="s">
        <v>388</v>
      </c>
      <c r="N204" s="131" t="s">
        <v>43</v>
      </c>
      <c r="O204" s="131" t="s">
        <v>541</v>
      </c>
      <c r="P204" s="131" t="s">
        <v>979</v>
      </c>
      <c r="Q204" s="131" t="s">
        <v>996</v>
      </c>
      <c r="R204" s="131" t="s">
        <v>68</v>
      </c>
      <c r="S204" s="131"/>
    </row>
    <row r="205" spans="1:19">
      <c r="A205" s="131" t="s">
        <v>1590</v>
      </c>
      <c r="B205" s="131" t="s">
        <v>1591</v>
      </c>
      <c r="C205" s="131" t="s">
        <v>1025</v>
      </c>
      <c r="D205" s="133">
        <v>58</v>
      </c>
      <c r="E205" s="131" t="s">
        <v>1592</v>
      </c>
      <c r="F205" s="131" t="s">
        <v>308</v>
      </c>
      <c r="G205" s="131" t="s">
        <v>910</v>
      </c>
      <c r="H205" s="131" t="s">
        <v>783</v>
      </c>
      <c r="I205" s="131" t="s">
        <v>382</v>
      </c>
      <c r="J205" s="131" t="s">
        <v>887</v>
      </c>
      <c r="K205" s="131" t="s">
        <v>1111</v>
      </c>
      <c r="L205" s="131" t="s">
        <v>1112</v>
      </c>
      <c r="M205" s="131" t="s">
        <v>388</v>
      </c>
      <c r="N205" s="131" t="s">
        <v>43</v>
      </c>
      <c r="O205" s="131" t="s">
        <v>541</v>
      </c>
      <c r="P205" s="131" t="s">
        <v>979</v>
      </c>
      <c r="Q205" s="131" t="s">
        <v>1008</v>
      </c>
      <c r="R205" s="131" t="s">
        <v>53</v>
      </c>
      <c r="S205" s="131"/>
    </row>
    <row r="206" spans="1:19">
      <c r="A206" s="131" t="s">
        <v>1593</v>
      </c>
      <c r="B206" s="131" t="s">
        <v>1591</v>
      </c>
      <c r="C206" s="131" t="s">
        <v>1029</v>
      </c>
      <c r="D206" s="133">
        <v>56</v>
      </c>
      <c r="E206" s="131" t="s">
        <v>1592</v>
      </c>
      <c r="F206" s="131" t="s">
        <v>308</v>
      </c>
      <c r="G206" s="131" t="s">
        <v>910</v>
      </c>
      <c r="H206" s="131" t="s">
        <v>783</v>
      </c>
      <c r="I206" s="131" t="s">
        <v>382</v>
      </c>
      <c r="J206" s="131" t="s">
        <v>887</v>
      </c>
      <c r="K206" s="131" t="s">
        <v>1111</v>
      </c>
      <c r="L206" s="131" t="s">
        <v>1112</v>
      </c>
      <c r="M206" s="131" t="s">
        <v>388</v>
      </c>
      <c r="N206" s="131" t="s">
        <v>43</v>
      </c>
      <c r="O206" s="131" t="s">
        <v>541</v>
      </c>
      <c r="P206" s="131" t="s">
        <v>979</v>
      </c>
      <c r="Q206" s="131" t="s">
        <v>1008</v>
      </c>
      <c r="R206" s="131" t="s">
        <v>53</v>
      </c>
      <c r="S206" s="131"/>
    </row>
    <row r="207" spans="1:19">
      <c r="A207" s="131" t="s">
        <v>1594</v>
      </c>
      <c r="B207" s="131" t="s">
        <v>1595</v>
      </c>
      <c r="C207" s="131" t="s">
        <v>1025</v>
      </c>
      <c r="D207" s="133">
        <v>58</v>
      </c>
      <c r="E207" s="131" t="s">
        <v>1596</v>
      </c>
      <c r="F207" s="131" t="s">
        <v>55</v>
      </c>
      <c r="G207" s="131" t="s">
        <v>910</v>
      </c>
      <c r="H207" s="131" t="s">
        <v>783</v>
      </c>
      <c r="I207" s="131" t="s">
        <v>382</v>
      </c>
      <c r="J207" s="131" t="s">
        <v>887</v>
      </c>
      <c r="K207" s="131" t="s">
        <v>911</v>
      </c>
      <c r="L207" s="131" t="s">
        <v>915</v>
      </c>
      <c r="M207" s="131" t="s">
        <v>388</v>
      </c>
      <c r="N207" s="131" t="s">
        <v>43</v>
      </c>
      <c r="O207" s="131" t="s">
        <v>541</v>
      </c>
      <c r="P207" s="131" t="s">
        <v>979</v>
      </c>
      <c r="Q207" s="131" t="s">
        <v>1027</v>
      </c>
      <c r="R207" s="131" t="s">
        <v>71</v>
      </c>
      <c r="S207" s="131"/>
    </row>
    <row r="208" spans="1:19">
      <c r="A208" s="131" t="s">
        <v>1597</v>
      </c>
      <c r="B208" s="131" t="s">
        <v>1595</v>
      </c>
      <c r="C208" s="131" t="s">
        <v>1029</v>
      </c>
      <c r="D208" s="133">
        <v>56</v>
      </c>
      <c r="E208" s="131" t="s">
        <v>1596</v>
      </c>
      <c r="F208" s="131" t="s">
        <v>55</v>
      </c>
      <c r="G208" s="131" t="s">
        <v>910</v>
      </c>
      <c r="H208" s="131" t="s">
        <v>783</v>
      </c>
      <c r="I208" s="131" t="s">
        <v>382</v>
      </c>
      <c r="J208" s="131" t="s">
        <v>887</v>
      </c>
      <c r="K208" s="131" t="s">
        <v>911</v>
      </c>
      <c r="L208" s="131" t="s">
        <v>915</v>
      </c>
      <c r="M208" s="131" t="s">
        <v>388</v>
      </c>
      <c r="N208" s="131" t="s">
        <v>43</v>
      </c>
      <c r="O208" s="131" t="s">
        <v>541</v>
      </c>
      <c r="P208" s="131" t="s">
        <v>979</v>
      </c>
      <c r="Q208" s="131" t="s">
        <v>1027</v>
      </c>
      <c r="R208" s="131" t="s">
        <v>71</v>
      </c>
      <c r="S208" s="131"/>
    </row>
    <row r="209" spans="1:19">
      <c r="A209" s="131" t="s">
        <v>1598</v>
      </c>
      <c r="B209" s="131" t="s">
        <v>1599</v>
      </c>
      <c r="C209" s="131" t="s">
        <v>1025</v>
      </c>
      <c r="D209" s="133">
        <v>58</v>
      </c>
      <c r="E209" s="131" t="s">
        <v>1600</v>
      </c>
      <c r="F209" s="131" t="s">
        <v>55</v>
      </c>
      <c r="G209" s="131" t="s">
        <v>910</v>
      </c>
      <c r="H209" s="131" t="s">
        <v>783</v>
      </c>
      <c r="I209" s="131" t="s">
        <v>382</v>
      </c>
      <c r="J209" s="131" t="s">
        <v>887</v>
      </c>
      <c r="K209" s="131" t="s">
        <v>911</v>
      </c>
      <c r="L209" s="131" t="s">
        <v>914</v>
      </c>
      <c r="M209" s="131" t="s">
        <v>388</v>
      </c>
      <c r="N209" s="131" t="s">
        <v>43</v>
      </c>
      <c r="O209" s="131" t="s">
        <v>541</v>
      </c>
      <c r="P209" s="131" t="s">
        <v>979</v>
      </c>
      <c r="Q209" s="131" t="s">
        <v>1601</v>
      </c>
      <c r="R209" s="131" t="s">
        <v>71</v>
      </c>
      <c r="S209" s="131"/>
    </row>
    <row r="210" spans="1:19">
      <c r="A210" s="131" t="s">
        <v>1602</v>
      </c>
      <c r="B210" s="131" t="s">
        <v>1599</v>
      </c>
      <c r="C210" s="131" t="s">
        <v>1029</v>
      </c>
      <c r="D210" s="133">
        <v>56</v>
      </c>
      <c r="E210" s="131" t="s">
        <v>1600</v>
      </c>
      <c r="F210" s="131" t="s">
        <v>55</v>
      </c>
      <c r="G210" s="131" t="s">
        <v>910</v>
      </c>
      <c r="H210" s="131" t="s">
        <v>783</v>
      </c>
      <c r="I210" s="131" t="s">
        <v>382</v>
      </c>
      <c r="J210" s="131" t="s">
        <v>887</v>
      </c>
      <c r="K210" s="131" t="s">
        <v>911</v>
      </c>
      <c r="L210" s="131" t="s">
        <v>914</v>
      </c>
      <c r="M210" s="131" t="s">
        <v>388</v>
      </c>
      <c r="N210" s="131" t="s">
        <v>43</v>
      </c>
      <c r="O210" s="131" t="s">
        <v>541</v>
      </c>
      <c r="P210" s="131" t="s">
        <v>979</v>
      </c>
      <c r="Q210" s="131" t="s">
        <v>1601</v>
      </c>
      <c r="R210" s="131" t="s">
        <v>71</v>
      </c>
      <c r="S210" s="131"/>
    </row>
    <row r="211" spans="1:19">
      <c r="A211" s="131" t="s">
        <v>1603</v>
      </c>
      <c r="B211" s="131" t="s">
        <v>1604</v>
      </c>
      <c r="C211" s="131" t="s">
        <v>909</v>
      </c>
      <c r="D211" s="132">
        <v>0</v>
      </c>
      <c r="E211" s="131" t="s">
        <v>1605</v>
      </c>
      <c r="F211" s="131" t="s">
        <v>53</v>
      </c>
      <c r="G211" s="131" t="s">
        <v>910</v>
      </c>
      <c r="H211" s="131" t="s">
        <v>327</v>
      </c>
      <c r="I211" s="131" t="s">
        <v>382</v>
      </c>
      <c r="J211" s="131" t="s">
        <v>887</v>
      </c>
      <c r="K211" s="131" t="s">
        <v>911</v>
      </c>
      <c r="L211" s="131" t="s">
        <v>914</v>
      </c>
      <c r="M211" s="131" t="s">
        <v>388</v>
      </c>
      <c r="N211" s="131" t="s">
        <v>43</v>
      </c>
      <c r="O211" s="131" t="s">
        <v>541</v>
      </c>
      <c r="P211" s="131" t="s">
        <v>979</v>
      </c>
      <c r="Q211" s="131" t="s">
        <v>1033</v>
      </c>
      <c r="R211" s="131" t="s">
        <v>53</v>
      </c>
      <c r="S211" s="131"/>
    </row>
    <row r="212" spans="1:19">
      <c r="A212" s="131" t="s">
        <v>1606</v>
      </c>
      <c r="B212" s="131" t="s">
        <v>1607</v>
      </c>
      <c r="C212" s="131" t="s">
        <v>909</v>
      </c>
      <c r="D212" s="132">
        <v>0</v>
      </c>
      <c r="E212" s="131" t="s">
        <v>1608</v>
      </c>
      <c r="F212" s="131" t="s">
        <v>55</v>
      </c>
      <c r="G212" s="131" t="s">
        <v>910</v>
      </c>
      <c r="H212" s="131" t="s">
        <v>327</v>
      </c>
      <c r="I212" s="131" t="s">
        <v>382</v>
      </c>
      <c r="J212" s="131" t="s">
        <v>887</v>
      </c>
      <c r="K212" s="131" t="s">
        <v>911</v>
      </c>
      <c r="L212" s="131" t="s">
        <v>914</v>
      </c>
      <c r="M212" s="131" t="s">
        <v>388</v>
      </c>
      <c r="N212" s="131" t="s">
        <v>43</v>
      </c>
      <c r="O212" s="131" t="s">
        <v>541</v>
      </c>
      <c r="P212" s="131" t="s">
        <v>979</v>
      </c>
      <c r="Q212" s="131" t="s">
        <v>1601</v>
      </c>
      <c r="R212" s="131" t="s">
        <v>71</v>
      </c>
      <c r="S212" s="131"/>
    </row>
    <row r="213" spans="1:19">
      <c r="A213" s="131" t="s">
        <v>1609</v>
      </c>
      <c r="B213" s="131" t="s">
        <v>1610</v>
      </c>
      <c r="C213" s="131" t="s">
        <v>1025</v>
      </c>
      <c r="D213" s="133">
        <v>58</v>
      </c>
      <c r="E213" s="131" t="s">
        <v>1611</v>
      </c>
      <c r="F213" s="131" t="s">
        <v>53</v>
      </c>
      <c r="G213" s="131" t="s">
        <v>1338</v>
      </c>
      <c r="H213" s="131" t="s">
        <v>327</v>
      </c>
      <c r="I213" s="131" t="s">
        <v>382</v>
      </c>
      <c r="J213" s="131" t="s">
        <v>887</v>
      </c>
      <c r="K213" s="131" t="s">
        <v>911</v>
      </c>
      <c r="L213" s="131" t="s">
        <v>914</v>
      </c>
      <c r="M213" s="131" t="s">
        <v>388</v>
      </c>
      <c r="N213" s="131" t="s">
        <v>43</v>
      </c>
      <c r="O213" s="131" t="s">
        <v>541</v>
      </c>
      <c r="P213" s="131" t="s">
        <v>979</v>
      </c>
      <c r="Q213" s="131" t="s">
        <v>1612</v>
      </c>
      <c r="R213" s="131" t="s">
        <v>53</v>
      </c>
      <c r="S213" s="131"/>
    </row>
    <row r="214" spans="1:19">
      <c r="A214" s="131" t="s">
        <v>1613</v>
      </c>
      <c r="B214" s="131" t="s">
        <v>1610</v>
      </c>
      <c r="C214" s="131" t="s">
        <v>1029</v>
      </c>
      <c r="D214" s="133">
        <v>56</v>
      </c>
      <c r="E214" s="131" t="s">
        <v>1611</v>
      </c>
      <c r="F214" s="131" t="s">
        <v>53</v>
      </c>
      <c r="G214" s="131" t="s">
        <v>1338</v>
      </c>
      <c r="H214" s="131" t="s">
        <v>327</v>
      </c>
      <c r="I214" s="131" t="s">
        <v>382</v>
      </c>
      <c r="J214" s="131" t="s">
        <v>887</v>
      </c>
      <c r="K214" s="131" t="s">
        <v>911</v>
      </c>
      <c r="L214" s="131" t="s">
        <v>914</v>
      </c>
      <c r="M214" s="131" t="s">
        <v>388</v>
      </c>
      <c r="N214" s="131" t="s">
        <v>43</v>
      </c>
      <c r="O214" s="131" t="s">
        <v>541</v>
      </c>
      <c r="P214" s="131" t="s">
        <v>979</v>
      </c>
      <c r="Q214" s="131" t="s">
        <v>1612</v>
      </c>
      <c r="R214" s="131" t="s">
        <v>53</v>
      </c>
      <c r="S214" s="131"/>
    </row>
    <row r="215" spans="1:19">
      <c r="A215" s="131" t="s">
        <v>1614</v>
      </c>
      <c r="B215" s="131" t="s">
        <v>1615</v>
      </c>
      <c r="C215" s="131" t="s">
        <v>1025</v>
      </c>
      <c r="D215" s="133">
        <v>58</v>
      </c>
      <c r="E215" s="131" t="s">
        <v>1616</v>
      </c>
      <c r="F215" s="131" t="s">
        <v>53</v>
      </c>
      <c r="G215" s="131" t="s">
        <v>1338</v>
      </c>
      <c r="H215" s="131" t="s">
        <v>327</v>
      </c>
      <c r="I215" s="131" t="s">
        <v>382</v>
      </c>
      <c r="J215" s="131" t="s">
        <v>887</v>
      </c>
      <c r="K215" s="131" t="s">
        <v>911</v>
      </c>
      <c r="L215" s="131" t="s">
        <v>914</v>
      </c>
      <c r="M215" s="131" t="s">
        <v>388</v>
      </c>
      <c r="N215" s="131" t="s">
        <v>43</v>
      </c>
      <c r="O215" s="131" t="s">
        <v>541</v>
      </c>
      <c r="P215" s="131" t="s">
        <v>979</v>
      </c>
      <c r="Q215" s="131" t="s">
        <v>1617</v>
      </c>
      <c r="R215" s="131" t="s">
        <v>53</v>
      </c>
      <c r="S215" s="131"/>
    </row>
    <row r="216" spans="1:19">
      <c r="A216" s="131" t="s">
        <v>1618</v>
      </c>
      <c r="B216" s="131" t="s">
        <v>1615</v>
      </c>
      <c r="C216" s="131" t="s">
        <v>1029</v>
      </c>
      <c r="D216" s="133">
        <v>56</v>
      </c>
      <c r="E216" s="131" t="s">
        <v>1616</v>
      </c>
      <c r="F216" s="131" t="s">
        <v>53</v>
      </c>
      <c r="G216" s="131" t="s">
        <v>1338</v>
      </c>
      <c r="H216" s="131" t="s">
        <v>327</v>
      </c>
      <c r="I216" s="131" t="s">
        <v>382</v>
      </c>
      <c r="J216" s="131" t="s">
        <v>887</v>
      </c>
      <c r="K216" s="131" t="s">
        <v>911</v>
      </c>
      <c r="L216" s="131" t="s">
        <v>914</v>
      </c>
      <c r="M216" s="131" t="s">
        <v>388</v>
      </c>
      <c r="N216" s="131" t="s">
        <v>43</v>
      </c>
      <c r="O216" s="131" t="s">
        <v>541</v>
      </c>
      <c r="P216" s="131" t="s">
        <v>979</v>
      </c>
      <c r="Q216" s="131" t="s">
        <v>1617</v>
      </c>
      <c r="R216" s="131" t="s">
        <v>53</v>
      </c>
      <c r="S216" s="131"/>
    </row>
    <row r="217" spans="1:19">
      <c r="A217" s="131" t="s">
        <v>1619</v>
      </c>
      <c r="B217" s="131" t="s">
        <v>1620</v>
      </c>
      <c r="C217" s="131" t="s">
        <v>909</v>
      </c>
      <c r="D217" s="132">
        <v>0</v>
      </c>
      <c r="E217" s="131" t="s">
        <v>1621</v>
      </c>
      <c r="F217" s="131" t="s">
        <v>53</v>
      </c>
      <c r="G217" s="131" t="s">
        <v>918</v>
      </c>
      <c r="H217" s="131" t="s">
        <v>327</v>
      </c>
      <c r="I217" s="131" t="s">
        <v>382</v>
      </c>
      <c r="J217" s="131" t="s">
        <v>887</v>
      </c>
      <c r="K217" s="131" t="s">
        <v>911</v>
      </c>
      <c r="L217" s="131" t="s">
        <v>920</v>
      </c>
      <c r="M217" s="131" t="s">
        <v>388</v>
      </c>
      <c r="N217" s="131"/>
      <c r="O217" s="131" t="s">
        <v>541</v>
      </c>
      <c r="P217" s="131" t="s">
        <v>979</v>
      </c>
      <c r="Q217" s="131" t="s">
        <v>1362</v>
      </c>
      <c r="R217" s="131" t="s">
        <v>53</v>
      </c>
      <c r="S217" s="131"/>
    </row>
    <row r="218" spans="1:19">
      <c r="A218" s="131" t="s">
        <v>1622</v>
      </c>
      <c r="B218" s="131" t="s">
        <v>1623</v>
      </c>
      <c r="C218" s="131" t="s">
        <v>909</v>
      </c>
      <c r="D218" s="132">
        <v>0</v>
      </c>
      <c r="E218" s="131" t="s">
        <v>1624</v>
      </c>
      <c r="F218" s="131" t="s">
        <v>151</v>
      </c>
      <c r="G218" s="131" t="s">
        <v>918</v>
      </c>
      <c r="H218" s="131" t="s">
        <v>327</v>
      </c>
      <c r="I218" s="131" t="s">
        <v>382</v>
      </c>
      <c r="J218" s="131" t="s">
        <v>887</v>
      </c>
      <c r="K218" s="131" t="s">
        <v>911</v>
      </c>
      <c r="L218" s="131" t="s">
        <v>916</v>
      </c>
      <c r="M218" s="131" t="s">
        <v>388</v>
      </c>
      <c r="N218" s="131"/>
      <c r="O218" s="131" t="s">
        <v>541</v>
      </c>
      <c r="P218" s="131" t="s">
        <v>979</v>
      </c>
      <c r="Q218" s="131" t="s">
        <v>1625</v>
      </c>
      <c r="R218" s="131" t="s">
        <v>60</v>
      </c>
      <c r="S218" s="131"/>
    </row>
    <row r="219" spans="1:19">
      <c r="A219" s="131" t="s">
        <v>1626</v>
      </c>
      <c r="B219" s="131" t="s">
        <v>1627</v>
      </c>
      <c r="C219" s="131" t="s">
        <v>909</v>
      </c>
      <c r="D219" s="132">
        <v>0</v>
      </c>
      <c r="E219" s="131" t="s">
        <v>1628</v>
      </c>
      <c r="F219" s="131" t="s">
        <v>55</v>
      </c>
      <c r="G219" s="131" t="s">
        <v>918</v>
      </c>
      <c r="H219" s="131" t="s">
        <v>327</v>
      </c>
      <c r="I219" s="131" t="s">
        <v>382</v>
      </c>
      <c r="J219" s="131" t="s">
        <v>887</v>
      </c>
      <c r="K219" s="131" t="s">
        <v>911</v>
      </c>
      <c r="L219" s="131" t="s">
        <v>914</v>
      </c>
      <c r="M219" s="131" t="s">
        <v>388</v>
      </c>
      <c r="N219" s="131"/>
      <c r="O219" s="131" t="s">
        <v>541</v>
      </c>
      <c r="P219" s="131" t="s">
        <v>979</v>
      </c>
      <c r="Q219" s="131" t="s">
        <v>1499</v>
      </c>
      <c r="R219" s="131" t="s">
        <v>71</v>
      </c>
      <c r="S219" s="131"/>
    </row>
    <row r="220" spans="1:19">
      <c r="A220" s="131" t="s">
        <v>1629</v>
      </c>
      <c r="B220" s="131" t="s">
        <v>1630</v>
      </c>
      <c r="C220" s="131" t="s">
        <v>909</v>
      </c>
      <c r="D220" s="132">
        <v>0</v>
      </c>
      <c r="E220" s="131" t="s">
        <v>1631</v>
      </c>
      <c r="F220" s="131" t="s">
        <v>71</v>
      </c>
      <c r="G220" s="131" t="s">
        <v>918</v>
      </c>
      <c r="H220" s="131" t="s">
        <v>327</v>
      </c>
      <c r="I220" s="131" t="s">
        <v>382</v>
      </c>
      <c r="J220" s="131" t="s">
        <v>887</v>
      </c>
      <c r="K220" s="131" t="s">
        <v>911</v>
      </c>
      <c r="L220" s="131" t="s">
        <v>912</v>
      </c>
      <c r="M220" s="131" t="s">
        <v>388</v>
      </c>
      <c r="N220" s="131"/>
      <c r="O220" s="131" t="s">
        <v>541</v>
      </c>
      <c r="P220" s="131" t="s">
        <v>979</v>
      </c>
      <c r="Q220" s="131" t="s">
        <v>1632</v>
      </c>
      <c r="R220" s="131" t="s">
        <v>71</v>
      </c>
      <c r="S220" s="131"/>
    </row>
    <row r="221" spans="1:19">
      <c r="A221" s="131" t="s">
        <v>1633</v>
      </c>
      <c r="B221" s="131" t="s">
        <v>1634</v>
      </c>
      <c r="C221" s="131" t="s">
        <v>909</v>
      </c>
      <c r="D221" s="132">
        <v>0</v>
      </c>
      <c r="E221" s="131" t="s">
        <v>1635</v>
      </c>
      <c r="F221" s="131" t="s">
        <v>53</v>
      </c>
      <c r="G221" s="131" t="s">
        <v>918</v>
      </c>
      <c r="H221" s="131" t="s">
        <v>327</v>
      </c>
      <c r="I221" s="131" t="s">
        <v>382</v>
      </c>
      <c r="J221" s="131" t="s">
        <v>887</v>
      </c>
      <c r="K221" s="131" t="s">
        <v>911</v>
      </c>
      <c r="L221" s="131" t="s">
        <v>1516</v>
      </c>
      <c r="M221" s="131" t="s">
        <v>388</v>
      </c>
      <c r="N221" s="131"/>
      <c r="O221" s="131" t="s">
        <v>541</v>
      </c>
      <c r="P221" s="131" t="s">
        <v>979</v>
      </c>
      <c r="Q221" s="131" t="s">
        <v>1033</v>
      </c>
      <c r="R221" s="131" t="s">
        <v>53</v>
      </c>
      <c r="S221" s="131"/>
    </row>
    <row r="222" spans="1:19">
      <c r="A222" s="131" t="s">
        <v>1636</v>
      </c>
      <c r="B222" s="131" t="s">
        <v>1637</v>
      </c>
      <c r="C222" s="131" t="s">
        <v>909</v>
      </c>
      <c r="D222" s="132">
        <v>0</v>
      </c>
      <c r="E222" s="131" t="s">
        <v>1638</v>
      </c>
      <c r="F222" s="131" t="s">
        <v>83</v>
      </c>
      <c r="G222" s="131" t="s">
        <v>910</v>
      </c>
      <c r="H222" s="131" t="s">
        <v>327</v>
      </c>
      <c r="I222" s="131" t="s">
        <v>387</v>
      </c>
      <c r="J222" s="131" t="s">
        <v>887</v>
      </c>
      <c r="K222" s="131" t="s">
        <v>911</v>
      </c>
      <c r="L222" s="131" t="s">
        <v>914</v>
      </c>
      <c r="M222" s="131" t="s">
        <v>388</v>
      </c>
      <c r="N222" s="131" t="s">
        <v>43</v>
      </c>
      <c r="O222" s="131" t="s">
        <v>386</v>
      </c>
      <c r="P222" s="131" t="s">
        <v>979</v>
      </c>
      <c r="Q222" s="131" t="s">
        <v>1639</v>
      </c>
      <c r="R222" s="131" t="s">
        <v>83</v>
      </c>
      <c r="S222" s="131"/>
    </row>
    <row r="223" spans="1:19">
      <c r="A223" s="131" t="s">
        <v>1640</v>
      </c>
      <c r="B223" s="131" t="s">
        <v>1641</v>
      </c>
      <c r="C223" s="131" t="s">
        <v>909</v>
      </c>
      <c r="D223" s="132">
        <v>0</v>
      </c>
      <c r="E223" s="131" t="s">
        <v>1642</v>
      </c>
      <c r="F223" s="131" t="s">
        <v>53</v>
      </c>
      <c r="G223" s="131" t="s">
        <v>918</v>
      </c>
      <c r="H223" s="131" t="s">
        <v>327</v>
      </c>
      <c r="I223" s="131" t="s">
        <v>382</v>
      </c>
      <c r="J223" s="131" t="s">
        <v>887</v>
      </c>
      <c r="K223" s="131" t="s">
        <v>1047</v>
      </c>
      <c r="L223" s="131" t="s">
        <v>1048</v>
      </c>
      <c r="M223" s="131" t="s">
        <v>388</v>
      </c>
      <c r="N223" s="131"/>
      <c r="O223" s="131" t="s">
        <v>541</v>
      </c>
      <c r="P223" s="131" t="s">
        <v>979</v>
      </c>
      <c r="Q223" s="131" t="s">
        <v>1008</v>
      </c>
      <c r="R223" s="131" t="s">
        <v>53</v>
      </c>
      <c r="S223" s="131"/>
    </row>
    <row r="224" spans="1:19">
      <c r="A224" s="131" t="s">
        <v>1643</v>
      </c>
      <c r="B224" s="131" t="s">
        <v>1644</v>
      </c>
      <c r="C224" s="131" t="s">
        <v>909</v>
      </c>
      <c r="D224" s="132">
        <v>0</v>
      </c>
      <c r="E224" s="131" t="s">
        <v>1645</v>
      </c>
      <c r="F224" s="131" t="s">
        <v>53</v>
      </c>
      <c r="G224" s="131" t="s">
        <v>918</v>
      </c>
      <c r="H224" s="131" t="s">
        <v>327</v>
      </c>
      <c r="I224" s="131" t="s">
        <v>382</v>
      </c>
      <c r="J224" s="131" t="s">
        <v>887</v>
      </c>
      <c r="K224" s="131" t="s">
        <v>1047</v>
      </c>
      <c r="L224" s="131" t="s">
        <v>1053</v>
      </c>
      <c r="M224" s="131" t="s">
        <v>388</v>
      </c>
      <c r="N224" s="131"/>
      <c r="O224" s="131" t="s">
        <v>541</v>
      </c>
      <c r="P224" s="131" t="s">
        <v>979</v>
      </c>
      <c r="Q224" s="131" t="s">
        <v>1362</v>
      </c>
      <c r="R224" s="131" t="s">
        <v>53</v>
      </c>
      <c r="S224" s="131"/>
    </row>
    <row r="225" spans="1:19">
      <c r="A225" s="131" t="s">
        <v>1646</v>
      </c>
      <c r="B225" s="131" t="s">
        <v>1647</v>
      </c>
      <c r="C225" s="131" t="s">
        <v>909</v>
      </c>
      <c r="D225" s="132">
        <v>0</v>
      </c>
      <c r="E225" s="131" t="s">
        <v>1648</v>
      </c>
      <c r="F225" s="131" t="s">
        <v>53</v>
      </c>
      <c r="G225" s="131" t="s">
        <v>918</v>
      </c>
      <c r="H225" s="131" t="s">
        <v>327</v>
      </c>
      <c r="I225" s="131" t="s">
        <v>382</v>
      </c>
      <c r="J225" s="131" t="s">
        <v>887</v>
      </c>
      <c r="K225" s="131" t="s">
        <v>911</v>
      </c>
      <c r="L225" s="131" t="s">
        <v>914</v>
      </c>
      <c r="M225" s="131" t="s">
        <v>388</v>
      </c>
      <c r="N225" s="131"/>
      <c r="O225" s="131" t="s">
        <v>541</v>
      </c>
      <c r="P225" s="131" t="s">
        <v>979</v>
      </c>
      <c r="Q225" s="131" t="s">
        <v>1033</v>
      </c>
      <c r="R225" s="131" t="s">
        <v>53</v>
      </c>
      <c r="S225" s="131"/>
    </row>
    <row r="226" spans="1:19">
      <c r="A226" s="131" t="s">
        <v>1649</v>
      </c>
      <c r="B226" s="131" t="s">
        <v>1650</v>
      </c>
      <c r="C226" s="131" t="s">
        <v>909</v>
      </c>
      <c r="D226" s="132">
        <v>0</v>
      </c>
      <c r="E226" s="131" t="s">
        <v>1651</v>
      </c>
      <c r="F226" s="131" t="s">
        <v>53</v>
      </c>
      <c r="G226" s="131" t="s">
        <v>1652</v>
      </c>
      <c r="H226" s="131" t="s">
        <v>327</v>
      </c>
      <c r="I226" s="131" t="s">
        <v>382</v>
      </c>
      <c r="J226" s="131" t="s">
        <v>887</v>
      </c>
      <c r="K226" s="131" t="s">
        <v>911</v>
      </c>
      <c r="L226" s="131" t="s">
        <v>914</v>
      </c>
      <c r="M226" s="131" t="s">
        <v>388</v>
      </c>
      <c r="N226" s="131" t="s">
        <v>43</v>
      </c>
      <c r="O226" s="131" t="s">
        <v>386</v>
      </c>
      <c r="P226" s="131" t="s">
        <v>979</v>
      </c>
      <c r="Q226" s="131" t="s">
        <v>1008</v>
      </c>
      <c r="R226" s="131" t="s">
        <v>53</v>
      </c>
      <c r="S226" s="131"/>
    </row>
    <row r="227" spans="1:19">
      <c r="A227" s="131" t="s">
        <v>1653</v>
      </c>
      <c r="B227" s="131" t="s">
        <v>1654</v>
      </c>
      <c r="C227" s="131" t="s">
        <v>909</v>
      </c>
      <c r="D227" s="132">
        <v>0</v>
      </c>
      <c r="E227" s="133">
        <v>60222512</v>
      </c>
      <c r="F227" s="131" t="s">
        <v>60</v>
      </c>
      <c r="G227" s="131" t="s">
        <v>910</v>
      </c>
      <c r="H227" s="131" t="s">
        <v>327</v>
      </c>
      <c r="I227" s="131" t="s">
        <v>382</v>
      </c>
      <c r="J227" s="131" t="s">
        <v>887</v>
      </c>
      <c r="K227" s="131"/>
      <c r="L227" s="131"/>
      <c r="M227" s="131" t="s">
        <v>388</v>
      </c>
      <c r="N227" s="131" t="s">
        <v>43</v>
      </c>
      <c r="O227" s="131" t="s">
        <v>386</v>
      </c>
      <c r="P227" s="131" t="s">
        <v>979</v>
      </c>
      <c r="Q227" s="131" t="s">
        <v>988</v>
      </c>
      <c r="R227" s="131" t="s">
        <v>60</v>
      </c>
      <c r="S227" s="131"/>
    </row>
    <row r="228" spans="1:19">
      <c r="A228" s="131" t="s">
        <v>1655</v>
      </c>
      <c r="B228" s="131" t="s">
        <v>1656</v>
      </c>
      <c r="C228" s="131" t="s">
        <v>909</v>
      </c>
      <c r="D228" s="132">
        <v>0</v>
      </c>
      <c r="E228" s="131" t="s">
        <v>1657</v>
      </c>
      <c r="F228" s="131" t="s">
        <v>55</v>
      </c>
      <c r="G228" s="131" t="s">
        <v>918</v>
      </c>
      <c r="H228" s="131" t="s">
        <v>356</v>
      </c>
      <c r="I228" s="131" t="s">
        <v>382</v>
      </c>
      <c r="J228" s="131" t="s">
        <v>887</v>
      </c>
      <c r="K228" s="131" t="s">
        <v>911</v>
      </c>
      <c r="L228" s="131" t="s">
        <v>914</v>
      </c>
      <c r="M228" s="131" t="s">
        <v>388</v>
      </c>
      <c r="N228" s="131"/>
      <c r="O228" s="131" t="s">
        <v>541</v>
      </c>
      <c r="P228" s="131" t="s">
        <v>979</v>
      </c>
      <c r="Q228" s="131" t="s">
        <v>1015</v>
      </c>
      <c r="R228" s="131" t="s">
        <v>71</v>
      </c>
      <c r="S228" s="131"/>
    </row>
    <row r="229" spans="1:19">
      <c r="A229" s="131" t="s">
        <v>1658</v>
      </c>
      <c r="B229" s="131" t="s">
        <v>1659</v>
      </c>
      <c r="C229" s="131" t="s">
        <v>909</v>
      </c>
      <c r="D229" s="132">
        <v>0</v>
      </c>
      <c r="E229" s="133">
        <v>60222472</v>
      </c>
      <c r="F229" s="131" t="s">
        <v>53</v>
      </c>
      <c r="G229" s="131" t="s">
        <v>910</v>
      </c>
      <c r="H229" s="131" t="s">
        <v>327</v>
      </c>
      <c r="I229" s="131" t="s">
        <v>382</v>
      </c>
      <c r="J229" s="131" t="s">
        <v>887</v>
      </c>
      <c r="K229" s="131"/>
      <c r="L229" s="131"/>
      <c r="M229" s="131" t="s">
        <v>388</v>
      </c>
      <c r="N229" s="131" t="s">
        <v>43</v>
      </c>
      <c r="O229" s="131" t="s">
        <v>386</v>
      </c>
      <c r="P229" s="131" t="s">
        <v>979</v>
      </c>
      <c r="Q229" s="131" t="s">
        <v>1008</v>
      </c>
      <c r="R229" s="131" t="s">
        <v>53</v>
      </c>
      <c r="S229" s="131"/>
    </row>
    <row r="230" spans="1:19">
      <c r="A230" s="131" t="s">
        <v>1660</v>
      </c>
      <c r="B230" s="131" t="s">
        <v>1661</v>
      </c>
      <c r="C230" s="131" t="s">
        <v>1662</v>
      </c>
      <c r="D230" s="133">
        <v>62</v>
      </c>
      <c r="E230" s="131" t="s">
        <v>1663</v>
      </c>
      <c r="F230" s="131" t="s">
        <v>55</v>
      </c>
      <c r="G230" s="131" t="s">
        <v>918</v>
      </c>
      <c r="H230" s="131" t="s">
        <v>783</v>
      </c>
      <c r="I230" s="131" t="s">
        <v>382</v>
      </c>
      <c r="J230" s="131" t="s">
        <v>887</v>
      </c>
      <c r="K230" s="131" t="s">
        <v>911</v>
      </c>
      <c r="L230" s="131" t="s">
        <v>914</v>
      </c>
      <c r="M230" s="131" t="s">
        <v>388</v>
      </c>
      <c r="N230" s="131"/>
      <c r="O230" s="131" t="s">
        <v>541</v>
      </c>
      <c r="P230" s="131" t="s">
        <v>979</v>
      </c>
      <c r="Q230" s="131" t="s">
        <v>1015</v>
      </c>
      <c r="R230" s="131" t="s">
        <v>71</v>
      </c>
      <c r="S230" s="131"/>
    </row>
    <row r="231" spans="1:19">
      <c r="A231" s="131" t="s">
        <v>1664</v>
      </c>
      <c r="B231" s="131" t="s">
        <v>1661</v>
      </c>
      <c r="C231" s="131" t="s">
        <v>1347</v>
      </c>
      <c r="D231" s="133">
        <v>60</v>
      </c>
      <c r="E231" s="131" t="s">
        <v>1663</v>
      </c>
      <c r="F231" s="131" t="s">
        <v>55</v>
      </c>
      <c r="G231" s="131" t="s">
        <v>918</v>
      </c>
      <c r="H231" s="131" t="s">
        <v>783</v>
      </c>
      <c r="I231" s="131" t="s">
        <v>382</v>
      </c>
      <c r="J231" s="131" t="s">
        <v>887</v>
      </c>
      <c r="K231" s="131" t="s">
        <v>911</v>
      </c>
      <c r="L231" s="131" t="s">
        <v>914</v>
      </c>
      <c r="M231" s="131" t="s">
        <v>388</v>
      </c>
      <c r="N231" s="131"/>
      <c r="O231" s="131" t="s">
        <v>541</v>
      </c>
      <c r="P231" s="131" t="s">
        <v>979</v>
      </c>
      <c r="Q231" s="131" t="s">
        <v>1015</v>
      </c>
      <c r="R231" s="131" t="s">
        <v>71</v>
      </c>
      <c r="S231" s="131"/>
    </row>
    <row r="232" spans="1:19">
      <c r="A232" s="131" t="s">
        <v>1665</v>
      </c>
      <c r="B232" s="131" t="s">
        <v>1661</v>
      </c>
      <c r="C232" s="131" t="s">
        <v>1025</v>
      </c>
      <c r="D232" s="133">
        <v>58</v>
      </c>
      <c r="E232" s="131" t="s">
        <v>1663</v>
      </c>
      <c r="F232" s="131" t="s">
        <v>55</v>
      </c>
      <c r="G232" s="131" t="s">
        <v>918</v>
      </c>
      <c r="H232" s="131" t="s">
        <v>783</v>
      </c>
      <c r="I232" s="131" t="s">
        <v>382</v>
      </c>
      <c r="J232" s="131" t="s">
        <v>887</v>
      </c>
      <c r="K232" s="131" t="s">
        <v>911</v>
      </c>
      <c r="L232" s="131" t="s">
        <v>914</v>
      </c>
      <c r="M232" s="131" t="s">
        <v>388</v>
      </c>
      <c r="N232" s="131"/>
      <c r="O232" s="131" t="s">
        <v>541</v>
      </c>
      <c r="P232" s="131" t="s">
        <v>979</v>
      </c>
      <c r="Q232" s="131" t="s">
        <v>1015</v>
      </c>
      <c r="R232" s="131" t="s">
        <v>71</v>
      </c>
      <c r="S232" s="131"/>
    </row>
    <row r="233" spans="1:19">
      <c r="A233" s="131" t="s">
        <v>1666</v>
      </c>
      <c r="B233" s="131" t="s">
        <v>1667</v>
      </c>
      <c r="C233" s="131" t="s">
        <v>909</v>
      </c>
      <c r="D233" s="132">
        <v>0</v>
      </c>
      <c r="E233" s="131" t="s">
        <v>1668</v>
      </c>
      <c r="F233" s="131" t="s">
        <v>83</v>
      </c>
      <c r="G233" s="131" t="s">
        <v>918</v>
      </c>
      <c r="H233" s="131" t="s">
        <v>327</v>
      </c>
      <c r="I233" s="131" t="s">
        <v>382</v>
      </c>
      <c r="J233" s="131" t="s">
        <v>887</v>
      </c>
      <c r="K233" s="131" t="s">
        <v>911</v>
      </c>
      <c r="L233" s="131" t="s">
        <v>914</v>
      </c>
      <c r="M233" s="131" t="s">
        <v>388</v>
      </c>
      <c r="N233" s="131"/>
      <c r="O233" s="131" t="s">
        <v>541</v>
      </c>
      <c r="P233" s="131" t="s">
        <v>979</v>
      </c>
      <c r="Q233" s="131" t="s">
        <v>1669</v>
      </c>
      <c r="R233" s="131" t="s">
        <v>83</v>
      </c>
      <c r="S233" s="131"/>
    </row>
    <row r="234" spans="1:19">
      <c r="A234" s="131" t="s">
        <v>1670</v>
      </c>
      <c r="B234" s="131" t="s">
        <v>1671</v>
      </c>
      <c r="C234" s="131" t="s">
        <v>909</v>
      </c>
      <c r="D234" s="132">
        <v>0</v>
      </c>
      <c r="E234" s="131" t="s">
        <v>1672</v>
      </c>
      <c r="F234" s="131" t="s">
        <v>83</v>
      </c>
      <c r="G234" s="131" t="s">
        <v>919</v>
      </c>
      <c r="H234" s="131" t="s">
        <v>356</v>
      </c>
      <c r="I234" s="131" t="s">
        <v>382</v>
      </c>
      <c r="J234" s="131" t="s">
        <v>887</v>
      </c>
      <c r="K234" s="131" t="s">
        <v>911</v>
      </c>
      <c r="L234" s="131" t="s">
        <v>914</v>
      </c>
      <c r="M234" s="131" t="s">
        <v>388</v>
      </c>
      <c r="N234" s="131"/>
      <c r="O234" s="131" t="s">
        <v>541</v>
      </c>
      <c r="P234" s="131" t="s">
        <v>979</v>
      </c>
      <c r="Q234" s="131" t="s">
        <v>1386</v>
      </c>
      <c r="R234" s="131" t="s">
        <v>83</v>
      </c>
      <c r="S234" s="131"/>
    </row>
    <row r="235" spans="1:19">
      <c r="A235" s="131" t="s">
        <v>1673</v>
      </c>
      <c r="B235" s="131" t="s">
        <v>1674</v>
      </c>
      <c r="C235" s="131" t="s">
        <v>909</v>
      </c>
      <c r="D235" s="132">
        <v>0</v>
      </c>
      <c r="E235" s="131" t="s">
        <v>1675</v>
      </c>
      <c r="F235" s="131" t="s">
        <v>53</v>
      </c>
      <c r="G235" s="131" t="s">
        <v>910</v>
      </c>
      <c r="H235" s="131" t="s">
        <v>327</v>
      </c>
      <c r="I235" s="131" t="s">
        <v>382</v>
      </c>
      <c r="J235" s="131" t="s">
        <v>887</v>
      </c>
      <c r="K235" s="131" t="s">
        <v>911</v>
      </c>
      <c r="L235" s="131" t="s">
        <v>914</v>
      </c>
      <c r="M235" s="131" t="s">
        <v>388</v>
      </c>
      <c r="N235" s="131" t="s">
        <v>43</v>
      </c>
      <c r="O235" s="131" t="s">
        <v>541</v>
      </c>
      <c r="P235" s="131" t="s">
        <v>979</v>
      </c>
      <c r="Q235" s="131" t="s">
        <v>1008</v>
      </c>
      <c r="R235" s="131" t="s">
        <v>53</v>
      </c>
      <c r="S235" s="131"/>
    </row>
    <row r="236" spans="1:19">
      <c r="A236" s="131" t="s">
        <v>1676</v>
      </c>
      <c r="B236" s="131" t="s">
        <v>1677</v>
      </c>
      <c r="C236" s="131" t="s">
        <v>909</v>
      </c>
      <c r="D236" s="132">
        <v>0</v>
      </c>
      <c r="E236" s="131" t="s">
        <v>1678</v>
      </c>
      <c r="F236" s="131" t="s">
        <v>121</v>
      </c>
      <c r="G236" s="131" t="s">
        <v>910</v>
      </c>
      <c r="H236" s="131" t="s">
        <v>327</v>
      </c>
      <c r="I236" s="131" t="s">
        <v>382</v>
      </c>
      <c r="J236" s="131" t="s">
        <v>887</v>
      </c>
      <c r="K236" s="131" t="s">
        <v>911</v>
      </c>
      <c r="L236" s="131" t="s">
        <v>914</v>
      </c>
      <c r="M236" s="131" t="s">
        <v>388</v>
      </c>
      <c r="N236" s="131" t="s">
        <v>43</v>
      </c>
      <c r="O236" s="131" t="s">
        <v>541</v>
      </c>
      <c r="P236" s="131" t="s">
        <v>979</v>
      </c>
      <c r="Q236" s="131" t="s">
        <v>1308</v>
      </c>
      <c r="R236" s="131" t="s">
        <v>121</v>
      </c>
      <c r="S236" s="131"/>
    </row>
    <row r="237" spans="1:19">
      <c r="A237" s="131" t="s">
        <v>1679</v>
      </c>
      <c r="B237" s="131" t="s">
        <v>1680</v>
      </c>
      <c r="C237" s="131" t="s">
        <v>909</v>
      </c>
      <c r="D237" s="132">
        <v>0</v>
      </c>
      <c r="E237" s="131" t="s">
        <v>1681</v>
      </c>
      <c r="F237" s="131" t="s">
        <v>195</v>
      </c>
      <c r="G237" s="131" t="s">
        <v>910</v>
      </c>
      <c r="H237" s="131" t="s">
        <v>327</v>
      </c>
      <c r="I237" s="131" t="s">
        <v>382</v>
      </c>
      <c r="J237" s="131" t="s">
        <v>887</v>
      </c>
      <c r="K237" s="131" t="s">
        <v>911</v>
      </c>
      <c r="L237" s="131" t="s">
        <v>914</v>
      </c>
      <c r="M237" s="131" t="s">
        <v>388</v>
      </c>
      <c r="N237" s="131" t="s">
        <v>43</v>
      </c>
      <c r="O237" s="131" t="s">
        <v>541</v>
      </c>
      <c r="P237" s="131" t="s">
        <v>979</v>
      </c>
      <c r="Q237" s="131" t="s">
        <v>988</v>
      </c>
      <c r="R237" s="131" t="s">
        <v>195</v>
      </c>
      <c r="S237" s="131"/>
    </row>
    <row r="238" spans="1:19">
      <c r="A238" s="131" t="s">
        <v>1682</v>
      </c>
      <c r="B238" s="131" t="s">
        <v>1683</v>
      </c>
      <c r="C238" s="131" t="s">
        <v>909</v>
      </c>
      <c r="D238" s="132">
        <v>0</v>
      </c>
      <c r="E238" s="131" t="s">
        <v>1684</v>
      </c>
      <c r="F238" s="131" t="s">
        <v>83</v>
      </c>
      <c r="G238" s="131" t="s">
        <v>910</v>
      </c>
      <c r="H238" s="131" t="s">
        <v>356</v>
      </c>
      <c r="I238" s="131" t="s">
        <v>382</v>
      </c>
      <c r="J238" s="131" t="s">
        <v>887</v>
      </c>
      <c r="K238" s="131" t="s">
        <v>911</v>
      </c>
      <c r="L238" s="131" t="s">
        <v>914</v>
      </c>
      <c r="M238" s="131" t="s">
        <v>388</v>
      </c>
      <c r="N238" s="131"/>
      <c r="O238" s="131" t="s">
        <v>541</v>
      </c>
      <c r="P238" s="131" t="s">
        <v>979</v>
      </c>
      <c r="Q238" s="131" t="s">
        <v>1090</v>
      </c>
      <c r="R238" s="131" t="s">
        <v>83</v>
      </c>
      <c r="S238" s="131"/>
    </row>
    <row r="239" spans="1:19">
      <c r="A239" s="131" t="s">
        <v>1685</v>
      </c>
      <c r="B239" s="131" t="s">
        <v>1686</v>
      </c>
      <c r="C239" s="131" t="s">
        <v>909</v>
      </c>
      <c r="D239" s="132">
        <v>0</v>
      </c>
      <c r="E239" s="131" t="s">
        <v>1687</v>
      </c>
      <c r="F239" s="131" t="s">
        <v>78</v>
      </c>
      <c r="G239" s="131" t="s">
        <v>918</v>
      </c>
      <c r="H239" s="131" t="s">
        <v>327</v>
      </c>
      <c r="I239" s="131" t="s">
        <v>382</v>
      </c>
      <c r="J239" s="131" t="s">
        <v>887</v>
      </c>
      <c r="K239" s="131" t="s">
        <v>1047</v>
      </c>
      <c r="L239" s="131" t="s">
        <v>1048</v>
      </c>
      <c r="M239" s="131" t="s">
        <v>388</v>
      </c>
      <c r="N239" s="131"/>
      <c r="O239" s="131" t="s">
        <v>386</v>
      </c>
      <c r="P239" s="131" t="s">
        <v>979</v>
      </c>
      <c r="Q239" s="131" t="s">
        <v>1362</v>
      </c>
      <c r="R239" s="131" t="s">
        <v>78</v>
      </c>
      <c r="S239" s="131"/>
    </row>
    <row r="240" spans="1:19">
      <c r="A240" s="131" t="s">
        <v>1688</v>
      </c>
      <c r="B240" s="131" t="s">
        <v>1689</v>
      </c>
      <c r="C240" s="131" t="s">
        <v>909</v>
      </c>
      <c r="D240" s="132">
        <v>0</v>
      </c>
      <c r="E240" s="131" t="s">
        <v>1690</v>
      </c>
      <c r="F240" s="131" t="s">
        <v>53</v>
      </c>
      <c r="G240" s="131" t="s">
        <v>918</v>
      </c>
      <c r="H240" s="131" t="s">
        <v>327</v>
      </c>
      <c r="I240" s="131" t="s">
        <v>382</v>
      </c>
      <c r="J240" s="131" t="s">
        <v>887</v>
      </c>
      <c r="K240" s="131" t="s">
        <v>1047</v>
      </c>
      <c r="L240" s="131" t="s">
        <v>1370</v>
      </c>
      <c r="M240" s="131" t="s">
        <v>388</v>
      </c>
      <c r="N240" s="131"/>
      <c r="O240" s="131" t="s">
        <v>541</v>
      </c>
      <c r="P240" s="131" t="s">
        <v>979</v>
      </c>
      <c r="Q240" s="131" t="s">
        <v>1362</v>
      </c>
      <c r="R240" s="131" t="s">
        <v>53</v>
      </c>
      <c r="S240" s="131"/>
    </row>
    <row r="241" spans="1:19">
      <c r="A241" s="131" t="s">
        <v>1691</v>
      </c>
      <c r="B241" s="131" t="s">
        <v>1692</v>
      </c>
      <c r="C241" s="131" t="s">
        <v>909</v>
      </c>
      <c r="D241" s="132">
        <v>0</v>
      </c>
      <c r="E241" s="131" t="s">
        <v>1693</v>
      </c>
      <c r="F241" s="131" t="s">
        <v>286</v>
      </c>
      <c r="G241" s="131" t="s">
        <v>918</v>
      </c>
      <c r="H241" s="131" t="s">
        <v>327</v>
      </c>
      <c r="I241" s="131" t="s">
        <v>382</v>
      </c>
      <c r="J241" s="131" t="s">
        <v>887</v>
      </c>
      <c r="K241" s="131" t="s">
        <v>1047</v>
      </c>
      <c r="L241" s="131" t="s">
        <v>1053</v>
      </c>
      <c r="M241" s="131" t="s">
        <v>388</v>
      </c>
      <c r="N241" s="131"/>
      <c r="O241" s="131" t="s">
        <v>541</v>
      </c>
      <c r="P241" s="131" t="s">
        <v>979</v>
      </c>
      <c r="Q241" s="131" t="s">
        <v>1362</v>
      </c>
      <c r="R241" s="131" t="s">
        <v>286</v>
      </c>
      <c r="S241" s="131"/>
    </row>
    <row r="242" spans="1:19">
      <c r="A242" s="131" t="s">
        <v>1694</v>
      </c>
      <c r="B242" s="131" t="s">
        <v>1695</v>
      </c>
      <c r="C242" s="131" t="s">
        <v>909</v>
      </c>
      <c r="D242" s="132">
        <v>0</v>
      </c>
      <c r="E242" s="131" t="s">
        <v>1696</v>
      </c>
      <c r="F242" s="131" t="s">
        <v>71</v>
      </c>
      <c r="G242" s="131" t="s">
        <v>910</v>
      </c>
      <c r="H242" s="131" t="s">
        <v>327</v>
      </c>
      <c r="I242" s="131" t="s">
        <v>382</v>
      </c>
      <c r="J242" s="131" t="s">
        <v>887</v>
      </c>
      <c r="K242" s="131" t="s">
        <v>911</v>
      </c>
      <c r="L242" s="131" t="s">
        <v>912</v>
      </c>
      <c r="M242" s="131" t="s">
        <v>388</v>
      </c>
      <c r="N242" s="131" t="s">
        <v>43</v>
      </c>
      <c r="O242" s="131" t="s">
        <v>541</v>
      </c>
      <c r="P242" s="131" t="s">
        <v>979</v>
      </c>
      <c r="Q242" s="131" t="s">
        <v>1579</v>
      </c>
      <c r="R242" s="131" t="s">
        <v>71</v>
      </c>
      <c r="S242" s="131"/>
    </row>
    <row r="243" spans="1:19">
      <c r="A243" s="131" t="s">
        <v>1697</v>
      </c>
      <c r="B243" s="131" t="s">
        <v>1698</v>
      </c>
      <c r="C243" s="131" t="s">
        <v>909</v>
      </c>
      <c r="D243" s="132">
        <v>0</v>
      </c>
      <c r="E243" s="131" t="s">
        <v>1699</v>
      </c>
      <c r="F243" s="131" t="s">
        <v>158</v>
      </c>
      <c r="G243" s="131" t="s">
        <v>910</v>
      </c>
      <c r="H243" s="131" t="s">
        <v>327</v>
      </c>
      <c r="I243" s="131" t="s">
        <v>382</v>
      </c>
      <c r="J243" s="131" t="s">
        <v>887</v>
      </c>
      <c r="K243" s="131" t="s">
        <v>911</v>
      </c>
      <c r="L243" s="131" t="s">
        <v>914</v>
      </c>
      <c r="M243" s="131" t="s">
        <v>388</v>
      </c>
      <c r="N243" s="131" t="s">
        <v>43</v>
      </c>
      <c r="O243" s="131" t="s">
        <v>386</v>
      </c>
      <c r="P243" s="131" t="s">
        <v>979</v>
      </c>
      <c r="Q243" s="131" t="s">
        <v>1700</v>
      </c>
      <c r="R243" s="131" t="s">
        <v>60</v>
      </c>
      <c r="S243" s="131"/>
    </row>
    <row r="244" spans="1:19">
      <c r="A244" s="131" t="s">
        <v>1701</v>
      </c>
      <c r="B244" s="131" t="s">
        <v>1702</v>
      </c>
      <c r="C244" s="131" t="s">
        <v>909</v>
      </c>
      <c r="D244" s="132">
        <v>0</v>
      </c>
      <c r="E244" s="131" t="s">
        <v>1703</v>
      </c>
      <c r="F244" s="131" t="s">
        <v>53</v>
      </c>
      <c r="G244" s="131" t="s">
        <v>910</v>
      </c>
      <c r="H244" s="131" t="s">
        <v>327</v>
      </c>
      <c r="I244" s="131" t="s">
        <v>382</v>
      </c>
      <c r="J244" s="131" t="s">
        <v>887</v>
      </c>
      <c r="K244" s="131" t="s">
        <v>921</v>
      </c>
      <c r="L244" s="131" t="s">
        <v>1229</v>
      </c>
      <c r="M244" s="131" t="s">
        <v>388</v>
      </c>
      <c r="N244" s="131" t="s">
        <v>43</v>
      </c>
      <c r="O244" s="131" t="s">
        <v>541</v>
      </c>
      <c r="P244" s="131" t="s">
        <v>979</v>
      </c>
      <c r="Q244" s="131" t="s">
        <v>1008</v>
      </c>
      <c r="R244" s="131" t="s">
        <v>53</v>
      </c>
      <c r="S244" s="131"/>
    </row>
    <row r="245" spans="1:19">
      <c r="A245" s="131" t="s">
        <v>1704</v>
      </c>
      <c r="B245" s="131" t="s">
        <v>1705</v>
      </c>
      <c r="C245" s="131" t="s">
        <v>909</v>
      </c>
      <c r="D245" s="132">
        <v>0</v>
      </c>
      <c r="E245" s="131" t="s">
        <v>1706</v>
      </c>
      <c r="F245" s="131" t="s">
        <v>78</v>
      </c>
      <c r="G245" s="131" t="s">
        <v>910</v>
      </c>
      <c r="H245" s="131" t="s">
        <v>327</v>
      </c>
      <c r="I245" s="131" t="s">
        <v>382</v>
      </c>
      <c r="J245" s="131" t="s">
        <v>887</v>
      </c>
      <c r="K245" s="131" t="s">
        <v>921</v>
      </c>
      <c r="L245" s="131" t="s">
        <v>1229</v>
      </c>
      <c r="M245" s="131" t="s">
        <v>388</v>
      </c>
      <c r="N245" s="131" t="s">
        <v>43</v>
      </c>
      <c r="O245" s="131" t="s">
        <v>541</v>
      </c>
      <c r="P245" s="131" t="s">
        <v>979</v>
      </c>
      <c r="Q245" s="131" t="s">
        <v>1266</v>
      </c>
      <c r="R245" s="131" t="s">
        <v>78</v>
      </c>
      <c r="S245" s="131"/>
    </row>
    <row r="246" spans="1:19">
      <c r="A246" s="131" t="s">
        <v>1707</v>
      </c>
      <c r="B246" s="131" t="s">
        <v>1708</v>
      </c>
      <c r="C246" s="131" t="s">
        <v>909</v>
      </c>
      <c r="D246" s="132">
        <v>0</v>
      </c>
      <c r="E246" s="131" t="s">
        <v>1709</v>
      </c>
      <c r="F246" s="131" t="s">
        <v>57</v>
      </c>
      <c r="G246" s="131" t="s">
        <v>1652</v>
      </c>
      <c r="H246" s="131" t="s">
        <v>327</v>
      </c>
      <c r="I246" s="131" t="s">
        <v>382</v>
      </c>
      <c r="J246" s="131" t="s">
        <v>887</v>
      </c>
      <c r="K246" s="131" t="s">
        <v>911</v>
      </c>
      <c r="L246" s="131" t="s">
        <v>914</v>
      </c>
      <c r="M246" s="131" t="s">
        <v>388</v>
      </c>
      <c r="N246" s="131" t="s">
        <v>43</v>
      </c>
      <c r="O246" s="131" t="s">
        <v>386</v>
      </c>
      <c r="P246" s="131" t="s">
        <v>979</v>
      </c>
      <c r="Q246" s="131" t="s">
        <v>996</v>
      </c>
      <c r="R246" s="131" t="s">
        <v>57</v>
      </c>
      <c r="S246" s="131"/>
    </row>
    <row r="247" spans="1:19">
      <c r="A247" s="131" t="s">
        <v>1710</v>
      </c>
      <c r="B247" s="131" t="s">
        <v>1711</v>
      </c>
      <c r="C247" s="131" t="s">
        <v>909</v>
      </c>
      <c r="D247" s="132">
        <v>0</v>
      </c>
      <c r="E247" s="131" t="s">
        <v>1712</v>
      </c>
      <c r="F247" s="131" t="s">
        <v>57</v>
      </c>
      <c r="G247" s="131" t="s">
        <v>910</v>
      </c>
      <c r="H247" s="131" t="s">
        <v>327</v>
      </c>
      <c r="I247" s="131" t="s">
        <v>382</v>
      </c>
      <c r="J247" s="131" t="s">
        <v>887</v>
      </c>
      <c r="K247" s="131" t="s">
        <v>911</v>
      </c>
      <c r="L247" s="131" t="s">
        <v>914</v>
      </c>
      <c r="M247" s="131" t="s">
        <v>388</v>
      </c>
      <c r="N247" s="131" t="s">
        <v>43</v>
      </c>
      <c r="O247" s="131" t="s">
        <v>541</v>
      </c>
      <c r="P247" s="131" t="s">
        <v>979</v>
      </c>
      <c r="Q247" s="131" t="s">
        <v>1713</v>
      </c>
      <c r="R247" s="131" t="s">
        <v>57</v>
      </c>
      <c r="S247" s="131"/>
    </row>
    <row r="248" spans="1:19">
      <c r="A248" s="131" t="s">
        <v>1714</v>
      </c>
      <c r="B248" s="131" t="s">
        <v>1715</v>
      </c>
      <c r="C248" s="131" t="s">
        <v>1025</v>
      </c>
      <c r="D248" s="133">
        <v>58</v>
      </c>
      <c r="E248" s="131" t="s">
        <v>1716</v>
      </c>
      <c r="F248" s="131" t="s">
        <v>78</v>
      </c>
      <c r="G248" s="131" t="s">
        <v>1338</v>
      </c>
      <c r="H248" s="131" t="s">
        <v>327</v>
      </c>
      <c r="I248" s="131" t="s">
        <v>382</v>
      </c>
      <c r="J248" s="131" t="s">
        <v>887</v>
      </c>
      <c r="K248" s="131" t="s">
        <v>911</v>
      </c>
      <c r="L248" s="131" t="s">
        <v>914</v>
      </c>
      <c r="M248" s="131" t="s">
        <v>388</v>
      </c>
      <c r="N248" s="131" t="s">
        <v>43</v>
      </c>
      <c r="O248" s="131" t="s">
        <v>541</v>
      </c>
      <c r="P248" s="131" t="s">
        <v>979</v>
      </c>
      <c r="Q248" s="131" t="s">
        <v>1057</v>
      </c>
      <c r="R248" s="131" t="s">
        <v>78</v>
      </c>
      <c r="S248" s="131"/>
    </row>
    <row r="249" spans="1:19">
      <c r="A249" s="131" t="s">
        <v>1717</v>
      </c>
      <c r="B249" s="131" t="s">
        <v>1715</v>
      </c>
      <c r="C249" s="131" t="s">
        <v>1029</v>
      </c>
      <c r="D249" s="133">
        <v>56</v>
      </c>
      <c r="E249" s="131" t="s">
        <v>1716</v>
      </c>
      <c r="F249" s="131" t="s">
        <v>78</v>
      </c>
      <c r="G249" s="131" t="s">
        <v>1338</v>
      </c>
      <c r="H249" s="131" t="s">
        <v>327</v>
      </c>
      <c r="I249" s="131" t="s">
        <v>382</v>
      </c>
      <c r="J249" s="131" t="s">
        <v>887</v>
      </c>
      <c r="K249" s="131" t="s">
        <v>911</v>
      </c>
      <c r="L249" s="131" t="s">
        <v>914</v>
      </c>
      <c r="M249" s="131" t="s">
        <v>388</v>
      </c>
      <c r="N249" s="131" t="s">
        <v>43</v>
      </c>
      <c r="O249" s="131" t="s">
        <v>541</v>
      </c>
      <c r="P249" s="131" t="s">
        <v>979</v>
      </c>
      <c r="Q249" s="131" t="s">
        <v>1057</v>
      </c>
      <c r="R249" s="131" t="s">
        <v>78</v>
      </c>
      <c r="S249" s="131"/>
    </row>
    <row r="250" spans="1:19">
      <c r="A250" s="131" t="s">
        <v>1718</v>
      </c>
      <c r="B250" s="131" t="s">
        <v>1719</v>
      </c>
      <c r="C250" s="131" t="s">
        <v>1029</v>
      </c>
      <c r="D250" s="133">
        <v>56</v>
      </c>
      <c r="E250" s="131" t="s">
        <v>1720</v>
      </c>
      <c r="F250" s="131" t="s">
        <v>55</v>
      </c>
      <c r="G250" s="131" t="s">
        <v>1338</v>
      </c>
      <c r="H250" s="131" t="s">
        <v>327</v>
      </c>
      <c r="I250" s="131" t="s">
        <v>382</v>
      </c>
      <c r="J250" s="131" t="s">
        <v>887</v>
      </c>
      <c r="K250" s="131" t="s">
        <v>911</v>
      </c>
      <c r="L250" s="131" t="s">
        <v>912</v>
      </c>
      <c r="M250" s="131" t="s">
        <v>388</v>
      </c>
      <c r="N250" s="131" t="s">
        <v>43</v>
      </c>
      <c r="O250" s="131" t="s">
        <v>541</v>
      </c>
      <c r="P250" s="131" t="s">
        <v>979</v>
      </c>
      <c r="Q250" s="131" t="s">
        <v>1601</v>
      </c>
      <c r="R250" s="131" t="s">
        <v>71</v>
      </c>
      <c r="S250" s="1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2022-09-15T08:37:30Z</dcterms:modified>
</cp:coreProperties>
</file>